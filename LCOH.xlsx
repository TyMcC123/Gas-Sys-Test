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Test\"/>
    </mc:Choice>
  </mc:AlternateContent>
  <xr:revisionPtr revIDLastSave="0" documentId="8_{62411A9D-D8F2-414F-9D40-62F36028BCDB}" xr6:coauthVersionLast="47" xr6:coauthVersionMax="47" xr10:uidLastSave="{00000000-0000-0000-0000-000000000000}"/>
  <bookViews>
    <workbookView xWindow="1110" yWindow="555" windowWidth="25095" windowHeight="15090" xr2:uid="{C6C13879-6188-40EE-BB44-DC7BC7CBA438}"/>
  </bookViews>
  <sheets>
    <sheet name="LOCH Calc COE Cal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[3]D!$D$100:$D$106</definedName>
    <definedName name="__123Graph_ACurrent" localSheetId="0" hidden="1">#REF!</definedName>
    <definedName name="__123Graph_ACurrent" hidden="1">#REF!</definedName>
    <definedName name="__123Graph_X" hidden="1">[3]D!$C$100:$C$106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769</definedName>
    <definedName name="_AtRisk_SimSetting_ReportOptionReportsFileType" hidden="1">1</definedName>
    <definedName name="_AtRisk_SimSetting_ReportOptionSelectiveQR" hidden="1">FALSE</definedName>
    <definedName name="_AtRisk_SimSetting_ReportsList" hidden="1">769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boveSeal_Depth">'[4]Geo-Activity Interaction'!$E$35</definedName>
    <definedName name="AboveSeal_Depth_Units">'[4]Geo-Activity Interaction'!$F$35</definedName>
    <definedName name="afdsafds" localSheetId="0" hidden="1">#REF!</definedName>
    <definedName name="afdsafds" hidden="1">#REF!</definedName>
    <definedName name="AGRType">[5]InputsAndConstants!$G$8</definedName>
    <definedName name="AS2DocOpenMode" hidden="1">"AS2DocumentEdit"</definedName>
    <definedName name="AuxLoadTot">[6]Performance!$F$19</definedName>
    <definedName name="BioFeedAR">[5]EQDesignParameters!$C$7</definedName>
    <definedName name="booster_count">'[7]User Interface'!$G$10</definedName>
    <definedName name="Capture">[5]InputsAndConstants!$G$12</definedName>
    <definedName name="CarbonReplacement">[5]EQDesignParameters!$C$237</definedName>
    <definedName name="CarbonVolume">[5]EQDesignParameters!$C$238</definedName>
    <definedName name="Case_Number">'[5]Model Interface'!$A$17</definedName>
    <definedName name="co2_density">'[7]User Interface'!$G$9</definedName>
    <definedName name="co2_flow_rate">'[7]User Interface'!$C$7</definedName>
    <definedName name="CO2Emissions">[5]Emissions!$F$11</definedName>
    <definedName name="CO2TSpertonne" localSheetId="0">'LOCH Calc COE Calc'!$B$11</definedName>
    <definedName name="CO2TSpertonne">#REF!</definedName>
    <definedName name="CoalFeedAR">[5]EQDesignParameters!$C$6</definedName>
    <definedName name="CoalPrice" localSheetId="0">'LOCH Calc COE Calc'!$B$6</definedName>
    <definedName name="CoalPrice">'[8]COE Calc'!$O$6</definedName>
    <definedName name="CondDuty">[5]EQDesignParameters!$C$106</definedName>
    <definedName name="COSBedLife">[5]EQDesignParameters!$C$169</definedName>
    <definedName name="COSInitialFill">[5]EQDesignParameters!$C$168</definedName>
    <definedName name="CWFlow">[6]EQDesignParameters!$C$53</definedName>
    <definedName name="CWFlowVol">[6]EQDesignParameters!$C$54</definedName>
    <definedName name="CWRange">[6]EQDesignParameters!$C$51</definedName>
    <definedName name="d360.">'[4]Geol Sal'!$D$98</definedName>
    <definedName name="Dedicated">'[9]state coordinates'!#REF!</definedName>
    <definedName name="Drow">[10]InputsAndConstants!$C$12</definedName>
    <definedName name="Engineer_Rate">[4]Activity_Inputs!$E$10</definedName>
    <definedName name="Engineer_Rate_Units">[4]Activity_Inputs!$F$10</definedName>
    <definedName name="fadsfasdf" localSheetId="0" hidden="1">#REF!</definedName>
    <definedName name="fadsfasdf" hidden="1">#REF!</definedName>
    <definedName name="fds" localSheetId="0" hidden="1">#REF!</definedName>
    <definedName name="fds" hidden="1">#REF!</definedName>
    <definedName name="fdsaaa" localSheetId="0" hidden="1">#REF!</definedName>
    <definedName name="fdsaaa" hidden="1">#REF!</definedName>
    <definedName name="Field_Rate">[4]Activity_Inputs!$E$12</definedName>
    <definedName name="Field_Rate_Units">[4]Activity_Inputs!$F$12</definedName>
    <definedName name="Frow">[10]InputsAndConstants!$C$7</definedName>
    <definedName name="fsdafs" localSheetId="0" hidden="1">#REF!</definedName>
    <definedName name="fsdafs" hidden="1">#REF!</definedName>
    <definedName name="Geologist_Rate">[4]Activity_Inputs!$E$9</definedName>
    <definedName name="Geologist_Rate_Units">[4]Activity_Inputs!$F$9</definedName>
    <definedName name="graphic">INDIRECT('[9]Input Output Interface'!$C$10)</definedName>
    <definedName name="GrossPower">[6]Performance!$F$7</definedName>
    <definedName name="Groundwater_Depth">'[4]Geo-Activity Interaction'!$E$36</definedName>
    <definedName name="Groundwater_Depth_Units">'[4]Geo-Activity Interaction'!$F$36</definedName>
    <definedName name="HClNaOHFlow">[5]EQDesignParameters!$C$374</definedName>
    <definedName name="HgEmissions">[5]InputsAndConstants!$C$63</definedName>
    <definedName name="hp2kW">[5]InputsAndConstants!$G$56</definedName>
    <definedName name="HRSGDuty">[6]EQDesignParameters!$C$25</definedName>
    <definedName name="infrastructure">'[9]Input Output Interface'!$C$10</definedName>
    <definedName name="Injection_Depth">'[4]Geo-Activity Interaction'!$E$32</definedName>
    <definedName name="Injection_Depth_Units">'[4]Geo-Activity Interaction'!$F$32</definedName>
    <definedName name="InReservoir_Depth">'[4]Geo-Activity Interaction'!$E$34</definedName>
    <definedName name="InReservoir_Depth_Units">'[4]Geo-Activity Interaction'!$F$34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_PL">'[11]Eng Mod'!$D$16</definedName>
    <definedName name="Landman_Rate">[4]Activity_Inputs!$E$11</definedName>
    <definedName name="Landman_Rate_Units">[4]Activity_Inputs!$F$11</definedName>
    <definedName name="Len_PL_U">'[11]Eng Mod'!$E$16</definedName>
    <definedName name="lookup_coll">[4]FR_Lookups!#REF!</definedName>
    <definedName name="lookup_locfee">[4]FR_Lookups!#REF!</definedName>
    <definedName name="maintenance_cycle_yrs">'[7]User Interface'!$C$11</definedName>
    <definedName name="MDEAInitialFill">[5]EQDesignParameters!$C$282</definedName>
    <definedName name="MDEAMakeupRate">[5]EQDesignParameters!$C$283</definedName>
    <definedName name="ModlData">[6]ModelData!$C$4:$G$35</definedName>
    <definedName name="MUWWTC">[6]EQDesignParameters!$C$234</definedName>
    <definedName name="Mytable">#REF!</definedName>
    <definedName name="n_pumps">'[11]Eng Mod'!$D$22</definedName>
    <definedName name="NaturalGasPrice" localSheetId="0">'LOCH Calc COE Calc'!$B$7</definedName>
    <definedName name="NaturalGasPrice">'[8]COE Calc'!$O$7</definedName>
    <definedName name="NetPlantEff">[6]Performance!$C$15</definedName>
    <definedName name="NetPower">[6]Performance!$F$20</definedName>
    <definedName name="NomATWACC">#REF!</definedName>
    <definedName name="NomCRF">#REF!</definedName>
    <definedName name="NonFCR">#REF!</definedName>
    <definedName name="NOxEmissions">[5]Emissions!$F$7</definedName>
    <definedName name="P_in">'[11]Eng Mod'!$D$17</definedName>
    <definedName name="P_out">'[11]Eng Mod'!$D$18</definedName>
    <definedName name="picture">INDIRECT('[9]Input Output Interface'!$J$23)</definedName>
    <definedName name="pipeline">INDIRECT('[9]Input Output Interface'!$J$23)</definedName>
    <definedName name="pipeline_diameter">'[7]User Interface'!$G$6</definedName>
    <definedName name="pipeline_dist">'[7]User Interface'!$C$6</definedName>
    <definedName name="pipeline_EF">#REF!</definedName>
    <definedName name="pipeline_graphic">INDIRECT('[9]Input Output Interface'!$C$10:$E$10)</definedName>
    <definedName name="pipeline_steel_mass">'[7]User Interface'!$G$7</definedName>
    <definedName name="PL_d">'[11]Eng Mod'!$G$54</definedName>
    <definedName name="PMEmissions">[5]Emissions!$F$8</definedName>
    <definedName name="PowerCO2Comp">[5]Performance!$F$20</definedName>
    <definedName name="Pr_units">'[11]Eng Mod'!$E$17</definedName>
    <definedName name="ProcessDischarge">[6]MassBalances!$Q$37</definedName>
    <definedName name="ProcessParametersB5B">#REF!</definedName>
    <definedName name="ProcessParametersB5BQ">#REF!</definedName>
    <definedName name="ProcessParametersCase5">#REF!</definedName>
    <definedName name="ProcessParametersCase6">#REF!</definedName>
    <definedName name="ProcessParametersMax">#REF!</definedName>
    <definedName name="ProcessParametersShellxTorr">#REF!</definedName>
    <definedName name="pump_power">'[11]Eng Mod'!$D$67</definedName>
    <definedName name="pump_power_factor">'[7]User Interface'!$G$8</definedName>
    <definedName name="RawWatConsump">[6]MassBalances!$S$37</definedName>
    <definedName name="RawWatMakeup">[6]MassBalances!$O$37</definedName>
    <definedName name="RealATWACC">#REF!</definedName>
    <definedName name="RealCRF">#REF!</definedName>
    <definedName name="RealFCR" localSheetId="0">[2]FinancialFactors!$C$22</definedName>
    <definedName name="RealFCR">[8]FinancialFactors!$C$22</definedName>
    <definedName name="RealTASC_3yr" localSheetId="0">[2]FinancialFactors!$C$40</definedName>
    <definedName name="RealTASC_3yr">[8]FinancialFactors!$C$40</definedName>
    <definedName name="RealTASC_5yr" localSheetId="0">[2]FinancialFactors!$C$42</definedName>
    <definedName name="RealTASC_5yr">[8]FinancialFactors!$C$42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elex1stgInitialFIll">[5]EQDesignParameters!$C$307</definedName>
    <definedName name="Selex1stgMakeupRate">[5]EQDesignParameters!$C$308</definedName>
    <definedName name="SelexInitFill">[5]EQDesignParameters!$C$316</definedName>
    <definedName name="SelexMakeupRate">[5]EQDesignParameters!$C$317</definedName>
    <definedName name="SFrow">[5]InputsAndConstants!$C$8</definedName>
    <definedName name="SGCDuty1">[5]EQDesignParameters!$C$354</definedName>
    <definedName name="SGCDuty2">[5]EQDesignParameters!$C$361</definedName>
    <definedName name="SO2Emissions">[5]Emissions!$F$6</definedName>
    <definedName name="steel_GWP">'[7]User Interface'!$C$8</definedName>
    <definedName name="STPower">[5]Performance!$F$6</definedName>
    <definedName name="Strat_Depth">'[4]Geo-Activity Interaction'!$E$31</definedName>
    <definedName name="Strat_Depth_Units">'[4]Geo-Activity Interaction'!$F$31</definedName>
    <definedName name="StrmData">[10]StreamTable!$A$3:$CI$68</definedName>
    <definedName name="SulfinolInitialFIll">[5]EQDesignParameters!$C$296</definedName>
    <definedName name="SulfinolMakeupRate">[5]EQDesignParameters!$C$297</definedName>
    <definedName name="T_Pipeline">'[11]Eng Mod'!$D$13</definedName>
    <definedName name="T_Pipeline_U">'[11]Eng Mod'!$E$13</definedName>
    <definedName name="TASC_NGCC" localSheetId="0">'LOCH Calc COE Calc'!$C$3</definedName>
    <definedName name="TASC_NGCC">'[8]COE Calc'!$P$3</definedName>
    <definedName name="TASC_PCIGCC" localSheetId="0">'LOCH Calc COE Calc'!$C$4</definedName>
    <definedName name="TASC_PCIGCC">'[8]COE Calc'!$P$4</definedName>
    <definedName name="TEGMakeRate">[5]EQDesignParameters!$C$323</definedName>
    <definedName name="ThermalInput">[6]Performance!$C$21</definedName>
    <definedName name="tons2lb">[5]InputsAndConstants!$G$66</definedName>
    <definedName name="TotalCarbonFill">[5]EQDesignParameters!$C$236</definedName>
    <definedName name="Trunkline">'[9]state coordinates'!#REF!</definedName>
    <definedName name="VACFLOWgpm">[5]EQDesignParameters!$C$380</definedName>
    <definedName name="VadoseZone_Depth">'[4]Geo-Activity Interaction'!$E$37</definedName>
    <definedName name="VadoseZone_Depth_Units">'[4]Geo-Activity Interaction'!$F$37</definedName>
    <definedName name="WaterDisposal_Depth">'[4]Geo-Activity Interaction'!$E$40</definedName>
    <definedName name="WaterDisposal_Depth_Units">'[4]Geo-Activity Interaction'!$F$40</definedName>
    <definedName name="WaterProduction_Depth">'[4]Geo-Activity Interaction'!$E$39</definedName>
    <definedName name="WaterProduction_Depth_Units">'[4]Geo-Activity Interaction'!$F$39</definedName>
    <definedName name="WGSInitialFill">[5]EQDesignParameters!$C$181</definedName>
    <definedName name="WGSMakeup">[5]EQDesignParameters!$C$183</definedName>
    <definedName name="ZLDH2SO4Flow">[5]EQDesignParameters!$C$377</definedName>
    <definedName name="ZLDSolids">[5]EQDesignParameters!$C$390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147" i="1" l="1"/>
  <c r="S3147" i="1" s="1"/>
  <c r="Q3147" i="1"/>
  <c r="P3147" i="1"/>
  <c r="R3146" i="1"/>
  <c r="S3146" i="1" s="1"/>
  <c r="Q3146" i="1"/>
  <c r="P3146" i="1"/>
  <c r="W3145" i="1"/>
  <c r="X3145" i="1" s="1"/>
  <c r="Y3145" i="1" s="1"/>
  <c r="Z3145" i="1" s="1"/>
  <c r="V3145" i="1"/>
  <c r="T3145" i="1"/>
  <c r="S3145" i="1"/>
  <c r="U3145" i="1" s="1"/>
  <c r="R3145" i="1"/>
  <c r="Q3145" i="1"/>
  <c r="P3145" i="1"/>
  <c r="W3144" i="1"/>
  <c r="X3144" i="1" s="1"/>
  <c r="Y3144" i="1" s="1"/>
  <c r="Z3144" i="1" s="1"/>
  <c r="V3144" i="1"/>
  <c r="U3144" i="1"/>
  <c r="T3144" i="1"/>
  <c r="S3144" i="1"/>
  <c r="R3144" i="1"/>
  <c r="Q3144" i="1"/>
  <c r="P3144" i="1"/>
  <c r="T3143" i="1"/>
  <c r="S3143" i="1"/>
  <c r="W3143" i="1" s="1"/>
  <c r="X3143" i="1" s="1"/>
  <c r="Y3143" i="1" s="1"/>
  <c r="Z3143" i="1" s="1"/>
  <c r="R3143" i="1"/>
  <c r="Q3143" i="1"/>
  <c r="P3143" i="1"/>
  <c r="R3142" i="1"/>
  <c r="S3142" i="1" s="1"/>
  <c r="Q3142" i="1"/>
  <c r="P3142" i="1"/>
  <c r="R3141" i="1"/>
  <c r="S3141" i="1" s="1"/>
  <c r="Q3141" i="1"/>
  <c r="P3141" i="1"/>
  <c r="R3140" i="1"/>
  <c r="S3140" i="1" s="1"/>
  <c r="Q3140" i="1"/>
  <c r="P3140" i="1"/>
  <c r="S3139" i="1"/>
  <c r="R3139" i="1"/>
  <c r="Q3139" i="1"/>
  <c r="P3139" i="1"/>
  <c r="T3138" i="1"/>
  <c r="S3138" i="1"/>
  <c r="R3138" i="1"/>
  <c r="Q3138" i="1"/>
  <c r="P3138" i="1"/>
  <c r="S3137" i="1"/>
  <c r="R3137" i="1"/>
  <c r="Q3137" i="1"/>
  <c r="P3137" i="1"/>
  <c r="U3136" i="1"/>
  <c r="R3136" i="1"/>
  <c r="S3136" i="1" s="1"/>
  <c r="Q3136" i="1"/>
  <c r="P3136" i="1"/>
  <c r="U3135" i="1"/>
  <c r="S3135" i="1"/>
  <c r="V3135" i="1" s="1"/>
  <c r="R3135" i="1"/>
  <c r="Q3135" i="1"/>
  <c r="P3135" i="1"/>
  <c r="T3134" i="1"/>
  <c r="R3134" i="1"/>
  <c r="S3134" i="1" s="1"/>
  <c r="Q3134" i="1"/>
  <c r="P3134" i="1"/>
  <c r="R3133" i="1"/>
  <c r="S3133" i="1" s="1"/>
  <c r="Q3133" i="1"/>
  <c r="P3133" i="1"/>
  <c r="Z3132" i="1"/>
  <c r="Y3132" i="1"/>
  <c r="U3132" i="1"/>
  <c r="R3132" i="1"/>
  <c r="S3132" i="1" s="1"/>
  <c r="W3132" i="1" s="1"/>
  <c r="X3132" i="1" s="1"/>
  <c r="Q3132" i="1"/>
  <c r="P3132" i="1"/>
  <c r="R3131" i="1"/>
  <c r="S3131" i="1" s="1"/>
  <c r="Q3131" i="1"/>
  <c r="P3131" i="1"/>
  <c r="R3130" i="1"/>
  <c r="S3130" i="1" s="1"/>
  <c r="Q3130" i="1"/>
  <c r="P3130" i="1"/>
  <c r="R3129" i="1"/>
  <c r="S3129" i="1" s="1"/>
  <c r="Q3129" i="1"/>
  <c r="P3129" i="1"/>
  <c r="S3128" i="1"/>
  <c r="R3128" i="1"/>
  <c r="Q3128" i="1"/>
  <c r="P3128" i="1"/>
  <c r="R3127" i="1"/>
  <c r="S3127" i="1" s="1"/>
  <c r="Q3127" i="1"/>
  <c r="P3127" i="1"/>
  <c r="R3126" i="1"/>
  <c r="S3126" i="1" s="1"/>
  <c r="Q3126" i="1"/>
  <c r="P3126" i="1"/>
  <c r="T3125" i="1"/>
  <c r="S3125" i="1"/>
  <c r="R3125" i="1"/>
  <c r="Q3125" i="1"/>
  <c r="P3125" i="1"/>
  <c r="Z3124" i="1"/>
  <c r="X3124" i="1"/>
  <c r="Y3124" i="1" s="1"/>
  <c r="W3124" i="1"/>
  <c r="V3124" i="1"/>
  <c r="U3124" i="1"/>
  <c r="T3124" i="1"/>
  <c r="S3124" i="1"/>
  <c r="R3124" i="1"/>
  <c r="Q3124" i="1"/>
  <c r="P3124" i="1"/>
  <c r="S3123" i="1"/>
  <c r="R3123" i="1"/>
  <c r="Q3123" i="1"/>
  <c r="P3123" i="1"/>
  <c r="W3122" i="1"/>
  <c r="X3122" i="1" s="1"/>
  <c r="Y3122" i="1" s="1"/>
  <c r="Z3122" i="1" s="1"/>
  <c r="V3122" i="1"/>
  <c r="U3122" i="1"/>
  <c r="S3122" i="1"/>
  <c r="T3122" i="1" s="1"/>
  <c r="R3122" i="1"/>
  <c r="Q3122" i="1"/>
  <c r="P3122" i="1"/>
  <c r="R3121" i="1"/>
  <c r="S3121" i="1" s="1"/>
  <c r="Q3121" i="1"/>
  <c r="P3121" i="1"/>
  <c r="R3120" i="1"/>
  <c r="S3120" i="1" s="1"/>
  <c r="Q3120" i="1"/>
  <c r="P3120" i="1"/>
  <c r="S3119" i="1"/>
  <c r="R3119" i="1"/>
  <c r="Q3119" i="1"/>
  <c r="P3119" i="1"/>
  <c r="S3118" i="1"/>
  <c r="R3118" i="1"/>
  <c r="Q3118" i="1"/>
  <c r="P3118" i="1"/>
  <c r="R3117" i="1"/>
  <c r="S3117" i="1" s="1"/>
  <c r="Q3117" i="1"/>
  <c r="P3117" i="1"/>
  <c r="R3116" i="1"/>
  <c r="S3116" i="1" s="1"/>
  <c r="Q3116" i="1"/>
  <c r="P3116" i="1"/>
  <c r="S3115" i="1"/>
  <c r="R3115" i="1"/>
  <c r="Q3115" i="1"/>
  <c r="P3115" i="1"/>
  <c r="R3114" i="1"/>
  <c r="S3114" i="1" s="1"/>
  <c r="Q3114" i="1"/>
  <c r="P3114" i="1"/>
  <c r="X3113" i="1"/>
  <c r="Y3113" i="1" s="1"/>
  <c r="Z3113" i="1" s="1"/>
  <c r="W3113" i="1"/>
  <c r="V3113" i="1"/>
  <c r="R3113" i="1"/>
  <c r="S3113" i="1" s="1"/>
  <c r="T3113" i="1" s="1"/>
  <c r="Q3113" i="1"/>
  <c r="P3113" i="1"/>
  <c r="R3112" i="1"/>
  <c r="S3112" i="1" s="1"/>
  <c r="Q3112" i="1"/>
  <c r="P3112" i="1"/>
  <c r="R3111" i="1"/>
  <c r="S3111" i="1" s="1"/>
  <c r="Q3111" i="1"/>
  <c r="P3111" i="1"/>
  <c r="R3110" i="1"/>
  <c r="S3110" i="1" s="1"/>
  <c r="U3110" i="1" s="1"/>
  <c r="Q3110" i="1"/>
  <c r="P3110" i="1"/>
  <c r="R3109" i="1"/>
  <c r="S3109" i="1" s="1"/>
  <c r="Q3109" i="1"/>
  <c r="P3109" i="1"/>
  <c r="S3108" i="1"/>
  <c r="R3108" i="1"/>
  <c r="Q3108" i="1"/>
  <c r="P3108" i="1"/>
  <c r="U3107" i="1"/>
  <c r="T3107" i="1"/>
  <c r="R3107" i="1"/>
  <c r="S3107" i="1" s="1"/>
  <c r="Q3107" i="1"/>
  <c r="P3107" i="1"/>
  <c r="W3106" i="1"/>
  <c r="X3106" i="1" s="1"/>
  <c r="Y3106" i="1" s="1"/>
  <c r="Z3106" i="1" s="1"/>
  <c r="V3106" i="1"/>
  <c r="U3106" i="1"/>
  <c r="R3106" i="1"/>
  <c r="S3106" i="1" s="1"/>
  <c r="T3106" i="1" s="1"/>
  <c r="Q3106" i="1"/>
  <c r="P3106" i="1"/>
  <c r="S3105" i="1"/>
  <c r="R3105" i="1"/>
  <c r="Q3105" i="1"/>
  <c r="P3105" i="1"/>
  <c r="X3104" i="1"/>
  <c r="Y3104" i="1" s="1"/>
  <c r="Z3104" i="1" s="1"/>
  <c r="W3104" i="1"/>
  <c r="V3104" i="1"/>
  <c r="U3104" i="1"/>
  <c r="T3104" i="1"/>
  <c r="S3104" i="1"/>
  <c r="R3104" i="1"/>
  <c r="Q3104" i="1"/>
  <c r="P3104" i="1"/>
  <c r="R3103" i="1"/>
  <c r="S3103" i="1" s="1"/>
  <c r="Q3103" i="1"/>
  <c r="P3103" i="1"/>
  <c r="Y3102" i="1"/>
  <c r="Z3102" i="1" s="1"/>
  <c r="X3102" i="1"/>
  <c r="W3102" i="1"/>
  <c r="V3102" i="1"/>
  <c r="S3102" i="1"/>
  <c r="U3102" i="1" s="1"/>
  <c r="R3102" i="1"/>
  <c r="Q3102" i="1"/>
  <c r="P3102" i="1"/>
  <c r="S3101" i="1"/>
  <c r="R3101" i="1"/>
  <c r="Q3101" i="1"/>
  <c r="P3101" i="1"/>
  <c r="R3100" i="1"/>
  <c r="S3100" i="1" s="1"/>
  <c r="Q3100" i="1"/>
  <c r="P3100" i="1"/>
  <c r="R3099" i="1"/>
  <c r="S3099" i="1" s="1"/>
  <c r="Q3099" i="1"/>
  <c r="P3099" i="1"/>
  <c r="S3098" i="1"/>
  <c r="R3098" i="1"/>
  <c r="Q3098" i="1"/>
  <c r="P3098" i="1"/>
  <c r="X3097" i="1"/>
  <c r="Y3097" i="1" s="1"/>
  <c r="Z3097" i="1" s="1"/>
  <c r="W3097" i="1"/>
  <c r="U3097" i="1"/>
  <c r="R3097" i="1"/>
  <c r="S3097" i="1" s="1"/>
  <c r="V3097" i="1" s="1"/>
  <c r="Q3097" i="1"/>
  <c r="P3097" i="1"/>
  <c r="S3096" i="1"/>
  <c r="R3096" i="1"/>
  <c r="Q3096" i="1"/>
  <c r="P3096" i="1"/>
  <c r="S3095" i="1"/>
  <c r="R3095" i="1"/>
  <c r="Q3095" i="1"/>
  <c r="P3095" i="1"/>
  <c r="U3094" i="1"/>
  <c r="R3094" i="1"/>
  <c r="S3094" i="1" s="1"/>
  <c r="Q3094" i="1"/>
  <c r="P3094" i="1"/>
  <c r="W3093" i="1"/>
  <c r="X3093" i="1" s="1"/>
  <c r="Y3093" i="1" s="1"/>
  <c r="Z3093" i="1" s="1"/>
  <c r="R3093" i="1"/>
  <c r="S3093" i="1" s="1"/>
  <c r="T3093" i="1" s="1"/>
  <c r="Q3093" i="1"/>
  <c r="P3093" i="1"/>
  <c r="S3092" i="1"/>
  <c r="R3092" i="1"/>
  <c r="Q3092" i="1"/>
  <c r="P3092" i="1"/>
  <c r="W3091" i="1"/>
  <c r="X3091" i="1" s="1"/>
  <c r="Y3091" i="1" s="1"/>
  <c r="Z3091" i="1" s="1"/>
  <c r="R3091" i="1"/>
  <c r="S3091" i="1" s="1"/>
  <c r="Q3091" i="1"/>
  <c r="P3091" i="1"/>
  <c r="W3090" i="1"/>
  <c r="X3090" i="1" s="1"/>
  <c r="Y3090" i="1" s="1"/>
  <c r="Z3090" i="1" s="1"/>
  <c r="V3090" i="1"/>
  <c r="U3090" i="1"/>
  <c r="R3090" i="1"/>
  <c r="S3090" i="1" s="1"/>
  <c r="T3090" i="1" s="1"/>
  <c r="Q3090" i="1"/>
  <c r="P3090" i="1"/>
  <c r="S3089" i="1"/>
  <c r="R3089" i="1"/>
  <c r="Q3089" i="1"/>
  <c r="P3089" i="1"/>
  <c r="R3088" i="1"/>
  <c r="S3088" i="1" s="1"/>
  <c r="Q3088" i="1"/>
  <c r="P3088" i="1"/>
  <c r="T3087" i="1"/>
  <c r="R3087" i="1"/>
  <c r="S3087" i="1" s="1"/>
  <c r="Q3087" i="1"/>
  <c r="P3087" i="1"/>
  <c r="Z3086" i="1"/>
  <c r="W3086" i="1"/>
  <c r="X3086" i="1" s="1"/>
  <c r="Y3086" i="1" s="1"/>
  <c r="V3086" i="1"/>
  <c r="U3086" i="1"/>
  <c r="T3086" i="1"/>
  <c r="R3086" i="1"/>
  <c r="S3086" i="1" s="1"/>
  <c r="Q3086" i="1"/>
  <c r="P3086" i="1"/>
  <c r="W3085" i="1"/>
  <c r="X3085" i="1" s="1"/>
  <c r="Y3085" i="1" s="1"/>
  <c r="Z3085" i="1" s="1"/>
  <c r="V3085" i="1"/>
  <c r="R3085" i="1"/>
  <c r="S3085" i="1" s="1"/>
  <c r="Q3085" i="1"/>
  <c r="P3085" i="1"/>
  <c r="U3084" i="1"/>
  <c r="T3084" i="1"/>
  <c r="R3084" i="1"/>
  <c r="S3084" i="1" s="1"/>
  <c r="W3084" i="1" s="1"/>
  <c r="X3084" i="1" s="1"/>
  <c r="Y3084" i="1" s="1"/>
  <c r="Z3084" i="1" s="1"/>
  <c r="Q3084" i="1"/>
  <c r="P3084" i="1"/>
  <c r="R3083" i="1"/>
  <c r="S3083" i="1" s="1"/>
  <c r="Q3083" i="1"/>
  <c r="P3083" i="1"/>
  <c r="W3082" i="1"/>
  <c r="X3082" i="1" s="1"/>
  <c r="Y3082" i="1" s="1"/>
  <c r="Z3082" i="1" s="1"/>
  <c r="V3082" i="1"/>
  <c r="S3082" i="1"/>
  <c r="U3082" i="1" s="1"/>
  <c r="R3082" i="1"/>
  <c r="Q3082" i="1"/>
  <c r="P3082" i="1"/>
  <c r="W3081" i="1"/>
  <c r="X3081" i="1" s="1"/>
  <c r="Y3081" i="1" s="1"/>
  <c r="Z3081" i="1" s="1"/>
  <c r="V3081" i="1"/>
  <c r="T3081" i="1"/>
  <c r="S3081" i="1"/>
  <c r="U3081" i="1" s="1"/>
  <c r="R3081" i="1"/>
  <c r="Q3081" i="1"/>
  <c r="P3081" i="1"/>
  <c r="R3080" i="1"/>
  <c r="S3080" i="1" s="1"/>
  <c r="Q3080" i="1"/>
  <c r="P3080" i="1"/>
  <c r="S3079" i="1"/>
  <c r="R3079" i="1"/>
  <c r="Q3079" i="1"/>
  <c r="P3079" i="1"/>
  <c r="S3078" i="1"/>
  <c r="R3078" i="1"/>
  <c r="Q3078" i="1"/>
  <c r="P3078" i="1"/>
  <c r="W3077" i="1"/>
  <c r="X3077" i="1" s="1"/>
  <c r="Y3077" i="1" s="1"/>
  <c r="Z3077" i="1" s="1"/>
  <c r="V3077" i="1"/>
  <c r="U3077" i="1"/>
  <c r="R3077" i="1"/>
  <c r="S3077" i="1" s="1"/>
  <c r="T3077" i="1" s="1"/>
  <c r="Q3077" i="1"/>
  <c r="P3077" i="1"/>
  <c r="U3076" i="1"/>
  <c r="S3076" i="1"/>
  <c r="R3076" i="1"/>
  <c r="Q3076" i="1"/>
  <c r="P3076" i="1"/>
  <c r="S3075" i="1"/>
  <c r="R3075" i="1"/>
  <c r="Q3075" i="1"/>
  <c r="P3075" i="1"/>
  <c r="R3074" i="1"/>
  <c r="S3074" i="1" s="1"/>
  <c r="Q3074" i="1"/>
  <c r="P3074" i="1"/>
  <c r="U3073" i="1"/>
  <c r="R3073" i="1"/>
  <c r="S3073" i="1" s="1"/>
  <c r="Q3073" i="1"/>
  <c r="P3073" i="1"/>
  <c r="R3072" i="1"/>
  <c r="S3072" i="1" s="1"/>
  <c r="Q3072" i="1"/>
  <c r="P3072" i="1"/>
  <c r="X3071" i="1"/>
  <c r="Y3071" i="1" s="1"/>
  <c r="Z3071" i="1" s="1"/>
  <c r="W3071" i="1"/>
  <c r="R3071" i="1"/>
  <c r="S3071" i="1" s="1"/>
  <c r="Q3071" i="1"/>
  <c r="P3071" i="1"/>
  <c r="R3070" i="1"/>
  <c r="S3070" i="1" s="1"/>
  <c r="Q3070" i="1"/>
  <c r="P3070" i="1"/>
  <c r="R3069" i="1"/>
  <c r="S3069" i="1" s="1"/>
  <c r="Q3069" i="1"/>
  <c r="P3069" i="1"/>
  <c r="U3068" i="1"/>
  <c r="R3068" i="1"/>
  <c r="S3068" i="1" s="1"/>
  <c r="W3068" i="1" s="1"/>
  <c r="X3068" i="1" s="1"/>
  <c r="Y3068" i="1" s="1"/>
  <c r="Z3068" i="1" s="1"/>
  <c r="Q3068" i="1"/>
  <c r="P3068" i="1"/>
  <c r="T3067" i="1"/>
  <c r="R3067" i="1"/>
  <c r="S3067" i="1" s="1"/>
  <c r="Q3067" i="1"/>
  <c r="P3067" i="1"/>
  <c r="S3066" i="1"/>
  <c r="R3066" i="1"/>
  <c r="Q3066" i="1"/>
  <c r="P3066" i="1"/>
  <c r="W3065" i="1"/>
  <c r="X3065" i="1" s="1"/>
  <c r="Y3065" i="1" s="1"/>
  <c r="Z3065" i="1" s="1"/>
  <c r="V3065" i="1"/>
  <c r="S3065" i="1"/>
  <c r="U3065" i="1" s="1"/>
  <c r="R3065" i="1"/>
  <c r="Q3065" i="1"/>
  <c r="P3065" i="1"/>
  <c r="U3064" i="1"/>
  <c r="T3064" i="1"/>
  <c r="R3064" i="1"/>
  <c r="S3064" i="1" s="1"/>
  <c r="W3064" i="1" s="1"/>
  <c r="X3064" i="1" s="1"/>
  <c r="Y3064" i="1" s="1"/>
  <c r="Z3064" i="1" s="1"/>
  <c r="Q3064" i="1"/>
  <c r="P3064" i="1"/>
  <c r="R3063" i="1"/>
  <c r="S3063" i="1" s="1"/>
  <c r="Q3063" i="1"/>
  <c r="P3063" i="1"/>
  <c r="X3062" i="1"/>
  <c r="Y3062" i="1" s="1"/>
  <c r="Z3062" i="1" s="1"/>
  <c r="W3062" i="1"/>
  <c r="V3062" i="1"/>
  <c r="S3062" i="1"/>
  <c r="U3062" i="1" s="1"/>
  <c r="R3062" i="1"/>
  <c r="Q3062" i="1"/>
  <c r="P3062" i="1"/>
  <c r="U3061" i="1"/>
  <c r="S3061" i="1"/>
  <c r="R3061" i="1"/>
  <c r="Q3061" i="1"/>
  <c r="P3061" i="1"/>
  <c r="R3060" i="1"/>
  <c r="S3060" i="1" s="1"/>
  <c r="Q3060" i="1"/>
  <c r="P3060" i="1"/>
  <c r="X3059" i="1"/>
  <c r="Y3059" i="1" s="1"/>
  <c r="Z3059" i="1" s="1"/>
  <c r="V3059" i="1"/>
  <c r="U3059" i="1"/>
  <c r="S3059" i="1"/>
  <c r="W3059" i="1" s="1"/>
  <c r="R3059" i="1"/>
  <c r="Q3059" i="1"/>
  <c r="P3059" i="1"/>
  <c r="S3058" i="1"/>
  <c r="R3058" i="1"/>
  <c r="Q3058" i="1"/>
  <c r="P3058" i="1"/>
  <c r="S3057" i="1"/>
  <c r="R3057" i="1"/>
  <c r="Q3057" i="1"/>
  <c r="P3057" i="1"/>
  <c r="V3056" i="1"/>
  <c r="U3056" i="1"/>
  <c r="R3056" i="1"/>
  <c r="S3056" i="1" s="1"/>
  <c r="Q3056" i="1"/>
  <c r="P3056" i="1"/>
  <c r="S3055" i="1"/>
  <c r="R3055" i="1"/>
  <c r="Q3055" i="1"/>
  <c r="P3055" i="1"/>
  <c r="U3054" i="1"/>
  <c r="T3054" i="1"/>
  <c r="S3054" i="1"/>
  <c r="R3054" i="1"/>
  <c r="Q3054" i="1"/>
  <c r="P3054" i="1"/>
  <c r="W3053" i="1"/>
  <c r="X3053" i="1" s="1"/>
  <c r="Y3053" i="1" s="1"/>
  <c r="Z3053" i="1" s="1"/>
  <c r="V3053" i="1"/>
  <c r="R3053" i="1"/>
  <c r="S3053" i="1" s="1"/>
  <c r="T3053" i="1" s="1"/>
  <c r="Q3053" i="1"/>
  <c r="P3053" i="1"/>
  <c r="W3052" i="1"/>
  <c r="X3052" i="1" s="1"/>
  <c r="Y3052" i="1" s="1"/>
  <c r="Z3052" i="1" s="1"/>
  <c r="T3052" i="1"/>
  <c r="S3052" i="1"/>
  <c r="V3052" i="1" s="1"/>
  <c r="R3052" i="1"/>
  <c r="Q3052" i="1"/>
  <c r="P3052" i="1"/>
  <c r="R3051" i="1"/>
  <c r="S3051" i="1" s="1"/>
  <c r="Q3051" i="1"/>
  <c r="P3051" i="1"/>
  <c r="T3050" i="1"/>
  <c r="S3050" i="1"/>
  <c r="R3050" i="1"/>
  <c r="Q3050" i="1"/>
  <c r="P3050" i="1"/>
  <c r="R3049" i="1"/>
  <c r="S3049" i="1" s="1"/>
  <c r="Q3049" i="1"/>
  <c r="P3049" i="1"/>
  <c r="S3048" i="1"/>
  <c r="R3048" i="1"/>
  <c r="Q3048" i="1"/>
  <c r="P3048" i="1"/>
  <c r="R3047" i="1"/>
  <c r="S3047" i="1" s="1"/>
  <c r="Q3047" i="1"/>
  <c r="P3047" i="1"/>
  <c r="W3046" i="1"/>
  <c r="X3046" i="1" s="1"/>
  <c r="Y3046" i="1" s="1"/>
  <c r="Z3046" i="1" s="1"/>
  <c r="T3046" i="1"/>
  <c r="R3046" i="1"/>
  <c r="S3046" i="1" s="1"/>
  <c r="V3046" i="1" s="1"/>
  <c r="Q3046" i="1"/>
  <c r="P3046" i="1"/>
  <c r="R3045" i="1"/>
  <c r="S3045" i="1" s="1"/>
  <c r="Q3045" i="1"/>
  <c r="P3045" i="1"/>
  <c r="U3044" i="1"/>
  <c r="R3044" i="1"/>
  <c r="S3044" i="1" s="1"/>
  <c r="W3044" i="1" s="1"/>
  <c r="X3044" i="1" s="1"/>
  <c r="Y3044" i="1" s="1"/>
  <c r="Z3044" i="1" s="1"/>
  <c r="Q3044" i="1"/>
  <c r="P3044" i="1"/>
  <c r="V3043" i="1"/>
  <c r="R3043" i="1"/>
  <c r="S3043" i="1" s="1"/>
  <c r="Q3043" i="1"/>
  <c r="P3043" i="1"/>
  <c r="X3042" i="1"/>
  <c r="Y3042" i="1" s="1"/>
  <c r="Z3042" i="1" s="1"/>
  <c r="W3042" i="1"/>
  <c r="V3042" i="1"/>
  <c r="S3042" i="1"/>
  <c r="U3042" i="1" s="1"/>
  <c r="R3042" i="1"/>
  <c r="Q3042" i="1"/>
  <c r="P3042" i="1"/>
  <c r="U3041" i="1"/>
  <c r="R3041" i="1"/>
  <c r="S3041" i="1" s="1"/>
  <c r="Q3041" i="1"/>
  <c r="P3041" i="1"/>
  <c r="R3040" i="1"/>
  <c r="S3040" i="1" s="1"/>
  <c r="Q3040" i="1"/>
  <c r="P3040" i="1"/>
  <c r="R3039" i="1"/>
  <c r="S3039" i="1" s="1"/>
  <c r="Q3039" i="1"/>
  <c r="P3039" i="1"/>
  <c r="S3038" i="1"/>
  <c r="R3038" i="1"/>
  <c r="Q3038" i="1"/>
  <c r="P3038" i="1"/>
  <c r="S3037" i="1"/>
  <c r="R3037" i="1"/>
  <c r="Q3037" i="1"/>
  <c r="P3037" i="1"/>
  <c r="V3036" i="1"/>
  <c r="U3036" i="1"/>
  <c r="R3036" i="1"/>
  <c r="S3036" i="1" s="1"/>
  <c r="Q3036" i="1"/>
  <c r="P3036" i="1"/>
  <c r="W3035" i="1"/>
  <c r="X3035" i="1" s="1"/>
  <c r="Y3035" i="1" s="1"/>
  <c r="Z3035" i="1" s="1"/>
  <c r="V3035" i="1"/>
  <c r="U3035" i="1"/>
  <c r="T3035" i="1"/>
  <c r="S3035" i="1"/>
  <c r="R3035" i="1"/>
  <c r="Q3035" i="1"/>
  <c r="P3035" i="1"/>
  <c r="T3034" i="1"/>
  <c r="S3034" i="1"/>
  <c r="R3034" i="1"/>
  <c r="Q3034" i="1"/>
  <c r="P3034" i="1"/>
  <c r="V3033" i="1"/>
  <c r="R3033" i="1"/>
  <c r="S3033" i="1" s="1"/>
  <c r="T3033" i="1" s="1"/>
  <c r="Q3033" i="1"/>
  <c r="P3033" i="1"/>
  <c r="S3032" i="1"/>
  <c r="R3032" i="1"/>
  <c r="Q3032" i="1"/>
  <c r="P3032" i="1"/>
  <c r="R3031" i="1"/>
  <c r="S3031" i="1" s="1"/>
  <c r="Q3031" i="1"/>
  <c r="P3031" i="1"/>
  <c r="W3030" i="1"/>
  <c r="X3030" i="1" s="1"/>
  <c r="Y3030" i="1" s="1"/>
  <c r="Z3030" i="1" s="1"/>
  <c r="V3030" i="1"/>
  <c r="R3030" i="1"/>
  <c r="S3030" i="1" s="1"/>
  <c r="U3030" i="1" s="1"/>
  <c r="Q3030" i="1"/>
  <c r="P3030" i="1"/>
  <c r="R3029" i="1"/>
  <c r="S3029" i="1" s="1"/>
  <c r="Q3029" i="1"/>
  <c r="P3029" i="1"/>
  <c r="R3028" i="1"/>
  <c r="S3028" i="1" s="1"/>
  <c r="Q3028" i="1"/>
  <c r="P3028" i="1"/>
  <c r="R3027" i="1"/>
  <c r="S3027" i="1" s="1"/>
  <c r="Q3027" i="1"/>
  <c r="P3027" i="1"/>
  <c r="W3026" i="1"/>
  <c r="X3026" i="1" s="1"/>
  <c r="Y3026" i="1" s="1"/>
  <c r="Z3026" i="1" s="1"/>
  <c r="V3026" i="1"/>
  <c r="T3026" i="1"/>
  <c r="R3026" i="1"/>
  <c r="S3026" i="1" s="1"/>
  <c r="U3026" i="1" s="1"/>
  <c r="Q3026" i="1"/>
  <c r="P3026" i="1"/>
  <c r="W3025" i="1"/>
  <c r="X3025" i="1" s="1"/>
  <c r="Y3025" i="1" s="1"/>
  <c r="Z3025" i="1" s="1"/>
  <c r="V3025" i="1"/>
  <c r="T3025" i="1"/>
  <c r="R3025" i="1"/>
  <c r="S3025" i="1" s="1"/>
  <c r="U3025" i="1" s="1"/>
  <c r="Q3025" i="1"/>
  <c r="P3025" i="1"/>
  <c r="Z3024" i="1"/>
  <c r="W3024" i="1"/>
  <c r="X3024" i="1" s="1"/>
  <c r="Y3024" i="1" s="1"/>
  <c r="V3024" i="1"/>
  <c r="U3024" i="1"/>
  <c r="T3024" i="1"/>
  <c r="S3024" i="1"/>
  <c r="R3024" i="1"/>
  <c r="Q3024" i="1"/>
  <c r="P3024" i="1"/>
  <c r="V3023" i="1"/>
  <c r="R3023" i="1"/>
  <c r="S3023" i="1" s="1"/>
  <c r="Q3023" i="1"/>
  <c r="P3023" i="1"/>
  <c r="W3022" i="1"/>
  <c r="X3022" i="1" s="1"/>
  <c r="Y3022" i="1" s="1"/>
  <c r="Z3022" i="1" s="1"/>
  <c r="V3022" i="1"/>
  <c r="S3022" i="1"/>
  <c r="U3022" i="1" s="1"/>
  <c r="R3022" i="1"/>
  <c r="Q3022" i="1"/>
  <c r="P3022" i="1"/>
  <c r="X3021" i="1"/>
  <c r="Y3021" i="1" s="1"/>
  <c r="Z3021" i="1" s="1"/>
  <c r="V3021" i="1"/>
  <c r="U3021" i="1"/>
  <c r="S3021" i="1"/>
  <c r="W3021" i="1" s="1"/>
  <c r="R3021" i="1"/>
  <c r="Q3021" i="1"/>
  <c r="P3021" i="1"/>
  <c r="R3020" i="1"/>
  <c r="S3020" i="1" s="1"/>
  <c r="Q3020" i="1"/>
  <c r="P3020" i="1"/>
  <c r="U3019" i="1"/>
  <c r="T3019" i="1"/>
  <c r="R3019" i="1"/>
  <c r="S3019" i="1" s="1"/>
  <c r="Q3019" i="1"/>
  <c r="P3019" i="1"/>
  <c r="S3018" i="1"/>
  <c r="R3018" i="1"/>
  <c r="Q3018" i="1"/>
  <c r="P3018" i="1"/>
  <c r="V3017" i="1"/>
  <c r="R3017" i="1"/>
  <c r="S3017" i="1" s="1"/>
  <c r="Q3017" i="1"/>
  <c r="P3017" i="1"/>
  <c r="S3016" i="1"/>
  <c r="R3016" i="1"/>
  <c r="Q3016" i="1"/>
  <c r="P3016" i="1"/>
  <c r="Z3015" i="1"/>
  <c r="Y3015" i="1"/>
  <c r="W3015" i="1"/>
  <c r="X3015" i="1" s="1"/>
  <c r="V3015" i="1"/>
  <c r="S3015" i="1"/>
  <c r="R3015" i="1"/>
  <c r="Q3015" i="1"/>
  <c r="P3015" i="1"/>
  <c r="T3014" i="1"/>
  <c r="S3014" i="1"/>
  <c r="R3014" i="1"/>
  <c r="Q3014" i="1"/>
  <c r="P3014" i="1"/>
  <c r="V3013" i="1"/>
  <c r="U3013" i="1"/>
  <c r="R3013" i="1"/>
  <c r="S3013" i="1" s="1"/>
  <c r="Q3013" i="1"/>
  <c r="P3013" i="1"/>
  <c r="Z3012" i="1"/>
  <c r="Y3012" i="1"/>
  <c r="W3012" i="1"/>
  <c r="X3012" i="1" s="1"/>
  <c r="V3012" i="1"/>
  <c r="U3012" i="1"/>
  <c r="S3012" i="1"/>
  <c r="T3012" i="1" s="1"/>
  <c r="R3012" i="1"/>
  <c r="Q3012" i="1"/>
  <c r="P3012" i="1"/>
  <c r="W3011" i="1"/>
  <c r="X3011" i="1" s="1"/>
  <c r="Y3011" i="1" s="1"/>
  <c r="Z3011" i="1" s="1"/>
  <c r="R3011" i="1"/>
  <c r="S3011" i="1" s="1"/>
  <c r="Q3011" i="1"/>
  <c r="P3011" i="1"/>
  <c r="R3010" i="1"/>
  <c r="S3010" i="1" s="1"/>
  <c r="Q3010" i="1"/>
  <c r="P3010" i="1"/>
  <c r="R3009" i="1"/>
  <c r="S3009" i="1" s="1"/>
  <c r="Q3009" i="1"/>
  <c r="P3009" i="1"/>
  <c r="W3008" i="1"/>
  <c r="X3008" i="1" s="1"/>
  <c r="Y3008" i="1" s="1"/>
  <c r="Z3008" i="1" s="1"/>
  <c r="S3008" i="1"/>
  <c r="R3008" i="1"/>
  <c r="Q3008" i="1"/>
  <c r="P3008" i="1"/>
  <c r="R3007" i="1"/>
  <c r="S3007" i="1" s="1"/>
  <c r="Q3007" i="1"/>
  <c r="P3007" i="1"/>
  <c r="R3006" i="1"/>
  <c r="S3006" i="1" s="1"/>
  <c r="Q3006" i="1"/>
  <c r="P3006" i="1"/>
  <c r="W3005" i="1"/>
  <c r="X3005" i="1" s="1"/>
  <c r="Y3005" i="1" s="1"/>
  <c r="Z3005" i="1" s="1"/>
  <c r="S3005" i="1"/>
  <c r="R3005" i="1"/>
  <c r="Q3005" i="1"/>
  <c r="P3005" i="1"/>
  <c r="W3004" i="1"/>
  <c r="X3004" i="1" s="1"/>
  <c r="Y3004" i="1" s="1"/>
  <c r="Z3004" i="1" s="1"/>
  <c r="V3004" i="1"/>
  <c r="U3004" i="1"/>
  <c r="T3004" i="1"/>
  <c r="S3004" i="1"/>
  <c r="R3004" i="1"/>
  <c r="Q3004" i="1"/>
  <c r="P3004" i="1"/>
  <c r="R3003" i="1"/>
  <c r="S3003" i="1" s="1"/>
  <c r="Q3003" i="1"/>
  <c r="P3003" i="1"/>
  <c r="W3002" i="1"/>
  <c r="X3002" i="1" s="1"/>
  <c r="Y3002" i="1" s="1"/>
  <c r="Z3002" i="1" s="1"/>
  <c r="V3002" i="1"/>
  <c r="S3002" i="1"/>
  <c r="U3002" i="1" s="1"/>
  <c r="R3002" i="1"/>
  <c r="Q3002" i="1"/>
  <c r="P3002" i="1"/>
  <c r="S3001" i="1"/>
  <c r="R3001" i="1"/>
  <c r="Q3001" i="1"/>
  <c r="P3001" i="1"/>
  <c r="R3000" i="1"/>
  <c r="S3000" i="1" s="1"/>
  <c r="Q3000" i="1"/>
  <c r="P3000" i="1"/>
  <c r="W2999" i="1"/>
  <c r="X2999" i="1" s="1"/>
  <c r="Y2999" i="1" s="1"/>
  <c r="Z2999" i="1" s="1"/>
  <c r="S2999" i="1"/>
  <c r="R2999" i="1"/>
  <c r="Q2999" i="1"/>
  <c r="P2999" i="1"/>
  <c r="S2998" i="1"/>
  <c r="R2998" i="1"/>
  <c r="Q2998" i="1"/>
  <c r="P2998" i="1"/>
  <c r="R2997" i="1"/>
  <c r="S2997" i="1" s="1"/>
  <c r="Q2997" i="1"/>
  <c r="P2997" i="1"/>
  <c r="R2996" i="1"/>
  <c r="S2996" i="1" s="1"/>
  <c r="Q2996" i="1"/>
  <c r="P2996" i="1"/>
  <c r="S2995" i="1"/>
  <c r="R2995" i="1"/>
  <c r="Q2995" i="1"/>
  <c r="P2995" i="1"/>
  <c r="T2994" i="1"/>
  <c r="R2994" i="1"/>
  <c r="S2994" i="1" s="1"/>
  <c r="Q2994" i="1"/>
  <c r="P2994" i="1"/>
  <c r="X2993" i="1"/>
  <c r="Y2993" i="1" s="1"/>
  <c r="Z2993" i="1" s="1"/>
  <c r="W2993" i="1"/>
  <c r="U2993" i="1"/>
  <c r="R2993" i="1"/>
  <c r="S2993" i="1" s="1"/>
  <c r="T2993" i="1" s="1"/>
  <c r="Q2993" i="1"/>
  <c r="P2993" i="1"/>
  <c r="U2992" i="1"/>
  <c r="S2992" i="1"/>
  <c r="W2992" i="1" s="1"/>
  <c r="X2992" i="1" s="1"/>
  <c r="Y2992" i="1" s="1"/>
  <c r="Z2992" i="1" s="1"/>
  <c r="R2992" i="1"/>
  <c r="Q2992" i="1"/>
  <c r="P2992" i="1"/>
  <c r="R2991" i="1"/>
  <c r="S2991" i="1" s="1"/>
  <c r="Q2991" i="1"/>
  <c r="P2991" i="1"/>
  <c r="R2990" i="1"/>
  <c r="S2990" i="1" s="1"/>
  <c r="Q2990" i="1"/>
  <c r="P2990" i="1"/>
  <c r="R2989" i="1"/>
  <c r="S2989" i="1" s="1"/>
  <c r="Q2989" i="1"/>
  <c r="P2989" i="1"/>
  <c r="R2988" i="1"/>
  <c r="S2988" i="1" s="1"/>
  <c r="Q2988" i="1"/>
  <c r="P2988" i="1"/>
  <c r="U2987" i="1"/>
  <c r="T2987" i="1"/>
  <c r="R2987" i="1"/>
  <c r="S2987" i="1" s="1"/>
  <c r="Q2987" i="1"/>
  <c r="P2987" i="1"/>
  <c r="W2986" i="1"/>
  <c r="X2986" i="1" s="1"/>
  <c r="Y2986" i="1" s="1"/>
  <c r="Z2986" i="1" s="1"/>
  <c r="V2986" i="1"/>
  <c r="U2986" i="1"/>
  <c r="S2986" i="1"/>
  <c r="T2986" i="1" s="1"/>
  <c r="R2986" i="1"/>
  <c r="Q2986" i="1"/>
  <c r="P2986" i="1"/>
  <c r="S2985" i="1"/>
  <c r="R2985" i="1"/>
  <c r="Q2985" i="1"/>
  <c r="P2985" i="1"/>
  <c r="Y2984" i="1"/>
  <c r="Z2984" i="1" s="1"/>
  <c r="W2984" i="1"/>
  <c r="X2984" i="1" s="1"/>
  <c r="V2984" i="1"/>
  <c r="U2984" i="1"/>
  <c r="T2984" i="1"/>
  <c r="S2984" i="1"/>
  <c r="R2984" i="1"/>
  <c r="Q2984" i="1"/>
  <c r="P2984" i="1"/>
  <c r="S2983" i="1"/>
  <c r="R2983" i="1"/>
  <c r="Q2983" i="1"/>
  <c r="P2983" i="1"/>
  <c r="Y2982" i="1"/>
  <c r="Z2982" i="1" s="1"/>
  <c r="W2982" i="1"/>
  <c r="X2982" i="1" s="1"/>
  <c r="V2982" i="1"/>
  <c r="S2982" i="1"/>
  <c r="U2982" i="1" s="1"/>
  <c r="R2982" i="1"/>
  <c r="Q2982" i="1"/>
  <c r="P2982" i="1"/>
  <c r="W2981" i="1"/>
  <c r="X2981" i="1" s="1"/>
  <c r="Y2981" i="1" s="1"/>
  <c r="Z2981" i="1" s="1"/>
  <c r="V2981" i="1"/>
  <c r="S2981" i="1"/>
  <c r="U2981" i="1" s="1"/>
  <c r="R2981" i="1"/>
  <c r="Q2981" i="1"/>
  <c r="P2981" i="1"/>
  <c r="R2980" i="1"/>
  <c r="S2980" i="1" s="1"/>
  <c r="Q2980" i="1"/>
  <c r="P2980" i="1"/>
  <c r="T2979" i="1"/>
  <c r="S2979" i="1"/>
  <c r="R2979" i="1"/>
  <c r="Q2979" i="1"/>
  <c r="P2979" i="1"/>
  <c r="S2978" i="1"/>
  <c r="R2978" i="1"/>
  <c r="Q2978" i="1"/>
  <c r="P2978" i="1"/>
  <c r="W2977" i="1"/>
  <c r="X2977" i="1" s="1"/>
  <c r="Y2977" i="1" s="1"/>
  <c r="Z2977" i="1" s="1"/>
  <c r="V2977" i="1"/>
  <c r="U2977" i="1"/>
  <c r="S2977" i="1"/>
  <c r="T2977" i="1" s="1"/>
  <c r="R2977" i="1"/>
  <c r="Q2977" i="1"/>
  <c r="P2977" i="1"/>
  <c r="U2976" i="1"/>
  <c r="S2976" i="1"/>
  <c r="R2976" i="1"/>
  <c r="Q2976" i="1"/>
  <c r="P2976" i="1"/>
  <c r="Z2975" i="1"/>
  <c r="Y2975" i="1"/>
  <c r="U2975" i="1"/>
  <c r="T2975" i="1"/>
  <c r="S2975" i="1"/>
  <c r="W2975" i="1" s="1"/>
  <c r="X2975" i="1" s="1"/>
  <c r="R2975" i="1"/>
  <c r="Q2975" i="1"/>
  <c r="P2975" i="1"/>
  <c r="W2974" i="1"/>
  <c r="X2974" i="1" s="1"/>
  <c r="Y2974" i="1" s="1"/>
  <c r="Z2974" i="1" s="1"/>
  <c r="U2974" i="1"/>
  <c r="R2974" i="1"/>
  <c r="S2974" i="1" s="1"/>
  <c r="Q2974" i="1"/>
  <c r="P2974" i="1"/>
  <c r="X2973" i="1"/>
  <c r="Y2973" i="1" s="1"/>
  <c r="Z2973" i="1" s="1"/>
  <c r="W2973" i="1"/>
  <c r="V2973" i="1"/>
  <c r="R2973" i="1"/>
  <c r="S2973" i="1" s="1"/>
  <c r="T2973" i="1" s="1"/>
  <c r="Q2973" i="1"/>
  <c r="P2973" i="1"/>
  <c r="T2972" i="1"/>
  <c r="R2972" i="1"/>
  <c r="S2972" i="1" s="1"/>
  <c r="Q2972" i="1"/>
  <c r="P2972" i="1"/>
  <c r="R2971" i="1"/>
  <c r="S2971" i="1" s="1"/>
  <c r="Q2971" i="1"/>
  <c r="P2971" i="1"/>
  <c r="Y2970" i="1"/>
  <c r="Z2970" i="1" s="1"/>
  <c r="X2970" i="1"/>
  <c r="W2970" i="1"/>
  <c r="R2970" i="1"/>
  <c r="S2970" i="1" s="1"/>
  <c r="Q2970" i="1"/>
  <c r="P2970" i="1"/>
  <c r="S2969" i="1"/>
  <c r="R2969" i="1"/>
  <c r="Q2969" i="1"/>
  <c r="P2969" i="1"/>
  <c r="S2968" i="1"/>
  <c r="R2968" i="1"/>
  <c r="Q2968" i="1"/>
  <c r="P2968" i="1"/>
  <c r="U2967" i="1"/>
  <c r="T2967" i="1"/>
  <c r="R2967" i="1"/>
  <c r="S2967" i="1" s="1"/>
  <c r="Q2967" i="1"/>
  <c r="P2967" i="1"/>
  <c r="S2966" i="1"/>
  <c r="R2966" i="1"/>
  <c r="Q2966" i="1"/>
  <c r="P2966" i="1"/>
  <c r="W2965" i="1"/>
  <c r="X2965" i="1" s="1"/>
  <c r="Y2965" i="1" s="1"/>
  <c r="Z2965" i="1" s="1"/>
  <c r="R2965" i="1"/>
  <c r="S2965" i="1" s="1"/>
  <c r="Q2965" i="1"/>
  <c r="P2965" i="1"/>
  <c r="X2964" i="1"/>
  <c r="Y2964" i="1" s="1"/>
  <c r="Z2964" i="1" s="1"/>
  <c r="W2964" i="1"/>
  <c r="V2964" i="1"/>
  <c r="U2964" i="1"/>
  <c r="T2964" i="1"/>
  <c r="S2964" i="1"/>
  <c r="R2964" i="1"/>
  <c r="Q2964" i="1"/>
  <c r="P2964" i="1"/>
  <c r="R2963" i="1"/>
  <c r="S2963" i="1" s="1"/>
  <c r="Q2963" i="1"/>
  <c r="P2963" i="1"/>
  <c r="Y2962" i="1"/>
  <c r="Z2962" i="1" s="1"/>
  <c r="W2962" i="1"/>
  <c r="X2962" i="1" s="1"/>
  <c r="V2962" i="1"/>
  <c r="S2962" i="1"/>
  <c r="U2962" i="1" s="1"/>
  <c r="R2962" i="1"/>
  <c r="Q2962" i="1"/>
  <c r="P2962" i="1"/>
  <c r="W2961" i="1"/>
  <c r="X2961" i="1" s="1"/>
  <c r="Y2961" i="1" s="1"/>
  <c r="Z2961" i="1" s="1"/>
  <c r="V2961" i="1"/>
  <c r="U2961" i="1"/>
  <c r="R2961" i="1"/>
  <c r="S2961" i="1" s="1"/>
  <c r="T2961" i="1" s="1"/>
  <c r="Q2961" i="1"/>
  <c r="P2961" i="1"/>
  <c r="R2960" i="1"/>
  <c r="S2960" i="1" s="1"/>
  <c r="Q2960" i="1"/>
  <c r="P2960" i="1"/>
  <c r="S2959" i="1"/>
  <c r="R2959" i="1"/>
  <c r="Q2959" i="1"/>
  <c r="P2959" i="1"/>
  <c r="T2958" i="1"/>
  <c r="S2958" i="1"/>
  <c r="R2958" i="1"/>
  <c r="Q2958" i="1"/>
  <c r="P2958" i="1"/>
  <c r="S2957" i="1"/>
  <c r="R2957" i="1"/>
  <c r="Q2957" i="1"/>
  <c r="P2957" i="1"/>
  <c r="V2956" i="1"/>
  <c r="S2956" i="1"/>
  <c r="R2956" i="1"/>
  <c r="Q2956" i="1"/>
  <c r="P2956" i="1"/>
  <c r="S2955" i="1"/>
  <c r="R2955" i="1"/>
  <c r="Q2955" i="1"/>
  <c r="P2955" i="1"/>
  <c r="U2954" i="1"/>
  <c r="R2954" i="1"/>
  <c r="S2954" i="1" s="1"/>
  <c r="Q2954" i="1"/>
  <c r="P2954" i="1"/>
  <c r="U2953" i="1"/>
  <c r="R2953" i="1"/>
  <c r="S2953" i="1" s="1"/>
  <c r="Q2953" i="1"/>
  <c r="P2953" i="1"/>
  <c r="S2952" i="1"/>
  <c r="R2952" i="1"/>
  <c r="Q2952" i="1"/>
  <c r="P2952" i="1"/>
  <c r="R2951" i="1"/>
  <c r="S2951" i="1" s="1"/>
  <c r="Q2951" i="1"/>
  <c r="P2951" i="1"/>
  <c r="S2950" i="1"/>
  <c r="R2950" i="1"/>
  <c r="Q2950" i="1"/>
  <c r="P2950" i="1"/>
  <c r="R2949" i="1"/>
  <c r="S2949" i="1" s="1"/>
  <c r="Q2949" i="1"/>
  <c r="P2949" i="1"/>
  <c r="S2948" i="1"/>
  <c r="R2948" i="1"/>
  <c r="Q2948" i="1"/>
  <c r="P2948" i="1"/>
  <c r="U2947" i="1"/>
  <c r="T2947" i="1"/>
  <c r="R2947" i="1"/>
  <c r="S2947" i="1" s="1"/>
  <c r="Q2947" i="1"/>
  <c r="P2947" i="1"/>
  <c r="R2946" i="1"/>
  <c r="S2946" i="1" s="1"/>
  <c r="Q2946" i="1"/>
  <c r="P2946" i="1"/>
  <c r="R2945" i="1"/>
  <c r="S2945" i="1" s="1"/>
  <c r="Q2945" i="1"/>
  <c r="P2945" i="1"/>
  <c r="W2944" i="1"/>
  <c r="X2944" i="1" s="1"/>
  <c r="Y2944" i="1" s="1"/>
  <c r="Z2944" i="1" s="1"/>
  <c r="V2944" i="1"/>
  <c r="R2944" i="1"/>
  <c r="S2944" i="1" s="1"/>
  <c r="U2944" i="1" s="1"/>
  <c r="Q2944" i="1"/>
  <c r="P2944" i="1"/>
  <c r="U2943" i="1"/>
  <c r="T2943" i="1"/>
  <c r="S2943" i="1"/>
  <c r="W2943" i="1" s="1"/>
  <c r="X2943" i="1" s="1"/>
  <c r="Y2943" i="1" s="1"/>
  <c r="Z2943" i="1" s="1"/>
  <c r="R2943" i="1"/>
  <c r="Q2943" i="1"/>
  <c r="P2943" i="1"/>
  <c r="X2942" i="1"/>
  <c r="Y2942" i="1" s="1"/>
  <c r="Z2942" i="1" s="1"/>
  <c r="W2942" i="1"/>
  <c r="V2942" i="1"/>
  <c r="S2942" i="1"/>
  <c r="U2942" i="1" s="1"/>
  <c r="R2942" i="1"/>
  <c r="Q2942" i="1"/>
  <c r="P2942" i="1"/>
  <c r="W2941" i="1"/>
  <c r="X2941" i="1" s="1"/>
  <c r="Y2941" i="1" s="1"/>
  <c r="Z2941" i="1" s="1"/>
  <c r="V2941" i="1"/>
  <c r="S2941" i="1"/>
  <c r="U2941" i="1" s="1"/>
  <c r="R2941" i="1"/>
  <c r="Q2941" i="1"/>
  <c r="P2941" i="1"/>
  <c r="R2940" i="1"/>
  <c r="S2940" i="1" s="1"/>
  <c r="Q2940" i="1"/>
  <c r="P2940" i="1"/>
  <c r="R2939" i="1"/>
  <c r="S2939" i="1" s="1"/>
  <c r="Q2939" i="1"/>
  <c r="P2939" i="1"/>
  <c r="X2938" i="1"/>
  <c r="Y2938" i="1" s="1"/>
  <c r="Z2938" i="1" s="1"/>
  <c r="W2938" i="1"/>
  <c r="S2938" i="1"/>
  <c r="R2938" i="1"/>
  <c r="Q2938" i="1"/>
  <c r="P2938" i="1"/>
  <c r="W2937" i="1"/>
  <c r="X2937" i="1" s="1"/>
  <c r="Y2937" i="1" s="1"/>
  <c r="Z2937" i="1" s="1"/>
  <c r="V2937" i="1"/>
  <c r="R2937" i="1"/>
  <c r="S2937" i="1" s="1"/>
  <c r="U2937" i="1" s="1"/>
  <c r="Q2937" i="1"/>
  <c r="P2937" i="1"/>
  <c r="V2936" i="1"/>
  <c r="R2936" i="1"/>
  <c r="S2936" i="1" s="1"/>
  <c r="Q2936" i="1"/>
  <c r="P2936" i="1"/>
  <c r="V2935" i="1"/>
  <c r="S2935" i="1"/>
  <c r="R2935" i="1"/>
  <c r="Q2935" i="1"/>
  <c r="P2935" i="1"/>
  <c r="T2934" i="1"/>
  <c r="S2934" i="1"/>
  <c r="R2934" i="1"/>
  <c r="Q2934" i="1"/>
  <c r="P2934" i="1"/>
  <c r="R2933" i="1"/>
  <c r="S2933" i="1" s="1"/>
  <c r="Q2933" i="1"/>
  <c r="P2933" i="1"/>
  <c r="R2932" i="1"/>
  <c r="S2932" i="1" s="1"/>
  <c r="Q2932" i="1"/>
  <c r="P2932" i="1"/>
  <c r="R2931" i="1"/>
  <c r="S2931" i="1" s="1"/>
  <c r="Q2931" i="1"/>
  <c r="P2931" i="1"/>
  <c r="R2930" i="1"/>
  <c r="S2930" i="1" s="1"/>
  <c r="Q2930" i="1"/>
  <c r="P2930" i="1"/>
  <c r="Y2929" i="1"/>
  <c r="Z2929" i="1" s="1"/>
  <c r="W2929" i="1"/>
  <c r="X2929" i="1" s="1"/>
  <c r="V2929" i="1"/>
  <c r="U2929" i="1"/>
  <c r="T2929" i="1"/>
  <c r="S2929" i="1"/>
  <c r="R2929" i="1"/>
  <c r="Q2929" i="1"/>
  <c r="P2929" i="1"/>
  <c r="S2928" i="1"/>
  <c r="R2928" i="1"/>
  <c r="Q2928" i="1"/>
  <c r="P2928" i="1"/>
  <c r="X2927" i="1"/>
  <c r="Y2927" i="1" s="1"/>
  <c r="Z2927" i="1" s="1"/>
  <c r="W2927" i="1"/>
  <c r="V2927" i="1"/>
  <c r="U2927" i="1"/>
  <c r="S2927" i="1"/>
  <c r="T2927" i="1" s="1"/>
  <c r="R2927" i="1"/>
  <c r="Q2927" i="1"/>
  <c r="P2927" i="1"/>
  <c r="R2926" i="1"/>
  <c r="S2926" i="1" s="1"/>
  <c r="Q2926" i="1"/>
  <c r="P2926" i="1"/>
  <c r="S2925" i="1"/>
  <c r="R2925" i="1"/>
  <c r="Q2925" i="1"/>
  <c r="P2925" i="1"/>
  <c r="R2924" i="1"/>
  <c r="S2924" i="1" s="1"/>
  <c r="Q2924" i="1"/>
  <c r="P2924" i="1"/>
  <c r="U2923" i="1"/>
  <c r="T2923" i="1"/>
  <c r="R2923" i="1"/>
  <c r="S2923" i="1" s="1"/>
  <c r="Q2923" i="1"/>
  <c r="P2923" i="1"/>
  <c r="Y2922" i="1"/>
  <c r="Z2922" i="1" s="1"/>
  <c r="X2922" i="1"/>
  <c r="W2922" i="1"/>
  <c r="V2922" i="1"/>
  <c r="U2922" i="1"/>
  <c r="S2922" i="1"/>
  <c r="T2922" i="1" s="1"/>
  <c r="R2922" i="1"/>
  <c r="Q2922" i="1"/>
  <c r="P2922" i="1"/>
  <c r="W2921" i="1"/>
  <c r="X2921" i="1" s="1"/>
  <c r="Y2921" i="1" s="1"/>
  <c r="Z2921" i="1" s="1"/>
  <c r="V2921" i="1"/>
  <c r="R2921" i="1"/>
  <c r="S2921" i="1" s="1"/>
  <c r="U2921" i="1" s="1"/>
  <c r="Q2921" i="1"/>
  <c r="P2921" i="1"/>
  <c r="Y2920" i="1"/>
  <c r="Z2920" i="1" s="1"/>
  <c r="V2920" i="1"/>
  <c r="U2920" i="1"/>
  <c r="T2920" i="1"/>
  <c r="S2920" i="1"/>
  <c r="W2920" i="1" s="1"/>
  <c r="X2920" i="1" s="1"/>
  <c r="R2920" i="1"/>
  <c r="Q2920" i="1"/>
  <c r="P2920" i="1"/>
  <c r="T2919" i="1"/>
  <c r="R2919" i="1"/>
  <c r="S2919" i="1" s="1"/>
  <c r="Q2919" i="1"/>
  <c r="P2919" i="1"/>
  <c r="V2918" i="1"/>
  <c r="U2918" i="1"/>
  <c r="T2918" i="1"/>
  <c r="R2918" i="1"/>
  <c r="S2918" i="1" s="1"/>
  <c r="W2918" i="1" s="1"/>
  <c r="X2918" i="1" s="1"/>
  <c r="Y2918" i="1" s="1"/>
  <c r="Z2918" i="1" s="1"/>
  <c r="Q2918" i="1"/>
  <c r="P2918" i="1"/>
  <c r="V2917" i="1"/>
  <c r="U2917" i="1"/>
  <c r="R2917" i="1"/>
  <c r="S2917" i="1" s="1"/>
  <c r="T2917" i="1" s="1"/>
  <c r="Q2917" i="1"/>
  <c r="P2917" i="1"/>
  <c r="W2916" i="1"/>
  <c r="X2916" i="1" s="1"/>
  <c r="Y2916" i="1" s="1"/>
  <c r="Z2916" i="1" s="1"/>
  <c r="R2916" i="1"/>
  <c r="S2916" i="1" s="1"/>
  <c r="Q2916" i="1"/>
  <c r="P2916" i="1"/>
  <c r="S2915" i="1"/>
  <c r="R2915" i="1"/>
  <c r="Q2915" i="1"/>
  <c r="P2915" i="1"/>
  <c r="S2914" i="1"/>
  <c r="R2914" i="1"/>
  <c r="Q2914" i="1"/>
  <c r="P2914" i="1"/>
  <c r="V2913" i="1"/>
  <c r="U2913" i="1"/>
  <c r="R2913" i="1"/>
  <c r="S2913" i="1" s="1"/>
  <c r="W2913" i="1" s="1"/>
  <c r="X2913" i="1" s="1"/>
  <c r="Y2913" i="1" s="1"/>
  <c r="Z2913" i="1" s="1"/>
  <c r="Q2913" i="1"/>
  <c r="P2913" i="1"/>
  <c r="V2912" i="1"/>
  <c r="U2912" i="1"/>
  <c r="S2912" i="1"/>
  <c r="R2912" i="1"/>
  <c r="Q2912" i="1"/>
  <c r="P2912" i="1"/>
  <c r="S2911" i="1"/>
  <c r="R2911" i="1"/>
  <c r="Q2911" i="1"/>
  <c r="P2911" i="1"/>
  <c r="S2910" i="1"/>
  <c r="R2910" i="1"/>
  <c r="Q2910" i="1"/>
  <c r="P2910" i="1"/>
  <c r="S2909" i="1"/>
  <c r="R2909" i="1"/>
  <c r="Q2909" i="1"/>
  <c r="P2909" i="1"/>
  <c r="W2908" i="1"/>
  <c r="X2908" i="1" s="1"/>
  <c r="Y2908" i="1" s="1"/>
  <c r="Z2908" i="1" s="1"/>
  <c r="V2908" i="1"/>
  <c r="U2908" i="1"/>
  <c r="S2908" i="1"/>
  <c r="T2908" i="1" s="1"/>
  <c r="R2908" i="1"/>
  <c r="Q2908" i="1"/>
  <c r="P2908" i="1"/>
  <c r="R2907" i="1"/>
  <c r="S2907" i="1" s="1"/>
  <c r="Q2907" i="1"/>
  <c r="P2907" i="1"/>
  <c r="U2906" i="1"/>
  <c r="R2906" i="1"/>
  <c r="S2906" i="1" s="1"/>
  <c r="Q2906" i="1"/>
  <c r="P2906" i="1"/>
  <c r="R2905" i="1"/>
  <c r="S2905" i="1" s="1"/>
  <c r="Q2905" i="1"/>
  <c r="P2905" i="1"/>
  <c r="W2904" i="1"/>
  <c r="X2904" i="1" s="1"/>
  <c r="Y2904" i="1" s="1"/>
  <c r="Z2904" i="1" s="1"/>
  <c r="T2904" i="1"/>
  <c r="S2904" i="1"/>
  <c r="R2904" i="1"/>
  <c r="Q2904" i="1"/>
  <c r="P2904" i="1"/>
  <c r="U2903" i="1"/>
  <c r="T2903" i="1"/>
  <c r="S2903" i="1"/>
  <c r="R2903" i="1"/>
  <c r="Q2903" i="1"/>
  <c r="P2903" i="1"/>
  <c r="V2902" i="1"/>
  <c r="R2902" i="1"/>
  <c r="S2902" i="1" s="1"/>
  <c r="T2902" i="1" s="1"/>
  <c r="Q2902" i="1"/>
  <c r="P2902" i="1"/>
  <c r="W2901" i="1"/>
  <c r="X2901" i="1" s="1"/>
  <c r="Y2901" i="1" s="1"/>
  <c r="Z2901" i="1" s="1"/>
  <c r="S2901" i="1"/>
  <c r="R2901" i="1"/>
  <c r="Q2901" i="1"/>
  <c r="P2901" i="1"/>
  <c r="S2900" i="1"/>
  <c r="R2900" i="1"/>
  <c r="Q2900" i="1"/>
  <c r="P2900" i="1"/>
  <c r="W2899" i="1"/>
  <c r="X2899" i="1" s="1"/>
  <c r="Y2899" i="1" s="1"/>
  <c r="Z2899" i="1" s="1"/>
  <c r="S2899" i="1"/>
  <c r="R2899" i="1"/>
  <c r="Q2899" i="1"/>
  <c r="P2899" i="1"/>
  <c r="W2898" i="1"/>
  <c r="X2898" i="1" s="1"/>
  <c r="Y2898" i="1" s="1"/>
  <c r="Z2898" i="1" s="1"/>
  <c r="V2898" i="1"/>
  <c r="U2898" i="1"/>
  <c r="T2898" i="1"/>
  <c r="R2898" i="1"/>
  <c r="S2898" i="1" s="1"/>
  <c r="Q2898" i="1"/>
  <c r="P2898" i="1"/>
  <c r="U2897" i="1"/>
  <c r="T2897" i="1"/>
  <c r="R2897" i="1"/>
  <c r="S2897" i="1" s="1"/>
  <c r="W2897" i="1" s="1"/>
  <c r="X2897" i="1" s="1"/>
  <c r="Y2897" i="1" s="1"/>
  <c r="Z2897" i="1" s="1"/>
  <c r="Q2897" i="1"/>
  <c r="P2897" i="1"/>
  <c r="V2896" i="1"/>
  <c r="R2896" i="1"/>
  <c r="S2896" i="1" s="1"/>
  <c r="Q2896" i="1"/>
  <c r="P2896" i="1"/>
  <c r="U2895" i="1"/>
  <c r="T2895" i="1"/>
  <c r="S2895" i="1"/>
  <c r="W2895" i="1" s="1"/>
  <c r="X2895" i="1" s="1"/>
  <c r="Y2895" i="1" s="1"/>
  <c r="Z2895" i="1" s="1"/>
  <c r="R2895" i="1"/>
  <c r="Q2895" i="1"/>
  <c r="P2895" i="1"/>
  <c r="R2894" i="1"/>
  <c r="S2894" i="1" s="1"/>
  <c r="Q2894" i="1"/>
  <c r="P2894" i="1"/>
  <c r="V2893" i="1"/>
  <c r="U2893" i="1"/>
  <c r="S2893" i="1"/>
  <c r="R2893" i="1"/>
  <c r="Q2893" i="1"/>
  <c r="P2893" i="1"/>
  <c r="R2892" i="1"/>
  <c r="S2892" i="1" s="1"/>
  <c r="Q2892" i="1"/>
  <c r="P2892" i="1"/>
  <c r="S2891" i="1"/>
  <c r="R2891" i="1"/>
  <c r="Q2891" i="1"/>
  <c r="P2891" i="1"/>
  <c r="U2890" i="1"/>
  <c r="T2890" i="1"/>
  <c r="S2890" i="1"/>
  <c r="R2890" i="1"/>
  <c r="Q2890" i="1"/>
  <c r="P2890" i="1"/>
  <c r="S2889" i="1"/>
  <c r="R2889" i="1"/>
  <c r="Q2889" i="1"/>
  <c r="P2889" i="1"/>
  <c r="R2888" i="1"/>
  <c r="S2888" i="1" s="1"/>
  <c r="Q2888" i="1"/>
  <c r="P2888" i="1"/>
  <c r="Y2887" i="1"/>
  <c r="Z2887" i="1" s="1"/>
  <c r="W2887" i="1"/>
  <c r="X2887" i="1" s="1"/>
  <c r="V2887" i="1"/>
  <c r="R2887" i="1"/>
  <c r="S2887" i="1" s="1"/>
  <c r="Q2887" i="1"/>
  <c r="P2887" i="1"/>
  <c r="S2886" i="1"/>
  <c r="R2886" i="1"/>
  <c r="Q2886" i="1"/>
  <c r="P2886" i="1"/>
  <c r="S2885" i="1"/>
  <c r="R2885" i="1"/>
  <c r="Q2885" i="1"/>
  <c r="P2885" i="1"/>
  <c r="V2884" i="1"/>
  <c r="T2884" i="1"/>
  <c r="R2884" i="1"/>
  <c r="S2884" i="1" s="1"/>
  <c r="Q2884" i="1"/>
  <c r="P2884" i="1"/>
  <c r="R2883" i="1"/>
  <c r="S2883" i="1" s="1"/>
  <c r="Q2883" i="1"/>
  <c r="P2883" i="1"/>
  <c r="R2882" i="1"/>
  <c r="S2882" i="1" s="1"/>
  <c r="Q2882" i="1"/>
  <c r="P2882" i="1"/>
  <c r="V2881" i="1"/>
  <c r="U2881" i="1"/>
  <c r="S2881" i="1"/>
  <c r="R2881" i="1"/>
  <c r="Q2881" i="1"/>
  <c r="P2881" i="1"/>
  <c r="R2880" i="1"/>
  <c r="S2880" i="1" s="1"/>
  <c r="Q2880" i="1"/>
  <c r="P2880" i="1"/>
  <c r="R2879" i="1"/>
  <c r="S2879" i="1" s="1"/>
  <c r="Q2879" i="1"/>
  <c r="P2879" i="1"/>
  <c r="X2878" i="1"/>
  <c r="Y2878" i="1" s="1"/>
  <c r="Z2878" i="1" s="1"/>
  <c r="W2878" i="1"/>
  <c r="V2878" i="1"/>
  <c r="U2878" i="1"/>
  <c r="T2878" i="1"/>
  <c r="S2878" i="1"/>
  <c r="R2878" i="1"/>
  <c r="Q2878" i="1"/>
  <c r="P2878" i="1"/>
  <c r="X2877" i="1"/>
  <c r="Y2877" i="1" s="1"/>
  <c r="Z2877" i="1" s="1"/>
  <c r="V2877" i="1"/>
  <c r="U2877" i="1"/>
  <c r="S2877" i="1"/>
  <c r="W2877" i="1" s="1"/>
  <c r="R2877" i="1"/>
  <c r="Q2877" i="1"/>
  <c r="P2877" i="1"/>
  <c r="Z2876" i="1"/>
  <c r="W2876" i="1"/>
  <c r="X2876" i="1" s="1"/>
  <c r="Y2876" i="1" s="1"/>
  <c r="V2876" i="1"/>
  <c r="R2876" i="1"/>
  <c r="S2876" i="1" s="1"/>
  <c r="Q2876" i="1"/>
  <c r="P2876" i="1"/>
  <c r="S2875" i="1"/>
  <c r="R2875" i="1"/>
  <c r="Q2875" i="1"/>
  <c r="P2875" i="1"/>
  <c r="R2874" i="1"/>
  <c r="S2874" i="1" s="1"/>
  <c r="Q2874" i="1"/>
  <c r="P2874" i="1"/>
  <c r="X2873" i="1"/>
  <c r="Y2873" i="1" s="1"/>
  <c r="Z2873" i="1" s="1"/>
  <c r="W2873" i="1"/>
  <c r="R2873" i="1"/>
  <c r="S2873" i="1" s="1"/>
  <c r="Q2873" i="1"/>
  <c r="P2873" i="1"/>
  <c r="R2872" i="1"/>
  <c r="S2872" i="1" s="1"/>
  <c r="Q2872" i="1"/>
  <c r="P2872" i="1"/>
  <c r="X2871" i="1"/>
  <c r="Y2871" i="1" s="1"/>
  <c r="Z2871" i="1" s="1"/>
  <c r="W2871" i="1"/>
  <c r="V2871" i="1"/>
  <c r="U2871" i="1"/>
  <c r="R2871" i="1"/>
  <c r="S2871" i="1" s="1"/>
  <c r="T2871" i="1" s="1"/>
  <c r="Q2871" i="1"/>
  <c r="P2871" i="1"/>
  <c r="R2870" i="1"/>
  <c r="S2870" i="1" s="1"/>
  <c r="Q2870" i="1"/>
  <c r="P2870" i="1"/>
  <c r="W2869" i="1"/>
  <c r="X2869" i="1" s="1"/>
  <c r="Y2869" i="1" s="1"/>
  <c r="Z2869" i="1" s="1"/>
  <c r="V2869" i="1"/>
  <c r="U2869" i="1"/>
  <c r="T2869" i="1"/>
  <c r="S2869" i="1"/>
  <c r="R2869" i="1"/>
  <c r="Q2869" i="1"/>
  <c r="P2869" i="1"/>
  <c r="S2868" i="1"/>
  <c r="R2868" i="1"/>
  <c r="Q2868" i="1"/>
  <c r="P2868" i="1"/>
  <c r="U2867" i="1"/>
  <c r="R2867" i="1"/>
  <c r="S2867" i="1" s="1"/>
  <c r="Q2867" i="1"/>
  <c r="P2867" i="1"/>
  <c r="R2866" i="1"/>
  <c r="S2866" i="1" s="1"/>
  <c r="Q2866" i="1"/>
  <c r="P2866" i="1"/>
  <c r="R2865" i="1"/>
  <c r="S2865" i="1" s="1"/>
  <c r="Q2865" i="1"/>
  <c r="P2865" i="1"/>
  <c r="R2864" i="1"/>
  <c r="S2864" i="1" s="1"/>
  <c r="Q2864" i="1"/>
  <c r="P2864" i="1"/>
  <c r="Z2863" i="1"/>
  <c r="W2863" i="1"/>
  <c r="X2863" i="1" s="1"/>
  <c r="Y2863" i="1" s="1"/>
  <c r="S2863" i="1"/>
  <c r="R2863" i="1"/>
  <c r="Q2863" i="1"/>
  <c r="P2863" i="1"/>
  <c r="V2862" i="1"/>
  <c r="R2862" i="1"/>
  <c r="S2862" i="1" s="1"/>
  <c r="Q2862" i="1"/>
  <c r="P2862" i="1"/>
  <c r="R2861" i="1"/>
  <c r="S2861" i="1" s="1"/>
  <c r="Q2861" i="1"/>
  <c r="P2861" i="1"/>
  <c r="Z2860" i="1"/>
  <c r="X2860" i="1"/>
  <c r="Y2860" i="1" s="1"/>
  <c r="W2860" i="1"/>
  <c r="V2860" i="1"/>
  <c r="U2860" i="1"/>
  <c r="S2860" i="1"/>
  <c r="T2860" i="1" s="1"/>
  <c r="R2860" i="1"/>
  <c r="Q2860" i="1"/>
  <c r="P2860" i="1"/>
  <c r="V2859" i="1"/>
  <c r="S2859" i="1"/>
  <c r="R2859" i="1"/>
  <c r="Q2859" i="1"/>
  <c r="P2859" i="1"/>
  <c r="W2858" i="1"/>
  <c r="X2858" i="1" s="1"/>
  <c r="Y2858" i="1" s="1"/>
  <c r="Z2858" i="1" s="1"/>
  <c r="R2858" i="1"/>
  <c r="S2858" i="1" s="1"/>
  <c r="Q2858" i="1"/>
  <c r="P2858" i="1"/>
  <c r="W2857" i="1"/>
  <c r="X2857" i="1" s="1"/>
  <c r="Y2857" i="1" s="1"/>
  <c r="Z2857" i="1" s="1"/>
  <c r="V2857" i="1"/>
  <c r="T2857" i="1"/>
  <c r="S2857" i="1"/>
  <c r="U2857" i="1" s="1"/>
  <c r="R2857" i="1"/>
  <c r="Q2857" i="1"/>
  <c r="P2857" i="1"/>
  <c r="R2856" i="1"/>
  <c r="S2856" i="1" s="1"/>
  <c r="Q2856" i="1"/>
  <c r="P2856" i="1"/>
  <c r="R2855" i="1"/>
  <c r="S2855" i="1" s="1"/>
  <c r="Q2855" i="1"/>
  <c r="P2855" i="1"/>
  <c r="S2854" i="1"/>
  <c r="R2854" i="1"/>
  <c r="Q2854" i="1"/>
  <c r="P2854" i="1"/>
  <c r="U2853" i="1"/>
  <c r="R2853" i="1"/>
  <c r="S2853" i="1" s="1"/>
  <c r="Q2853" i="1"/>
  <c r="P2853" i="1"/>
  <c r="Y2852" i="1"/>
  <c r="Z2852" i="1" s="1"/>
  <c r="T2852" i="1"/>
  <c r="R2852" i="1"/>
  <c r="S2852" i="1" s="1"/>
  <c r="W2852" i="1" s="1"/>
  <c r="X2852" i="1" s="1"/>
  <c r="Q2852" i="1"/>
  <c r="P2852" i="1"/>
  <c r="S2851" i="1"/>
  <c r="R2851" i="1"/>
  <c r="Q2851" i="1"/>
  <c r="P2851" i="1"/>
  <c r="S2850" i="1"/>
  <c r="R2850" i="1"/>
  <c r="Q2850" i="1"/>
  <c r="P2850" i="1"/>
  <c r="S2849" i="1"/>
  <c r="R2849" i="1"/>
  <c r="Q2849" i="1"/>
  <c r="P2849" i="1"/>
  <c r="S2848" i="1"/>
  <c r="R2848" i="1"/>
  <c r="Q2848" i="1"/>
  <c r="P2848" i="1"/>
  <c r="S2847" i="1"/>
  <c r="R2847" i="1"/>
  <c r="Q2847" i="1"/>
  <c r="P2847" i="1"/>
  <c r="Z2846" i="1"/>
  <c r="T2846" i="1"/>
  <c r="R2846" i="1"/>
  <c r="S2846" i="1" s="1"/>
  <c r="W2846" i="1" s="1"/>
  <c r="X2846" i="1" s="1"/>
  <c r="Y2846" i="1" s="1"/>
  <c r="Q2846" i="1"/>
  <c r="P2846" i="1"/>
  <c r="W2845" i="1"/>
  <c r="X2845" i="1" s="1"/>
  <c r="Y2845" i="1" s="1"/>
  <c r="Z2845" i="1" s="1"/>
  <c r="T2845" i="1"/>
  <c r="S2845" i="1"/>
  <c r="V2845" i="1" s="1"/>
  <c r="R2845" i="1"/>
  <c r="Q2845" i="1"/>
  <c r="P2845" i="1"/>
  <c r="T2844" i="1"/>
  <c r="R2844" i="1"/>
  <c r="S2844" i="1" s="1"/>
  <c r="Q2844" i="1"/>
  <c r="P2844" i="1"/>
  <c r="S2843" i="1"/>
  <c r="R2843" i="1"/>
  <c r="Q2843" i="1"/>
  <c r="P2843" i="1"/>
  <c r="S2842" i="1"/>
  <c r="R2842" i="1"/>
  <c r="Q2842" i="1"/>
  <c r="P2842" i="1"/>
  <c r="S2841" i="1"/>
  <c r="R2841" i="1"/>
  <c r="Q2841" i="1"/>
  <c r="P2841" i="1"/>
  <c r="R2840" i="1"/>
  <c r="S2840" i="1" s="1"/>
  <c r="Q2840" i="1"/>
  <c r="P2840" i="1"/>
  <c r="V2839" i="1"/>
  <c r="R2839" i="1"/>
  <c r="S2839" i="1" s="1"/>
  <c r="Q2839" i="1"/>
  <c r="P2839" i="1"/>
  <c r="S2838" i="1"/>
  <c r="R2838" i="1"/>
  <c r="Q2838" i="1"/>
  <c r="P2838" i="1"/>
  <c r="S2837" i="1"/>
  <c r="R2837" i="1"/>
  <c r="Q2837" i="1"/>
  <c r="P2837" i="1"/>
  <c r="Y2836" i="1"/>
  <c r="Z2836" i="1" s="1"/>
  <c r="W2836" i="1"/>
  <c r="X2836" i="1" s="1"/>
  <c r="U2836" i="1"/>
  <c r="T2836" i="1"/>
  <c r="R2836" i="1"/>
  <c r="S2836" i="1" s="1"/>
  <c r="V2836" i="1" s="1"/>
  <c r="Q2836" i="1"/>
  <c r="P2836" i="1"/>
  <c r="Y2835" i="1"/>
  <c r="Z2835" i="1" s="1"/>
  <c r="X2835" i="1"/>
  <c r="V2835" i="1"/>
  <c r="U2835" i="1"/>
  <c r="T2835" i="1"/>
  <c r="R2835" i="1"/>
  <c r="S2835" i="1" s="1"/>
  <c r="W2835" i="1" s="1"/>
  <c r="Q2835" i="1"/>
  <c r="P2835" i="1"/>
  <c r="R2834" i="1"/>
  <c r="S2834" i="1" s="1"/>
  <c r="T2834" i="1" s="1"/>
  <c r="Q2834" i="1"/>
  <c r="P2834" i="1"/>
  <c r="Z2833" i="1"/>
  <c r="X2833" i="1"/>
  <c r="Y2833" i="1" s="1"/>
  <c r="W2833" i="1"/>
  <c r="V2833" i="1"/>
  <c r="U2833" i="1"/>
  <c r="S2833" i="1"/>
  <c r="T2833" i="1" s="1"/>
  <c r="R2833" i="1"/>
  <c r="Q2833" i="1"/>
  <c r="P2833" i="1"/>
  <c r="S2832" i="1"/>
  <c r="R2832" i="1"/>
  <c r="Q2832" i="1"/>
  <c r="P2832" i="1"/>
  <c r="W2831" i="1"/>
  <c r="X2831" i="1" s="1"/>
  <c r="Y2831" i="1" s="1"/>
  <c r="Z2831" i="1" s="1"/>
  <c r="R2831" i="1"/>
  <c r="S2831" i="1" s="1"/>
  <c r="Q2831" i="1"/>
  <c r="P2831" i="1"/>
  <c r="U2830" i="1"/>
  <c r="T2830" i="1"/>
  <c r="S2830" i="1"/>
  <c r="W2830" i="1" s="1"/>
  <c r="X2830" i="1" s="1"/>
  <c r="Y2830" i="1" s="1"/>
  <c r="Z2830" i="1" s="1"/>
  <c r="R2830" i="1"/>
  <c r="Q2830" i="1"/>
  <c r="P2830" i="1"/>
  <c r="T2829" i="1"/>
  <c r="R2829" i="1"/>
  <c r="S2829" i="1" s="1"/>
  <c r="Q2829" i="1"/>
  <c r="P2829" i="1"/>
  <c r="V2828" i="1"/>
  <c r="U2828" i="1"/>
  <c r="R2828" i="1"/>
  <c r="S2828" i="1" s="1"/>
  <c r="T2828" i="1" s="1"/>
  <c r="Q2828" i="1"/>
  <c r="P2828" i="1"/>
  <c r="R2827" i="1"/>
  <c r="S2827" i="1" s="1"/>
  <c r="Q2827" i="1"/>
  <c r="P2827" i="1"/>
  <c r="W2826" i="1"/>
  <c r="X2826" i="1" s="1"/>
  <c r="Y2826" i="1" s="1"/>
  <c r="Z2826" i="1" s="1"/>
  <c r="U2826" i="1"/>
  <c r="T2826" i="1"/>
  <c r="S2826" i="1"/>
  <c r="V2826" i="1" s="1"/>
  <c r="R2826" i="1"/>
  <c r="Q2826" i="1"/>
  <c r="P2826" i="1"/>
  <c r="V2825" i="1"/>
  <c r="S2825" i="1"/>
  <c r="R2825" i="1"/>
  <c r="Q2825" i="1"/>
  <c r="P2825" i="1"/>
  <c r="R2824" i="1"/>
  <c r="S2824" i="1" s="1"/>
  <c r="Q2824" i="1"/>
  <c r="P2824" i="1"/>
  <c r="U2823" i="1"/>
  <c r="S2823" i="1"/>
  <c r="R2823" i="1"/>
  <c r="Q2823" i="1"/>
  <c r="P2823" i="1"/>
  <c r="R2822" i="1"/>
  <c r="S2822" i="1" s="1"/>
  <c r="Q2822" i="1"/>
  <c r="P2822" i="1"/>
  <c r="S2821" i="1"/>
  <c r="R2821" i="1"/>
  <c r="Q2821" i="1"/>
  <c r="P2821" i="1"/>
  <c r="V2820" i="1"/>
  <c r="R2820" i="1"/>
  <c r="S2820" i="1" s="1"/>
  <c r="Q2820" i="1"/>
  <c r="P2820" i="1"/>
  <c r="X2819" i="1"/>
  <c r="Y2819" i="1" s="1"/>
  <c r="Z2819" i="1" s="1"/>
  <c r="W2819" i="1"/>
  <c r="V2819" i="1"/>
  <c r="U2819" i="1"/>
  <c r="R2819" i="1"/>
  <c r="S2819" i="1" s="1"/>
  <c r="T2819" i="1" s="1"/>
  <c r="Q2819" i="1"/>
  <c r="P2819" i="1"/>
  <c r="W2818" i="1"/>
  <c r="X2818" i="1" s="1"/>
  <c r="Y2818" i="1" s="1"/>
  <c r="Z2818" i="1" s="1"/>
  <c r="V2818" i="1"/>
  <c r="U2818" i="1"/>
  <c r="S2818" i="1"/>
  <c r="T2818" i="1" s="1"/>
  <c r="R2818" i="1"/>
  <c r="Q2818" i="1"/>
  <c r="P2818" i="1"/>
  <c r="R2817" i="1"/>
  <c r="S2817" i="1" s="1"/>
  <c r="Q2817" i="1"/>
  <c r="P2817" i="1"/>
  <c r="W2816" i="1"/>
  <c r="X2816" i="1" s="1"/>
  <c r="Y2816" i="1" s="1"/>
  <c r="Z2816" i="1" s="1"/>
  <c r="R2816" i="1"/>
  <c r="S2816" i="1" s="1"/>
  <c r="Q2816" i="1"/>
  <c r="P2816" i="1"/>
  <c r="S2815" i="1"/>
  <c r="R2815" i="1"/>
  <c r="Q2815" i="1"/>
  <c r="P2815" i="1"/>
  <c r="W2814" i="1"/>
  <c r="X2814" i="1" s="1"/>
  <c r="Y2814" i="1" s="1"/>
  <c r="Z2814" i="1" s="1"/>
  <c r="R2814" i="1"/>
  <c r="S2814" i="1" s="1"/>
  <c r="Q2814" i="1"/>
  <c r="P2814" i="1"/>
  <c r="U2813" i="1"/>
  <c r="T2813" i="1"/>
  <c r="S2813" i="1"/>
  <c r="V2813" i="1" s="1"/>
  <c r="R2813" i="1"/>
  <c r="Q2813" i="1"/>
  <c r="P2813" i="1"/>
  <c r="S2812" i="1"/>
  <c r="R2812" i="1"/>
  <c r="Q2812" i="1"/>
  <c r="P2812" i="1"/>
  <c r="W2811" i="1"/>
  <c r="X2811" i="1" s="1"/>
  <c r="Y2811" i="1" s="1"/>
  <c r="Z2811" i="1" s="1"/>
  <c r="V2811" i="1"/>
  <c r="R2811" i="1"/>
  <c r="S2811" i="1" s="1"/>
  <c r="Q2811" i="1"/>
  <c r="P2811" i="1"/>
  <c r="U2810" i="1"/>
  <c r="S2810" i="1"/>
  <c r="R2810" i="1"/>
  <c r="Q2810" i="1"/>
  <c r="P2810" i="1"/>
  <c r="Y2809" i="1"/>
  <c r="Z2809" i="1" s="1"/>
  <c r="X2809" i="1"/>
  <c r="V2809" i="1"/>
  <c r="U2809" i="1"/>
  <c r="T2809" i="1"/>
  <c r="S2809" i="1"/>
  <c r="W2809" i="1" s="1"/>
  <c r="R2809" i="1"/>
  <c r="Q2809" i="1"/>
  <c r="P2809" i="1"/>
  <c r="R2808" i="1"/>
  <c r="S2808" i="1" s="1"/>
  <c r="Q2808" i="1"/>
  <c r="P2808" i="1"/>
  <c r="S2807" i="1"/>
  <c r="R2807" i="1"/>
  <c r="Q2807" i="1"/>
  <c r="P2807" i="1"/>
  <c r="V2806" i="1"/>
  <c r="U2806" i="1"/>
  <c r="T2806" i="1"/>
  <c r="S2806" i="1"/>
  <c r="W2806" i="1" s="1"/>
  <c r="X2806" i="1" s="1"/>
  <c r="Y2806" i="1" s="1"/>
  <c r="Z2806" i="1" s="1"/>
  <c r="R2806" i="1"/>
  <c r="Q2806" i="1"/>
  <c r="P2806" i="1"/>
  <c r="R2805" i="1"/>
  <c r="S2805" i="1" s="1"/>
  <c r="W2805" i="1" s="1"/>
  <c r="X2805" i="1" s="1"/>
  <c r="Y2805" i="1" s="1"/>
  <c r="Z2805" i="1" s="1"/>
  <c r="Q2805" i="1"/>
  <c r="P2805" i="1"/>
  <c r="R2804" i="1"/>
  <c r="S2804" i="1" s="1"/>
  <c r="Q2804" i="1"/>
  <c r="P2804" i="1"/>
  <c r="X2803" i="1"/>
  <c r="Y2803" i="1" s="1"/>
  <c r="Z2803" i="1" s="1"/>
  <c r="W2803" i="1"/>
  <c r="V2803" i="1"/>
  <c r="R2803" i="1"/>
  <c r="S2803" i="1" s="1"/>
  <c r="Q2803" i="1"/>
  <c r="P2803" i="1"/>
  <c r="S2802" i="1"/>
  <c r="R2802" i="1"/>
  <c r="Q2802" i="1"/>
  <c r="P2802" i="1"/>
  <c r="R2801" i="1"/>
  <c r="S2801" i="1" s="1"/>
  <c r="Q2801" i="1"/>
  <c r="P2801" i="1"/>
  <c r="Y2800" i="1"/>
  <c r="Z2800" i="1" s="1"/>
  <c r="W2800" i="1"/>
  <c r="X2800" i="1" s="1"/>
  <c r="V2800" i="1"/>
  <c r="U2800" i="1"/>
  <c r="S2800" i="1"/>
  <c r="T2800" i="1" s="1"/>
  <c r="R2800" i="1"/>
  <c r="Q2800" i="1"/>
  <c r="P2800" i="1"/>
  <c r="R2799" i="1"/>
  <c r="S2799" i="1" s="1"/>
  <c r="Q2799" i="1"/>
  <c r="P2799" i="1"/>
  <c r="V2798" i="1"/>
  <c r="S2798" i="1"/>
  <c r="R2798" i="1"/>
  <c r="Q2798" i="1"/>
  <c r="P2798" i="1"/>
  <c r="U2797" i="1"/>
  <c r="R2797" i="1"/>
  <c r="S2797" i="1" s="1"/>
  <c r="Q2797" i="1"/>
  <c r="P2797" i="1"/>
  <c r="S2796" i="1"/>
  <c r="W2796" i="1" s="1"/>
  <c r="X2796" i="1" s="1"/>
  <c r="Y2796" i="1" s="1"/>
  <c r="Z2796" i="1" s="1"/>
  <c r="R2796" i="1"/>
  <c r="Q2796" i="1"/>
  <c r="P2796" i="1"/>
  <c r="V2795" i="1"/>
  <c r="R2795" i="1"/>
  <c r="S2795" i="1" s="1"/>
  <c r="Q2795" i="1"/>
  <c r="P2795" i="1"/>
  <c r="X2794" i="1"/>
  <c r="Y2794" i="1" s="1"/>
  <c r="Z2794" i="1" s="1"/>
  <c r="W2794" i="1"/>
  <c r="V2794" i="1"/>
  <c r="U2794" i="1"/>
  <c r="S2794" i="1"/>
  <c r="T2794" i="1" s="1"/>
  <c r="R2794" i="1"/>
  <c r="Q2794" i="1"/>
  <c r="P2794" i="1"/>
  <c r="V2793" i="1"/>
  <c r="R2793" i="1"/>
  <c r="S2793" i="1" s="1"/>
  <c r="Q2793" i="1"/>
  <c r="P2793" i="1"/>
  <c r="R2792" i="1"/>
  <c r="S2792" i="1" s="1"/>
  <c r="Q2792" i="1"/>
  <c r="P2792" i="1"/>
  <c r="R2791" i="1"/>
  <c r="S2791" i="1" s="1"/>
  <c r="Q2791" i="1"/>
  <c r="P2791" i="1"/>
  <c r="R2790" i="1"/>
  <c r="S2790" i="1" s="1"/>
  <c r="Q2790" i="1"/>
  <c r="P2790" i="1"/>
  <c r="W2789" i="1"/>
  <c r="X2789" i="1" s="1"/>
  <c r="Y2789" i="1" s="1"/>
  <c r="Z2789" i="1" s="1"/>
  <c r="V2789" i="1"/>
  <c r="U2789" i="1"/>
  <c r="T2789" i="1"/>
  <c r="R2789" i="1"/>
  <c r="S2789" i="1" s="1"/>
  <c r="Q2789" i="1"/>
  <c r="P2789" i="1"/>
  <c r="R2788" i="1"/>
  <c r="S2788" i="1" s="1"/>
  <c r="Q2788" i="1"/>
  <c r="P2788" i="1"/>
  <c r="R2787" i="1"/>
  <c r="S2787" i="1" s="1"/>
  <c r="Q2787" i="1"/>
  <c r="P2787" i="1"/>
  <c r="V2786" i="1"/>
  <c r="S2786" i="1"/>
  <c r="R2786" i="1"/>
  <c r="Q2786" i="1"/>
  <c r="P2786" i="1"/>
  <c r="Y2785" i="1"/>
  <c r="Z2785" i="1" s="1"/>
  <c r="X2785" i="1"/>
  <c r="W2785" i="1"/>
  <c r="V2785" i="1"/>
  <c r="U2785" i="1"/>
  <c r="R2785" i="1"/>
  <c r="S2785" i="1" s="1"/>
  <c r="T2785" i="1" s="1"/>
  <c r="Q2785" i="1"/>
  <c r="P2785" i="1"/>
  <c r="R2784" i="1"/>
  <c r="S2784" i="1" s="1"/>
  <c r="Q2784" i="1"/>
  <c r="P2784" i="1"/>
  <c r="V2783" i="1"/>
  <c r="R2783" i="1"/>
  <c r="S2783" i="1" s="1"/>
  <c r="Q2783" i="1"/>
  <c r="P2783" i="1"/>
  <c r="U2782" i="1"/>
  <c r="T2782" i="1"/>
  <c r="S2782" i="1"/>
  <c r="V2782" i="1" s="1"/>
  <c r="R2782" i="1"/>
  <c r="Q2782" i="1"/>
  <c r="P2782" i="1"/>
  <c r="S2781" i="1"/>
  <c r="R2781" i="1"/>
  <c r="Q2781" i="1"/>
  <c r="P2781" i="1"/>
  <c r="Y2780" i="1"/>
  <c r="Z2780" i="1" s="1"/>
  <c r="W2780" i="1"/>
  <c r="X2780" i="1" s="1"/>
  <c r="V2780" i="1"/>
  <c r="R2780" i="1"/>
  <c r="S2780" i="1" s="1"/>
  <c r="Q2780" i="1"/>
  <c r="P2780" i="1"/>
  <c r="S2779" i="1"/>
  <c r="R2779" i="1"/>
  <c r="Q2779" i="1"/>
  <c r="P2779" i="1"/>
  <c r="V2778" i="1"/>
  <c r="S2778" i="1"/>
  <c r="R2778" i="1"/>
  <c r="Q2778" i="1"/>
  <c r="P2778" i="1"/>
  <c r="S2777" i="1"/>
  <c r="R2777" i="1"/>
  <c r="Q2777" i="1"/>
  <c r="P2777" i="1"/>
  <c r="S2776" i="1"/>
  <c r="W2776" i="1" s="1"/>
  <c r="X2776" i="1" s="1"/>
  <c r="Y2776" i="1" s="1"/>
  <c r="Z2776" i="1" s="1"/>
  <c r="R2776" i="1"/>
  <c r="Q2776" i="1"/>
  <c r="P2776" i="1"/>
  <c r="R2775" i="1"/>
  <c r="S2775" i="1" s="1"/>
  <c r="Q2775" i="1"/>
  <c r="P2775" i="1"/>
  <c r="W2774" i="1"/>
  <c r="X2774" i="1" s="1"/>
  <c r="Y2774" i="1" s="1"/>
  <c r="Z2774" i="1" s="1"/>
  <c r="V2774" i="1"/>
  <c r="U2774" i="1"/>
  <c r="S2774" i="1"/>
  <c r="T2774" i="1" s="1"/>
  <c r="R2774" i="1"/>
  <c r="Q2774" i="1"/>
  <c r="P2774" i="1"/>
  <c r="R2773" i="1"/>
  <c r="S2773" i="1" s="1"/>
  <c r="Q2773" i="1"/>
  <c r="P2773" i="1"/>
  <c r="R2772" i="1"/>
  <c r="S2772" i="1" s="1"/>
  <c r="Q2772" i="1"/>
  <c r="P2772" i="1"/>
  <c r="S2771" i="1"/>
  <c r="R2771" i="1"/>
  <c r="Q2771" i="1"/>
  <c r="P2771" i="1"/>
  <c r="R2770" i="1"/>
  <c r="S2770" i="1" s="1"/>
  <c r="Q2770" i="1"/>
  <c r="P2770" i="1"/>
  <c r="X2769" i="1"/>
  <c r="Y2769" i="1" s="1"/>
  <c r="Z2769" i="1" s="1"/>
  <c r="W2769" i="1"/>
  <c r="V2769" i="1"/>
  <c r="U2769" i="1"/>
  <c r="S2769" i="1"/>
  <c r="T2769" i="1" s="1"/>
  <c r="R2769" i="1"/>
  <c r="Q2769" i="1"/>
  <c r="P2769" i="1"/>
  <c r="R2768" i="1"/>
  <c r="S2768" i="1" s="1"/>
  <c r="Q2768" i="1"/>
  <c r="P2768" i="1"/>
  <c r="S2767" i="1"/>
  <c r="R2767" i="1"/>
  <c r="Q2767" i="1"/>
  <c r="P2767" i="1"/>
  <c r="W2766" i="1"/>
  <c r="X2766" i="1" s="1"/>
  <c r="Y2766" i="1" s="1"/>
  <c r="Z2766" i="1" s="1"/>
  <c r="T2766" i="1"/>
  <c r="S2766" i="1"/>
  <c r="R2766" i="1"/>
  <c r="Q2766" i="1"/>
  <c r="P2766" i="1"/>
  <c r="R2765" i="1"/>
  <c r="S2765" i="1" s="1"/>
  <c r="Q2765" i="1"/>
  <c r="P2765" i="1"/>
  <c r="R2764" i="1"/>
  <c r="S2764" i="1" s="1"/>
  <c r="Q2764" i="1"/>
  <c r="P2764" i="1"/>
  <c r="X2763" i="1"/>
  <c r="Y2763" i="1" s="1"/>
  <c r="Z2763" i="1" s="1"/>
  <c r="W2763" i="1"/>
  <c r="V2763" i="1"/>
  <c r="R2763" i="1"/>
  <c r="S2763" i="1" s="1"/>
  <c r="Q2763" i="1"/>
  <c r="P2763" i="1"/>
  <c r="R2762" i="1"/>
  <c r="S2762" i="1" s="1"/>
  <c r="Q2762" i="1"/>
  <c r="P2762" i="1"/>
  <c r="S2761" i="1"/>
  <c r="R2761" i="1"/>
  <c r="Q2761" i="1"/>
  <c r="P2761" i="1"/>
  <c r="R2760" i="1"/>
  <c r="S2760" i="1" s="1"/>
  <c r="Q2760" i="1"/>
  <c r="P2760" i="1"/>
  <c r="R2759" i="1"/>
  <c r="S2759" i="1" s="1"/>
  <c r="Q2759" i="1"/>
  <c r="P2759" i="1"/>
  <c r="R2758" i="1"/>
  <c r="S2758" i="1" s="1"/>
  <c r="Q2758" i="1"/>
  <c r="P2758" i="1"/>
  <c r="R2757" i="1"/>
  <c r="S2757" i="1" s="1"/>
  <c r="Q2757" i="1"/>
  <c r="P2757" i="1"/>
  <c r="U2756" i="1"/>
  <c r="T2756" i="1"/>
  <c r="S2756" i="1"/>
  <c r="W2756" i="1" s="1"/>
  <c r="X2756" i="1" s="1"/>
  <c r="Y2756" i="1" s="1"/>
  <c r="Z2756" i="1" s="1"/>
  <c r="R2756" i="1"/>
  <c r="Q2756" i="1"/>
  <c r="P2756" i="1"/>
  <c r="U2755" i="1"/>
  <c r="T2755" i="1"/>
  <c r="R2755" i="1"/>
  <c r="S2755" i="1" s="1"/>
  <c r="Q2755" i="1"/>
  <c r="P2755" i="1"/>
  <c r="X2754" i="1"/>
  <c r="Y2754" i="1" s="1"/>
  <c r="Z2754" i="1" s="1"/>
  <c r="W2754" i="1"/>
  <c r="V2754" i="1"/>
  <c r="U2754" i="1"/>
  <c r="S2754" i="1"/>
  <c r="T2754" i="1" s="1"/>
  <c r="R2754" i="1"/>
  <c r="Q2754" i="1"/>
  <c r="P2754" i="1"/>
  <c r="T2753" i="1"/>
  <c r="S2753" i="1"/>
  <c r="R2753" i="1"/>
  <c r="Q2753" i="1"/>
  <c r="P2753" i="1"/>
  <c r="R2752" i="1"/>
  <c r="S2752" i="1" s="1"/>
  <c r="Q2752" i="1"/>
  <c r="P2752" i="1"/>
  <c r="Z2751" i="1"/>
  <c r="U2751" i="1"/>
  <c r="T2751" i="1"/>
  <c r="S2751" i="1"/>
  <c r="W2751" i="1" s="1"/>
  <c r="X2751" i="1" s="1"/>
  <c r="Y2751" i="1" s="1"/>
  <c r="R2751" i="1"/>
  <c r="Q2751" i="1"/>
  <c r="P2751" i="1"/>
  <c r="S2750" i="1"/>
  <c r="R2750" i="1"/>
  <c r="Q2750" i="1"/>
  <c r="P2750" i="1"/>
  <c r="Z2749" i="1"/>
  <c r="X2749" i="1"/>
  <c r="Y2749" i="1" s="1"/>
  <c r="W2749" i="1"/>
  <c r="R2749" i="1"/>
  <c r="S2749" i="1" s="1"/>
  <c r="Q2749" i="1"/>
  <c r="P2749" i="1"/>
  <c r="S2748" i="1"/>
  <c r="R2748" i="1"/>
  <c r="Q2748" i="1"/>
  <c r="P2748" i="1"/>
  <c r="R2747" i="1"/>
  <c r="S2747" i="1" s="1"/>
  <c r="Q2747" i="1"/>
  <c r="P2747" i="1"/>
  <c r="U2746" i="1"/>
  <c r="T2746" i="1"/>
  <c r="S2746" i="1"/>
  <c r="R2746" i="1"/>
  <c r="Q2746" i="1"/>
  <c r="P2746" i="1"/>
  <c r="W2745" i="1"/>
  <c r="X2745" i="1" s="1"/>
  <c r="Y2745" i="1" s="1"/>
  <c r="Z2745" i="1" s="1"/>
  <c r="V2745" i="1"/>
  <c r="U2745" i="1"/>
  <c r="T2745" i="1"/>
  <c r="R2745" i="1"/>
  <c r="S2745" i="1" s="1"/>
  <c r="Q2745" i="1"/>
  <c r="P2745" i="1"/>
  <c r="R2744" i="1"/>
  <c r="S2744" i="1" s="1"/>
  <c r="Q2744" i="1"/>
  <c r="P2744" i="1"/>
  <c r="X2743" i="1"/>
  <c r="Y2743" i="1" s="1"/>
  <c r="Z2743" i="1" s="1"/>
  <c r="W2743" i="1"/>
  <c r="V2743" i="1"/>
  <c r="T2743" i="1"/>
  <c r="R2743" i="1"/>
  <c r="S2743" i="1" s="1"/>
  <c r="U2743" i="1" s="1"/>
  <c r="Q2743" i="1"/>
  <c r="P2743" i="1"/>
  <c r="U2742" i="1"/>
  <c r="T2742" i="1"/>
  <c r="R2742" i="1"/>
  <c r="S2742" i="1" s="1"/>
  <c r="W2742" i="1" s="1"/>
  <c r="X2742" i="1" s="1"/>
  <c r="Y2742" i="1" s="1"/>
  <c r="Z2742" i="1" s="1"/>
  <c r="Q2742" i="1"/>
  <c r="P2742" i="1"/>
  <c r="R2741" i="1"/>
  <c r="S2741" i="1" s="1"/>
  <c r="Q2741" i="1"/>
  <c r="P2741" i="1"/>
  <c r="T2740" i="1"/>
  <c r="S2740" i="1"/>
  <c r="R2740" i="1"/>
  <c r="Q2740" i="1"/>
  <c r="P2740" i="1"/>
  <c r="U2739" i="1"/>
  <c r="T2739" i="1"/>
  <c r="R2739" i="1"/>
  <c r="S2739" i="1" s="1"/>
  <c r="Q2739" i="1"/>
  <c r="P2739" i="1"/>
  <c r="R2738" i="1"/>
  <c r="S2738" i="1" s="1"/>
  <c r="Q2738" i="1"/>
  <c r="P2738" i="1"/>
  <c r="Z2737" i="1"/>
  <c r="W2737" i="1"/>
  <c r="X2737" i="1" s="1"/>
  <c r="Y2737" i="1" s="1"/>
  <c r="U2737" i="1"/>
  <c r="T2737" i="1"/>
  <c r="S2737" i="1"/>
  <c r="V2737" i="1" s="1"/>
  <c r="R2737" i="1"/>
  <c r="Q2737" i="1"/>
  <c r="P2737" i="1"/>
  <c r="X2736" i="1"/>
  <c r="Y2736" i="1" s="1"/>
  <c r="Z2736" i="1" s="1"/>
  <c r="W2736" i="1"/>
  <c r="T2736" i="1"/>
  <c r="S2736" i="1"/>
  <c r="R2736" i="1"/>
  <c r="Q2736" i="1"/>
  <c r="P2736" i="1"/>
  <c r="R2735" i="1"/>
  <c r="S2735" i="1" s="1"/>
  <c r="V2735" i="1" s="1"/>
  <c r="Q2735" i="1"/>
  <c r="P2735" i="1"/>
  <c r="U2734" i="1"/>
  <c r="S2734" i="1"/>
  <c r="R2734" i="1"/>
  <c r="Q2734" i="1"/>
  <c r="P2734" i="1"/>
  <c r="U2733" i="1"/>
  <c r="S2733" i="1"/>
  <c r="R2733" i="1"/>
  <c r="Q2733" i="1"/>
  <c r="P2733" i="1"/>
  <c r="R2732" i="1"/>
  <c r="S2732" i="1" s="1"/>
  <c r="Q2732" i="1"/>
  <c r="P2732" i="1"/>
  <c r="S2731" i="1"/>
  <c r="R2731" i="1"/>
  <c r="Q2731" i="1"/>
  <c r="P2731" i="1"/>
  <c r="W2730" i="1"/>
  <c r="X2730" i="1" s="1"/>
  <c r="Y2730" i="1" s="1"/>
  <c r="Z2730" i="1" s="1"/>
  <c r="R2730" i="1"/>
  <c r="S2730" i="1" s="1"/>
  <c r="Q2730" i="1"/>
  <c r="P2730" i="1"/>
  <c r="W2729" i="1"/>
  <c r="X2729" i="1" s="1"/>
  <c r="Y2729" i="1" s="1"/>
  <c r="Z2729" i="1" s="1"/>
  <c r="V2729" i="1"/>
  <c r="S2729" i="1"/>
  <c r="U2729" i="1" s="1"/>
  <c r="R2729" i="1"/>
  <c r="Q2729" i="1"/>
  <c r="P2729" i="1"/>
  <c r="S2728" i="1"/>
  <c r="R2728" i="1"/>
  <c r="Q2728" i="1"/>
  <c r="P2728" i="1"/>
  <c r="T2727" i="1"/>
  <c r="S2727" i="1"/>
  <c r="W2727" i="1" s="1"/>
  <c r="X2727" i="1" s="1"/>
  <c r="Y2727" i="1" s="1"/>
  <c r="Z2727" i="1" s="1"/>
  <c r="R2727" i="1"/>
  <c r="Q2727" i="1"/>
  <c r="P2727" i="1"/>
  <c r="U2726" i="1"/>
  <c r="S2726" i="1"/>
  <c r="R2726" i="1"/>
  <c r="Q2726" i="1"/>
  <c r="P2726" i="1"/>
  <c r="Z2725" i="1"/>
  <c r="V2725" i="1"/>
  <c r="U2725" i="1"/>
  <c r="R2725" i="1"/>
  <c r="S2725" i="1" s="1"/>
  <c r="W2725" i="1" s="1"/>
  <c r="X2725" i="1" s="1"/>
  <c r="Y2725" i="1" s="1"/>
  <c r="Q2725" i="1"/>
  <c r="P2725" i="1"/>
  <c r="Z2724" i="1"/>
  <c r="V2724" i="1"/>
  <c r="U2724" i="1"/>
  <c r="R2724" i="1"/>
  <c r="S2724" i="1" s="1"/>
  <c r="W2724" i="1" s="1"/>
  <c r="X2724" i="1" s="1"/>
  <c r="Y2724" i="1" s="1"/>
  <c r="Q2724" i="1"/>
  <c r="P2724" i="1"/>
  <c r="W2723" i="1"/>
  <c r="X2723" i="1" s="1"/>
  <c r="Y2723" i="1" s="1"/>
  <c r="Z2723" i="1" s="1"/>
  <c r="R2723" i="1"/>
  <c r="S2723" i="1" s="1"/>
  <c r="Q2723" i="1"/>
  <c r="P2723" i="1"/>
  <c r="Z2722" i="1"/>
  <c r="V2722" i="1"/>
  <c r="R2722" i="1"/>
  <c r="S2722" i="1" s="1"/>
  <c r="W2722" i="1" s="1"/>
  <c r="X2722" i="1" s="1"/>
  <c r="Y2722" i="1" s="1"/>
  <c r="Q2722" i="1"/>
  <c r="P2722" i="1"/>
  <c r="S2721" i="1"/>
  <c r="R2721" i="1"/>
  <c r="Q2721" i="1"/>
  <c r="P2721" i="1"/>
  <c r="U2720" i="1"/>
  <c r="T2720" i="1"/>
  <c r="S2720" i="1"/>
  <c r="R2720" i="1"/>
  <c r="Q2720" i="1"/>
  <c r="P2720" i="1"/>
  <c r="R2719" i="1"/>
  <c r="S2719" i="1" s="1"/>
  <c r="Q2719" i="1"/>
  <c r="P2719" i="1"/>
  <c r="R2718" i="1"/>
  <c r="S2718" i="1" s="1"/>
  <c r="Q2718" i="1"/>
  <c r="P2718" i="1"/>
  <c r="T2717" i="1"/>
  <c r="S2717" i="1"/>
  <c r="R2717" i="1"/>
  <c r="Q2717" i="1"/>
  <c r="P2717" i="1"/>
  <c r="S2716" i="1"/>
  <c r="R2716" i="1"/>
  <c r="Q2716" i="1"/>
  <c r="P2716" i="1"/>
  <c r="U2715" i="1"/>
  <c r="T2715" i="1"/>
  <c r="R2715" i="1"/>
  <c r="S2715" i="1" s="1"/>
  <c r="Q2715" i="1"/>
  <c r="P2715" i="1"/>
  <c r="U2714" i="1"/>
  <c r="S2714" i="1"/>
  <c r="R2714" i="1"/>
  <c r="Q2714" i="1"/>
  <c r="P2714" i="1"/>
  <c r="R2713" i="1"/>
  <c r="S2713" i="1" s="1"/>
  <c r="Q2713" i="1"/>
  <c r="P2713" i="1"/>
  <c r="V2712" i="1"/>
  <c r="U2712" i="1"/>
  <c r="R2712" i="1"/>
  <c r="S2712" i="1" s="1"/>
  <c r="Q2712" i="1"/>
  <c r="P2712" i="1"/>
  <c r="Z2711" i="1"/>
  <c r="Y2711" i="1"/>
  <c r="W2711" i="1"/>
  <c r="X2711" i="1" s="1"/>
  <c r="R2711" i="1"/>
  <c r="S2711" i="1" s="1"/>
  <c r="Q2711" i="1"/>
  <c r="P2711" i="1"/>
  <c r="T2710" i="1"/>
  <c r="S2710" i="1"/>
  <c r="R2710" i="1"/>
  <c r="Q2710" i="1"/>
  <c r="P2710" i="1"/>
  <c r="W2709" i="1"/>
  <c r="X2709" i="1" s="1"/>
  <c r="Y2709" i="1" s="1"/>
  <c r="Z2709" i="1" s="1"/>
  <c r="V2709" i="1"/>
  <c r="U2709" i="1"/>
  <c r="T2709" i="1"/>
  <c r="S2709" i="1"/>
  <c r="R2709" i="1"/>
  <c r="Q2709" i="1"/>
  <c r="P2709" i="1"/>
  <c r="S2708" i="1"/>
  <c r="R2708" i="1"/>
  <c r="Q2708" i="1"/>
  <c r="P2708" i="1"/>
  <c r="R2707" i="1"/>
  <c r="S2707" i="1" s="1"/>
  <c r="Q2707" i="1"/>
  <c r="P2707" i="1"/>
  <c r="R2706" i="1"/>
  <c r="S2706" i="1" s="1"/>
  <c r="Q2706" i="1"/>
  <c r="P2706" i="1"/>
  <c r="V2705" i="1"/>
  <c r="U2705" i="1"/>
  <c r="S2705" i="1"/>
  <c r="R2705" i="1"/>
  <c r="Q2705" i="1"/>
  <c r="P2705" i="1"/>
  <c r="U2704" i="1"/>
  <c r="T2704" i="1"/>
  <c r="R2704" i="1"/>
  <c r="S2704" i="1" s="1"/>
  <c r="Q2704" i="1"/>
  <c r="P2704" i="1"/>
  <c r="W2703" i="1"/>
  <c r="X2703" i="1" s="1"/>
  <c r="Y2703" i="1" s="1"/>
  <c r="Z2703" i="1" s="1"/>
  <c r="V2703" i="1"/>
  <c r="U2703" i="1"/>
  <c r="T2703" i="1"/>
  <c r="S2703" i="1"/>
  <c r="R2703" i="1"/>
  <c r="Q2703" i="1"/>
  <c r="P2703" i="1"/>
  <c r="S2702" i="1"/>
  <c r="U2702" i="1" s="1"/>
  <c r="R2702" i="1"/>
  <c r="Q2702" i="1"/>
  <c r="P2702" i="1"/>
  <c r="R2701" i="1"/>
  <c r="S2701" i="1" s="1"/>
  <c r="Q2701" i="1"/>
  <c r="P2701" i="1"/>
  <c r="R2700" i="1"/>
  <c r="S2700" i="1" s="1"/>
  <c r="Q2700" i="1"/>
  <c r="P2700" i="1"/>
  <c r="S2699" i="1"/>
  <c r="R2699" i="1"/>
  <c r="Q2699" i="1"/>
  <c r="P2699" i="1"/>
  <c r="R2698" i="1"/>
  <c r="S2698" i="1" s="1"/>
  <c r="Q2698" i="1"/>
  <c r="P2698" i="1"/>
  <c r="Z2697" i="1"/>
  <c r="V2697" i="1"/>
  <c r="U2697" i="1"/>
  <c r="S2697" i="1"/>
  <c r="W2697" i="1" s="1"/>
  <c r="X2697" i="1" s="1"/>
  <c r="Y2697" i="1" s="1"/>
  <c r="R2697" i="1"/>
  <c r="Q2697" i="1"/>
  <c r="P2697" i="1"/>
  <c r="V2696" i="1"/>
  <c r="R2696" i="1"/>
  <c r="S2696" i="1" s="1"/>
  <c r="Q2696" i="1"/>
  <c r="P2696" i="1"/>
  <c r="U2695" i="1"/>
  <c r="S2695" i="1"/>
  <c r="R2695" i="1"/>
  <c r="Q2695" i="1"/>
  <c r="P2695" i="1"/>
  <c r="S2694" i="1"/>
  <c r="R2694" i="1"/>
  <c r="Q2694" i="1"/>
  <c r="P2694" i="1"/>
  <c r="R2693" i="1"/>
  <c r="S2693" i="1" s="1"/>
  <c r="Q2693" i="1"/>
  <c r="P2693" i="1"/>
  <c r="R2692" i="1"/>
  <c r="S2692" i="1" s="1"/>
  <c r="Q2692" i="1"/>
  <c r="P2692" i="1"/>
  <c r="V2691" i="1"/>
  <c r="T2691" i="1"/>
  <c r="R2691" i="1"/>
  <c r="S2691" i="1" s="1"/>
  <c r="U2691" i="1" s="1"/>
  <c r="Q2691" i="1"/>
  <c r="P2691" i="1"/>
  <c r="R2690" i="1"/>
  <c r="S2690" i="1" s="1"/>
  <c r="Q2690" i="1"/>
  <c r="P2690" i="1"/>
  <c r="T2689" i="1"/>
  <c r="S2689" i="1"/>
  <c r="R2689" i="1"/>
  <c r="Q2689" i="1"/>
  <c r="P2689" i="1"/>
  <c r="W2688" i="1"/>
  <c r="X2688" i="1" s="1"/>
  <c r="Y2688" i="1" s="1"/>
  <c r="Z2688" i="1" s="1"/>
  <c r="V2688" i="1"/>
  <c r="S2688" i="1"/>
  <c r="U2688" i="1" s="1"/>
  <c r="R2688" i="1"/>
  <c r="Q2688" i="1"/>
  <c r="P2688" i="1"/>
  <c r="U2687" i="1"/>
  <c r="R2687" i="1"/>
  <c r="S2687" i="1" s="1"/>
  <c r="Q2687" i="1"/>
  <c r="P2687" i="1"/>
  <c r="R2686" i="1"/>
  <c r="S2686" i="1" s="1"/>
  <c r="Q2686" i="1"/>
  <c r="P2686" i="1"/>
  <c r="W2685" i="1"/>
  <c r="X2685" i="1" s="1"/>
  <c r="Y2685" i="1" s="1"/>
  <c r="Z2685" i="1" s="1"/>
  <c r="T2685" i="1"/>
  <c r="S2685" i="1"/>
  <c r="R2685" i="1"/>
  <c r="Q2685" i="1"/>
  <c r="P2685" i="1"/>
  <c r="W2684" i="1"/>
  <c r="X2684" i="1" s="1"/>
  <c r="Y2684" i="1" s="1"/>
  <c r="Z2684" i="1" s="1"/>
  <c r="V2684" i="1"/>
  <c r="U2684" i="1"/>
  <c r="T2684" i="1"/>
  <c r="S2684" i="1"/>
  <c r="R2684" i="1"/>
  <c r="Q2684" i="1"/>
  <c r="P2684" i="1"/>
  <c r="Y2683" i="1"/>
  <c r="Z2683" i="1" s="1"/>
  <c r="X2683" i="1"/>
  <c r="V2683" i="1"/>
  <c r="U2683" i="1"/>
  <c r="T2683" i="1"/>
  <c r="R2683" i="1"/>
  <c r="S2683" i="1" s="1"/>
  <c r="W2683" i="1" s="1"/>
  <c r="Q2683" i="1"/>
  <c r="P2683" i="1"/>
  <c r="S2682" i="1"/>
  <c r="R2682" i="1"/>
  <c r="Q2682" i="1"/>
  <c r="P2682" i="1"/>
  <c r="R2681" i="1"/>
  <c r="S2681" i="1" s="1"/>
  <c r="Q2681" i="1"/>
  <c r="P2681" i="1"/>
  <c r="S2680" i="1"/>
  <c r="R2680" i="1"/>
  <c r="Q2680" i="1"/>
  <c r="P2680" i="1"/>
  <c r="U2679" i="1"/>
  <c r="T2679" i="1"/>
  <c r="R2679" i="1"/>
  <c r="S2679" i="1" s="1"/>
  <c r="Q2679" i="1"/>
  <c r="P2679" i="1"/>
  <c r="W2678" i="1"/>
  <c r="X2678" i="1" s="1"/>
  <c r="Y2678" i="1" s="1"/>
  <c r="Z2678" i="1" s="1"/>
  <c r="S2678" i="1"/>
  <c r="V2678" i="1" s="1"/>
  <c r="R2678" i="1"/>
  <c r="Q2678" i="1"/>
  <c r="P2678" i="1"/>
  <c r="S2677" i="1"/>
  <c r="R2677" i="1"/>
  <c r="Q2677" i="1"/>
  <c r="P2677" i="1"/>
  <c r="S2676" i="1"/>
  <c r="R2676" i="1"/>
  <c r="Q2676" i="1"/>
  <c r="P2676" i="1"/>
  <c r="S2675" i="1"/>
  <c r="R2675" i="1"/>
  <c r="Q2675" i="1"/>
  <c r="P2675" i="1"/>
  <c r="S2674" i="1"/>
  <c r="V2674" i="1" s="1"/>
  <c r="R2674" i="1"/>
  <c r="Q2674" i="1"/>
  <c r="P2674" i="1"/>
  <c r="R2673" i="1"/>
  <c r="S2673" i="1" s="1"/>
  <c r="Q2673" i="1"/>
  <c r="P2673" i="1"/>
  <c r="S2672" i="1"/>
  <c r="R2672" i="1"/>
  <c r="Q2672" i="1"/>
  <c r="P2672" i="1"/>
  <c r="X2671" i="1"/>
  <c r="Y2671" i="1" s="1"/>
  <c r="Z2671" i="1" s="1"/>
  <c r="W2671" i="1"/>
  <c r="V2671" i="1"/>
  <c r="T2671" i="1"/>
  <c r="R2671" i="1"/>
  <c r="S2671" i="1" s="1"/>
  <c r="U2671" i="1" s="1"/>
  <c r="Q2671" i="1"/>
  <c r="P2671" i="1"/>
  <c r="S2670" i="1"/>
  <c r="R2670" i="1"/>
  <c r="Q2670" i="1"/>
  <c r="P2670" i="1"/>
  <c r="V2669" i="1"/>
  <c r="T2669" i="1"/>
  <c r="R2669" i="1"/>
  <c r="S2669" i="1" s="1"/>
  <c r="Q2669" i="1"/>
  <c r="P2669" i="1"/>
  <c r="U2668" i="1"/>
  <c r="R2668" i="1"/>
  <c r="S2668" i="1" s="1"/>
  <c r="Q2668" i="1"/>
  <c r="P2668" i="1"/>
  <c r="U2667" i="1"/>
  <c r="T2667" i="1"/>
  <c r="S2667" i="1"/>
  <c r="W2667" i="1" s="1"/>
  <c r="X2667" i="1" s="1"/>
  <c r="Y2667" i="1" s="1"/>
  <c r="Z2667" i="1" s="1"/>
  <c r="R2667" i="1"/>
  <c r="Q2667" i="1"/>
  <c r="P2667" i="1"/>
  <c r="S2666" i="1"/>
  <c r="U2666" i="1" s="1"/>
  <c r="R2666" i="1"/>
  <c r="Q2666" i="1"/>
  <c r="P2666" i="1"/>
  <c r="S2665" i="1"/>
  <c r="R2665" i="1"/>
  <c r="Q2665" i="1"/>
  <c r="P2665" i="1"/>
  <c r="X2664" i="1"/>
  <c r="Y2664" i="1" s="1"/>
  <c r="Z2664" i="1" s="1"/>
  <c r="W2664" i="1"/>
  <c r="V2664" i="1"/>
  <c r="U2664" i="1"/>
  <c r="T2664" i="1"/>
  <c r="S2664" i="1"/>
  <c r="R2664" i="1"/>
  <c r="Q2664" i="1"/>
  <c r="P2664" i="1"/>
  <c r="Z2663" i="1"/>
  <c r="W2663" i="1"/>
  <c r="X2663" i="1" s="1"/>
  <c r="Y2663" i="1" s="1"/>
  <c r="V2663" i="1"/>
  <c r="U2663" i="1"/>
  <c r="R2663" i="1"/>
  <c r="S2663" i="1" s="1"/>
  <c r="T2663" i="1" s="1"/>
  <c r="Q2663" i="1"/>
  <c r="P2663" i="1"/>
  <c r="X2662" i="1"/>
  <c r="Y2662" i="1" s="1"/>
  <c r="Z2662" i="1" s="1"/>
  <c r="W2662" i="1"/>
  <c r="V2662" i="1"/>
  <c r="U2662" i="1"/>
  <c r="S2662" i="1"/>
  <c r="T2662" i="1" s="1"/>
  <c r="R2662" i="1"/>
  <c r="Q2662" i="1"/>
  <c r="P2662" i="1"/>
  <c r="W2661" i="1"/>
  <c r="X2661" i="1" s="1"/>
  <c r="Y2661" i="1" s="1"/>
  <c r="Z2661" i="1" s="1"/>
  <c r="V2661" i="1"/>
  <c r="R2661" i="1"/>
  <c r="S2661" i="1" s="1"/>
  <c r="U2661" i="1" s="1"/>
  <c r="Q2661" i="1"/>
  <c r="P2661" i="1"/>
  <c r="U2660" i="1"/>
  <c r="S2660" i="1"/>
  <c r="R2660" i="1"/>
  <c r="Q2660" i="1"/>
  <c r="P2660" i="1"/>
  <c r="S2659" i="1"/>
  <c r="R2659" i="1"/>
  <c r="Q2659" i="1"/>
  <c r="P2659" i="1"/>
  <c r="U2658" i="1"/>
  <c r="R2658" i="1"/>
  <c r="S2658" i="1" s="1"/>
  <c r="Q2658" i="1"/>
  <c r="P2658" i="1"/>
  <c r="R2657" i="1"/>
  <c r="S2657" i="1" s="1"/>
  <c r="Q2657" i="1"/>
  <c r="P2657" i="1"/>
  <c r="R2656" i="1"/>
  <c r="S2656" i="1" s="1"/>
  <c r="Q2656" i="1"/>
  <c r="P2656" i="1"/>
  <c r="S2655" i="1"/>
  <c r="W2655" i="1" s="1"/>
  <c r="X2655" i="1" s="1"/>
  <c r="Y2655" i="1" s="1"/>
  <c r="Z2655" i="1" s="1"/>
  <c r="R2655" i="1"/>
  <c r="Q2655" i="1"/>
  <c r="P2655" i="1"/>
  <c r="U2654" i="1"/>
  <c r="S2654" i="1"/>
  <c r="R2654" i="1"/>
  <c r="Q2654" i="1"/>
  <c r="P2654" i="1"/>
  <c r="V2653" i="1"/>
  <c r="T2653" i="1"/>
  <c r="R2653" i="1"/>
  <c r="S2653" i="1" s="1"/>
  <c r="W2653" i="1" s="1"/>
  <c r="X2653" i="1" s="1"/>
  <c r="Y2653" i="1" s="1"/>
  <c r="Z2653" i="1" s="1"/>
  <c r="Q2653" i="1"/>
  <c r="P2653" i="1"/>
  <c r="W2652" i="1"/>
  <c r="X2652" i="1" s="1"/>
  <c r="Y2652" i="1" s="1"/>
  <c r="Z2652" i="1" s="1"/>
  <c r="V2652" i="1"/>
  <c r="S2652" i="1"/>
  <c r="R2652" i="1"/>
  <c r="Q2652" i="1"/>
  <c r="P2652" i="1"/>
  <c r="W2651" i="1"/>
  <c r="X2651" i="1" s="1"/>
  <c r="Y2651" i="1" s="1"/>
  <c r="Z2651" i="1" s="1"/>
  <c r="V2651" i="1"/>
  <c r="T2651" i="1"/>
  <c r="R2651" i="1"/>
  <c r="S2651" i="1" s="1"/>
  <c r="U2651" i="1" s="1"/>
  <c r="Q2651" i="1"/>
  <c r="P2651" i="1"/>
  <c r="R2650" i="1"/>
  <c r="S2650" i="1" s="1"/>
  <c r="Q2650" i="1"/>
  <c r="P2650" i="1"/>
  <c r="S2649" i="1"/>
  <c r="R2649" i="1"/>
  <c r="Q2649" i="1"/>
  <c r="P2649" i="1"/>
  <c r="S2648" i="1"/>
  <c r="R2648" i="1"/>
  <c r="Q2648" i="1"/>
  <c r="P2648" i="1"/>
  <c r="R2647" i="1"/>
  <c r="S2647" i="1" s="1"/>
  <c r="Q2647" i="1"/>
  <c r="P2647" i="1"/>
  <c r="R2646" i="1"/>
  <c r="S2646" i="1" s="1"/>
  <c r="Q2646" i="1"/>
  <c r="P2646" i="1"/>
  <c r="W2645" i="1"/>
  <c r="X2645" i="1" s="1"/>
  <c r="Y2645" i="1" s="1"/>
  <c r="Z2645" i="1" s="1"/>
  <c r="R2645" i="1"/>
  <c r="S2645" i="1" s="1"/>
  <c r="Q2645" i="1"/>
  <c r="P2645" i="1"/>
  <c r="T2644" i="1"/>
  <c r="S2644" i="1"/>
  <c r="R2644" i="1"/>
  <c r="Q2644" i="1"/>
  <c r="P2644" i="1"/>
  <c r="R2643" i="1"/>
  <c r="S2643" i="1" s="1"/>
  <c r="Q2643" i="1"/>
  <c r="P2643" i="1"/>
  <c r="S2642" i="1"/>
  <c r="R2642" i="1"/>
  <c r="Q2642" i="1"/>
  <c r="P2642" i="1"/>
  <c r="W2641" i="1"/>
  <c r="X2641" i="1" s="1"/>
  <c r="Y2641" i="1" s="1"/>
  <c r="Z2641" i="1" s="1"/>
  <c r="V2641" i="1"/>
  <c r="T2641" i="1"/>
  <c r="S2641" i="1"/>
  <c r="U2641" i="1" s="1"/>
  <c r="R2641" i="1"/>
  <c r="Q2641" i="1"/>
  <c r="P2641" i="1"/>
  <c r="S2640" i="1"/>
  <c r="R2640" i="1"/>
  <c r="Q2640" i="1"/>
  <c r="P2640" i="1"/>
  <c r="T2639" i="1"/>
  <c r="S2639" i="1"/>
  <c r="W2639" i="1" s="1"/>
  <c r="X2639" i="1" s="1"/>
  <c r="Y2639" i="1" s="1"/>
  <c r="Z2639" i="1" s="1"/>
  <c r="R2639" i="1"/>
  <c r="Q2639" i="1"/>
  <c r="P2639" i="1"/>
  <c r="R2638" i="1"/>
  <c r="S2638" i="1" s="1"/>
  <c r="Q2638" i="1"/>
  <c r="P2638" i="1"/>
  <c r="R2637" i="1"/>
  <c r="S2637" i="1" s="1"/>
  <c r="Q2637" i="1"/>
  <c r="P2637" i="1"/>
  <c r="R2636" i="1"/>
  <c r="S2636" i="1" s="1"/>
  <c r="Q2636" i="1"/>
  <c r="P2636" i="1"/>
  <c r="X2635" i="1"/>
  <c r="Y2635" i="1" s="1"/>
  <c r="Z2635" i="1" s="1"/>
  <c r="V2635" i="1"/>
  <c r="U2635" i="1"/>
  <c r="T2635" i="1"/>
  <c r="S2635" i="1"/>
  <c r="W2635" i="1" s="1"/>
  <c r="R2635" i="1"/>
  <c r="Q2635" i="1"/>
  <c r="P2635" i="1"/>
  <c r="Y2634" i="1"/>
  <c r="Z2634" i="1" s="1"/>
  <c r="X2634" i="1"/>
  <c r="W2634" i="1"/>
  <c r="V2634" i="1"/>
  <c r="U2634" i="1"/>
  <c r="S2634" i="1"/>
  <c r="T2634" i="1" s="1"/>
  <c r="R2634" i="1"/>
  <c r="Q2634" i="1"/>
  <c r="P2634" i="1"/>
  <c r="Y2633" i="1"/>
  <c r="Z2633" i="1" s="1"/>
  <c r="W2633" i="1"/>
  <c r="X2633" i="1" s="1"/>
  <c r="V2633" i="1"/>
  <c r="S2633" i="1"/>
  <c r="U2633" i="1" s="1"/>
  <c r="R2633" i="1"/>
  <c r="Q2633" i="1"/>
  <c r="P2633" i="1"/>
  <c r="S2632" i="1"/>
  <c r="R2632" i="1"/>
  <c r="Q2632" i="1"/>
  <c r="P2632" i="1"/>
  <c r="T2631" i="1"/>
  <c r="R2631" i="1"/>
  <c r="S2631" i="1" s="1"/>
  <c r="Q2631" i="1"/>
  <c r="P2631" i="1"/>
  <c r="S2630" i="1"/>
  <c r="R2630" i="1"/>
  <c r="Q2630" i="1"/>
  <c r="P2630" i="1"/>
  <c r="S2629" i="1"/>
  <c r="R2629" i="1"/>
  <c r="Q2629" i="1"/>
  <c r="P2629" i="1"/>
  <c r="R2628" i="1"/>
  <c r="S2628" i="1" s="1"/>
  <c r="Q2628" i="1"/>
  <c r="P2628" i="1"/>
  <c r="X2627" i="1"/>
  <c r="Y2627" i="1" s="1"/>
  <c r="Z2627" i="1" s="1"/>
  <c r="V2627" i="1"/>
  <c r="U2627" i="1"/>
  <c r="T2627" i="1"/>
  <c r="S2627" i="1"/>
  <c r="W2627" i="1" s="1"/>
  <c r="R2627" i="1"/>
  <c r="Q2627" i="1"/>
  <c r="P2627" i="1"/>
  <c r="R2626" i="1"/>
  <c r="S2626" i="1" s="1"/>
  <c r="Q2626" i="1"/>
  <c r="P2626" i="1"/>
  <c r="R2625" i="1"/>
  <c r="S2625" i="1" s="1"/>
  <c r="Q2625" i="1"/>
  <c r="P2625" i="1"/>
  <c r="T2624" i="1"/>
  <c r="S2624" i="1"/>
  <c r="R2624" i="1"/>
  <c r="Q2624" i="1"/>
  <c r="P2624" i="1"/>
  <c r="U2623" i="1"/>
  <c r="T2623" i="1"/>
  <c r="R2623" i="1"/>
  <c r="S2623" i="1" s="1"/>
  <c r="W2623" i="1" s="1"/>
  <c r="X2623" i="1" s="1"/>
  <c r="Y2623" i="1" s="1"/>
  <c r="Z2623" i="1" s="1"/>
  <c r="Q2623" i="1"/>
  <c r="P2623" i="1"/>
  <c r="U2622" i="1"/>
  <c r="T2622" i="1"/>
  <c r="S2622" i="1"/>
  <c r="W2622" i="1" s="1"/>
  <c r="X2622" i="1" s="1"/>
  <c r="Y2622" i="1" s="1"/>
  <c r="Z2622" i="1" s="1"/>
  <c r="R2622" i="1"/>
  <c r="Q2622" i="1"/>
  <c r="P2622" i="1"/>
  <c r="R2621" i="1"/>
  <c r="S2621" i="1" s="1"/>
  <c r="Q2621" i="1"/>
  <c r="P2621" i="1"/>
  <c r="U2620" i="1"/>
  <c r="R2620" i="1"/>
  <c r="S2620" i="1" s="1"/>
  <c r="Q2620" i="1"/>
  <c r="P2620" i="1"/>
  <c r="R2619" i="1"/>
  <c r="S2619" i="1" s="1"/>
  <c r="Q2619" i="1"/>
  <c r="P2619" i="1"/>
  <c r="U2618" i="1"/>
  <c r="T2618" i="1"/>
  <c r="R2618" i="1"/>
  <c r="S2618" i="1" s="1"/>
  <c r="Q2618" i="1"/>
  <c r="P2618" i="1"/>
  <c r="T2617" i="1"/>
  <c r="S2617" i="1"/>
  <c r="R2617" i="1"/>
  <c r="Q2617" i="1"/>
  <c r="P2617" i="1"/>
  <c r="R2616" i="1"/>
  <c r="S2616" i="1" s="1"/>
  <c r="Q2616" i="1"/>
  <c r="P2616" i="1"/>
  <c r="S2615" i="1"/>
  <c r="R2615" i="1"/>
  <c r="Q2615" i="1"/>
  <c r="P2615" i="1"/>
  <c r="S2614" i="1"/>
  <c r="R2614" i="1"/>
  <c r="Q2614" i="1"/>
  <c r="P2614" i="1"/>
  <c r="S2613" i="1"/>
  <c r="R2613" i="1"/>
  <c r="Q2613" i="1"/>
  <c r="P2613" i="1"/>
  <c r="X2612" i="1"/>
  <c r="Y2612" i="1" s="1"/>
  <c r="Z2612" i="1" s="1"/>
  <c r="W2612" i="1"/>
  <c r="U2612" i="1"/>
  <c r="S2612" i="1"/>
  <c r="R2612" i="1"/>
  <c r="Q2612" i="1"/>
  <c r="P2612" i="1"/>
  <c r="X2611" i="1"/>
  <c r="Y2611" i="1" s="1"/>
  <c r="Z2611" i="1" s="1"/>
  <c r="W2611" i="1"/>
  <c r="V2611" i="1"/>
  <c r="U2611" i="1"/>
  <c r="T2611" i="1"/>
  <c r="R2611" i="1"/>
  <c r="S2611" i="1" s="1"/>
  <c r="Q2611" i="1"/>
  <c r="P2611" i="1"/>
  <c r="W2610" i="1"/>
  <c r="X2610" i="1" s="1"/>
  <c r="Y2610" i="1" s="1"/>
  <c r="Z2610" i="1" s="1"/>
  <c r="T2610" i="1"/>
  <c r="S2610" i="1"/>
  <c r="R2610" i="1"/>
  <c r="Q2610" i="1"/>
  <c r="P2610" i="1"/>
  <c r="V2609" i="1"/>
  <c r="S2609" i="1"/>
  <c r="R2609" i="1"/>
  <c r="Q2609" i="1"/>
  <c r="P2609" i="1"/>
  <c r="W2608" i="1"/>
  <c r="X2608" i="1" s="1"/>
  <c r="Y2608" i="1" s="1"/>
  <c r="Z2608" i="1" s="1"/>
  <c r="S2608" i="1"/>
  <c r="U2608" i="1" s="1"/>
  <c r="R2608" i="1"/>
  <c r="Q2608" i="1"/>
  <c r="P2608" i="1"/>
  <c r="U2607" i="1"/>
  <c r="T2607" i="1"/>
  <c r="S2607" i="1"/>
  <c r="W2607" i="1" s="1"/>
  <c r="X2607" i="1" s="1"/>
  <c r="Y2607" i="1" s="1"/>
  <c r="Z2607" i="1" s="1"/>
  <c r="R2607" i="1"/>
  <c r="Q2607" i="1"/>
  <c r="P2607" i="1"/>
  <c r="W2606" i="1"/>
  <c r="X2606" i="1" s="1"/>
  <c r="Y2606" i="1" s="1"/>
  <c r="Z2606" i="1" s="1"/>
  <c r="V2606" i="1"/>
  <c r="T2606" i="1"/>
  <c r="S2606" i="1"/>
  <c r="U2606" i="1" s="1"/>
  <c r="R2606" i="1"/>
  <c r="Q2606" i="1"/>
  <c r="P2606" i="1"/>
  <c r="Z2605" i="1"/>
  <c r="W2605" i="1"/>
  <c r="X2605" i="1" s="1"/>
  <c r="Y2605" i="1" s="1"/>
  <c r="V2605" i="1"/>
  <c r="U2605" i="1"/>
  <c r="S2605" i="1"/>
  <c r="T2605" i="1" s="1"/>
  <c r="R2605" i="1"/>
  <c r="Q2605" i="1"/>
  <c r="P2605" i="1"/>
  <c r="T2604" i="1"/>
  <c r="R2604" i="1"/>
  <c r="S2604" i="1" s="1"/>
  <c r="Q2604" i="1"/>
  <c r="P2604" i="1"/>
  <c r="Z2603" i="1"/>
  <c r="Y2603" i="1"/>
  <c r="X2603" i="1"/>
  <c r="W2603" i="1"/>
  <c r="V2603" i="1"/>
  <c r="U2603" i="1"/>
  <c r="R2603" i="1"/>
  <c r="S2603" i="1" s="1"/>
  <c r="T2603" i="1" s="1"/>
  <c r="Q2603" i="1"/>
  <c r="P2603" i="1"/>
  <c r="S2602" i="1"/>
  <c r="R2602" i="1"/>
  <c r="Q2602" i="1"/>
  <c r="P2602" i="1"/>
  <c r="R2601" i="1"/>
  <c r="S2601" i="1" s="1"/>
  <c r="Q2601" i="1"/>
  <c r="P2601" i="1"/>
  <c r="S2600" i="1"/>
  <c r="R2600" i="1"/>
  <c r="Q2600" i="1"/>
  <c r="P2600" i="1"/>
  <c r="V2599" i="1"/>
  <c r="U2599" i="1"/>
  <c r="S2599" i="1"/>
  <c r="R2599" i="1"/>
  <c r="Q2599" i="1"/>
  <c r="P2599" i="1"/>
  <c r="W2598" i="1"/>
  <c r="X2598" i="1" s="1"/>
  <c r="Y2598" i="1" s="1"/>
  <c r="Z2598" i="1" s="1"/>
  <c r="U2598" i="1"/>
  <c r="S2598" i="1"/>
  <c r="R2598" i="1"/>
  <c r="Q2598" i="1"/>
  <c r="P2598" i="1"/>
  <c r="W2597" i="1"/>
  <c r="X2597" i="1" s="1"/>
  <c r="Y2597" i="1" s="1"/>
  <c r="Z2597" i="1" s="1"/>
  <c r="S2597" i="1"/>
  <c r="T2597" i="1" s="1"/>
  <c r="R2597" i="1"/>
  <c r="Q2597" i="1"/>
  <c r="P2597" i="1"/>
  <c r="R2596" i="1"/>
  <c r="S2596" i="1" s="1"/>
  <c r="Q2596" i="1"/>
  <c r="P2596" i="1"/>
  <c r="S2595" i="1"/>
  <c r="R2595" i="1"/>
  <c r="Q2595" i="1"/>
  <c r="P2595" i="1"/>
  <c r="W2594" i="1"/>
  <c r="X2594" i="1" s="1"/>
  <c r="Y2594" i="1" s="1"/>
  <c r="Z2594" i="1" s="1"/>
  <c r="V2594" i="1"/>
  <c r="S2594" i="1"/>
  <c r="U2594" i="1" s="1"/>
  <c r="R2594" i="1"/>
  <c r="Q2594" i="1"/>
  <c r="P2594" i="1"/>
  <c r="U2593" i="1"/>
  <c r="T2593" i="1"/>
  <c r="R2593" i="1"/>
  <c r="S2593" i="1" s="1"/>
  <c r="V2593" i="1" s="1"/>
  <c r="Q2593" i="1"/>
  <c r="P2593" i="1"/>
  <c r="S2592" i="1"/>
  <c r="R2592" i="1"/>
  <c r="Q2592" i="1"/>
  <c r="P2592" i="1"/>
  <c r="R2591" i="1"/>
  <c r="S2591" i="1" s="1"/>
  <c r="Q2591" i="1"/>
  <c r="P2591" i="1"/>
  <c r="S2590" i="1"/>
  <c r="R2590" i="1"/>
  <c r="Q2590" i="1"/>
  <c r="P2590" i="1"/>
  <c r="U2589" i="1"/>
  <c r="T2589" i="1"/>
  <c r="R2589" i="1"/>
  <c r="S2589" i="1" s="1"/>
  <c r="Q2589" i="1"/>
  <c r="P2589" i="1"/>
  <c r="U2588" i="1"/>
  <c r="T2588" i="1"/>
  <c r="S2588" i="1"/>
  <c r="W2588" i="1" s="1"/>
  <c r="X2588" i="1" s="1"/>
  <c r="Y2588" i="1" s="1"/>
  <c r="Z2588" i="1" s="1"/>
  <c r="R2588" i="1"/>
  <c r="Q2588" i="1"/>
  <c r="P2588" i="1"/>
  <c r="V2587" i="1"/>
  <c r="T2587" i="1"/>
  <c r="S2587" i="1"/>
  <c r="U2587" i="1" s="1"/>
  <c r="R2587" i="1"/>
  <c r="Q2587" i="1"/>
  <c r="P2587" i="1"/>
  <c r="R2586" i="1"/>
  <c r="S2586" i="1" s="1"/>
  <c r="Q2586" i="1"/>
  <c r="P2586" i="1"/>
  <c r="R2585" i="1"/>
  <c r="S2585" i="1" s="1"/>
  <c r="Q2585" i="1"/>
  <c r="P2585" i="1"/>
  <c r="V2584" i="1"/>
  <c r="S2584" i="1"/>
  <c r="R2584" i="1"/>
  <c r="Q2584" i="1"/>
  <c r="P2584" i="1"/>
  <c r="R2583" i="1"/>
  <c r="S2583" i="1" s="1"/>
  <c r="Q2583" i="1"/>
  <c r="P2583" i="1"/>
  <c r="V2582" i="1"/>
  <c r="U2582" i="1"/>
  <c r="R2582" i="1"/>
  <c r="S2582" i="1" s="1"/>
  <c r="T2582" i="1" s="1"/>
  <c r="Q2582" i="1"/>
  <c r="P2582" i="1"/>
  <c r="Y2581" i="1"/>
  <c r="Z2581" i="1" s="1"/>
  <c r="W2581" i="1"/>
  <c r="X2581" i="1" s="1"/>
  <c r="V2581" i="1"/>
  <c r="U2581" i="1"/>
  <c r="T2581" i="1"/>
  <c r="S2581" i="1"/>
  <c r="R2581" i="1"/>
  <c r="Q2581" i="1"/>
  <c r="P2581" i="1"/>
  <c r="S2580" i="1"/>
  <c r="R2580" i="1"/>
  <c r="Q2580" i="1"/>
  <c r="P2580" i="1"/>
  <c r="R2579" i="1"/>
  <c r="S2579" i="1" s="1"/>
  <c r="Q2579" i="1"/>
  <c r="P2579" i="1"/>
  <c r="R2578" i="1"/>
  <c r="S2578" i="1" s="1"/>
  <c r="Q2578" i="1"/>
  <c r="P2578" i="1"/>
  <c r="V2577" i="1"/>
  <c r="U2577" i="1"/>
  <c r="T2577" i="1"/>
  <c r="R2577" i="1"/>
  <c r="S2577" i="1" s="1"/>
  <c r="W2577" i="1" s="1"/>
  <c r="X2577" i="1" s="1"/>
  <c r="Y2577" i="1" s="1"/>
  <c r="Z2577" i="1" s="1"/>
  <c r="Q2577" i="1"/>
  <c r="P2577" i="1"/>
  <c r="W2576" i="1"/>
  <c r="X2576" i="1" s="1"/>
  <c r="Y2576" i="1" s="1"/>
  <c r="Z2576" i="1" s="1"/>
  <c r="U2576" i="1"/>
  <c r="T2576" i="1"/>
  <c r="R2576" i="1"/>
  <c r="S2576" i="1" s="1"/>
  <c r="V2576" i="1" s="1"/>
  <c r="Q2576" i="1"/>
  <c r="P2576" i="1"/>
  <c r="R2575" i="1"/>
  <c r="S2575" i="1" s="1"/>
  <c r="Q2575" i="1"/>
  <c r="P2575" i="1"/>
  <c r="W2574" i="1"/>
  <c r="X2574" i="1" s="1"/>
  <c r="Y2574" i="1" s="1"/>
  <c r="Z2574" i="1" s="1"/>
  <c r="V2574" i="1"/>
  <c r="T2574" i="1"/>
  <c r="S2574" i="1"/>
  <c r="U2574" i="1" s="1"/>
  <c r="R2574" i="1"/>
  <c r="Q2574" i="1"/>
  <c r="P2574" i="1"/>
  <c r="W2573" i="1"/>
  <c r="X2573" i="1" s="1"/>
  <c r="Y2573" i="1" s="1"/>
  <c r="Z2573" i="1" s="1"/>
  <c r="V2573" i="1"/>
  <c r="R2573" i="1"/>
  <c r="S2573" i="1" s="1"/>
  <c r="U2573" i="1" s="1"/>
  <c r="Q2573" i="1"/>
  <c r="P2573" i="1"/>
  <c r="V2572" i="1"/>
  <c r="T2572" i="1"/>
  <c r="S2572" i="1"/>
  <c r="R2572" i="1"/>
  <c r="Q2572" i="1"/>
  <c r="P2572" i="1"/>
  <c r="R2571" i="1"/>
  <c r="S2571" i="1" s="1"/>
  <c r="Q2571" i="1"/>
  <c r="P2571" i="1"/>
  <c r="R2570" i="1"/>
  <c r="S2570" i="1" s="1"/>
  <c r="Q2570" i="1"/>
  <c r="P2570" i="1"/>
  <c r="R2569" i="1"/>
  <c r="S2569" i="1" s="1"/>
  <c r="Q2569" i="1"/>
  <c r="P2569" i="1"/>
  <c r="W2568" i="1"/>
  <c r="X2568" i="1" s="1"/>
  <c r="Y2568" i="1" s="1"/>
  <c r="Z2568" i="1" s="1"/>
  <c r="U2568" i="1"/>
  <c r="R2568" i="1"/>
  <c r="S2568" i="1" s="1"/>
  <c r="Q2568" i="1"/>
  <c r="P2568" i="1"/>
  <c r="T2567" i="1"/>
  <c r="S2567" i="1"/>
  <c r="U2567" i="1" s="1"/>
  <c r="R2567" i="1"/>
  <c r="Q2567" i="1"/>
  <c r="P2567" i="1"/>
  <c r="R2566" i="1"/>
  <c r="S2566" i="1" s="1"/>
  <c r="Q2566" i="1"/>
  <c r="P2566" i="1"/>
  <c r="S2565" i="1"/>
  <c r="R2565" i="1"/>
  <c r="Q2565" i="1"/>
  <c r="P2565" i="1"/>
  <c r="S2564" i="1"/>
  <c r="W2564" i="1" s="1"/>
  <c r="X2564" i="1" s="1"/>
  <c r="Y2564" i="1" s="1"/>
  <c r="Z2564" i="1" s="1"/>
  <c r="R2564" i="1"/>
  <c r="Q2564" i="1"/>
  <c r="P2564" i="1"/>
  <c r="S2563" i="1"/>
  <c r="R2563" i="1"/>
  <c r="Q2563" i="1"/>
  <c r="P2563" i="1"/>
  <c r="R2562" i="1"/>
  <c r="S2562" i="1" s="1"/>
  <c r="Q2562" i="1"/>
  <c r="P2562" i="1"/>
  <c r="R2561" i="1"/>
  <c r="S2561" i="1" s="1"/>
  <c r="Q2561" i="1"/>
  <c r="P2561" i="1"/>
  <c r="R2560" i="1"/>
  <c r="S2560" i="1" s="1"/>
  <c r="Q2560" i="1"/>
  <c r="P2560" i="1"/>
  <c r="Y2559" i="1"/>
  <c r="Z2559" i="1" s="1"/>
  <c r="W2559" i="1"/>
  <c r="X2559" i="1" s="1"/>
  <c r="R2559" i="1"/>
  <c r="S2559" i="1" s="1"/>
  <c r="Q2559" i="1"/>
  <c r="P2559" i="1"/>
  <c r="R2558" i="1"/>
  <c r="S2558" i="1" s="1"/>
  <c r="Q2558" i="1"/>
  <c r="P2558" i="1"/>
  <c r="R2557" i="1"/>
  <c r="S2557" i="1" s="1"/>
  <c r="Q2557" i="1"/>
  <c r="P2557" i="1"/>
  <c r="U2556" i="1"/>
  <c r="T2556" i="1"/>
  <c r="R2556" i="1"/>
  <c r="S2556" i="1" s="1"/>
  <c r="W2556" i="1" s="1"/>
  <c r="X2556" i="1" s="1"/>
  <c r="Y2556" i="1" s="1"/>
  <c r="Z2556" i="1" s="1"/>
  <c r="Q2556" i="1"/>
  <c r="P2556" i="1"/>
  <c r="W2555" i="1"/>
  <c r="X2555" i="1" s="1"/>
  <c r="Y2555" i="1" s="1"/>
  <c r="Z2555" i="1" s="1"/>
  <c r="V2555" i="1"/>
  <c r="U2555" i="1"/>
  <c r="T2555" i="1"/>
  <c r="S2555" i="1"/>
  <c r="R2555" i="1"/>
  <c r="Q2555" i="1"/>
  <c r="P2555" i="1"/>
  <c r="T2554" i="1"/>
  <c r="S2554" i="1"/>
  <c r="R2554" i="1"/>
  <c r="Q2554" i="1"/>
  <c r="P2554" i="1"/>
  <c r="X2553" i="1"/>
  <c r="Y2553" i="1" s="1"/>
  <c r="Z2553" i="1" s="1"/>
  <c r="W2553" i="1"/>
  <c r="V2553" i="1"/>
  <c r="U2553" i="1"/>
  <c r="T2553" i="1"/>
  <c r="R2553" i="1"/>
  <c r="S2553" i="1" s="1"/>
  <c r="Q2553" i="1"/>
  <c r="P2553" i="1"/>
  <c r="U2552" i="1"/>
  <c r="T2552" i="1"/>
  <c r="R2552" i="1"/>
  <c r="S2552" i="1" s="1"/>
  <c r="W2552" i="1" s="1"/>
  <c r="X2552" i="1" s="1"/>
  <c r="Y2552" i="1" s="1"/>
  <c r="Z2552" i="1" s="1"/>
  <c r="Q2552" i="1"/>
  <c r="P2552" i="1"/>
  <c r="W2551" i="1"/>
  <c r="X2551" i="1" s="1"/>
  <c r="Y2551" i="1" s="1"/>
  <c r="Z2551" i="1" s="1"/>
  <c r="V2551" i="1"/>
  <c r="S2551" i="1"/>
  <c r="R2551" i="1"/>
  <c r="Q2551" i="1"/>
  <c r="P2551" i="1"/>
  <c r="S2550" i="1"/>
  <c r="R2550" i="1"/>
  <c r="Q2550" i="1"/>
  <c r="P2550" i="1"/>
  <c r="S2549" i="1"/>
  <c r="R2549" i="1"/>
  <c r="Q2549" i="1"/>
  <c r="P2549" i="1"/>
  <c r="Y2548" i="1"/>
  <c r="Z2548" i="1" s="1"/>
  <c r="V2548" i="1"/>
  <c r="S2548" i="1"/>
  <c r="W2548" i="1" s="1"/>
  <c r="X2548" i="1" s="1"/>
  <c r="R2548" i="1"/>
  <c r="Q2548" i="1"/>
  <c r="P2548" i="1"/>
  <c r="W2547" i="1"/>
  <c r="X2547" i="1" s="1"/>
  <c r="Y2547" i="1" s="1"/>
  <c r="Z2547" i="1" s="1"/>
  <c r="U2547" i="1"/>
  <c r="T2547" i="1"/>
  <c r="S2547" i="1"/>
  <c r="V2547" i="1" s="1"/>
  <c r="R2547" i="1"/>
  <c r="Q2547" i="1"/>
  <c r="P2547" i="1"/>
  <c r="U2546" i="1"/>
  <c r="T2546" i="1"/>
  <c r="S2546" i="1"/>
  <c r="R2546" i="1"/>
  <c r="Q2546" i="1"/>
  <c r="P2546" i="1"/>
  <c r="W2545" i="1"/>
  <c r="X2545" i="1" s="1"/>
  <c r="Y2545" i="1" s="1"/>
  <c r="Z2545" i="1" s="1"/>
  <c r="V2545" i="1"/>
  <c r="U2545" i="1"/>
  <c r="S2545" i="1"/>
  <c r="T2545" i="1" s="1"/>
  <c r="R2545" i="1"/>
  <c r="Q2545" i="1"/>
  <c r="P2545" i="1"/>
  <c r="S2544" i="1"/>
  <c r="W2544" i="1" s="1"/>
  <c r="X2544" i="1" s="1"/>
  <c r="Y2544" i="1" s="1"/>
  <c r="Z2544" i="1" s="1"/>
  <c r="R2544" i="1"/>
  <c r="Q2544" i="1"/>
  <c r="P2544" i="1"/>
  <c r="X2543" i="1"/>
  <c r="Y2543" i="1" s="1"/>
  <c r="Z2543" i="1" s="1"/>
  <c r="W2543" i="1"/>
  <c r="U2543" i="1"/>
  <c r="T2543" i="1"/>
  <c r="S2543" i="1"/>
  <c r="V2543" i="1" s="1"/>
  <c r="R2543" i="1"/>
  <c r="Q2543" i="1"/>
  <c r="P2543" i="1"/>
  <c r="W2542" i="1"/>
  <c r="X2542" i="1" s="1"/>
  <c r="Y2542" i="1" s="1"/>
  <c r="Z2542" i="1" s="1"/>
  <c r="V2542" i="1"/>
  <c r="R2542" i="1"/>
  <c r="S2542" i="1" s="1"/>
  <c r="T2542" i="1" s="1"/>
  <c r="Q2542" i="1"/>
  <c r="P2542" i="1"/>
  <c r="W2541" i="1"/>
  <c r="X2541" i="1" s="1"/>
  <c r="Y2541" i="1" s="1"/>
  <c r="Z2541" i="1" s="1"/>
  <c r="U2541" i="1"/>
  <c r="T2541" i="1"/>
  <c r="S2541" i="1"/>
  <c r="V2541" i="1" s="1"/>
  <c r="R2541" i="1"/>
  <c r="Q2541" i="1"/>
  <c r="P2541" i="1"/>
  <c r="S2540" i="1"/>
  <c r="R2540" i="1"/>
  <c r="Q2540" i="1"/>
  <c r="P2540" i="1"/>
  <c r="Y2539" i="1"/>
  <c r="Z2539" i="1" s="1"/>
  <c r="X2539" i="1"/>
  <c r="W2539" i="1"/>
  <c r="V2539" i="1"/>
  <c r="S2539" i="1"/>
  <c r="U2539" i="1" s="1"/>
  <c r="R2539" i="1"/>
  <c r="Q2539" i="1"/>
  <c r="P2539" i="1"/>
  <c r="R2538" i="1"/>
  <c r="S2538" i="1" s="1"/>
  <c r="Q2538" i="1"/>
  <c r="P2538" i="1"/>
  <c r="W2537" i="1"/>
  <c r="X2537" i="1" s="1"/>
  <c r="Y2537" i="1" s="1"/>
  <c r="Z2537" i="1" s="1"/>
  <c r="S2537" i="1"/>
  <c r="V2537" i="1" s="1"/>
  <c r="R2537" i="1"/>
  <c r="Q2537" i="1"/>
  <c r="P2537" i="1"/>
  <c r="V2536" i="1"/>
  <c r="R2536" i="1"/>
  <c r="S2536" i="1" s="1"/>
  <c r="Q2536" i="1"/>
  <c r="P2536" i="1"/>
  <c r="S2535" i="1"/>
  <c r="R2535" i="1"/>
  <c r="Q2535" i="1"/>
  <c r="P2535" i="1"/>
  <c r="W2534" i="1"/>
  <c r="X2534" i="1" s="1"/>
  <c r="Y2534" i="1" s="1"/>
  <c r="Z2534" i="1" s="1"/>
  <c r="R2534" i="1"/>
  <c r="S2534" i="1" s="1"/>
  <c r="Q2534" i="1"/>
  <c r="P2534" i="1"/>
  <c r="T2533" i="1"/>
  <c r="R2533" i="1"/>
  <c r="S2533" i="1" s="1"/>
  <c r="Q2533" i="1"/>
  <c r="P2533" i="1"/>
  <c r="R2532" i="1"/>
  <c r="S2532" i="1" s="1"/>
  <c r="Q2532" i="1"/>
  <c r="P2532" i="1"/>
  <c r="W2531" i="1"/>
  <c r="X2531" i="1" s="1"/>
  <c r="Y2531" i="1" s="1"/>
  <c r="Z2531" i="1" s="1"/>
  <c r="V2531" i="1"/>
  <c r="S2531" i="1"/>
  <c r="R2531" i="1"/>
  <c r="Q2531" i="1"/>
  <c r="P2531" i="1"/>
  <c r="R2530" i="1"/>
  <c r="S2530" i="1" s="1"/>
  <c r="Q2530" i="1"/>
  <c r="P2530" i="1"/>
  <c r="R2529" i="1"/>
  <c r="S2529" i="1" s="1"/>
  <c r="Q2529" i="1"/>
  <c r="P2529" i="1"/>
  <c r="U2528" i="1"/>
  <c r="R2528" i="1"/>
  <c r="S2528" i="1" s="1"/>
  <c r="Q2528" i="1"/>
  <c r="P2528" i="1"/>
  <c r="S2527" i="1"/>
  <c r="R2527" i="1"/>
  <c r="Q2527" i="1"/>
  <c r="P2527" i="1"/>
  <c r="U2526" i="1"/>
  <c r="R2526" i="1"/>
  <c r="S2526" i="1" s="1"/>
  <c r="Q2526" i="1"/>
  <c r="P2526" i="1"/>
  <c r="R2525" i="1"/>
  <c r="S2525" i="1" s="1"/>
  <c r="Q2525" i="1"/>
  <c r="P2525" i="1"/>
  <c r="U2524" i="1"/>
  <c r="T2524" i="1"/>
  <c r="S2524" i="1"/>
  <c r="W2524" i="1" s="1"/>
  <c r="X2524" i="1" s="1"/>
  <c r="Y2524" i="1" s="1"/>
  <c r="Z2524" i="1" s="1"/>
  <c r="R2524" i="1"/>
  <c r="Q2524" i="1"/>
  <c r="P2524" i="1"/>
  <c r="R2523" i="1"/>
  <c r="S2523" i="1" s="1"/>
  <c r="Q2523" i="1"/>
  <c r="P2523" i="1"/>
  <c r="V2522" i="1"/>
  <c r="U2522" i="1"/>
  <c r="R2522" i="1"/>
  <c r="S2522" i="1" s="1"/>
  <c r="T2522" i="1" s="1"/>
  <c r="Q2522" i="1"/>
  <c r="P2522" i="1"/>
  <c r="T2521" i="1"/>
  <c r="S2521" i="1"/>
  <c r="R2521" i="1"/>
  <c r="Q2521" i="1"/>
  <c r="P2521" i="1"/>
  <c r="S2520" i="1"/>
  <c r="R2520" i="1"/>
  <c r="Q2520" i="1"/>
  <c r="P2520" i="1"/>
  <c r="T2519" i="1"/>
  <c r="R2519" i="1"/>
  <c r="S2519" i="1" s="1"/>
  <c r="Q2519" i="1"/>
  <c r="P2519" i="1"/>
  <c r="S2518" i="1"/>
  <c r="R2518" i="1"/>
  <c r="Q2518" i="1"/>
  <c r="P2518" i="1"/>
  <c r="R2517" i="1"/>
  <c r="S2517" i="1" s="1"/>
  <c r="Q2517" i="1"/>
  <c r="P2517" i="1"/>
  <c r="S2516" i="1"/>
  <c r="R2516" i="1"/>
  <c r="Q2516" i="1"/>
  <c r="P2516" i="1"/>
  <c r="U2515" i="1"/>
  <c r="T2515" i="1"/>
  <c r="R2515" i="1"/>
  <c r="S2515" i="1" s="1"/>
  <c r="W2515" i="1" s="1"/>
  <c r="X2515" i="1" s="1"/>
  <c r="Y2515" i="1" s="1"/>
  <c r="Z2515" i="1" s="1"/>
  <c r="Q2515" i="1"/>
  <c r="P2515" i="1"/>
  <c r="R2514" i="1"/>
  <c r="S2514" i="1" s="1"/>
  <c r="Q2514" i="1"/>
  <c r="P2514" i="1"/>
  <c r="R2513" i="1"/>
  <c r="S2513" i="1" s="1"/>
  <c r="Q2513" i="1"/>
  <c r="P2513" i="1"/>
  <c r="V2512" i="1"/>
  <c r="R2512" i="1"/>
  <c r="S2512" i="1" s="1"/>
  <c r="Q2512" i="1"/>
  <c r="P2512" i="1"/>
  <c r="R2511" i="1"/>
  <c r="S2511" i="1" s="1"/>
  <c r="Q2511" i="1"/>
  <c r="P2511" i="1"/>
  <c r="R2510" i="1"/>
  <c r="S2510" i="1" s="1"/>
  <c r="Q2510" i="1"/>
  <c r="P2510" i="1"/>
  <c r="R2509" i="1"/>
  <c r="S2509" i="1" s="1"/>
  <c r="Q2509" i="1"/>
  <c r="P2509" i="1"/>
  <c r="V2508" i="1"/>
  <c r="R2508" i="1"/>
  <c r="S2508" i="1" s="1"/>
  <c r="Q2508" i="1"/>
  <c r="P2508" i="1"/>
  <c r="W2507" i="1"/>
  <c r="X2507" i="1" s="1"/>
  <c r="Y2507" i="1" s="1"/>
  <c r="Z2507" i="1" s="1"/>
  <c r="V2507" i="1"/>
  <c r="U2507" i="1"/>
  <c r="S2507" i="1"/>
  <c r="T2507" i="1" s="1"/>
  <c r="R2507" i="1"/>
  <c r="Q2507" i="1"/>
  <c r="P2507" i="1"/>
  <c r="S2506" i="1"/>
  <c r="R2506" i="1"/>
  <c r="Q2506" i="1"/>
  <c r="P2506" i="1"/>
  <c r="X2505" i="1"/>
  <c r="Y2505" i="1" s="1"/>
  <c r="Z2505" i="1" s="1"/>
  <c r="V2505" i="1"/>
  <c r="U2505" i="1"/>
  <c r="T2505" i="1"/>
  <c r="S2505" i="1"/>
  <c r="W2505" i="1" s="1"/>
  <c r="R2505" i="1"/>
  <c r="Q2505" i="1"/>
  <c r="P2505" i="1"/>
  <c r="W2504" i="1"/>
  <c r="X2504" i="1" s="1"/>
  <c r="Y2504" i="1" s="1"/>
  <c r="Z2504" i="1" s="1"/>
  <c r="T2504" i="1"/>
  <c r="S2504" i="1"/>
  <c r="R2504" i="1"/>
  <c r="Q2504" i="1"/>
  <c r="P2504" i="1"/>
  <c r="V2503" i="1"/>
  <c r="U2503" i="1"/>
  <c r="S2503" i="1"/>
  <c r="T2503" i="1" s="1"/>
  <c r="R2503" i="1"/>
  <c r="Q2503" i="1"/>
  <c r="P2503" i="1"/>
  <c r="V2502" i="1"/>
  <c r="U2502" i="1"/>
  <c r="R2502" i="1"/>
  <c r="S2502" i="1" s="1"/>
  <c r="Q2502" i="1"/>
  <c r="P2502" i="1"/>
  <c r="S2501" i="1"/>
  <c r="R2501" i="1"/>
  <c r="Q2501" i="1"/>
  <c r="P2501" i="1"/>
  <c r="R2500" i="1"/>
  <c r="S2500" i="1" s="1"/>
  <c r="Q2500" i="1"/>
  <c r="P2500" i="1"/>
  <c r="X2499" i="1"/>
  <c r="Y2499" i="1" s="1"/>
  <c r="Z2499" i="1" s="1"/>
  <c r="W2499" i="1"/>
  <c r="U2499" i="1"/>
  <c r="T2499" i="1"/>
  <c r="S2499" i="1"/>
  <c r="V2499" i="1" s="1"/>
  <c r="R2499" i="1"/>
  <c r="Q2499" i="1"/>
  <c r="P2499" i="1"/>
  <c r="R2498" i="1"/>
  <c r="S2498" i="1" s="1"/>
  <c r="Q2498" i="1"/>
  <c r="P2498" i="1"/>
  <c r="X2497" i="1"/>
  <c r="Y2497" i="1" s="1"/>
  <c r="Z2497" i="1" s="1"/>
  <c r="W2497" i="1"/>
  <c r="V2497" i="1"/>
  <c r="U2497" i="1"/>
  <c r="T2497" i="1"/>
  <c r="S2497" i="1"/>
  <c r="R2497" i="1"/>
  <c r="Q2497" i="1"/>
  <c r="P2497" i="1"/>
  <c r="T2496" i="1"/>
  <c r="R2496" i="1"/>
  <c r="S2496" i="1" s="1"/>
  <c r="Q2496" i="1"/>
  <c r="P2496" i="1"/>
  <c r="U2495" i="1"/>
  <c r="T2495" i="1"/>
  <c r="S2495" i="1"/>
  <c r="W2495" i="1" s="1"/>
  <c r="X2495" i="1" s="1"/>
  <c r="Y2495" i="1" s="1"/>
  <c r="Z2495" i="1" s="1"/>
  <c r="R2495" i="1"/>
  <c r="Q2495" i="1"/>
  <c r="P2495" i="1"/>
  <c r="S2494" i="1"/>
  <c r="R2494" i="1"/>
  <c r="Q2494" i="1"/>
  <c r="P2494" i="1"/>
  <c r="Z2493" i="1"/>
  <c r="X2493" i="1"/>
  <c r="Y2493" i="1" s="1"/>
  <c r="W2493" i="1"/>
  <c r="V2493" i="1"/>
  <c r="U2493" i="1"/>
  <c r="T2493" i="1"/>
  <c r="R2493" i="1"/>
  <c r="S2493" i="1" s="1"/>
  <c r="Q2493" i="1"/>
  <c r="P2493" i="1"/>
  <c r="R2492" i="1"/>
  <c r="S2492" i="1" s="1"/>
  <c r="Q2492" i="1"/>
  <c r="P2492" i="1"/>
  <c r="X2491" i="1"/>
  <c r="Y2491" i="1" s="1"/>
  <c r="Z2491" i="1" s="1"/>
  <c r="W2491" i="1"/>
  <c r="V2491" i="1"/>
  <c r="S2491" i="1"/>
  <c r="R2491" i="1"/>
  <c r="Q2491" i="1"/>
  <c r="P2491" i="1"/>
  <c r="Z2490" i="1"/>
  <c r="W2490" i="1"/>
  <c r="X2490" i="1" s="1"/>
  <c r="Y2490" i="1" s="1"/>
  <c r="V2490" i="1"/>
  <c r="S2490" i="1"/>
  <c r="R2490" i="1"/>
  <c r="Q2490" i="1"/>
  <c r="P2490" i="1"/>
  <c r="U2489" i="1"/>
  <c r="T2489" i="1"/>
  <c r="S2489" i="1"/>
  <c r="R2489" i="1"/>
  <c r="Q2489" i="1"/>
  <c r="P2489" i="1"/>
  <c r="R2488" i="1"/>
  <c r="S2488" i="1" s="1"/>
  <c r="Q2488" i="1"/>
  <c r="P2488" i="1"/>
  <c r="R2487" i="1"/>
  <c r="S2487" i="1" s="1"/>
  <c r="Q2487" i="1"/>
  <c r="P2487" i="1"/>
  <c r="X2486" i="1"/>
  <c r="Y2486" i="1" s="1"/>
  <c r="Z2486" i="1" s="1"/>
  <c r="W2486" i="1"/>
  <c r="V2486" i="1"/>
  <c r="U2486" i="1"/>
  <c r="T2486" i="1"/>
  <c r="S2486" i="1"/>
  <c r="R2486" i="1"/>
  <c r="Q2486" i="1"/>
  <c r="P2486" i="1"/>
  <c r="S2485" i="1"/>
  <c r="R2485" i="1"/>
  <c r="Q2485" i="1"/>
  <c r="P2485" i="1"/>
  <c r="S2484" i="1"/>
  <c r="R2484" i="1"/>
  <c r="Q2484" i="1"/>
  <c r="P2484" i="1"/>
  <c r="R2483" i="1"/>
  <c r="S2483" i="1" s="1"/>
  <c r="Q2483" i="1"/>
  <c r="P2483" i="1"/>
  <c r="R2482" i="1"/>
  <c r="S2482" i="1" s="1"/>
  <c r="Q2482" i="1"/>
  <c r="P2482" i="1"/>
  <c r="S2481" i="1"/>
  <c r="R2481" i="1"/>
  <c r="Q2481" i="1"/>
  <c r="P2481" i="1"/>
  <c r="S2480" i="1"/>
  <c r="R2480" i="1"/>
  <c r="Q2480" i="1"/>
  <c r="P2480" i="1"/>
  <c r="R2479" i="1"/>
  <c r="S2479" i="1" s="1"/>
  <c r="Q2479" i="1"/>
  <c r="P2479" i="1"/>
  <c r="Y2478" i="1"/>
  <c r="Z2478" i="1" s="1"/>
  <c r="W2478" i="1"/>
  <c r="X2478" i="1" s="1"/>
  <c r="V2478" i="1"/>
  <c r="U2478" i="1"/>
  <c r="T2478" i="1"/>
  <c r="S2478" i="1"/>
  <c r="R2478" i="1"/>
  <c r="Q2478" i="1"/>
  <c r="P2478" i="1"/>
  <c r="R2477" i="1"/>
  <c r="S2477" i="1" s="1"/>
  <c r="Q2477" i="1"/>
  <c r="P2477" i="1"/>
  <c r="V2476" i="1"/>
  <c r="R2476" i="1"/>
  <c r="S2476" i="1" s="1"/>
  <c r="Q2476" i="1"/>
  <c r="P2476" i="1"/>
  <c r="S2475" i="1"/>
  <c r="R2475" i="1"/>
  <c r="Q2475" i="1"/>
  <c r="P2475" i="1"/>
  <c r="X2474" i="1"/>
  <c r="Y2474" i="1" s="1"/>
  <c r="Z2474" i="1" s="1"/>
  <c r="W2474" i="1"/>
  <c r="T2474" i="1"/>
  <c r="S2474" i="1"/>
  <c r="V2474" i="1" s="1"/>
  <c r="R2474" i="1"/>
  <c r="Q2474" i="1"/>
  <c r="P2474" i="1"/>
  <c r="S2473" i="1"/>
  <c r="W2473" i="1" s="1"/>
  <c r="X2473" i="1" s="1"/>
  <c r="Y2473" i="1" s="1"/>
  <c r="Z2473" i="1" s="1"/>
  <c r="R2473" i="1"/>
  <c r="Q2473" i="1"/>
  <c r="P2473" i="1"/>
  <c r="S2472" i="1"/>
  <c r="R2472" i="1"/>
  <c r="Q2472" i="1"/>
  <c r="P2472" i="1"/>
  <c r="S2471" i="1"/>
  <c r="R2471" i="1"/>
  <c r="Q2471" i="1"/>
  <c r="P2471" i="1"/>
  <c r="U2470" i="1"/>
  <c r="T2470" i="1"/>
  <c r="R2470" i="1"/>
  <c r="S2470" i="1" s="1"/>
  <c r="Q2470" i="1"/>
  <c r="P2470" i="1"/>
  <c r="S2469" i="1"/>
  <c r="V2469" i="1" s="1"/>
  <c r="R2469" i="1"/>
  <c r="Q2469" i="1"/>
  <c r="P2469" i="1"/>
  <c r="W2468" i="1"/>
  <c r="X2468" i="1" s="1"/>
  <c r="Y2468" i="1" s="1"/>
  <c r="Z2468" i="1" s="1"/>
  <c r="U2468" i="1"/>
  <c r="T2468" i="1"/>
  <c r="R2468" i="1"/>
  <c r="S2468" i="1" s="1"/>
  <c r="V2468" i="1" s="1"/>
  <c r="Q2468" i="1"/>
  <c r="P2468" i="1"/>
  <c r="X2467" i="1"/>
  <c r="Y2467" i="1" s="1"/>
  <c r="Z2467" i="1" s="1"/>
  <c r="W2467" i="1"/>
  <c r="V2467" i="1"/>
  <c r="U2467" i="1"/>
  <c r="T2467" i="1"/>
  <c r="S2467" i="1"/>
  <c r="R2467" i="1"/>
  <c r="Q2467" i="1"/>
  <c r="P2467" i="1"/>
  <c r="R2466" i="1"/>
  <c r="S2466" i="1" s="1"/>
  <c r="Q2466" i="1"/>
  <c r="P2466" i="1"/>
  <c r="V2465" i="1"/>
  <c r="S2465" i="1"/>
  <c r="R2465" i="1"/>
  <c r="Q2465" i="1"/>
  <c r="P2465" i="1"/>
  <c r="V2464" i="1"/>
  <c r="U2464" i="1"/>
  <c r="R2464" i="1"/>
  <c r="S2464" i="1" s="1"/>
  <c r="Q2464" i="1"/>
  <c r="P2464" i="1"/>
  <c r="R2463" i="1"/>
  <c r="S2463" i="1" s="1"/>
  <c r="Q2463" i="1"/>
  <c r="P2463" i="1"/>
  <c r="S2462" i="1"/>
  <c r="W2462" i="1" s="1"/>
  <c r="X2462" i="1" s="1"/>
  <c r="Y2462" i="1" s="1"/>
  <c r="Z2462" i="1" s="1"/>
  <c r="R2462" i="1"/>
  <c r="Q2462" i="1"/>
  <c r="P2462" i="1"/>
  <c r="T2461" i="1"/>
  <c r="S2461" i="1"/>
  <c r="R2461" i="1"/>
  <c r="Q2461" i="1"/>
  <c r="P2461" i="1"/>
  <c r="R2460" i="1"/>
  <c r="S2460" i="1" s="1"/>
  <c r="Q2460" i="1"/>
  <c r="P2460" i="1"/>
  <c r="R2459" i="1"/>
  <c r="S2459" i="1" s="1"/>
  <c r="Q2459" i="1"/>
  <c r="P2459" i="1"/>
  <c r="X2458" i="1"/>
  <c r="Y2458" i="1" s="1"/>
  <c r="Z2458" i="1" s="1"/>
  <c r="W2458" i="1"/>
  <c r="V2458" i="1"/>
  <c r="U2458" i="1"/>
  <c r="T2458" i="1"/>
  <c r="S2458" i="1"/>
  <c r="R2458" i="1"/>
  <c r="Q2458" i="1"/>
  <c r="P2458" i="1"/>
  <c r="R2457" i="1"/>
  <c r="S2457" i="1" s="1"/>
  <c r="Q2457" i="1"/>
  <c r="P2457" i="1"/>
  <c r="V2456" i="1"/>
  <c r="R2456" i="1"/>
  <c r="S2456" i="1" s="1"/>
  <c r="Q2456" i="1"/>
  <c r="P2456" i="1"/>
  <c r="V2455" i="1"/>
  <c r="S2455" i="1"/>
  <c r="R2455" i="1"/>
  <c r="Q2455" i="1"/>
  <c r="P2455" i="1"/>
  <c r="S2454" i="1"/>
  <c r="R2454" i="1"/>
  <c r="Q2454" i="1"/>
  <c r="P2454" i="1"/>
  <c r="R2453" i="1"/>
  <c r="S2453" i="1" s="1"/>
  <c r="Q2453" i="1"/>
  <c r="P2453" i="1"/>
  <c r="R2452" i="1"/>
  <c r="S2452" i="1" s="1"/>
  <c r="Q2452" i="1"/>
  <c r="P2452" i="1"/>
  <c r="U2451" i="1"/>
  <c r="R2451" i="1"/>
  <c r="S2451" i="1" s="1"/>
  <c r="Q2451" i="1"/>
  <c r="P2451" i="1"/>
  <c r="U2450" i="1"/>
  <c r="R2450" i="1"/>
  <c r="S2450" i="1" s="1"/>
  <c r="Q2450" i="1"/>
  <c r="P2450" i="1"/>
  <c r="R2449" i="1"/>
  <c r="S2449" i="1" s="1"/>
  <c r="Q2449" i="1"/>
  <c r="P2449" i="1"/>
  <c r="Z2448" i="1"/>
  <c r="W2448" i="1"/>
  <c r="X2448" i="1" s="1"/>
  <c r="Y2448" i="1" s="1"/>
  <c r="V2448" i="1"/>
  <c r="U2448" i="1"/>
  <c r="T2448" i="1"/>
  <c r="S2448" i="1"/>
  <c r="R2448" i="1"/>
  <c r="Q2448" i="1"/>
  <c r="P2448" i="1"/>
  <c r="Z2447" i="1"/>
  <c r="Y2447" i="1"/>
  <c r="X2447" i="1"/>
  <c r="V2447" i="1"/>
  <c r="U2447" i="1"/>
  <c r="R2447" i="1"/>
  <c r="S2447" i="1" s="1"/>
  <c r="W2447" i="1" s="1"/>
  <c r="Q2447" i="1"/>
  <c r="P2447" i="1"/>
  <c r="U2446" i="1"/>
  <c r="S2446" i="1"/>
  <c r="R2446" i="1"/>
  <c r="Q2446" i="1"/>
  <c r="P2446" i="1"/>
  <c r="S2445" i="1"/>
  <c r="R2445" i="1"/>
  <c r="Q2445" i="1"/>
  <c r="P2445" i="1"/>
  <c r="S2444" i="1"/>
  <c r="R2444" i="1"/>
  <c r="Q2444" i="1"/>
  <c r="P2444" i="1"/>
  <c r="S2443" i="1"/>
  <c r="R2443" i="1"/>
  <c r="Q2443" i="1"/>
  <c r="P2443" i="1"/>
  <c r="R2442" i="1"/>
  <c r="S2442" i="1" s="1"/>
  <c r="Q2442" i="1"/>
  <c r="P2442" i="1"/>
  <c r="S2441" i="1"/>
  <c r="R2441" i="1"/>
  <c r="Q2441" i="1"/>
  <c r="P2441" i="1"/>
  <c r="R2440" i="1"/>
  <c r="S2440" i="1" s="1"/>
  <c r="Q2440" i="1"/>
  <c r="P2440" i="1"/>
  <c r="W2439" i="1"/>
  <c r="X2439" i="1" s="1"/>
  <c r="Y2439" i="1" s="1"/>
  <c r="Z2439" i="1" s="1"/>
  <c r="T2439" i="1"/>
  <c r="R2439" i="1"/>
  <c r="S2439" i="1" s="1"/>
  <c r="Q2439" i="1"/>
  <c r="P2439" i="1"/>
  <c r="S2438" i="1"/>
  <c r="R2438" i="1"/>
  <c r="Q2438" i="1"/>
  <c r="P2438" i="1"/>
  <c r="S2437" i="1"/>
  <c r="R2437" i="1"/>
  <c r="Q2437" i="1"/>
  <c r="P2437" i="1"/>
  <c r="X2436" i="1"/>
  <c r="Y2436" i="1" s="1"/>
  <c r="Z2436" i="1" s="1"/>
  <c r="W2436" i="1"/>
  <c r="V2436" i="1"/>
  <c r="U2436" i="1"/>
  <c r="R2436" i="1"/>
  <c r="S2436" i="1" s="1"/>
  <c r="T2436" i="1" s="1"/>
  <c r="Q2436" i="1"/>
  <c r="P2436" i="1"/>
  <c r="R2435" i="1"/>
  <c r="S2435" i="1" s="1"/>
  <c r="Q2435" i="1"/>
  <c r="P2435" i="1"/>
  <c r="R2434" i="1"/>
  <c r="S2434" i="1" s="1"/>
  <c r="Q2434" i="1"/>
  <c r="P2434" i="1"/>
  <c r="R2433" i="1"/>
  <c r="S2433" i="1" s="1"/>
  <c r="Q2433" i="1"/>
  <c r="P2433" i="1"/>
  <c r="R2432" i="1"/>
  <c r="S2432" i="1" s="1"/>
  <c r="Q2432" i="1"/>
  <c r="P2432" i="1"/>
  <c r="V2431" i="1"/>
  <c r="S2431" i="1"/>
  <c r="R2431" i="1"/>
  <c r="Q2431" i="1"/>
  <c r="P2431" i="1"/>
  <c r="R2430" i="1"/>
  <c r="S2430" i="1" s="1"/>
  <c r="Q2430" i="1"/>
  <c r="P2430" i="1"/>
  <c r="V2429" i="1"/>
  <c r="S2429" i="1"/>
  <c r="R2429" i="1"/>
  <c r="Q2429" i="1"/>
  <c r="P2429" i="1"/>
  <c r="X2428" i="1"/>
  <c r="Y2428" i="1" s="1"/>
  <c r="Z2428" i="1" s="1"/>
  <c r="W2428" i="1"/>
  <c r="V2428" i="1"/>
  <c r="U2428" i="1"/>
  <c r="S2428" i="1"/>
  <c r="T2428" i="1" s="1"/>
  <c r="R2428" i="1"/>
  <c r="Q2428" i="1"/>
  <c r="P2428" i="1"/>
  <c r="R2427" i="1"/>
  <c r="S2427" i="1" s="1"/>
  <c r="Q2427" i="1"/>
  <c r="P2427" i="1"/>
  <c r="Z2426" i="1"/>
  <c r="W2426" i="1"/>
  <c r="X2426" i="1" s="1"/>
  <c r="Y2426" i="1" s="1"/>
  <c r="R2426" i="1"/>
  <c r="S2426" i="1" s="1"/>
  <c r="Q2426" i="1"/>
  <c r="P2426" i="1"/>
  <c r="R2425" i="1"/>
  <c r="S2425" i="1" s="1"/>
  <c r="Q2425" i="1"/>
  <c r="P2425" i="1"/>
  <c r="V2424" i="1"/>
  <c r="T2424" i="1"/>
  <c r="R2424" i="1"/>
  <c r="S2424" i="1" s="1"/>
  <c r="U2424" i="1" s="1"/>
  <c r="Q2424" i="1"/>
  <c r="P2424" i="1"/>
  <c r="S2423" i="1"/>
  <c r="R2423" i="1"/>
  <c r="Q2423" i="1"/>
  <c r="P2423" i="1"/>
  <c r="R2422" i="1"/>
  <c r="S2422" i="1" s="1"/>
  <c r="Q2422" i="1"/>
  <c r="P2422" i="1"/>
  <c r="S2421" i="1"/>
  <c r="R2421" i="1"/>
  <c r="Q2421" i="1"/>
  <c r="P2421" i="1"/>
  <c r="T2420" i="1"/>
  <c r="S2420" i="1"/>
  <c r="R2420" i="1"/>
  <c r="Q2420" i="1"/>
  <c r="P2420" i="1"/>
  <c r="T2419" i="1"/>
  <c r="S2419" i="1"/>
  <c r="R2419" i="1"/>
  <c r="Q2419" i="1"/>
  <c r="P2419" i="1"/>
  <c r="U2418" i="1"/>
  <c r="T2418" i="1"/>
  <c r="S2418" i="1"/>
  <c r="W2418" i="1" s="1"/>
  <c r="X2418" i="1" s="1"/>
  <c r="Y2418" i="1" s="1"/>
  <c r="Z2418" i="1" s="1"/>
  <c r="R2418" i="1"/>
  <c r="Q2418" i="1"/>
  <c r="P2418" i="1"/>
  <c r="Z2417" i="1"/>
  <c r="W2417" i="1"/>
  <c r="X2417" i="1" s="1"/>
  <c r="Y2417" i="1" s="1"/>
  <c r="V2417" i="1"/>
  <c r="U2417" i="1"/>
  <c r="S2417" i="1"/>
  <c r="T2417" i="1" s="1"/>
  <c r="R2417" i="1"/>
  <c r="Q2417" i="1"/>
  <c r="P2417" i="1"/>
  <c r="R2416" i="1"/>
  <c r="S2416" i="1" s="1"/>
  <c r="T2416" i="1" s="1"/>
  <c r="Q2416" i="1"/>
  <c r="P2416" i="1"/>
  <c r="R2415" i="1"/>
  <c r="S2415" i="1" s="1"/>
  <c r="Q2415" i="1"/>
  <c r="P2415" i="1"/>
  <c r="Y2414" i="1"/>
  <c r="Z2414" i="1" s="1"/>
  <c r="X2414" i="1"/>
  <c r="W2414" i="1"/>
  <c r="S2414" i="1"/>
  <c r="R2414" i="1"/>
  <c r="Q2414" i="1"/>
  <c r="P2414" i="1"/>
  <c r="S2413" i="1"/>
  <c r="R2413" i="1"/>
  <c r="Q2413" i="1"/>
  <c r="P2413" i="1"/>
  <c r="Y2412" i="1"/>
  <c r="Z2412" i="1" s="1"/>
  <c r="S2412" i="1"/>
  <c r="W2412" i="1" s="1"/>
  <c r="X2412" i="1" s="1"/>
  <c r="R2412" i="1"/>
  <c r="Q2412" i="1"/>
  <c r="P2412" i="1"/>
  <c r="U2411" i="1"/>
  <c r="S2411" i="1"/>
  <c r="T2411" i="1" s="1"/>
  <c r="R2411" i="1"/>
  <c r="Q2411" i="1"/>
  <c r="P2411" i="1"/>
  <c r="R2410" i="1"/>
  <c r="S2410" i="1" s="1"/>
  <c r="Q2410" i="1"/>
  <c r="P2410" i="1"/>
  <c r="R2409" i="1"/>
  <c r="S2409" i="1" s="1"/>
  <c r="Q2409" i="1"/>
  <c r="P2409" i="1"/>
  <c r="R2408" i="1"/>
  <c r="S2408" i="1" s="1"/>
  <c r="W2408" i="1" s="1"/>
  <c r="X2408" i="1" s="1"/>
  <c r="Y2408" i="1" s="1"/>
  <c r="Z2408" i="1" s="1"/>
  <c r="Q2408" i="1"/>
  <c r="P2408" i="1"/>
  <c r="Y2407" i="1"/>
  <c r="Z2407" i="1" s="1"/>
  <c r="X2407" i="1"/>
  <c r="W2407" i="1"/>
  <c r="U2407" i="1"/>
  <c r="T2407" i="1"/>
  <c r="R2407" i="1"/>
  <c r="S2407" i="1" s="1"/>
  <c r="V2407" i="1" s="1"/>
  <c r="Q2407" i="1"/>
  <c r="P2407" i="1"/>
  <c r="W2406" i="1"/>
  <c r="X2406" i="1" s="1"/>
  <c r="Y2406" i="1" s="1"/>
  <c r="Z2406" i="1" s="1"/>
  <c r="V2406" i="1"/>
  <c r="R2406" i="1"/>
  <c r="S2406" i="1" s="1"/>
  <c r="T2406" i="1" s="1"/>
  <c r="Q2406" i="1"/>
  <c r="P2406" i="1"/>
  <c r="S2405" i="1"/>
  <c r="R2405" i="1"/>
  <c r="Q2405" i="1"/>
  <c r="P2405" i="1"/>
  <c r="R2404" i="1"/>
  <c r="S2404" i="1" s="1"/>
  <c r="Q2404" i="1"/>
  <c r="P2404" i="1"/>
  <c r="S2403" i="1"/>
  <c r="R2403" i="1"/>
  <c r="Q2403" i="1"/>
  <c r="P2403" i="1"/>
  <c r="R2402" i="1"/>
  <c r="S2402" i="1" s="1"/>
  <c r="T2402" i="1" s="1"/>
  <c r="Q2402" i="1"/>
  <c r="P2402" i="1"/>
  <c r="T2401" i="1"/>
  <c r="S2401" i="1"/>
  <c r="U2401" i="1" s="1"/>
  <c r="R2401" i="1"/>
  <c r="Q2401" i="1"/>
  <c r="P2401" i="1"/>
  <c r="X2400" i="1"/>
  <c r="Y2400" i="1" s="1"/>
  <c r="Z2400" i="1" s="1"/>
  <c r="W2400" i="1"/>
  <c r="V2400" i="1"/>
  <c r="U2400" i="1"/>
  <c r="R2400" i="1"/>
  <c r="S2400" i="1" s="1"/>
  <c r="T2400" i="1" s="1"/>
  <c r="Q2400" i="1"/>
  <c r="P2400" i="1"/>
  <c r="R2399" i="1"/>
  <c r="S2399" i="1" s="1"/>
  <c r="Q2399" i="1"/>
  <c r="P2399" i="1"/>
  <c r="S2398" i="1"/>
  <c r="R2398" i="1"/>
  <c r="Q2398" i="1"/>
  <c r="P2398" i="1"/>
  <c r="S2397" i="1"/>
  <c r="R2397" i="1"/>
  <c r="Q2397" i="1"/>
  <c r="P2397" i="1"/>
  <c r="V2396" i="1"/>
  <c r="U2396" i="1"/>
  <c r="R2396" i="1"/>
  <c r="S2396" i="1" s="1"/>
  <c r="T2396" i="1" s="1"/>
  <c r="Q2396" i="1"/>
  <c r="P2396" i="1"/>
  <c r="R2395" i="1"/>
  <c r="S2395" i="1" s="1"/>
  <c r="Q2395" i="1"/>
  <c r="P2395" i="1"/>
  <c r="S2394" i="1"/>
  <c r="R2394" i="1"/>
  <c r="Q2394" i="1"/>
  <c r="P2394" i="1"/>
  <c r="R2393" i="1"/>
  <c r="S2393" i="1" s="1"/>
  <c r="Q2393" i="1"/>
  <c r="P2393" i="1"/>
  <c r="S2392" i="1"/>
  <c r="R2392" i="1"/>
  <c r="Q2392" i="1"/>
  <c r="P2392" i="1"/>
  <c r="Y2391" i="1"/>
  <c r="Z2391" i="1" s="1"/>
  <c r="W2391" i="1"/>
  <c r="X2391" i="1" s="1"/>
  <c r="V2391" i="1"/>
  <c r="U2391" i="1"/>
  <c r="S2391" i="1"/>
  <c r="T2391" i="1" s="1"/>
  <c r="R2391" i="1"/>
  <c r="Q2391" i="1"/>
  <c r="P2391" i="1"/>
  <c r="S2390" i="1"/>
  <c r="R2390" i="1"/>
  <c r="Q2390" i="1"/>
  <c r="P2390" i="1"/>
  <c r="S2389" i="1"/>
  <c r="R2389" i="1"/>
  <c r="Q2389" i="1"/>
  <c r="P2389" i="1"/>
  <c r="U2388" i="1"/>
  <c r="R2388" i="1"/>
  <c r="S2388" i="1" s="1"/>
  <c r="Q2388" i="1"/>
  <c r="P2388" i="1"/>
  <c r="Z2387" i="1"/>
  <c r="U2387" i="1"/>
  <c r="T2387" i="1"/>
  <c r="R2387" i="1"/>
  <c r="S2387" i="1" s="1"/>
  <c r="W2387" i="1" s="1"/>
  <c r="X2387" i="1" s="1"/>
  <c r="Y2387" i="1" s="1"/>
  <c r="Q2387" i="1"/>
  <c r="P2387" i="1"/>
  <c r="R2386" i="1"/>
  <c r="S2386" i="1" s="1"/>
  <c r="Q2386" i="1"/>
  <c r="P2386" i="1"/>
  <c r="R2385" i="1"/>
  <c r="S2385" i="1" s="1"/>
  <c r="Q2385" i="1"/>
  <c r="P2385" i="1"/>
  <c r="V2384" i="1"/>
  <c r="S2384" i="1"/>
  <c r="R2384" i="1"/>
  <c r="Q2384" i="1"/>
  <c r="P2384" i="1"/>
  <c r="S2383" i="1"/>
  <c r="R2383" i="1"/>
  <c r="Q2383" i="1"/>
  <c r="P2383" i="1"/>
  <c r="S2382" i="1"/>
  <c r="R2382" i="1"/>
  <c r="Q2382" i="1"/>
  <c r="P2382" i="1"/>
  <c r="S2381" i="1"/>
  <c r="W2381" i="1" s="1"/>
  <c r="X2381" i="1" s="1"/>
  <c r="Y2381" i="1" s="1"/>
  <c r="Z2381" i="1" s="1"/>
  <c r="R2381" i="1"/>
  <c r="Q2381" i="1"/>
  <c r="P2381" i="1"/>
  <c r="S2380" i="1"/>
  <c r="R2380" i="1"/>
  <c r="Q2380" i="1"/>
  <c r="P2380" i="1"/>
  <c r="R2379" i="1"/>
  <c r="S2379" i="1" s="1"/>
  <c r="Q2379" i="1"/>
  <c r="P2379" i="1"/>
  <c r="W2378" i="1"/>
  <c r="X2378" i="1" s="1"/>
  <c r="Y2378" i="1" s="1"/>
  <c r="Z2378" i="1" s="1"/>
  <c r="T2378" i="1"/>
  <c r="S2378" i="1"/>
  <c r="R2378" i="1"/>
  <c r="Q2378" i="1"/>
  <c r="P2378" i="1"/>
  <c r="W2377" i="1"/>
  <c r="X2377" i="1" s="1"/>
  <c r="Y2377" i="1" s="1"/>
  <c r="Z2377" i="1" s="1"/>
  <c r="V2377" i="1"/>
  <c r="U2377" i="1"/>
  <c r="T2377" i="1"/>
  <c r="S2377" i="1"/>
  <c r="R2377" i="1"/>
  <c r="Q2377" i="1"/>
  <c r="P2377" i="1"/>
  <c r="R2376" i="1"/>
  <c r="S2376" i="1" s="1"/>
  <c r="Q2376" i="1"/>
  <c r="P2376" i="1"/>
  <c r="R2375" i="1"/>
  <c r="S2375" i="1" s="1"/>
  <c r="Q2375" i="1"/>
  <c r="P2375" i="1"/>
  <c r="R2374" i="1"/>
  <c r="S2374" i="1" s="1"/>
  <c r="Q2374" i="1"/>
  <c r="P2374" i="1"/>
  <c r="X2373" i="1"/>
  <c r="Y2373" i="1" s="1"/>
  <c r="Z2373" i="1" s="1"/>
  <c r="W2373" i="1"/>
  <c r="V2373" i="1"/>
  <c r="U2373" i="1"/>
  <c r="T2373" i="1"/>
  <c r="S2373" i="1"/>
  <c r="R2373" i="1"/>
  <c r="Q2373" i="1"/>
  <c r="P2373" i="1"/>
  <c r="R2372" i="1"/>
  <c r="S2372" i="1" s="1"/>
  <c r="Q2372" i="1"/>
  <c r="P2372" i="1"/>
  <c r="R2371" i="1"/>
  <c r="S2371" i="1" s="1"/>
  <c r="Q2371" i="1"/>
  <c r="P2371" i="1"/>
  <c r="R2370" i="1"/>
  <c r="S2370" i="1" s="1"/>
  <c r="Q2370" i="1"/>
  <c r="P2370" i="1"/>
  <c r="S2369" i="1"/>
  <c r="R2369" i="1"/>
  <c r="Q2369" i="1"/>
  <c r="P2369" i="1"/>
  <c r="R2368" i="1"/>
  <c r="S2368" i="1" s="1"/>
  <c r="Q2368" i="1"/>
  <c r="P2368" i="1"/>
  <c r="X2367" i="1"/>
  <c r="Y2367" i="1" s="1"/>
  <c r="Z2367" i="1" s="1"/>
  <c r="W2367" i="1"/>
  <c r="V2367" i="1"/>
  <c r="U2367" i="1"/>
  <c r="T2367" i="1"/>
  <c r="S2367" i="1"/>
  <c r="R2367" i="1"/>
  <c r="Q2367" i="1"/>
  <c r="P2367" i="1"/>
  <c r="W2366" i="1"/>
  <c r="X2366" i="1" s="1"/>
  <c r="Y2366" i="1" s="1"/>
  <c r="Z2366" i="1" s="1"/>
  <c r="R2366" i="1"/>
  <c r="S2366" i="1" s="1"/>
  <c r="Q2366" i="1"/>
  <c r="P2366" i="1"/>
  <c r="R2365" i="1"/>
  <c r="S2365" i="1" s="1"/>
  <c r="Q2365" i="1"/>
  <c r="P2365" i="1"/>
  <c r="R2364" i="1"/>
  <c r="S2364" i="1" s="1"/>
  <c r="Q2364" i="1"/>
  <c r="P2364" i="1"/>
  <c r="U2363" i="1"/>
  <c r="R2363" i="1"/>
  <c r="S2363" i="1" s="1"/>
  <c r="Q2363" i="1"/>
  <c r="P2363" i="1"/>
  <c r="R2362" i="1"/>
  <c r="S2362" i="1" s="1"/>
  <c r="Q2362" i="1"/>
  <c r="P2362" i="1"/>
  <c r="S2361" i="1"/>
  <c r="R2361" i="1"/>
  <c r="Q2361" i="1"/>
  <c r="P2361" i="1"/>
  <c r="R2360" i="1"/>
  <c r="S2360" i="1" s="1"/>
  <c r="Q2360" i="1"/>
  <c r="P2360" i="1"/>
  <c r="U2359" i="1"/>
  <c r="S2359" i="1"/>
  <c r="R2359" i="1"/>
  <c r="Q2359" i="1"/>
  <c r="P2359" i="1"/>
  <c r="X2358" i="1"/>
  <c r="Y2358" i="1" s="1"/>
  <c r="Z2358" i="1" s="1"/>
  <c r="W2358" i="1"/>
  <c r="V2358" i="1"/>
  <c r="U2358" i="1"/>
  <c r="T2358" i="1"/>
  <c r="S2358" i="1"/>
  <c r="R2358" i="1"/>
  <c r="Q2358" i="1"/>
  <c r="P2358" i="1"/>
  <c r="R2357" i="1"/>
  <c r="S2357" i="1" s="1"/>
  <c r="W2357" i="1" s="1"/>
  <c r="X2357" i="1" s="1"/>
  <c r="Y2357" i="1" s="1"/>
  <c r="Z2357" i="1" s="1"/>
  <c r="Q2357" i="1"/>
  <c r="P2357" i="1"/>
  <c r="W2356" i="1"/>
  <c r="X2356" i="1" s="1"/>
  <c r="Y2356" i="1" s="1"/>
  <c r="Z2356" i="1" s="1"/>
  <c r="V2356" i="1"/>
  <c r="U2356" i="1"/>
  <c r="T2356" i="1"/>
  <c r="R2356" i="1"/>
  <c r="S2356" i="1" s="1"/>
  <c r="Q2356" i="1"/>
  <c r="P2356" i="1"/>
  <c r="T2355" i="1"/>
  <c r="R2355" i="1"/>
  <c r="S2355" i="1" s="1"/>
  <c r="Q2355" i="1"/>
  <c r="P2355" i="1"/>
  <c r="W2354" i="1"/>
  <c r="X2354" i="1" s="1"/>
  <c r="Y2354" i="1" s="1"/>
  <c r="Z2354" i="1" s="1"/>
  <c r="V2354" i="1"/>
  <c r="S2354" i="1"/>
  <c r="U2354" i="1" s="1"/>
  <c r="R2354" i="1"/>
  <c r="Q2354" i="1"/>
  <c r="P2354" i="1"/>
  <c r="R2353" i="1"/>
  <c r="S2353" i="1" s="1"/>
  <c r="Q2353" i="1"/>
  <c r="P2353" i="1"/>
  <c r="V2352" i="1"/>
  <c r="R2352" i="1"/>
  <c r="S2352" i="1" s="1"/>
  <c r="Q2352" i="1"/>
  <c r="P2352" i="1"/>
  <c r="R2351" i="1"/>
  <c r="S2351" i="1" s="1"/>
  <c r="Q2351" i="1"/>
  <c r="P2351" i="1"/>
  <c r="W2350" i="1"/>
  <c r="X2350" i="1" s="1"/>
  <c r="Y2350" i="1" s="1"/>
  <c r="Z2350" i="1" s="1"/>
  <c r="T2350" i="1"/>
  <c r="S2350" i="1"/>
  <c r="R2350" i="1"/>
  <c r="Q2350" i="1"/>
  <c r="P2350" i="1"/>
  <c r="T2349" i="1"/>
  <c r="S2349" i="1"/>
  <c r="V2349" i="1" s="1"/>
  <c r="R2349" i="1"/>
  <c r="Q2349" i="1"/>
  <c r="P2349" i="1"/>
  <c r="T2348" i="1"/>
  <c r="S2348" i="1"/>
  <c r="R2348" i="1"/>
  <c r="Q2348" i="1"/>
  <c r="P2348" i="1"/>
  <c r="S2347" i="1"/>
  <c r="V2347" i="1" s="1"/>
  <c r="R2347" i="1"/>
  <c r="Q2347" i="1"/>
  <c r="P2347" i="1"/>
  <c r="S2346" i="1"/>
  <c r="R2346" i="1"/>
  <c r="Q2346" i="1"/>
  <c r="P2346" i="1"/>
  <c r="X2345" i="1"/>
  <c r="Y2345" i="1" s="1"/>
  <c r="Z2345" i="1" s="1"/>
  <c r="W2345" i="1"/>
  <c r="U2345" i="1"/>
  <c r="S2345" i="1"/>
  <c r="R2345" i="1"/>
  <c r="Q2345" i="1"/>
  <c r="P2345" i="1"/>
  <c r="U2344" i="1"/>
  <c r="R2344" i="1"/>
  <c r="S2344" i="1" s="1"/>
  <c r="Q2344" i="1"/>
  <c r="P2344" i="1"/>
  <c r="T2343" i="1"/>
  <c r="R2343" i="1"/>
  <c r="S2343" i="1" s="1"/>
  <c r="Q2343" i="1"/>
  <c r="P2343" i="1"/>
  <c r="U2342" i="1"/>
  <c r="T2342" i="1"/>
  <c r="R2342" i="1"/>
  <c r="S2342" i="1" s="1"/>
  <c r="W2342" i="1" s="1"/>
  <c r="X2342" i="1" s="1"/>
  <c r="Y2342" i="1" s="1"/>
  <c r="Z2342" i="1" s="1"/>
  <c r="Q2342" i="1"/>
  <c r="P2342" i="1"/>
  <c r="S2341" i="1"/>
  <c r="R2341" i="1"/>
  <c r="Q2341" i="1"/>
  <c r="P2341" i="1"/>
  <c r="Y2340" i="1"/>
  <c r="Z2340" i="1" s="1"/>
  <c r="S2340" i="1"/>
  <c r="W2340" i="1" s="1"/>
  <c r="X2340" i="1" s="1"/>
  <c r="R2340" i="1"/>
  <c r="Q2340" i="1"/>
  <c r="P2340" i="1"/>
  <c r="R2339" i="1"/>
  <c r="S2339" i="1" s="1"/>
  <c r="Q2339" i="1"/>
  <c r="P2339" i="1"/>
  <c r="W2338" i="1"/>
  <c r="X2338" i="1" s="1"/>
  <c r="Y2338" i="1" s="1"/>
  <c r="Z2338" i="1" s="1"/>
  <c r="V2338" i="1"/>
  <c r="U2338" i="1"/>
  <c r="T2338" i="1"/>
  <c r="S2338" i="1"/>
  <c r="R2338" i="1"/>
  <c r="Q2338" i="1"/>
  <c r="P2338" i="1"/>
  <c r="R2337" i="1"/>
  <c r="S2337" i="1" s="1"/>
  <c r="Q2337" i="1"/>
  <c r="P2337" i="1"/>
  <c r="X2336" i="1"/>
  <c r="Y2336" i="1" s="1"/>
  <c r="Z2336" i="1" s="1"/>
  <c r="W2336" i="1"/>
  <c r="R2336" i="1"/>
  <c r="S2336" i="1" s="1"/>
  <c r="Q2336" i="1"/>
  <c r="P2336" i="1"/>
  <c r="U2335" i="1"/>
  <c r="T2335" i="1"/>
  <c r="R2335" i="1"/>
  <c r="S2335" i="1" s="1"/>
  <c r="Q2335" i="1"/>
  <c r="P2335" i="1"/>
  <c r="S2334" i="1"/>
  <c r="R2334" i="1"/>
  <c r="Q2334" i="1"/>
  <c r="P2334" i="1"/>
  <c r="U2333" i="1"/>
  <c r="S2333" i="1"/>
  <c r="R2333" i="1"/>
  <c r="Q2333" i="1"/>
  <c r="P2333" i="1"/>
  <c r="V2332" i="1"/>
  <c r="U2332" i="1"/>
  <c r="R2332" i="1"/>
  <c r="S2332" i="1" s="1"/>
  <c r="Q2332" i="1"/>
  <c r="P2332" i="1"/>
  <c r="R2331" i="1"/>
  <c r="S2331" i="1" s="1"/>
  <c r="Q2331" i="1"/>
  <c r="P2331" i="1"/>
  <c r="T2330" i="1"/>
  <c r="R2330" i="1"/>
  <c r="S2330" i="1" s="1"/>
  <c r="Q2330" i="1"/>
  <c r="P2330" i="1"/>
  <c r="S2329" i="1"/>
  <c r="R2329" i="1"/>
  <c r="Q2329" i="1"/>
  <c r="P2329" i="1"/>
  <c r="S2328" i="1"/>
  <c r="R2328" i="1"/>
  <c r="Q2328" i="1"/>
  <c r="P2328" i="1"/>
  <c r="S2327" i="1"/>
  <c r="R2327" i="1"/>
  <c r="Q2327" i="1"/>
  <c r="P2327" i="1"/>
  <c r="T2326" i="1"/>
  <c r="S2326" i="1"/>
  <c r="W2326" i="1" s="1"/>
  <c r="X2326" i="1" s="1"/>
  <c r="Y2326" i="1" s="1"/>
  <c r="Z2326" i="1" s="1"/>
  <c r="R2326" i="1"/>
  <c r="Q2326" i="1"/>
  <c r="P2326" i="1"/>
  <c r="S2325" i="1"/>
  <c r="R2325" i="1"/>
  <c r="Q2325" i="1"/>
  <c r="P2325" i="1"/>
  <c r="R2324" i="1"/>
  <c r="S2324" i="1" s="1"/>
  <c r="Q2324" i="1"/>
  <c r="P2324" i="1"/>
  <c r="T2323" i="1"/>
  <c r="R2323" i="1"/>
  <c r="S2323" i="1" s="1"/>
  <c r="Q2323" i="1"/>
  <c r="P2323" i="1"/>
  <c r="S2322" i="1"/>
  <c r="R2322" i="1"/>
  <c r="Q2322" i="1"/>
  <c r="P2322" i="1"/>
  <c r="R2321" i="1"/>
  <c r="S2321" i="1" s="1"/>
  <c r="Q2321" i="1"/>
  <c r="P2321" i="1"/>
  <c r="S2320" i="1"/>
  <c r="R2320" i="1"/>
  <c r="Q2320" i="1"/>
  <c r="P2320" i="1"/>
  <c r="R2319" i="1"/>
  <c r="S2319" i="1" s="1"/>
  <c r="Q2319" i="1"/>
  <c r="P2319" i="1"/>
  <c r="S2318" i="1"/>
  <c r="R2318" i="1"/>
  <c r="Q2318" i="1"/>
  <c r="P2318" i="1"/>
  <c r="R2317" i="1"/>
  <c r="S2317" i="1" s="1"/>
  <c r="Q2317" i="1"/>
  <c r="P2317" i="1"/>
  <c r="X2316" i="1"/>
  <c r="Y2316" i="1" s="1"/>
  <c r="Z2316" i="1" s="1"/>
  <c r="W2316" i="1"/>
  <c r="V2316" i="1"/>
  <c r="U2316" i="1"/>
  <c r="T2316" i="1"/>
  <c r="R2316" i="1"/>
  <c r="S2316" i="1" s="1"/>
  <c r="Q2316" i="1"/>
  <c r="P2316" i="1"/>
  <c r="R2315" i="1"/>
  <c r="S2315" i="1" s="1"/>
  <c r="Q2315" i="1"/>
  <c r="P2315" i="1"/>
  <c r="X2314" i="1"/>
  <c r="Y2314" i="1" s="1"/>
  <c r="Z2314" i="1" s="1"/>
  <c r="W2314" i="1"/>
  <c r="V2314" i="1"/>
  <c r="S2314" i="1"/>
  <c r="U2314" i="1" s="1"/>
  <c r="R2314" i="1"/>
  <c r="Q2314" i="1"/>
  <c r="P2314" i="1"/>
  <c r="R2313" i="1"/>
  <c r="S2313" i="1" s="1"/>
  <c r="Q2313" i="1"/>
  <c r="P2313" i="1"/>
  <c r="V2312" i="1"/>
  <c r="T2312" i="1"/>
  <c r="R2312" i="1"/>
  <c r="S2312" i="1" s="1"/>
  <c r="Q2312" i="1"/>
  <c r="P2312" i="1"/>
  <c r="S2311" i="1"/>
  <c r="R2311" i="1"/>
  <c r="Q2311" i="1"/>
  <c r="P2311" i="1"/>
  <c r="R2310" i="1"/>
  <c r="S2310" i="1" s="1"/>
  <c r="Q2310" i="1"/>
  <c r="P2310" i="1"/>
  <c r="R2309" i="1"/>
  <c r="S2309" i="1" s="1"/>
  <c r="Q2309" i="1"/>
  <c r="P2309" i="1"/>
  <c r="S2308" i="1"/>
  <c r="W2308" i="1" s="1"/>
  <c r="X2308" i="1" s="1"/>
  <c r="Y2308" i="1" s="1"/>
  <c r="Z2308" i="1" s="1"/>
  <c r="R2308" i="1"/>
  <c r="Q2308" i="1"/>
  <c r="P2308" i="1"/>
  <c r="V2307" i="1"/>
  <c r="T2307" i="1"/>
  <c r="S2307" i="1"/>
  <c r="R2307" i="1"/>
  <c r="Q2307" i="1"/>
  <c r="P2307" i="1"/>
  <c r="X2306" i="1"/>
  <c r="Y2306" i="1" s="1"/>
  <c r="Z2306" i="1" s="1"/>
  <c r="W2306" i="1"/>
  <c r="V2306" i="1"/>
  <c r="U2306" i="1"/>
  <c r="T2306" i="1"/>
  <c r="R2306" i="1"/>
  <c r="S2306" i="1" s="1"/>
  <c r="Q2306" i="1"/>
  <c r="P2306" i="1"/>
  <c r="S2305" i="1"/>
  <c r="R2305" i="1"/>
  <c r="Q2305" i="1"/>
  <c r="P2305" i="1"/>
  <c r="Y2304" i="1"/>
  <c r="Z2304" i="1" s="1"/>
  <c r="W2304" i="1"/>
  <c r="X2304" i="1" s="1"/>
  <c r="V2304" i="1"/>
  <c r="U2304" i="1"/>
  <c r="S2304" i="1"/>
  <c r="T2304" i="1" s="1"/>
  <c r="R2304" i="1"/>
  <c r="Q2304" i="1"/>
  <c r="P2304" i="1"/>
  <c r="R2303" i="1"/>
  <c r="S2303" i="1" s="1"/>
  <c r="Q2303" i="1"/>
  <c r="P2303" i="1"/>
  <c r="X2302" i="1"/>
  <c r="Y2302" i="1" s="1"/>
  <c r="Z2302" i="1" s="1"/>
  <c r="W2302" i="1"/>
  <c r="V2302" i="1"/>
  <c r="U2302" i="1"/>
  <c r="T2302" i="1"/>
  <c r="S2302" i="1"/>
  <c r="R2302" i="1"/>
  <c r="Q2302" i="1"/>
  <c r="P2302" i="1"/>
  <c r="U2301" i="1"/>
  <c r="R2301" i="1"/>
  <c r="S2301" i="1" s="1"/>
  <c r="Q2301" i="1"/>
  <c r="P2301" i="1"/>
  <c r="R2300" i="1"/>
  <c r="S2300" i="1" s="1"/>
  <c r="Q2300" i="1"/>
  <c r="P2300" i="1"/>
  <c r="S2299" i="1"/>
  <c r="W2299" i="1" s="1"/>
  <c r="X2299" i="1" s="1"/>
  <c r="Y2299" i="1" s="1"/>
  <c r="Z2299" i="1" s="1"/>
  <c r="R2299" i="1"/>
  <c r="Q2299" i="1"/>
  <c r="P2299" i="1"/>
  <c r="R2298" i="1"/>
  <c r="S2298" i="1" s="1"/>
  <c r="Q2298" i="1"/>
  <c r="P2298" i="1"/>
  <c r="X2297" i="1"/>
  <c r="Y2297" i="1" s="1"/>
  <c r="Z2297" i="1" s="1"/>
  <c r="W2297" i="1"/>
  <c r="V2297" i="1"/>
  <c r="U2297" i="1"/>
  <c r="T2297" i="1"/>
  <c r="S2297" i="1"/>
  <c r="R2297" i="1"/>
  <c r="Q2297" i="1"/>
  <c r="P2297" i="1"/>
  <c r="T2296" i="1"/>
  <c r="R2296" i="1"/>
  <c r="S2296" i="1" s="1"/>
  <c r="Q2296" i="1"/>
  <c r="P2296" i="1"/>
  <c r="U2295" i="1"/>
  <c r="S2295" i="1"/>
  <c r="R2295" i="1"/>
  <c r="Q2295" i="1"/>
  <c r="P2295" i="1"/>
  <c r="T2294" i="1"/>
  <c r="S2294" i="1"/>
  <c r="R2294" i="1"/>
  <c r="Q2294" i="1"/>
  <c r="P2294" i="1"/>
  <c r="V2293" i="1"/>
  <c r="U2293" i="1"/>
  <c r="T2293" i="1"/>
  <c r="R2293" i="1"/>
  <c r="S2293" i="1" s="1"/>
  <c r="W2293" i="1" s="1"/>
  <c r="X2293" i="1" s="1"/>
  <c r="Y2293" i="1" s="1"/>
  <c r="Z2293" i="1" s="1"/>
  <c r="Q2293" i="1"/>
  <c r="P2293" i="1"/>
  <c r="U2292" i="1"/>
  <c r="T2292" i="1"/>
  <c r="R2292" i="1"/>
  <c r="S2292" i="1" s="1"/>
  <c r="Q2292" i="1"/>
  <c r="P2292" i="1"/>
  <c r="V2291" i="1"/>
  <c r="S2291" i="1"/>
  <c r="R2291" i="1"/>
  <c r="Q2291" i="1"/>
  <c r="P2291" i="1"/>
  <c r="S2290" i="1"/>
  <c r="R2290" i="1"/>
  <c r="Q2290" i="1"/>
  <c r="P2290" i="1"/>
  <c r="S2289" i="1"/>
  <c r="R2289" i="1"/>
  <c r="Q2289" i="1"/>
  <c r="P2289" i="1"/>
  <c r="S2288" i="1"/>
  <c r="R2288" i="1"/>
  <c r="Q2288" i="1"/>
  <c r="P2288" i="1"/>
  <c r="Z2287" i="1"/>
  <c r="Y2287" i="1"/>
  <c r="X2287" i="1"/>
  <c r="W2287" i="1"/>
  <c r="V2287" i="1"/>
  <c r="U2287" i="1"/>
  <c r="S2287" i="1"/>
  <c r="T2287" i="1" s="1"/>
  <c r="R2287" i="1"/>
  <c r="Q2287" i="1"/>
  <c r="P2287" i="1"/>
  <c r="R2286" i="1"/>
  <c r="S2286" i="1" s="1"/>
  <c r="Q2286" i="1"/>
  <c r="P2286" i="1"/>
  <c r="Z2285" i="1"/>
  <c r="Y2285" i="1"/>
  <c r="X2285" i="1"/>
  <c r="W2285" i="1"/>
  <c r="V2285" i="1"/>
  <c r="U2285" i="1"/>
  <c r="S2285" i="1"/>
  <c r="T2285" i="1" s="1"/>
  <c r="R2285" i="1"/>
  <c r="Q2285" i="1"/>
  <c r="P2285" i="1"/>
  <c r="R2284" i="1"/>
  <c r="S2284" i="1" s="1"/>
  <c r="Q2284" i="1"/>
  <c r="P2284" i="1"/>
  <c r="R2283" i="1"/>
  <c r="S2283" i="1" s="1"/>
  <c r="Q2283" i="1"/>
  <c r="P2283" i="1"/>
  <c r="W2282" i="1"/>
  <c r="X2282" i="1" s="1"/>
  <c r="Y2282" i="1" s="1"/>
  <c r="Z2282" i="1" s="1"/>
  <c r="S2282" i="1"/>
  <c r="R2282" i="1"/>
  <c r="Q2282" i="1"/>
  <c r="P2282" i="1"/>
  <c r="R2281" i="1"/>
  <c r="S2281" i="1" s="1"/>
  <c r="Q2281" i="1"/>
  <c r="P2281" i="1"/>
  <c r="R2280" i="1"/>
  <c r="S2280" i="1" s="1"/>
  <c r="Q2280" i="1"/>
  <c r="P2280" i="1"/>
  <c r="R2279" i="1"/>
  <c r="S2279" i="1" s="1"/>
  <c r="Q2279" i="1"/>
  <c r="P2279" i="1"/>
  <c r="X2278" i="1"/>
  <c r="Y2278" i="1" s="1"/>
  <c r="Z2278" i="1" s="1"/>
  <c r="W2278" i="1"/>
  <c r="R2278" i="1"/>
  <c r="S2278" i="1" s="1"/>
  <c r="Q2278" i="1"/>
  <c r="P2278" i="1"/>
  <c r="U2277" i="1"/>
  <c r="T2277" i="1"/>
  <c r="R2277" i="1"/>
  <c r="S2277" i="1" s="1"/>
  <c r="Q2277" i="1"/>
  <c r="P2277" i="1"/>
  <c r="R2276" i="1"/>
  <c r="S2276" i="1" s="1"/>
  <c r="Q2276" i="1"/>
  <c r="P2276" i="1"/>
  <c r="R2275" i="1"/>
  <c r="S2275" i="1" s="1"/>
  <c r="Q2275" i="1"/>
  <c r="P2275" i="1"/>
  <c r="W2274" i="1"/>
  <c r="X2274" i="1" s="1"/>
  <c r="Y2274" i="1" s="1"/>
  <c r="Z2274" i="1" s="1"/>
  <c r="T2274" i="1"/>
  <c r="R2274" i="1"/>
  <c r="S2274" i="1" s="1"/>
  <c r="Q2274" i="1"/>
  <c r="P2274" i="1"/>
  <c r="W2273" i="1"/>
  <c r="X2273" i="1" s="1"/>
  <c r="Y2273" i="1" s="1"/>
  <c r="Z2273" i="1" s="1"/>
  <c r="V2273" i="1"/>
  <c r="T2273" i="1"/>
  <c r="S2273" i="1"/>
  <c r="U2273" i="1" s="1"/>
  <c r="R2273" i="1"/>
  <c r="Q2273" i="1"/>
  <c r="P2273" i="1"/>
  <c r="V2272" i="1"/>
  <c r="T2272" i="1"/>
  <c r="S2272" i="1"/>
  <c r="R2272" i="1"/>
  <c r="Q2272" i="1"/>
  <c r="P2272" i="1"/>
  <c r="W2271" i="1"/>
  <c r="X2271" i="1" s="1"/>
  <c r="Y2271" i="1" s="1"/>
  <c r="Z2271" i="1" s="1"/>
  <c r="S2271" i="1"/>
  <c r="R2271" i="1"/>
  <c r="Q2271" i="1"/>
  <c r="P2271" i="1"/>
  <c r="U2270" i="1"/>
  <c r="T2270" i="1"/>
  <c r="R2270" i="1"/>
  <c r="S2270" i="1" s="1"/>
  <c r="W2270" i="1" s="1"/>
  <c r="X2270" i="1" s="1"/>
  <c r="Y2270" i="1" s="1"/>
  <c r="Z2270" i="1" s="1"/>
  <c r="Q2270" i="1"/>
  <c r="P2270" i="1"/>
  <c r="V2269" i="1"/>
  <c r="R2269" i="1"/>
  <c r="S2269" i="1" s="1"/>
  <c r="Q2269" i="1"/>
  <c r="P2269" i="1"/>
  <c r="W2268" i="1"/>
  <c r="X2268" i="1" s="1"/>
  <c r="Y2268" i="1" s="1"/>
  <c r="Z2268" i="1" s="1"/>
  <c r="V2268" i="1"/>
  <c r="U2268" i="1"/>
  <c r="T2268" i="1"/>
  <c r="S2268" i="1"/>
  <c r="R2268" i="1"/>
  <c r="Q2268" i="1"/>
  <c r="P2268" i="1"/>
  <c r="X2267" i="1"/>
  <c r="Y2267" i="1" s="1"/>
  <c r="Z2267" i="1" s="1"/>
  <c r="W2267" i="1"/>
  <c r="V2267" i="1"/>
  <c r="U2267" i="1"/>
  <c r="T2267" i="1"/>
  <c r="S2267" i="1"/>
  <c r="R2267" i="1"/>
  <c r="Q2267" i="1"/>
  <c r="P2267" i="1"/>
  <c r="R2266" i="1"/>
  <c r="S2266" i="1" s="1"/>
  <c r="Q2266" i="1"/>
  <c r="P2266" i="1"/>
  <c r="X2265" i="1"/>
  <c r="Y2265" i="1" s="1"/>
  <c r="Z2265" i="1" s="1"/>
  <c r="W2265" i="1"/>
  <c r="V2265" i="1"/>
  <c r="U2265" i="1"/>
  <c r="R2265" i="1"/>
  <c r="S2265" i="1" s="1"/>
  <c r="T2265" i="1" s="1"/>
  <c r="Q2265" i="1"/>
  <c r="P2265" i="1"/>
  <c r="S2264" i="1"/>
  <c r="R2264" i="1"/>
  <c r="Q2264" i="1"/>
  <c r="P2264" i="1"/>
  <c r="S2263" i="1"/>
  <c r="R2263" i="1"/>
  <c r="Q2263" i="1"/>
  <c r="P2263" i="1"/>
  <c r="R2262" i="1"/>
  <c r="S2262" i="1" s="1"/>
  <c r="Q2262" i="1"/>
  <c r="P2262" i="1"/>
  <c r="R2261" i="1"/>
  <c r="S2261" i="1" s="1"/>
  <c r="Q2261" i="1"/>
  <c r="P2261" i="1"/>
  <c r="R2260" i="1"/>
  <c r="S2260" i="1" s="1"/>
  <c r="Q2260" i="1"/>
  <c r="P2260" i="1"/>
  <c r="R2259" i="1"/>
  <c r="S2259" i="1" s="1"/>
  <c r="W2259" i="1" s="1"/>
  <c r="X2259" i="1" s="1"/>
  <c r="Y2259" i="1" s="1"/>
  <c r="Z2259" i="1" s="1"/>
  <c r="Q2259" i="1"/>
  <c r="P2259" i="1"/>
  <c r="R2258" i="1"/>
  <c r="S2258" i="1" s="1"/>
  <c r="Q2258" i="1"/>
  <c r="P2258" i="1"/>
  <c r="Y2257" i="1"/>
  <c r="Z2257" i="1" s="1"/>
  <c r="X2257" i="1"/>
  <c r="W2257" i="1"/>
  <c r="V2257" i="1"/>
  <c r="U2257" i="1"/>
  <c r="T2257" i="1"/>
  <c r="S2257" i="1"/>
  <c r="R2257" i="1"/>
  <c r="Q2257" i="1"/>
  <c r="P2257" i="1"/>
  <c r="S2256" i="1"/>
  <c r="R2256" i="1"/>
  <c r="Q2256" i="1"/>
  <c r="P2256" i="1"/>
  <c r="R2255" i="1"/>
  <c r="S2255" i="1" s="1"/>
  <c r="Q2255" i="1"/>
  <c r="P2255" i="1"/>
  <c r="R2254" i="1"/>
  <c r="S2254" i="1" s="1"/>
  <c r="Q2254" i="1"/>
  <c r="P2254" i="1"/>
  <c r="S2253" i="1"/>
  <c r="R2253" i="1"/>
  <c r="Q2253" i="1"/>
  <c r="P2253" i="1"/>
  <c r="S2252" i="1"/>
  <c r="R2252" i="1"/>
  <c r="Q2252" i="1"/>
  <c r="P2252" i="1"/>
  <c r="S2251" i="1"/>
  <c r="R2251" i="1"/>
  <c r="Q2251" i="1"/>
  <c r="P2251" i="1"/>
  <c r="S2250" i="1"/>
  <c r="W2250" i="1" s="1"/>
  <c r="X2250" i="1" s="1"/>
  <c r="Y2250" i="1" s="1"/>
  <c r="Z2250" i="1" s="1"/>
  <c r="R2250" i="1"/>
  <c r="Q2250" i="1"/>
  <c r="P2250" i="1"/>
  <c r="S2249" i="1"/>
  <c r="R2249" i="1"/>
  <c r="Q2249" i="1"/>
  <c r="P2249" i="1"/>
  <c r="Z2248" i="1"/>
  <c r="X2248" i="1"/>
  <c r="Y2248" i="1" s="1"/>
  <c r="W2248" i="1"/>
  <c r="V2248" i="1"/>
  <c r="U2248" i="1"/>
  <c r="S2248" i="1"/>
  <c r="T2248" i="1" s="1"/>
  <c r="R2248" i="1"/>
  <c r="Q2248" i="1"/>
  <c r="P2248" i="1"/>
  <c r="S2247" i="1"/>
  <c r="R2247" i="1"/>
  <c r="Q2247" i="1"/>
  <c r="P2247" i="1"/>
  <c r="X2246" i="1"/>
  <c r="Y2246" i="1" s="1"/>
  <c r="Z2246" i="1" s="1"/>
  <c r="W2246" i="1"/>
  <c r="U2246" i="1"/>
  <c r="R2246" i="1"/>
  <c r="S2246" i="1" s="1"/>
  <c r="Q2246" i="1"/>
  <c r="P2246" i="1"/>
  <c r="S2245" i="1"/>
  <c r="V2245" i="1" s="1"/>
  <c r="R2245" i="1"/>
  <c r="Q2245" i="1"/>
  <c r="P2245" i="1"/>
  <c r="R2244" i="1"/>
  <c r="S2244" i="1" s="1"/>
  <c r="Q2244" i="1"/>
  <c r="P2244" i="1"/>
  <c r="T2243" i="1"/>
  <c r="R2243" i="1"/>
  <c r="S2243" i="1" s="1"/>
  <c r="Q2243" i="1"/>
  <c r="P2243" i="1"/>
  <c r="U2242" i="1"/>
  <c r="R2242" i="1"/>
  <c r="S2242" i="1" s="1"/>
  <c r="Q2242" i="1"/>
  <c r="P2242" i="1"/>
  <c r="R2241" i="1"/>
  <c r="S2241" i="1" s="1"/>
  <c r="Q2241" i="1"/>
  <c r="P2241" i="1"/>
  <c r="V2240" i="1"/>
  <c r="S2240" i="1"/>
  <c r="R2240" i="1"/>
  <c r="Q2240" i="1"/>
  <c r="P2240" i="1"/>
  <c r="Y2239" i="1"/>
  <c r="Z2239" i="1" s="1"/>
  <c r="X2239" i="1"/>
  <c r="R2239" i="1"/>
  <c r="S2239" i="1" s="1"/>
  <c r="W2239" i="1" s="1"/>
  <c r="Q2239" i="1"/>
  <c r="P2239" i="1"/>
  <c r="Y2238" i="1"/>
  <c r="Z2238" i="1" s="1"/>
  <c r="X2238" i="1"/>
  <c r="V2238" i="1"/>
  <c r="U2238" i="1"/>
  <c r="T2238" i="1"/>
  <c r="S2238" i="1"/>
  <c r="W2238" i="1" s="1"/>
  <c r="R2238" i="1"/>
  <c r="Q2238" i="1"/>
  <c r="P2238" i="1"/>
  <c r="Y2237" i="1"/>
  <c r="Z2237" i="1" s="1"/>
  <c r="W2237" i="1"/>
  <c r="X2237" i="1" s="1"/>
  <c r="V2237" i="1"/>
  <c r="T2237" i="1"/>
  <c r="R2237" i="1"/>
  <c r="S2237" i="1" s="1"/>
  <c r="U2237" i="1" s="1"/>
  <c r="Q2237" i="1"/>
  <c r="P2237" i="1"/>
  <c r="S2236" i="1"/>
  <c r="W2236" i="1" s="1"/>
  <c r="X2236" i="1" s="1"/>
  <c r="Y2236" i="1" s="1"/>
  <c r="Z2236" i="1" s="1"/>
  <c r="R2236" i="1"/>
  <c r="Q2236" i="1"/>
  <c r="P2236" i="1"/>
  <c r="R2235" i="1"/>
  <c r="S2235" i="1" s="1"/>
  <c r="Q2235" i="1"/>
  <c r="P2235" i="1"/>
  <c r="U2234" i="1"/>
  <c r="R2234" i="1"/>
  <c r="S2234" i="1" s="1"/>
  <c r="Q2234" i="1"/>
  <c r="P2234" i="1"/>
  <c r="S2233" i="1"/>
  <c r="R2233" i="1"/>
  <c r="Q2233" i="1"/>
  <c r="P2233" i="1"/>
  <c r="R2232" i="1"/>
  <c r="S2232" i="1" s="1"/>
  <c r="Q2232" i="1"/>
  <c r="P2232" i="1"/>
  <c r="R2231" i="1"/>
  <c r="S2231" i="1" s="1"/>
  <c r="Q2231" i="1"/>
  <c r="P2231" i="1"/>
  <c r="S2230" i="1"/>
  <c r="W2230" i="1" s="1"/>
  <c r="X2230" i="1" s="1"/>
  <c r="Y2230" i="1" s="1"/>
  <c r="Z2230" i="1" s="1"/>
  <c r="R2230" i="1"/>
  <c r="Q2230" i="1"/>
  <c r="P2230" i="1"/>
  <c r="R2229" i="1"/>
  <c r="S2229" i="1" s="1"/>
  <c r="Q2229" i="1"/>
  <c r="P2229" i="1"/>
  <c r="X2228" i="1"/>
  <c r="Y2228" i="1" s="1"/>
  <c r="Z2228" i="1" s="1"/>
  <c r="W2228" i="1"/>
  <c r="V2228" i="1"/>
  <c r="U2228" i="1"/>
  <c r="S2228" i="1"/>
  <c r="T2228" i="1" s="1"/>
  <c r="R2228" i="1"/>
  <c r="Q2228" i="1"/>
  <c r="P2228" i="1"/>
  <c r="W2227" i="1"/>
  <c r="X2227" i="1" s="1"/>
  <c r="Y2227" i="1" s="1"/>
  <c r="Z2227" i="1" s="1"/>
  <c r="V2227" i="1"/>
  <c r="R2227" i="1"/>
  <c r="S2227" i="1" s="1"/>
  <c r="Q2227" i="1"/>
  <c r="P2227" i="1"/>
  <c r="Y2226" i="1"/>
  <c r="Z2226" i="1" s="1"/>
  <c r="X2226" i="1"/>
  <c r="W2226" i="1"/>
  <c r="V2226" i="1"/>
  <c r="U2226" i="1"/>
  <c r="R2226" i="1"/>
  <c r="S2226" i="1" s="1"/>
  <c r="T2226" i="1" s="1"/>
  <c r="Q2226" i="1"/>
  <c r="P2226" i="1"/>
  <c r="W2225" i="1"/>
  <c r="X2225" i="1" s="1"/>
  <c r="Y2225" i="1" s="1"/>
  <c r="Z2225" i="1" s="1"/>
  <c r="V2225" i="1"/>
  <c r="U2225" i="1"/>
  <c r="T2225" i="1"/>
  <c r="S2225" i="1"/>
  <c r="R2225" i="1"/>
  <c r="Q2225" i="1"/>
  <c r="P2225" i="1"/>
  <c r="W2224" i="1"/>
  <c r="X2224" i="1" s="1"/>
  <c r="Y2224" i="1" s="1"/>
  <c r="Z2224" i="1" s="1"/>
  <c r="S2224" i="1"/>
  <c r="R2224" i="1"/>
  <c r="Q2224" i="1"/>
  <c r="P2224" i="1"/>
  <c r="R2223" i="1"/>
  <c r="S2223" i="1" s="1"/>
  <c r="Q2223" i="1"/>
  <c r="P2223" i="1"/>
  <c r="U2222" i="1"/>
  <c r="R2222" i="1"/>
  <c r="S2222" i="1" s="1"/>
  <c r="Q2222" i="1"/>
  <c r="P2222" i="1"/>
  <c r="U2221" i="1"/>
  <c r="S2221" i="1"/>
  <c r="R2221" i="1"/>
  <c r="Q2221" i="1"/>
  <c r="P2221" i="1"/>
  <c r="W2220" i="1"/>
  <c r="X2220" i="1" s="1"/>
  <c r="Y2220" i="1" s="1"/>
  <c r="Z2220" i="1" s="1"/>
  <c r="V2220" i="1"/>
  <c r="S2220" i="1"/>
  <c r="U2220" i="1" s="1"/>
  <c r="R2220" i="1"/>
  <c r="Q2220" i="1"/>
  <c r="P2220" i="1"/>
  <c r="V2219" i="1"/>
  <c r="S2219" i="1"/>
  <c r="R2219" i="1"/>
  <c r="Q2219" i="1"/>
  <c r="P2219" i="1"/>
  <c r="S2218" i="1"/>
  <c r="R2218" i="1"/>
  <c r="Q2218" i="1"/>
  <c r="P2218" i="1"/>
  <c r="V2217" i="1"/>
  <c r="U2217" i="1"/>
  <c r="R2217" i="1"/>
  <c r="S2217" i="1" s="1"/>
  <c r="Q2217" i="1"/>
  <c r="P2217" i="1"/>
  <c r="R2216" i="1"/>
  <c r="S2216" i="1" s="1"/>
  <c r="Q2216" i="1"/>
  <c r="P2216" i="1"/>
  <c r="R2215" i="1"/>
  <c r="S2215" i="1" s="1"/>
  <c r="Q2215" i="1"/>
  <c r="P2215" i="1"/>
  <c r="T2214" i="1"/>
  <c r="R2214" i="1"/>
  <c r="S2214" i="1" s="1"/>
  <c r="Q2214" i="1"/>
  <c r="P2214" i="1"/>
  <c r="T2213" i="1"/>
  <c r="S2213" i="1"/>
  <c r="R2213" i="1"/>
  <c r="Q2213" i="1"/>
  <c r="P2213" i="1"/>
  <c r="R2212" i="1"/>
  <c r="S2212" i="1" s="1"/>
  <c r="Q2212" i="1"/>
  <c r="P2212" i="1"/>
  <c r="V2211" i="1"/>
  <c r="U2211" i="1"/>
  <c r="S2211" i="1"/>
  <c r="R2211" i="1"/>
  <c r="Q2211" i="1"/>
  <c r="P2211" i="1"/>
  <c r="U2210" i="1"/>
  <c r="T2210" i="1"/>
  <c r="R2210" i="1"/>
  <c r="S2210" i="1" s="1"/>
  <c r="Q2210" i="1"/>
  <c r="P2210" i="1"/>
  <c r="W2209" i="1"/>
  <c r="X2209" i="1" s="1"/>
  <c r="Y2209" i="1" s="1"/>
  <c r="Z2209" i="1" s="1"/>
  <c r="U2209" i="1"/>
  <c r="T2209" i="1"/>
  <c r="S2209" i="1"/>
  <c r="V2209" i="1" s="1"/>
  <c r="R2209" i="1"/>
  <c r="Q2209" i="1"/>
  <c r="P2209" i="1"/>
  <c r="W2208" i="1"/>
  <c r="X2208" i="1" s="1"/>
  <c r="Y2208" i="1" s="1"/>
  <c r="Z2208" i="1" s="1"/>
  <c r="V2208" i="1"/>
  <c r="S2208" i="1"/>
  <c r="U2208" i="1" s="1"/>
  <c r="R2208" i="1"/>
  <c r="Q2208" i="1"/>
  <c r="P2208" i="1"/>
  <c r="W2207" i="1"/>
  <c r="X2207" i="1" s="1"/>
  <c r="Y2207" i="1" s="1"/>
  <c r="Z2207" i="1" s="1"/>
  <c r="V2207" i="1"/>
  <c r="U2207" i="1"/>
  <c r="T2207" i="1"/>
  <c r="S2207" i="1"/>
  <c r="R2207" i="1"/>
  <c r="Q2207" i="1"/>
  <c r="P2207" i="1"/>
  <c r="R2206" i="1"/>
  <c r="S2206" i="1" s="1"/>
  <c r="Q2206" i="1"/>
  <c r="P2206" i="1"/>
  <c r="X2205" i="1"/>
  <c r="Y2205" i="1" s="1"/>
  <c r="Z2205" i="1" s="1"/>
  <c r="W2205" i="1"/>
  <c r="V2205" i="1"/>
  <c r="U2205" i="1"/>
  <c r="T2205" i="1"/>
  <c r="S2205" i="1"/>
  <c r="R2205" i="1"/>
  <c r="Q2205" i="1"/>
  <c r="P2205" i="1"/>
  <c r="R2204" i="1"/>
  <c r="S2204" i="1" s="1"/>
  <c r="Q2204" i="1"/>
  <c r="P2204" i="1"/>
  <c r="W2203" i="1"/>
  <c r="X2203" i="1" s="1"/>
  <c r="Y2203" i="1" s="1"/>
  <c r="Z2203" i="1" s="1"/>
  <c r="V2203" i="1"/>
  <c r="S2203" i="1"/>
  <c r="U2203" i="1" s="1"/>
  <c r="R2203" i="1"/>
  <c r="Q2203" i="1"/>
  <c r="P2203" i="1"/>
  <c r="R2202" i="1"/>
  <c r="S2202" i="1" s="1"/>
  <c r="Q2202" i="1"/>
  <c r="P2202" i="1"/>
  <c r="S2201" i="1"/>
  <c r="R2201" i="1"/>
  <c r="Q2201" i="1"/>
  <c r="P2201" i="1"/>
  <c r="R2200" i="1"/>
  <c r="S2200" i="1" s="1"/>
  <c r="Q2200" i="1"/>
  <c r="P2200" i="1"/>
  <c r="R2199" i="1"/>
  <c r="S2199" i="1" s="1"/>
  <c r="W2199" i="1" s="1"/>
  <c r="X2199" i="1" s="1"/>
  <c r="Y2199" i="1" s="1"/>
  <c r="Z2199" i="1" s="1"/>
  <c r="Q2199" i="1"/>
  <c r="P2199" i="1"/>
  <c r="R2198" i="1"/>
  <c r="S2198" i="1" s="1"/>
  <c r="Q2198" i="1"/>
  <c r="P2198" i="1"/>
  <c r="W2197" i="1"/>
  <c r="X2197" i="1" s="1"/>
  <c r="Y2197" i="1" s="1"/>
  <c r="Z2197" i="1" s="1"/>
  <c r="U2197" i="1"/>
  <c r="T2197" i="1"/>
  <c r="R2197" i="1"/>
  <c r="S2197" i="1" s="1"/>
  <c r="V2197" i="1" s="1"/>
  <c r="Q2197" i="1"/>
  <c r="P2197" i="1"/>
  <c r="S2196" i="1"/>
  <c r="R2196" i="1"/>
  <c r="Q2196" i="1"/>
  <c r="P2196" i="1"/>
  <c r="R2195" i="1"/>
  <c r="S2195" i="1" s="1"/>
  <c r="Q2195" i="1"/>
  <c r="P2195" i="1"/>
  <c r="R2194" i="1"/>
  <c r="S2194" i="1" s="1"/>
  <c r="Q2194" i="1"/>
  <c r="P2194" i="1"/>
  <c r="T2193" i="1"/>
  <c r="S2193" i="1"/>
  <c r="R2193" i="1"/>
  <c r="Q2193" i="1"/>
  <c r="P2193" i="1"/>
  <c r="V2192" i="1"/>
  <c r="R2192" i="1"/>
  <c r="S2192" i="1" s="1"/>
  <c r="Q2192" i="1"/>
  <c r="P2192" i="1"/>
  <c r="V2191" i="1"/>
  <c r="U2191" i="1"/>
  <c r="S2191" i="1"/>
  <c r="R2191" i="1"/>
  <c r="Q2191" i="1"/>
  <c r="P2191" i="1"/>
  <c r="W2190" i="1"/>
  <c r="X2190" i="1" s="1"/>
  <c r="Y2190" i="1" s="1"/>
  <c r="Z2190" i="1" s="1"/>
  <c r="V2190" i="1"/>
  <c r="U2190" i="1"/>
  <c r="T2190" i="1"/>
  <c r="S2190" i="1"/>
  <c r="R2190" i="1"/>
  <c r="Q2190" i="1"/>
  <c r="P2190" i="1"/>
  <c r="R2189" i="1"/>
  <c r="S2189" i="1" s="1"/>
  <c r="Q2189" i="1"/>
  <c r="P2189" i="1"/>
  <c r="W2188" i="1"/>
  <c r="X2188" i="1" s="1"/>
  <c r="Y2188" i="1" s="1"/>
  <c r="Z2188" i="1" s="1"/>
  <c r="V2188" i="1"/>
  <c r="U2188" i="1"/>
  <c r="T2188" i="1"/>
  <c r="S2188" i="1"/>
  <c r="R2188" i="1"/>
  <c r="Q2188" i="1"/>
  <c r="P2188" i="1"/>
  <c r="R2187" i="1"/>
  <c r="S2187" i="1" s="1"/>
  <c r="Q2187" i="1"/>
  <c r="P2187" i="1"/>
  <c r="U2186" i="1"/>
  <c r="R2186" i="1"/>
  <c r="S2186" i="1" s="1"/>
  <c r="Q2186" i="1"/>
  <c r="P2186" i="1"/>
  <c r="T2185" i="1"/>
  <c r="R2185" i="1"/>
  <c r="S2185" i="1" s="1"/>
  <c r="Q2185" i="1"/>
  <c r="P2185" i="1"/>
  <c r="R2184" i="1"/>
  <c r="S2184" i="1" s="1"/>
  <c r="Q2184" i="1"/>
  <c r="P2184" i="1"/>
  <c r="R2183" i="1"/>
  <c r="S2183" i="1" s="1"/>
  <c r="Q2183" i="1"/>
  <c r="P2183" i="1"/>
  <c r="T2182" i="1"/>
  <c r="R2182" i="1"/>
  <c r="S2182" i="1" s="1"/>
  <c r="Q2182" i="1"/>
  <c r="P2182" i="1"/>
  <c r="S2181" i="1"/>
  <c r="R2181" i="1"/>
  <c r="Q2181" i="1"/>
  <c r="P2181" i="1"/>
  <c r="V2180" i="1"/>
  <c r="T2180" i="1"/>
  <c r="S2180" i="1"/>
  <c r="U2180" i="1" s="1"/>
  <c r="R2180" i="1"/>
  <c r="Q2180" i="1"/>
  <c r="P2180" i="1"/>
  <c r="R2179" i="1"/>
  <c r="S2179" i="1" s="1"/>
  <c r="Q2179" i="1"/>
  <c r="P2179" i="1"/>
  <c r="V2178" i="1"/>
  <c r="R2178" i="1"/>
  <c r="S2178" i="1" s="1"/>
  <c r="Q2178" i="1"/>
  <c r="P2178" i="1"/>
  <c r="Z2177" i="1"/>
  <c r="W2177" i="1"/>
  <c r="X2177" i="1" s="1"/>
  <c r="Y2177" i="1" s="1"/>
  <c r="V2177" i="1"/>
  <c r="U2177" i="1"/>
  <c r="R2177" i="1"/>
  <c r="S2177" i="1" s="1"/>
  <c r="T2177" i="1" s="1"/>
  <c r="Q2177" i="1"/>
  <c r="P2177" i="1"/>
  <c r="R2176" i="1"/>
  <c r="S2176" i="1" s="1"/>
  <c r="Q2176" i="1"/>
  <c r="P2176" i="1"/>
  <c r="X2175" i="1"/>
  <c r="Y2175" i="1" s="1"/>
  <c r="Z2175" i="1" s="1"/>
  <c r="W2175" i="1"/>
  <c r="V2175" i="1"/>
  <c r="R2175" i="1"/>
  <c r="S2175" i="1" s="1"/>
  <c r="Q2175" i="1"/>
  <c r="P2175" i="1"/>
  <c r="R2174" i="1"/>
  <c r="S2174" i="1" s="1"/>
  <c r="Q2174" i="1"/>
  <c r="P2174" i="1"/>
  <c r="S2173" i="1"/>
  <c r="R2173" i="1"/>
  <c r="Q2173" i="1"/>
  <c r="P2173" i="1"/>
  <c r="R2172" i="1"/>
  <c r="S2172" i="1" s="1"/>
  <c r="Q2172" i="1"/>
  <c r="P2172" i="1"/>
  <c r="U2171" i="1"/>
  <c r="S2171" i="1"/>
  <c r="R2171" i="1"/>
  <c r="Q2171" i="1"/>
  <c r="P2171" i="1"/>
  <c r="W2170" i="1"/>
  <c r="X2170" i="1" s="1"/>
  <c r="Y2170" i="1" s="1"/>
  <c r="Z2170" i="1" s="1"/>
  <c r="R2170" i="1"/>
  <c r="S2170" i="1" s="1"/>
  <c r="Q2170" i="1"/>
  <c r="P2170" i="1"/>
  <c r="S2169" i="1"/>
  <c r="R2169" i="1"/>
  <c r="Q2169" i="1"/>
  <c r="P2169" i="1"/>
  <c r="V2168" i="1"/>
  <c r="S2168" i="1"/>
  <c r="R2168" i="1"/>
  <c r="Q2168" i="1"/>
  <c r="P2168" i="1"/>
  <c r="V2167" i="1"/>
  <c r="T2167" i="1"/>
  <c r="R2167" i="1"/>
  <c r="S2167" i="1" s="1"/>
  <c r="Q2167" i="1"/>
  <c r="P2167" i="1"/>
  <c r="R2166" i="1"/>
  <c r="S2166" i="1" s="1"/>
  <c r="Q2166" i="1"/>
  <c r="P2166" i="1"/>
  <c r="V2165" i="1"/>
  <c r="U2165" i="1"/>
  <c r="R2165" i="1"/>
  <c r="S2165" i="1" s="1"/>
  <c r="T2165" i="1" s="1"/>
  <c r="Q2165" i="1"/>
  <c r="P2165" i="1"/>
  <c r="S2164" i="1"/>
  <c r="R2164" i="1"/>
  <c r="Q2164" i="1"/>
  <c r="P2164" i="1"/>
  <c r="S2163" i="1"/>
  <c r="R2163" i="1"/>
  <c r="Q2163" i="1"/>
  <c r="P2163" i="1"/>
  <c r="U2162" i="1"/>
  <c r="R2162" i="1"/>
  <c r="S2162" i="1" s="1"/>
  <c r="Q2162" i="1"/>
  <c r="P2162" i="1"/>
  <c r="V2161" i="1"/>
  <c r="R2161" i="1"/>
  <c r="S2161" i="1" s="1"/>
  <c r="Q2161" i="1"/>
  <c r="P2161" i="1"/>
  <c r="W2160" i="1"/>
  <c r="X2160" i="1" s="1"/>
  <c r="Y2160" i="1" s="1"/>
  <c r="Z2160" i="1" s="1"/>
  <c r="V2160" i="1"/>
  <c r="T2160" i="1"/>
  <c r="S2160" i="1"/>
  <c r="U2160" i="1" s="1"/>
  <c r="R2160" i="1"/>
  <c r="Q2160" i="1"/>
  <c r="P2160" i="1"/>
  <c r="R2159" i="1"/>
  <c r="S2159" i="1" s="1"/>
  <c r="Q2159" i="1"/>
  <c r="P2159" i="1"/>
  <c r="Y2158" i="1"/>
  <c r="Z2158" i="1" s="1"/>
  <c r="X2158" i="1"/>
  <c r="V2158" i="1"/>
  <c r="U2158" i="1"/>
  <c r="T2158" i="1"/>
  <c r="S2158" i="1"/>
  <c r="W2158" i="1" s="1"/>
  <c r="R2158" i="1"/>
  <c r="Q2158" i="1"/>
  <c r="P2158" i="1"/>
  <c r="W2157" i="1"/>
  <c r="X2157" i="1" s="1"/>
  <c r="Y2157" i="1" s="1"/>
  <c r="Z2157" i="1" s="1"/>
  <c r="U2157" i="1"/>
  <c r="R2157" i="1"/>
  <c r="S2157" i="1" s="1"/>
  <c r="Q2157" i="1"/>
  <c r="P2157" i="1"/>
  <c r="W2156" i="1"/>
  <c r="X2156" i="1" s="1"/>
  <c r="Y2156" i="1" s="1"/>
  <c r="Z2156" i="1" s="1"/>
  <c r="V2156" i="1"/>
  <c r="U2156" i="1"/>
  <c r="T2156" i="1"/>
  <c r="S2156" i="1"/>
  <c r="R2156" i="1"/>
  <c r="Q2156" i="1"/>
  <c r="P2156" i="1"/>
  <c r="W2155" i="1"/>
  <c r="X2155" i="1" s="1"/>
  <c r="Y2155" i="1" s="1"/>
  <c r="Z2155" i="1" s="1"/>
  <c r="V2155" i="1"/>
  <c r="R2155" i="1"/>
  <c r="S2155" i="1" s="1"/>
  <c r="Q2155" i="1"/>
  <c r="P2155" i="1"/>
  <c r="Y2154" i="1"/>
  <c r="Z2154" i="1" s="1"/>
  <c r="W2154" i="1"/>
  <c r="X2154" i="1" s="1"/>
  <c r="U2154" i="1"/>
  <c r="T2154" i="1"/>
  <c r="S2154" i="1"/>
  <c r="V2154" i="1" s="1"/>
  <c r="R2154" i="1"/>
  <c r="Q2154" i="1"/>
  <c r="P2154" i="1"/>
  <c r="S2153" i="1"/>
  <c r="R2153" i="1"/>
  <c r="Q2153" i="1"/>
  <c r="P2153" i="1"/>
  <c r="V2152" i="1"/>
  <c r="U2152" i="1"/>
  <c r="T2152" i="1"/>
  <c r="R2152" i="1"/>
  <c r="S2152" i="1" s="1"/>
  <c r="W2152" i="1" s="1"/>
  <c r="X2152" i="1" s="1"/>
  <c r="Y2152" i="1" s="1"/>
  <c r="Z2152" i="1" s="1"/>
  <c r="Q2152" i="1"/>
  <c r="P2152" i="1"/>
  <c r="U2151" i="1"/>
  <c r="S2151" i="1"/>
  <c r="R2151" i="1"/>
  <c r="Q2151" i="1"/>
  <c r="P2151" i="1"/>
  <c r="U2150" i="1"/>
  <c r="R2150" i="1"/>
  <c r="S2150" i="1" s="1"/>
  <c r="Q2150" i="1"/>
  <c r="P2150" i="1"/>
  <c r="R2149" i="1"/>
  <c r="S2149" i="1" s="1"/>
  <c r="Q2149" i="1"/>
  <c r="P2149" i="1"/>
  <c r="Z2148" i="1"/>
  <c r="X2148" i="1"/>
  <c r="Y2148" i="1" s="1"/>
  <c r="W2148" i="1"/>
  <c r="V2148" i="1"/>
  <c r="S2148" i="1"/>
  <c r="U2148" i="1" s="1"/>
  <c r="R2148" i="1"/>
  <c r="Q2148" i="1"/>
  <c r="P2148" i="1"/>
  <c r="S2147" i="1"/>
  <c r="R2147" i="1"/>
  <c r="Q2147" i="1"/>
  <c r="P2147" i="1"/>
  <c r="V2146" i="1"/>
  <c r="R2146" i="1"/>
  <c r="S2146" i="1" s="1"/>
  <c r="Q2146" i="1"/>
  <c r="P2146" i="1"/>
  <c r="S2145" i="1"/>
  <c r="R2145" i="1"/>
  <c r="Q2145" i="1"/>
  <c r="P2145" i="1"/>
  <c r="S2144" i="1"/>
  <c r="R2144" i="1"/>
  <c r="Q2144" i="1"/>
  <c r="P2144" i="1"/>
  <c r="W2143" i="1"/>
  <c r="X2143" i="1" s="1"/>
  <c r="Y2143" i="1" s="1"/>
  <c r="Z2143" i="1" s="1"/>
  <c r="R2143" i="1"/>
  <c r="S2143" i="1" s="1"/>
  <c r="Q2143" i="1"/>
  <c r="P2143" i="1"/>
  <c r="T2142" i="1"/>
  <c r="R2142" i="1"/>
  <c r="S2142" i="1" s="1"/>
  <c r="Q2142" i="1"/>
  <c r="P2142" i="1"/>
  <c r="X2141" i="1"/>
  <c r="Y2141" i="1" s="1"/>
  <c r="Z2141" i="1" s="1"/>
  <c r="W2141" i="1"/>
  <c r="V2141" i="1"/>
  <c r="U2141" i="1"/>
  <c r="T2141" i="1"/>
  <c r="S2141" i="1"/>
  <c r="R2141" i="1"/>
  <c r="Q2141" i="1"/>
  <c r="P2141" i="1"/>
  <c r="R2140" i="1"/>
  <c r="S2140" i="1" s="1"/>
  <c r="Q2140" i="1"/>
  <c r="P2140" i="1"/>
  <c r="S2139" i="1"/>
  <c r="R2139" i="1"/>
  <c r="Q2139" i="1"/>
  <c r="P2139" i="1"/>
  <c r="V2138" i="1"/>
  <c r="T2138" i="1"/>
  <c r="S2138" i="1"/>
  <c r="R2138" i="1"/>
  <c r="Q2138" i="1"/>
  <c r="P2138" i="1"/>
  <c r="R2137" i="1"/>
  <c r="S2137" i="1" s="1"/>
  <c r="U2137" i="1" s="1"/>
  <c r="Q2137" i="1"/>
  <c r="P2137" i="1"/>
  <c r="W2136" i="1"/>
  <c r="X2136" i="1" s="1"/>
  <c r="Y2136" i="1" s="1"/>
  <c r="Z2136" i="1" s="1"/>
  <c r="S2136" i="1"/>
  <c r="U2136" i="1" s="1"/>
  <c r="R2136" i="1"/>
  <c r="Q2136" i="1"/>
  <c r="P2136" i="1"/>
  <c r="V2135" i="1"/>
  <c r="R2135" i="1"/>
  <c r="S2135" i="1" s="1"/>
  <c r="Q2135" i="1"/>
  <c r="P2135" i="1"/>
  <c r="S2134" i="1"/>
  <c r="R2134" i="1"/>
  <c r="Q2134" i="1"/>
  <c r="P2134" i="1"/>
  <c r="S2133" i="1"/>
  <c r="R2133" i="1"/>
  <c r="Q2133" i="1"/>
  <c r="P2133" i="1"/>
  <c r="T2132" i="1"/>
  <c r="R2132" i="1"/>
  <c r="S2132" i="1" s="1"/>
  <c r="Q2132" i="1"/>
  <c r="P2132" i="1"/>
  <c r="V2131" i="1"/>
  <c r="U2131" i="1"/>
  <c r="S2131" i="1"/>
  <c r="R2131" i="1"/>
  <c r="Q2131" i="1"/>
  <c r="P2131" i="1"/>
  <c r="S2130" i="1"/>
  <c r="R2130" i="1"/>
  <c r="Q2130" i="1"/>
  <c r="P2130" i="1"/>
  <c r="S2129" i="1"/>
  <c r="R2129" i="1"/>
  <c r="Q2129" i="1"/>
  <c r="P2129" i="1"/>
  <c r="X2128" i="1"/>
  <c r="Y2128" i="1" s="1"/>
  <c r="Z2128" i="1" s="1"/>
  <c r="W2128" i="1"/>
  <c r="V2128" i="1"/>
  <c r="U2128" i="1"/>
  <c r="T2128" i="1"/>
  <c r="S2128" i="1"/>
  <c r="R2128" i="1"/>
  <c r="Q2128" i="1"/>
  <c r="P2128" i="1"/>
  <c r="V2127" i="1"/>
  <c r="T2127" i="1"/>
  <c r="S2127" i="1"/>
  <c r="R2127" i="1"/>
  <c r="Q2127" i="1"/>
  <c r="P2127" i="1"/>
  <c r="W2126" i="1"/>
  <c r="X2126" i="1" s="1"/>
  <c r="Y2126" i="1" s="1"/>
  <c r="Z2126" i="1" s="1"/>
  <c r="V2126" i="1"/>
  <c r="U2126" i="1"/>
  <c r="R2126" i="1"/>
  <c r="S2126" i="1" s="1"/>
  <c r="T2126" i="1" s="1"/>
  <c r="Q2126" i="1"/>
  <c r="P2126" i="1"/>
  <c r="V2125" i="1"/>
  <c r="T2125" i="1"/>
  <c r="R2125" i="1"/>
  <c r="S2125" i="1" s="1"/>
  <c r="Q2125" i="1"/>
  <c r="P2125" i="1"/>
  <c r="S2124" i="1"/>
  <c r="R2124" i="1"/>
  <c r="Q2124" i="1"/>
  <c r="P2124" i="1"/>
  <c r="T2123" i="1"/>
  <c r="R2123" i="1"/>
  <c r="S2123" i="1" s="1"/>
  <c r="Q2123" i="1"/>
  <c r="P2123" i="1"/>
  <c r="U2122" i="1"/>
  <c r="T2122" i="1"/>
  <c r="R2122" i="1"/>
  <c r="S2122" i="1" s="1"/>
  <c r="Q2122" i="1"/>
  <c r="P2122" i="1"/>
  <c r="W2121" i="1"/>
  <c r="X2121" i="1" s="1"/>
  <c r="Y2121" i="1" s="1"/>
  <c r="Z2121" i="1" s="1"/>
  <c r="U2121" i="1"/>
  <c r="T2121" i="1"/>
  <c r="S2121" i="1"/>
  <c r="V2121" i="1" s="1"/>
  <c r="R2121" i="1"/>
  <c r="Q2121" i="1"/>
  <c r="P2121" i="1"/>
  <c r="W2120" i="1"/>
  <c r="X2120" i="1" s="1"/>
  <c r="Y2120" i="1" s="1"/>
  <c r="Z2120" i="1" s="1"/>
  <c r="T2120" i="1"/>
  <c r="R2120" i="1"/>
  <c r="S2120" i="1" s="1"/>
  <c r="Q2120" i="1"/>
  <c r="P2120" i="1"/>
  <c r="S2119" i="1"/>
  <c r="R2119" i="1"/>
  <c r="Q2119" i="1"/>
  <c r="P2119" i="1"/>
  <c r="R2118" i="1"/>
  <c r="S2118" i="1" s="1"/>
  <c r="Q2118" i="1"/>
  <c r="P2118" i="1"/>
  <c r="R2117" i="1"/>
  <c r="S2117" i="1" s="1"/>
  <c r="Q2117" i="1"/>
  <c r="P2117" i="1"/>
  <c r="R2116" i="1"/>
  <c r="S2116" i="1" s="1"/>
  <c r="Q2116" i="1"/>
  <c r="P2116" i="1"/>
  <c r="V2115" i="1"/>
  <c r="R2115" i="1"/>
  <c r="S2115" i="1" s="1"/>
  <c r="Q2115" i="1"/>
  <c r="P2115" i="1"/>
  <c r="R2114" i="1"/>
  <c r="S2114" i="1" s="1"/>
  <c r="Q2114" i="1"/>
  <c r="P2114" i="1"/>
  <c r="S2113" i="1"/>
  <c r="R2113" i="1"/>
  <c r="Q2113" i="1"/>
  <c r="P2113" i="1"/>
  <c r="S2112" i="1"/>
  <c r="R2112" i="1"/>
  <c r="Q2112" i="1"/>
  <c r="P2112" i="1"/>
  <c r="V2111" i="1"/>
  <c r="U2111" i="1"/>
  <c r="S2111" i="1"/>
  <c r="R2111" i="1"/>
  <c r="Q2111" i="1"/>
  <c r="P2111" i="1"/>
  <c r="S2110" i="1"/>
  <c r="R2110" i="1"/>
  <c r="Q2110" i="1"/>
  <c r="P2110" i="1"/>
  <c r="S2109" i="1"/>
  <c r="R2109" i="1"/>
  <c r="Q2109" i="1"/>
  <c r="P2109" i="1"/>
  <c r="V2108" i="1"/>
  <c r="T2108" i="1"/>
  <c r="S2108" i="1"/>
  <c r="W2108" i="1" s="1"/>
  <c r="X2108" i="1" s="1"/>
  <c r="Y2108" i="1" s="1"/>
  <c r="Z2108" i="1" s="1"/>
  <c r="R2108" i="1"/>
  <c r="Q2108" i="1"/>
  <c r="P2108" i="1"/>
  <c r="W2107" i="1"/>
  <c r="X2107" i="1" s="1"/>
  <c r="Y2107" i="1" s="1"/>
  <c r="Z2107" i="1" s="1"/>
  <c r="V2107" i="1"/>
  <c r="U2107" i="1"/>
  <c r="T2107" i="1"/>
  <c r="S2107" i="1"/>
  <c r="R2107" i="1"/>
  <c r="Q2107" i="1"/>
  <c r="P2107" i="1"/>
  <c r="R2106" i="1"/>
  <c r="S2106" i="1" s="1"/>
  <c r="Q2106" i="1"/>
  <c r="P2106" i="1"/>
  <c r="S2105" i="1"/>
  <c r="R2105" i="1"/>
  <c r="Q2105" i="1"/>
  <c r="P2105" i="1"/>
  <c r="S2104" i="1"/>
  <c r="R2104" i="1"/>
  <c r="Q2104" i="1"/>
  <c r="P2104" i="1"/>
  <c r="W2103" i="1"/>
  <c r="X2103" i="1" s="1"/>
  <c r="Y2103" i="1" s="1"/>
  <c r="Z2103" i="1" s="1"/>
  <c r="V2103" i="1"/>
  <c r="U2103" i="1"/>
  <c r="T2103" i="1"/>
  <c r="S2103" i="1"/>
  <c r="R2103" i="1"/>
  <c r="Q2103" i="1"/>
  <c r="P2103" i="1"/>
  <c r="R2102" i="1"/>
  <c r="S2102" i="1" s="1"/>
  <c r="Q2102" i="1"/>
  <c r="P2102" i="1"/>
  <c r="X2101" i="1"/>
  <c r="Y2101" i="1" s="1"/>
  <c r="Z2101" i="1" s="1"/>
  <c r="W2101" i="1"/>
  <c r="V2101" i="1"/>
  <c r="R2101" i="1"/>
  <c r="S2101" i="1" s="1"/>
  <c r="Q2101" i="1"/>
  <c r="P2101" i="1"/>
  <c r="S2100" i="1"/>
  <c r="R2100" i="1"/>
  <c r="Q2100" i="1"/>
  <c r="P2100" i="1"/>
  <c r="S2099" i="1"/>
  <c r="R2099" i="1"/>
  <c r="Q2099" i="1"/>
  <c r="P2099" i="1"/>
  <c r="W2098" i="1"/>
  <c r="X2098" i="1" s="1"/>
  <c r="Y2098" i="1" s="1"/>
  <c r="Z2098" i="1" s="1"/>
  <c r="V2098" i="1"/>
  <c r="R2098" i="1"/>
  <c r="S2098" i="1" s="1"/>
  <c r="Q2098" i="1"/>
  <c r="P2098" i="1"/>
  <c r="S2097" i="1"/>
  <c r="R2097" i="1"/>
  <c r="Q2097" i="1"/>
  <c r="P2097" i="1"/>
  <c r="W2096" i="1"/>
  <c r="X2096" i="1" s="1"/>
  <c r="Y2096" i="1" s="1"/>
  <c r="Z2096" i="1" s="1"/>
  <c r="V2096" i="1"/>
  <c r="U2096" i="1"/>
  <c r="T2096" i="1"/>
  <c r="S2096" i="1"/>
  <c r="R2096" i="1"/>
  <c r="Q2096" i="1"/>
  <c r="P2096" i="1"/>
  <c r="W2095" i="1"/>
  <c r="X2095" i="1" s="1"/>
  <c r="Y2095" i="1" s="1"/>
  <c r="Z2095" i="1" s="1"/>
  <c r="T2095" i="1"/>
  <c r="S2095" i="1"/>
  <c r="R2095" i="1"/>
  <c r="Q2095" i="1"/>
  <c r="P2095" i="1"/>
  <c r="S2094" i="1"/>
  <c r="R2094" i="1"/>
  <c r="Q2094" i="1"/>
  <c r="P2094" i="1"/>
  <c r="R2093" i="1"/>
  <c r="S2093" i="1" s="1"/>
  <c r="Q2093" i="1"/>
  <c r="P2093" i="1"/>
  <c r="R2092" i="1"/>
  <c r="S2092" i="1" s="1"/>
  <c r="T2092" i="1" s="1"/>
  <c r="Q2092" i="1"/>
  <c r="P2092" i="1"/>
  <c r="R2091" i="1"/>
  <c r="S2091" i="1" s="1"/>
  <c r="Q2091" i="1"/>
  <c r="P2091" i="1"/>
  <c r="S2090" i="1"/>
  <c r="R2090" i="1"/>
  <c r="Q2090" i="1"/>
  <c r="P2090" i="1"/>
  <c r="R2089" i="1"/>
  <c r="S2089" i="1" s="1"/>
  <c r="Q2089" i="1"/>
  <c r="P2089" i="1"/>
  <c r="T2088" i="1"/>
  <c r="R2088" i="1"/>
  <c r="S2088" i="1" s="1"/>
  <c r="Q2088" i="1"/>
  <c r="P2088" i="1"/>
  <c r="S2087" i="1"/>
  <c r="R2087" i="1"/>
  <c r="Q2087" i="1"/>
  <c r="P2087" i="1"/>
  <c r="R2086" i="1"/>
  <c r="S2086" i="1" s="1"/>
  <c r="Q2086" i="1"/>
  <c r="P2086" i="1"/>
  <c r="Y2085" i="1"/>
  <c r="Z2085" i="1" s="1"/>
  <c r="X2085" i="1"/>
  <c r="W2085" i="1"/>
  <c r="S2085" i="1"/>
  <c r="R2085" i="1"/>
  <c r="Q2085" i="1"/>
  <c r="P2085" i="1"/>
  <c r="X2084" i="1"/>
  <c r="Y2084" i="1" s="1"/>
  <c r="Z2084" i="1" s="1"/>
  <c r="V2084" i="1"/>
  <c r="U2084" i="1"/>
  <c r="T2084" i="1"/>
  <c r="S2084" i="1"/>
  <c r="W2084" i="1" s="1"/>
  <c r="R2084" i="1"/>
  <c r="Q2084" i="1"/>
  <c r="P2084" i="1"/>
  <c r="X2083" i="1"/>
  <c r="Y2083" i="1" s="1"/>
  <c r="Z2083" i="1" s="1"/>
  <c r="W2083" i="1"/>
  <c r="V2083" i="1"/>
  <c r="U2083" i="1"/>
  <c r="T2083" i="1"/>
  <c r="S2083" i="1"/>
  <c r="R2083" i="1"/>
  <c r="Q2083" i="1"/>
  <c r="P2083" i="1"/>
  <c r="X2082" i="1"/>
  <c r="Y2082" i="1" s="1"/>
  <c r="Z2082" i="1" s="1"/>
  <c r="W2082" i="1"/>
  <c r="R2082" i="1"/>
  <c r="S2082" i="1" s="1"/>
  <c r="Q2082" i="1"/>
  <c r="P2082" i="1"/>
  <c r="R2081" i="1"/>
  <c r="S2081" i="1" s="1"/>
  <c r="Q2081" i="1"/>
  <c r="P2081" i="1"/>
  <c r="X2080" i="1"/>
  <c r="Y2080" i="1" s="1"/>
  <c r="Z2080" i="1" s="1"/>
  <c r="W2080" i="1"/>
  <c r="V2080" i="1"/>
  <c r="U2080" i="1"/>
  <c r="T2080" i="1"/>
  <c r="S2080" i="1"/>
  <c r="R2080" i="1"/>
  <c r="Q2080" i="1"/>
  <c r="P2080" i="1"/>
  <c r="T2079" i="1"/>
  <c r="S2079" i="1"/>
  <c r="R2079" i="1"/>
  <c r="Q2079" i="1"/>
  <c r="P2079" i="1"/>
  <c r="R2078" i="1"/>
  <c r="S2078" i="1" s="1"/>
  <c r="Q2078" i="1"/>
  <c r="P2078" i="1"/>
  <c r="R2077" i="1"/>
  <c r="S2077" i="1" s="1"/>
  <c r="Q2077" i="1"/>
  <c r="P2077" i="1"/>
  <c r="T2076" i="1"/>
  <c r="S2076" i="1"/>
  <c r="R2076" i="1"/>
  <c r="Q2076" i="1"/>
  <c r="P2076" i="1"/>
  <c r="S2075" i="1"/>
  <c r="R2075" i="1"/>
  <c r="Q2075" i="1"/>
  <c r="P2075" i="1"/>
  <c r="V2074" i="1"/>
  <c r="T2074" i="1"/>
  <c r="S2074" i="1"/>
  <c r="R2074" i="1"/>
  <c r="Q2074" i="1"/>
  <c r="P2074" i="1"/>
  <c r="T2073" i="1"/>
  <c r="R2073" i="1"/>
  <c r="S2073" i="1" s="1"/>
  <c r="Q2073" i="1"/>
  <c r="P2073" i="1"/>
  <c r="W2072" i="1"/>
  <c r="X2072" i="1" s="1"/>
  <c r="Y2072" i="1" s="1"/>
  <c r="Z2072" i="1" s="1"/>
  <c r="U2072" i="1"/>
  <c r="R2072" i="1"/>
  <c r="S2072" i="1" s="1"/>
  <c r="Q2072" i="1"/>
  <c r="P2072" i="1"/>
  <c r="R2071" i="1"/>
  <c r="S2071" i="1" s="1"/>
  <c r="Q2071" i="1"/>
  <c r="P2071" i="1"/>
  <c r="S2070" i="1"/>
  <c r="R2070" i="1"/>
  <c r="Q2070" i="1"/>
  <c r="P2070" i="1"/>
  <c r="V2069" i="1"/>
  <c r="T2069" i="1"/>
  <c r="S2069" i="1"/>
  <c r="W2069" i="1" s="1"/>
  <c r="X2069" i="1" s="1"/>
  <c r="Y2069" i="1" s="1"/>
  <c r="Z2069" i="1" s="1"/>
  <c r="R2069" i="1"/>
  <c r="Q2069" i="1"/>
  <c r="P2069" i="1"/>
  <c r="U2068" i="1"/>
  <c r="T2068" i="1"/>
  <c r="R2068" i="1"/>
  <c r="S2068" i="1" s="1"/>
  <c r="Q2068" i="1"/>
  <c r="P2068" i="1"/>
  <c r="S2067" i="1"/>
  <c r="R2067" i="1"/>
  <c r="Q2067" i="1"/>
  <c r="P2067" i="1"/>
  <c r="W2066" i="1"/>
  <c r="X2066" i="1" s="1"/>
  <c r="Y2066" i="1" s="1"/>
  <c r="Z2066" i="1" s="1"/>
  <c r="R2066" i="1"/>
  <c r="S2066" i="1" s="1"/>
  <c r="Q2066" i="1"/>
  <c r="P2066" i="1"/>
  <c r="X2065" i="1"/>
  <c r="Y2065" i="1" s="1"/>
  <c r="Z2065" i="1" s="1"/>
  <c r="W2065" i="1"/>
  <c r="V2065" i="1"/>
  <c r="T2065" i="1"/>
  <c r="S2065" i="1"/>
  <c r="U2065" i="1" s="1"/>
  <c r="R2065" i="1"/>
  <c r="Q2065" i="1"/>
  <c r="P2065" i="1"/>
  <c r="U2064" i="1"/>
  <c r="R2064" i="1"/>
  <c r="S2064" i="1" s="1"/>
  <c r="Q2064" i="1"/>
  <c r="P2064" i="1"/>
  <c r="W2063" i="1"/>
  <c r="X2063" i="1" s="1"/>
  <c r="Y2063" i="1" s="1"/>
  <c r="Z2063" i="1" s="1"/>
  <c r="V2063" i="1"/>
  <c r="U2063" i="1"/>
  <c r="T2063" i="1"/>
  <c r="S2063" i="1"/>
  <c r="R2063" i="1"/>
  <c r="Q2063" i="1"/>
  <c r="P2063" i="1"/>
  <c r="R2062" i="1"/>
  <c r="S2062" i="1" s="1"/>
  <c r="Q2062" i="1"/>
  <c r="P2062" i="1"/>
  <c r="R2061" i="1"/>
  <c r="S2061" i="1" s="1"/>
  <c r="Q2061" i="1"/>
  <c r="P2061" i="1"/>
  <c r="X2060" i="1"/>
  <c r="Y2060" i="1" s="1"/>
  <c r="Z2060" i="1" s="1"/>
  <c r="W2060" i="1"/>
  <c r="V2060" i="1"/>
  <c r="U2060" i="1"/>
  <c r="R2060" i="1"/>
  <c r="S2060" i="1" s="1"/>
  <c r="T2060" i="1" s="1"/>
  <c r="Q2060" i="1"/>
  <c r="P2060" i="1"/>
  <c r="T2059" i="1"/>
  <c r="S2059" i="1"/>
  <c r="R2059" i="1"/>
  <c r="Q2059" i="1"/>
  <c r="P2059" i="1"/>
  <c r="W2058" i="1"/>
  <c r="X2058" i="1" s="1"/>
  <c r="Y2058" i="1" s="1"/>
  <c r="Z2058" i="1" s="1"/>
  <c r="V2058" i="1"/>
  <c r="U2058" i="1"/>
  <c r="T2058" i="1"/>
  <c r="S2058" i="1"/>
  <c r="R2058" i="1"/>
  <c r="Q2058" i="1"/>
  <c r="P2058" i="1"/>
  <c r="V2057" i="1"/>
  <c r="S2057" i="1"/>
  <c r="R2057" i="1"/>
  <c r="Q2057" i="1"/>
  <c r="P2057" i="1"/>
  <c r="R2056" i="1"/>
  <c r="S2056" i="1" s="1"/>
  <c r="Q2056" i="1"/>
  <c r="P2056" i="1"/>
  <c r="R2055" i="1"/>
  <c r="S2055" i="1" s="1"/>
  <c r="Q2055" i="1"/>
  <c r="P2055" i="1"/>
  <c r="X2054" i="1"/>
  <c r="Y2054" i="1" s="1"/>
  <c r="Z2054" i="1" s="1"/>
  <c r="W2054" i="1"/>
  <c r="V2054" i="1"/>
  <c r="U2054" i="1"/>
  <c r="T2054" i="1"/>
  <c r="S2054" i="1"/>
  <c r="R2054" i="1"/>
  <c r="Q2054" i="1"/>
  <c r="P2054" i="1"/>
  <c r="S2053" i="1"/>
  <c r="R2053" i="1"/>
  <c r="Q2053" i="1"/>
  <c r="P2053" i="1"/>
  <c r="R2052" i="1"/>
  <c r="S2052" i="1" s="1"/>
  <c r="Q2052" i="1"/>
  <c r="P2052" i="1"/>
  <c r="V2051" i="1"/>
  <c r="T2051" i="1"/>
  <c r="R2051" i="1"/>
  <c r="S2051" i="1" s="1"/>
  <c r="Q2051" i="1"/>
  <c r="P2051" i="1"/>
  <c r="S2050" i="1"/>
  <c r="R2050" i="1"/>
  <c r="Q2050" i="1"/>
  <c r="P2050" i="1"/>
  <c r="U2049" i="1"/>
  <c r="S2049" i="1"/>
  <c r="R2049" i="1"/>
  <c r="Q2049" i="1"/>
  <c r="P2049" i="1"/>
  <c r="T2048" i="1"/>
  <c r="R2048" i="1"/>
  <c r="S2048" i="1" s="1"/>
  <c r="Q2048" i="1"/>
  <c r="P2048" i="1"/>
  <c r="W2047" i="1"/>
  <c r="X2047" i="1" s="1"/>
  <c r="Y2047" i="1" s="1"/>
  <c r="Z2047" i="1" s="1"/>
  <c r="T2047" i="1"/>
  <c r="S2047" i="1"/>
  <c r="R2047" i="1"/>
  <c r="Q2047" i="1"/>
  <c r="P2047" i="1"/>
  <c r="R2046" i="1"/>
  <c r="S2046" i="1" s="1"/>
  <c r="Q2046" i="1"/>
  <c r="P2046" i="1"/>
  <c r="W2045" i="1"/>
  <c r="X2045" i="1" s="1"/>
  <c r="Y2045" i="1" s="1"/>
  <c r="Z2045" i="1" s="1"/>
  <c r="V2045" i="1"/>
  <c r="U2045" i="1"/>
  <c r="R2045" i="1"/>
  <c r="S2045" i="1" s="1"/>
  <c r="T2045" i="1" s="1"/>
  <c r="Q2045" i="1"/>
  <c r="P2045" i="1"/>
  <c r="R2044" i="1"/>
  <c r="S2044" i="1" s="1"/>
  <c r="Q2044" i="1"/>
  <c r="P2044" i="1"/>
  <c r="X2043" i="1"/>
  <c r="Y2043" i="1" s="1"/>
  <c r="Z2043" i="1" s="1"/>
  <c r="W2043" i="1"/>
  <c r="V2043" i="1"/>
  <c r="U2043" i="1"/>
  <c r="T2043" i="1"/>
  <c r="R2043" i="1"/>
  <c r="S2043" i="1" s="1"/>
  <c r="Q2043" i="1"/>
  <c r="P2043" i="1"/>
  <c r="R2042" i="1"/>
  <c r="S2042" i="1" s="1"/>
  <c r="Q2042" i="1"/>
  <c r="P2042" i="1"/>
  <c r="R2041" i="1"/>
  <c r="S2041" i="1" s="1"/>
  <c r="Q2041" i="1"/>
  <c r="P2041" i="1"/>
  <c r="Y2040" i="1"/>
  <c r="Z2040" i="1" s="1"/>
  <c r="W2040" i="1"/>
  <c r="X2040" i="1" s="1"/>
  <c r="U2040" i="1"/>
  <c r="T2040" i="1"/>
  <c r="S2040" i="1"/>
  <c r="V2040" i="1" s="1"/>
  <c r="R2040" i="1"/>
  <c r="Q2040" i="1"/>
  <c r="P2040" i="1"/>
  <c r="S2039" i="1"/>
  <c r="R2039" i="1"/>
  <c r="Q2039" i="1"/>
  <c r="P2039" i="1"/>
  <c r="S2038" i="1"/>
  <c r="R2038" i="1"/>
  <c r="Q2038" i="1"/>
  <c r="P2038" i="1"/>
  <c r="S2037" i="1"/>
  <c r="R2037" i="1"/>
  <c r="Q2037" i="1"/>
  <c r="P2037" i="1"/>
  <c r="R2036" i="1"/>
  <c r="S2036" i="1" s="1"/>
  <c r="Q2036" i="1"/>
  <c r="P2036" i="1"/>
  <c r="X2035" i="1"/>
  <c r="Y2035" i="1" s="1"/>
  <c r="Z2035" i="1" s="1"/>
  <c r="W2035" i="1"/>
  <c r="R2035" i="1"/>
  <c r="S2035" i="1" s="1"/>
  <c r="V2035" i="1" s="1"/>
  <c r="Q2035" i="1"/>
  <c r="P2035" i="1"/>
  <c r="V2034" i="1"/>
  <c r="U2034" i="1"/>
  <c r="S2034" i="1"/>
  <c r="R2034" i="1"/>
  <c r="Q2034" i="1"/>
  <c r="P2034" i="1"/>
  <c r="T2033" i="1"/>
  <c r="R2033" i="1"/>
  <c r="S2033" i="1" s="1"/>
  <c r="Q2033" i="1"/>
  <c r="P2033" i="1"/>
  <c r="V2032" i="1"/>
  <c r="R2032" i="1"/>
  <c r="S2032" i="1" s="1"/>
  <c r="Q2032" i="1"/>
  <c r="P2032" i="1"/>
  <c r="R2031" i="1"/>
  <c r="S2031" i="1" s="1"/>
  <c r="Q2031" i="1"/>
  <c r="P2031" i="1"/>
  <c r="R2030" i="1"/>
  <c r="S2030" i="1" s="1"/>
  <c r="Q2030" i="1"/>
  <c r="P2030" i="1"/>
  <c r="R2029" i="1"/>
  <c r="S2029" i="1" s="1"/>
  <c r="Q2029" i="1"/>
  <c r="P2029" i="1"/>
  <c r="U2028" i="1"/>
  <c r="T2028" i="1"/>
  <c r="R2028" i="1"/>
  <c r="S2028" i="1" s="1"/>
  <c r="Q2028" i="1"/>
  <c r="P2028" i="1"/>
  <c r="S2027" i="1"/>
  <c r="R2027" i="1"/>
  <c r="Q2027" i="1"/>
  <c r="P2027" i="1"/>
  <c r="W2026" i="1"/>
  <c r="X2026" i="1" s="1"/>
  <c r="Y2026" i="1" s="1"/>
  <c r="Z2026" i="1" s="1"/>
  <c r="R2026" i="1"/>
  <c r="S2026" i="1" s="1"/>
  <c r="Q2026" i="1"/>
  <c r="P2026" i="1"/>
  <c r="Z2025" i="1"/>
  <c r="W2025" i="1"/>
  <c r="X2025" i="1" s="1"/>
  <c r="Y2025" i="1" s="1"/>
  <c r="U2025" i="1"/>
  <c r="T2025" i="1"/>
  <c r="S2025" i="1"/>
  <c r="V2025" i="1" s="1"/>
  <c r="R2025" i="1"/>
  <c r="Q2025" i="1"/>
  <c r="P2025" i="1"/>
  <c r="S2024" i="1"/>
  <c r="R2024" i="1"/>
  <c r="Q2024" i="1"/>
  <c r="P2024" i="1"/>
  <c r="W2023" i="1"/>
  <c r="X2023" i="1" s="1"/>
  <c r="Y2023" i="1" s="1"/>
  <c r="Z2023" i="1" s="1"/>
  <c r="U2023" i="1"/>
  <c r="T2023" i="1"/>
  <c r="R2023" i="1"/>
  <c r="S2023" i="1" s="1"/>
  <c r="V2023" i="1" s="1"/>
  <c r="Q2023" i="1"/>
  <c r="P2023" i="1"/>
  <c r="R2022" i="1"/>
  <c r="S2022" i="1" s="1"/>
  <c r="W2022" i="1" s="1"/>
  <c r="X2022" i="1" s="1"/>
  <c r="Y2022" i="1" s="1"/>
  <c r="Z2022" i="1" s="1"/>
  <c r="Q2022" i="1"/>
  <c r="P2022" i="1"/>
  <c r="R2021" i="1"/>
  <c r="S2021" i="1" s="1"/>
  <c r="Q2021" i="1"/>
  <c r="P2021" i="1"/>
  <c r="S2020" i="1"/>
  <c r="R2020" i="1"/>
  <c r="Q2020" i="1"/>
  <c r="P2020" i="1"/>
  <c r="S2019" i="1"/>
  <c r="R2019" i="1"/>
  <c r="Q2019" i="1"/>
  <c r="P2019" i="1"/>
  <c r="W2018" i="1"/>
  <c r="X2018" i="1" s="1"/>
  <c r="Y2018" i="1" s="1"/>
  <c r="Z2018" i="1" s="1"/>
  <c r="U2018" i="1"/>
  <c r="R2018" i="1"/>
  <c r="S2018" i="1" s="1"/>
  <c r="Q2018" i="1"/>
  <c r="P2018" i="1"/>
  <c r="S2017" i="1"/>
  <c r="R2017" i="1"/>
  <c r="Q2017" i="1"/>
  <c r="P2017" i="1"/>
  <c r="X2016" i="1"/>
  <c r="Y2016" i="1" s="1"/>
  <c r="Z2016" i="1" s="1"/>
  <c r="W2016" i="1"/>
  <c r="V2016" i="1"/>
  <c r="S2016" i="1"/>
  <c r="U2016" i="1" s="1"/>
  <c r="R2016" i="1"/>
  <c r="Q2016" i="1"/>
  <c r="P2016" i="1"/>
  <c r="R2015" i="1"/>
  <c r="S2015" i="1" s="1"/>
  <c r="Q2015" i="1"/>
  <c r="P2015" i="1"/>
  <c r="X2014" i="1"/>
  <c r="Y2014" i="1" s="1"/>
  <c r="Z2014" i="1" s="1"/>
  <c r="V2014" i="1"/>
  <c r="S2014" i="1"/>
  <c r="W2014" i="1" s="1"/>
  <c r="R2014" i="1"/>
  <c r="Q2014" i="1"/>
  <c r="P2014" i="1"/>
  <c r="S2013" i="1"/>
  <c r="R2013" i="1"/>
  <c r="Q2013" i="1"/>
  <c r="P2013" i="1"/>
  <c r="W2012" i="1"/>
  <c r="X2012" i="1" s="1"/>
  <c r="Y2012" i="1" s="1"/>
  <c r="Z2012" i="1" s="1"/>
  <c r="V2012" i="1"/>
  <c r="R2012" i="1"/>
  <c r="S2012" i="1" s="1"/>
  <c r="T2012" i="1" s="1"/>
  <c r="Q2012" i="1"/>
  <c r="P2012" i="1"/>
  <c r="S2011" i="1"/>
  <c r="R2011" i="1"/>
  <c r="Q2011" i="1"/>
  <c r="P2011" i="1"/>
  <c r="R2010" i="1"/>
  <c r="S2010" i="1" s="1"/>
  <c r="Q2010" i="1"/>
  <c r="P2010" i="1"/>
  <c r="V2009" i="1"/>
  <c r="R2009" i="1"/>
  <c r="S2009" i="1" s="1"/>
  <c r="Q2009" i="1"/>
  <c r="P2009" i="1"/>
  <c r="R2008" i="1"/>
  <c r="S2008" i="1" s="1"/>
  <c r="Q2008" i="1"/>
  <c r="P2008" i="1"/>
  <c r="S2007" i="1"/>
  <c r="R2007" i="1"/>
  <c r="Q2007" i="1"/>
  <c r="P2007" i="1"/>
  <c r="W2006" i="1"/>
  <c r="X2006" i="1" s="1"/>
  <c r="Y2006" i="1" s="1"/>
  <c r="Z2006" i="1" s="1"/>
  <c r="T2006" i="1"/>
  <c r="S2006" i="1"/>
  <c r="R2006" i="1"/>
  <c r="Q2006" i="1"/>
  <c r="P2006" i="1"/>
  <c r="V2005" i="1"/>
  <c r="R2005" i="1"/>
  <c r="S2005" i="1" s="1"/>
  <c r="Q2005" i="1"/>
  <c r="P2005" i="1"/>
  <c r="V2004" i="1"/>
  <c r="R2004" i="1"/>
  <c r="S2004" i="1" s="1"/>
  <c r="Q2004" i="1"/>
  <c r="P2004" i="1"/>
  <c r="W2003" i="1"/>
  <c r="X2003" i="1" s="1"/>
  <c r="Y2003" i="1" s="1"/>
  <c r="Z2003" i="1" s="1"/>
  <c r="R2003" i="1"/>
  <c r="S2003" i="1" s="1"/>
  <c r="U2003" i="1" s="1"/>
  <c r="Q2003" i="1"/>
  <c r="P2003" i="1"/>
  <c r="W2002" i="1"/>
  <c r="X2002" i="1" s="1"/>
  <c r="Y2002" i="1" s="1"/>
  <c r="Z2002" i="1" s="1"/>
  <c r="S2002" i="1"/>
  <c r="U2002" i="1" s="1"/>
  <c r="R2002" i="1"/>
  <c r="Q2002" i="1"/>
  <c r="P2002" i="1"/>
  <c r="R2001" i="1"/>
  <c r="S2001" i="1" s="1"/>
  <c r="Q2001" i="1"/>
  <c r="P2001" i="1"/>
  <c r="V2000" i="1"/>
  <c r="U2000" i="1"/>
  <c r="R2000" i="1"/>
  <c r="S2000" i="1" s="1"/>
  <c r="Q2000" i="1"/>
  <c r="P2000" i="1"/>
  <c r="S1999" i="1"/>
  <c r="R1999" i="1"/>
  <c r="Q1999" i="1"/>
  <c r="P1999" i="1"/>
  <c r="U1998" i="1"/>
  <c r="R1998" i="1"/>
  <c r="S1998" i="1" s="1"/>
  <c r="Q1998" i="1"/>
  <c r="P1998" i="1"/>
  <c r="R1997" i="1"/>
  <c r="S1997" i="1" s="1"/>
  <c r="Q1997" i="1"/>
  <c r="P1997" i="1"/>
  <c r="S1996" i="1"/>
  <c r="R1996" i="1"/>
  <c r="Q1996" i="1"/>
  <c r="P1996" i="1"/>
  <c r="S1995" i="1"/>
  <c r="R1995" i="1"/>
  <c r="Q1995" i="1"/>
  <c r="P1995" i="1"/>
  <c r="X1994" i="1"/>
  <c r="Y1994" i="1" s="1"/>
  <c r="Z1994" i="1" s="1"/>
  <c r="W1994" i="1"/>
  <c r="V1994" i="1"/>
  <c r="U1994" i="1"/>
  <c r="T1994" i="1"/>
  <c r="S1994" i="1"/>
  <c r="R1994" i="1"/>
  <c r="Q1994" i="1"/>
  <c r="P1994" i="1"/>
  <c r="Z1993" i="1"/>
  <c r="W1993" i="1"/>
  <c r="X1993" i="1" s="1"/>
  <c r="Y1993" i="1" s="1"/>
  <c r="T1993" i="1"/>
  <c r="S1993" i="1"/>
  <c r="R1993" i="1"/>
  <c r="Q1993" i="1"/>
  <c r="P1993" i="1"/>
  <c r="W1992" i="1"/>
  <c r="X1992" i="1" s="1"/>
  <c r="Y1992" i="1" s="1"/>
  <c r="Z1992" i="1" s="1"/>
  <c r="V1992" i="1"/>
  <c r="U1992" i="1"/>
  <c r="R1992" i="1"/>
  <c r="S1992" i="1" s="1"/>
  <c r="T1992" i="1" s="1"/>
  <c r="Q1992" i="1"/>
  <c r="P1992" i="1"/>
  <c r="T1991" i="1"/>
  <c r="S1991" i="1"/>
  <c r="R1991" i="1"/>
  <c r="Q1991" i="1"/>
  <c r="P1991" i="1"/>
  <c r="Z1990" i="1"/>
  <c r="X1990" i="1"/>
  <c r="Y1990" i="1" s="1"/>
  <c r="W1990" i="1"/>
  <c r="R1990" i="1"/>
  <c r="S1990" i="1" s="1"/>
  <c r="Q1990" i="1"/>
  <c r="P1990" i="1"/>
  <c r="W1989" i="1"/>
  <c r="X1989" i="1" s="1"/>
  <c r="Y1989" i="1" s="1"/>
  <c r="Z1989" i="1" s="1"/>
  <c r="R1989" i="1"/>
  <c r="S1989" i="1" s="1"/>
  <c r="Q1989" i="1"/>
  <c r="P1989" i="1"/>
  <c r="T1988" i="1"/>
  <c r="R1988" i="1"/>
  <c r="S1988" i="1" s="1"/>
  <c r="Q1988" i="1"/>
  <c r="P1988" i="1"/>
  <c r="R1987" i="1"/>
  <c r="S1987" i="1" s="1"/>
  <c r="Q1987" i="1"/>
  <c r="P1987" i="1"/>
  <c r="R1986" i="1"/>
  <c r="S1986" i="1" s="1"/>
  <c r="Q1986" i="1"/>
  <c r="P1986" i="1"/>
  <c r="R1985" i="1"/>
  <c r="S1985" i="1" s="1"/>
  <c r="Q1985" i="1"/>
  <c r="P1985" i="1"/>
  <c r="R1984" i="1"/>
  <c r="S1984" i="1" s="1"/>
  <c r="Q1984" i="1"/>
  <c r="P1984" i="1"/>
  <c r="V1983" i="1"/>
  <c r="U1983" i="1"/>
  <c r="R1983" i="1"/>
  <c r="S1983" i="1" s="1"/>
  <c r="Q1983" i="1"/>
  <c r="P1983" i="1"/>
  <c r="R1982" i="1"/>
  <c r="S1982" i="1" s="1"/>
  <c r="Q1982" i="1"/>
  <c r="P1982" i="1"/>
  <c r="R1981" i="1"/>
  <c r="S1981" i="1" s="1"/>
  <c r="Q1981" i="1"/>
  <c r="P1981" i="1"/>
  <c r="R1980" i="1"/>
  <c r="S1980" i="1" s="1"/>
  <c r="Q1980" i="1"/>
  <c r="P1980" i="1"/>
  <c r="T1979" i="1"/>
  <c r="S1979" i="1"/>
  <c r="R1979" i="1"/>
  <c r="Q1979" i="1"/>
  <c r="P1979" i="1"/>
  <c r="W1978" i="1"/>
  <c r="X1978" i="1" s="1"/>
  <c r="Y1978" i="1" s="1"/>
  <c r="Z1978" i="1" s="1"/>
  <c r="V1978" i="1"/>
  <c r="U1978" i="1"/>
  <c r="T1978" i="1"/>
  <c r="S1978" i="1"/>
  <c r="R1978" i="1"/>
  <c r="Q1978" i="1"/>
  <c r="P1978" i="1"/>
  <c r="V1977" i="1"/>
  <c r="U1977" i="1"/>
  <c r="S1977" i="1"/>
  <c r="R1977" i="1"/>
  <c r="Q1977" i="1"/>
  <c r="P1977" i="1"/>
  <c r="U1976" i="1"/>
  <c r="T1976" i="1"/>
  <c r="S1976" i="1"/>
  <c r="W1976" i="1" s="1"/>
  <c r="X1976" i="1" s="1"/>
  <c r="Y1976" i="1" s="1"/>
  <c r="Z1976" i="1" s="1"/>
  <c r="R1976" i="1"/>
  <c r="Q1976" i="1"/>
  <c r="P1976" i="1"/>
  <c r="T1975" i="1"/>
  <c r="S1975" i="1"/>
  <c r="R1975" i="1"/>
  <c r="Q1975" i="1"/>
  <c r="P1975" i="1"/>
  <c r="W1974" i="1"/>
  <c r="X1974" i="1" s="1"/>
  <c r="Y1974" i="1" s="1"/>
  <c r="Z1974" i="1" s="1"/>
  <c r="V1974" i="1"/>
  <c r="S1974" i="1"/>
  <c r="U1974" i="1" s="1"/>
  <c r="R1974" i="1"/>
  <c r="Q1974" i="1"/>
  <c r="P1974" i="1"/>
  <c r="Z1973" i="1"/>
  <c r="V1973" i="1"/>
  <c r="U1973" i="1"/>
  <c r="T1973" i="1"/>
  <c r="S1973" i="1"/>
  <c r="W1973" i="1" s="1"/>
  <c r="X1973" i="1" s="1"/>
  <c r="Y1973" i="1" s="1"/>
  <c r="R1973" i="1"/>
  <c r="Q1973" i="1"/>
  <c r="P1973" i="1"/>
  <c r="R1972" i="1"/>
  <c r="S1972" i="1" s="1"/>
  <c r="T1972" i="1" s="1"/>
  <c r="Q1972" i="1"/>
  <c r="P1972" i="1"/>
  <c r="W1971" i="1"/>
  <c r="X1971" i="1" s="1"/>
  <c r="Y1971" i="1" s="1"/>
  <c r="Z1971" i="1" s="1"/>
  <c r="S1971" i="1"/>
  <c r="R1971" i="1"/>
  <c r="Q1971" i="1"/>
  <c r="P1971" i="1"/>
  <c r="R1970" i="1"/>
  <c r="S1970" i="1" s="1"/>
  <c r="Q1970" i="1"/>
  <c r="P1970" i="1"/>
  <c r="W1969" i="1"/>
  <c r="X1969" i="1" s="1"/>
  <c r="Y1969" i="1" s="1"/>
  <c r="Z1969" i="1" s="1"/>
  <c r="U1969" i="1"/>
  <c r="R1969" i="1"/>
  <c r="S1969" i="1" s="1"/>
  <c r="Q1969" i="1"/>
  <c r="P1969" i="1"/>
  <c r="U1968" i="1"/>
  <c r="R1968" i="1"/>
  <c r="S1968" i="1" s="1"/>
  <c r="Q1968" i="1"/>
  <c r="P1968" i="1"/>
  <c r="W1967" i="1"/>
  <c r="X1967" i="1" s="1"/>
  <c r="Y1967" i="1" s="1"/>
  <c r="Z1967" i="1" s="1"/>
  <c r="V1967" i="1"/>
  <c r="S1967" i="1"/>
  <c r="R1967" i="1"/>
  <c r="Q1967" i="1"/>
  <c r="P1967" i="1"/>
  <c r="S1966" i="1"/>
  <c r="R1966" i="1"/>
  <c r="Q1966" i="1"/>
  <c r="P1966" i="1"/>
  <c r="W1965" i="1"/>
  <c r="X1965" i="1" s="1"/>
  <c r="Y1965" i="1" s="1"/>
  <c r="Z1965" i="1" s="1"/>
  <c r="V1965" i="1"/>
  <c r="S1965" i="1"/>
  <c r="U1965" i="1" s="1"/>
  <c r="R1965" i="1"/>
  <c r="Q1965" i="1"/>
  <c r="P1965" i="1"/>
  <c r="V1964" i="1"/>
  <c r="S1964" i="1"/>
  <c r="R1964" i="1"/>
  <c r="Q1964" i="1"/>
  <c r="P1964" i="1"/>
  <c r="V1963" i="1"/>
  <c r="R1963" i="1"/>
  <c r="S1963" i="1" s="1"/>
  <c r="W1963" i="1" s="1"/>
  <c r="X1963" i="1" s="1"/>
  <c r="Y1963" i="1" s="1"/>
  <c r="Z1963" i="1" s="1"/>
  <c r="Q1963" i="1"/>
  <c r="P1963" i="1"/>
  <c r="R1962" i="1"/>
  <c r="S1962" i="1" s="1"/>
  <c r="Q1962" i="1"/>
  <c r="P1962" i="1"/>
  <c r="W1961" i="1"/>
  <c r="X1961" i="1" s="1"/>
  <c r="Y1961" i="1" s="1"/>
  <c r="Z1961" i="1" s="1"/>
  <c r="V1961" i="1"/>
  <c r="R1961" i="1"/>
  <c r="S1961" i="1" s="1"/>
  <c r="Q1961" i="1"/>
  <c r="P1961" i="1"/>
  <c r="X1960" i="1"/>
  <c r="Y1960" i="1" s="1"/>
  <c r="Z1960" i="1" s="1"/>
  <c r="W1960" i="1"/>
  <c r="R1960" i="1"/>
  <c r="S1960" i="1" s="1"/>
  <c r="T1960" i="1" s="1"/>
  <c r="Q1960" i="1"/>
  <c r="P1960" i="1"/>
  <c r="S1959" i="1"/>
  <c r="R1959" i="1"/>
  <c r="Q1959" i="1"/>
  <c r="P1959" i="1"/>
  <c r="X1958" i="1"/>
  <c r="Y1958" i="1" s="1"/>
  <c r="Z1958" i="1" s="1"/>
  <c r="W1958" i="1"/>
  <c r="V1958" i="1"/>
  <c r="U1958" i="1"/>
  <c r="T1958" i="1"/>
  <c r="S1958" i="1"/>
  <c r="R1958" i="1"/>
  <c r="Q1958" i="1"/>
  <c r="P1958" i="1"/>
  <c r="V1957" i="1"/>
  <c r="U1957" i="1"/>
  <c r="S1957" i="1"/>
  <c r="R1957" i="1"/>
  <c r="Q1957" i="1"/>
  <c r="P1957" i="1"/>
  <c r="X1956" i="1"/>
  <c r="Y1956" i="1" s="1"/>
  <c r="Z1956" i="1" s="1"/>
  <c r="V1956" i="1"/>
  <c r="S1956" i="1"/>
  <c r="W1956" i="1" s="1"/>
  <c r="R1956" i="1"/>
  <c r="Q1956" i="1"/>
  <c r="P1956" i="1"/>
  <c r="X1955" i="1"/>
  <c r="Y1955" i="1" s="1"/>
  <c r="Z1955" i="1" s="1"/>
  <c r="W1955" i="1"/>
  <c r="T1955" i="1"/>
  <c r="R1955" i="1"/>
  <c r="S1955" i="1" s="1"/>
  <c r="Q1955" i="1"/>
  <c r="P1955" i="1"/>
  <c r="S1954" i="1"/>
  <c r="R1954" i="1"/>
  <c r="Q1954" i="1"/>
  <c r="P1954" i="1"/>
  <c r="Y1953" i="1"/>
  <c r="Z1953" i="1" s="1"/>
  <c r="W1953" i="1"/>
  <c r="X1953" i="1" s="1"/>
  <c r="U1953" i="1"/>
  <c r="T1953" i="1"/>
  <c r="S1953" i="1"/>
  <c r="V1953" i="1" s="1"/>
  <c r="R1953" i="1"/>
  <c r="Q1953" i="1"/>
  <c r="P1953" i="1"/>
  <c r="X1952" i="1"/>
  <c r="Y1952" i="1" s="1"/>
  <c r="Z1952" i="1" s="1"/>
  <c r="W1952" i="1"/>
  <c r="V1952" i="1"/>
  <c r="U1952" i="1"/>
  <c r="R1952" i="1"/>
  <c r="S1952" i="1" s="1"/>
  <c r="T1952" i="1" s="1"/>
  <c r="Q1952" i="1"/>
  <c r="P1952" i="1"/>
  <c r="R1951" i="1"/>
  <c r="S1951" i="1" s="1"/>
  <c r="Q1951" i="1"/>
  <c r="P1951" i="1"/>
  <c r="R1950" i="1"/>
  <c r="S1950" i="1" s="1"/>
  <c r="Q1950" i="1"/>
  <c r="P1950" i="1"/>
  <c r="S1949" i="1"/>
  <c r="R1949" i="1"/>
  <c r="Q1949" i="1"/>
  <c r="P1949" i="1"/>
  <c r="R1948" i="1"/>
  <c r="S1948" i="1" s="1"/>
  <c r="Q1948" i="1"/>
  <c r="P1948" i="1"/>
  <c r="X1947" i="1"/>
  <c r="Y1947" i="1" s="1"/>
  <c r="Z1947" i="1" s="1"/>
  <c r="W1947" i="1"/>
  <c r="T1947" i="1"/>
  <c r="S1947" i="1"/>
  <c r="R1947" i="1"/>
  <c r="Q1947" i="1"/>
  <c r="P1947" i="1"/>
  <c r="R1946" i="1"/>
  <c r="S1946" i="1" s="1"/>
  <c r="Q1946" i="1"/>
  <c r="P1946" i="1"/>
  <c r="S1945" i="1"/>
  <c r="R1945" i="1"/>
  <c r="Q1945" i="1"/>
  <c r="P1945" i="1"/>
  <c r="X1944" i="1"/>
  <c r="Y1944" i="1" s="1"/>
  <c r="Z1944" i="1" s="1"/>
  <c r="W1944" i="1"/>
  <c r="V1944" i="1"/>
  <c r="S1944" i="1"/>
  <c r="U1944" i="1" s="1"/>
  <c r="R1944" i="1"/>
  <c r="Q1944" i="1"/>
  <c r="P1944" i="1"/>
  <c r="R1943" i="1"/>
  <c r="S1943" i="1" s="1"/>
  <c r="Q1943" i="1"/>
  <c r="P1943" i="1"/>
  <c r="V1942" i="1"/>
  <c r="T1942" i="1"/>
  <c r="S1942" i="1"/>
  <c r="W1942" i="1" s="1"/>
  <c r="X1942" i="1" s="1"/>
  <c r="Y1942" i="1" s="1"/>
  <c r="Z1942" i="1" s="1"/>
  <c r="R1942" i="1"/>
  <c r="Q1942" i="1"/>
  <c r="P1942" i="1"/>
  <c r="W1941" i="1"/>
  <c r="X1941" i="1" s="1"/>
  <c r="Y1941" i="1" s="1"/>
  <c r="Z1941" i="1" s="1"/>
  <c r="V1941" i="1"/>
  <c r="T1941" i="1"/>
  <c r="S1941" i="1"/>
  <c r="U1941" i="1" s="1"/>
  <c r="R1941" i="1"/>
  <c r="Q1941" i="1"/>
  <c r="P1941" i="1"/>
  <c r="S1940" i="1"/>
  <c r="R1940" i="1"/>
  <c r="Q1940" i="1"/>
  <c r="P1940" i="1"/>
  <c r="Y1939" i="1"/>
  <c r="Z1939" i="1" s="1"/>
  <c r="X1939" i="1"/>
  <c r="V1939" i="1"/>
  <c r="U1939" i="1"/>
  <c r="T1939" i="1"/>
  <c r="S1939" i="1"/>
  <c r="W1939" i="1" s="1"/>
  <c r="R1939" i="1"/>
  <c r="Q1939" i="1"/>
  <c r="P1939" i="1"/>
  <c r="S1938" i="1"/>
  <c r="R1938" i="1"/>
  <c r="Q1938" i="1"/>
  <c r="P1938" i="1"/>
  <c r="W1937" i="1"/>
  <c r="X1937" i="1" s="1"/>
  <c r="Y1937" i="1" s="1"/>
  <c r="Z1937" i="1" s="1"/>
  <c r="U1937" i="1"/>
  <c r="R1937" i="1"/>
  <c r="S1937" i="1" s="1"/>
  <c r="Q1937" i="1"/>
  <c r="P1937" i="1"/>
  <c r="X1936" i="1"/>
  <c r="Y1936" i="1" s="1"/>
  <c r="Z1936" i="1" s="1"/>
  <c r="W1936" i="1"/>
  <c r="V1936" i="1"/>
  <c r="U1936" i="1"/>
  <c r="R1936" i="1"/>
  <c r="S1936" i="1" s="1"/>
  <c r="T1936" i="1" s="1"/>
  <c r="Q1936" i="1"/>
  <c r="P1936" i="1"/>
  <c r="W1935" i="1"/>
  <c r="X1935" i="1" s="1"/>
  <c r="Y1935" i="1" s="1"/>
  <c r="Z1935" i="1" s="1"/>
  <c r="U1935" i="1"/>
  <c r="R1935" i="1"/>
  <c r="S1935" i="1" s="1"/>
  <c r="Q1935" i="1"/>
  <c r="P1935" i="1"/>
  <c r="S1934" i="1"/>
  <c r="R1934" i="1"/>
  <c r="Q1934" i="1"/>
  <c r="P1934" i="1"/>
  <c r="R1933" i="1"/>
  <c r="S1933" i="1" s="1"/>
  <c r="Q1933" i="1"/>
  <c r="P1933" i="1"/>
  <c r="S1932" i="1"/>
  <c r="R1932" i="1"/>
  <c r="Q1932" i="1"/>
  <c r="P1932" i="1"/>
  <c r="W1931" i="1"/>
  <c r="X1931" i="1" s="1"/>
  <c r="Y1931" i="1" s="1"/>
  <c r="Z1931" i="1" s="1"/>
  <c r="V1931" i="1"/>
  <c r="U1931" i="1"/>
  <c r="T1931" i="1"/>
  <c r="S1931" i="1"/>
  <c r="R1931" i="1"/>
  <c r="Q1931" i="1"/>
  <c r="P1931" i="1"/>
  <c r="R1930" i="1"/>
  <c r="S1930" i="1" s="1"/>
  <c r="Q1930" i="1"/>
  <c r="P1930" i="1"/>
  <c r="W1929" i="1"/>
  <c r="X1929" i="1" s="1"/>
  <c r="Y1929" i="1" s="1"/>
  <c r="Z1929" i="1" s="1"/>
  <c r="S1929" i="1"/>
  <c r="T1929" i="1" s="1"/>
  <c r="R1929" i="1"/>
  <c r="Q1929" i="1"/>
  <c r="P1929" i="1"/>
  <c r="R1928" i="1"/>
  <c r="S1928" i="1" s="1"/>
  <c r="Q1928" i="1"/>
  <c r="P1928" i="1"/>
  <c r="X1927" i="1"/>
  <c r="Y1927" i="1" s="1"/>
  <c r="Z1927" i="1" s="1"/>
  <c r="W1927" i="1"/>
  <c r="V1927" i="1"/>
  <c r="U1927" i="1"/>
  <c r="T1927" i="1"/>
  <c r="S1927" i="1"/>
  <c r="R1927" i="1"/>
  <c r="Q1927" i="1"/>
  <c r="P1927" i="1"/>
  <c r="S1926" i="1"/>
  <c r="R1926" i="1"/>
  <c r="Q1926" i="1"/>
  <c r="P1926" i="1"/>
  <c r="S1925" i="1"/>
  <c r="R1925" i="1"/>
  <c r="Q1925" i="1"/>
  <c r="P1925" i="1"/>
  <c r="R1924" i="1"/>
  <c r="S1924" i="1" s="1"/>
  <c r="Q1924" i="1"/>
  <c r="P1924" i="1"/>
  <c r="U1923" i="1"/>
  <c r="R1923" i="1"/>
  <c r="S1923" i="1" s="1"/>
  <c r="Q1923" i="1"/>
  <c r="P1923" i="1"/>
  <c r="V1922" i="1"/>
  <c r="U1922" i="1"/>
  <c r="R1922" i="1"/>
  <c r="S1922" i="1" s="1"/>
  <c r="T1922" i="1" s="1"/>
  <c r="Q1922" i="1"/>
  <c r="P1922" i="1"/>
  <c r="S1921" i="1"/>
  <c r="R1921" i="1"/>
  <c r="Q1921" i="1"/>
  <c r="P1921" i="1"/>
  <c r="S1920" i="1"/>
  <c r="W1920" i="1" s="1"/>
  <c r="X1920" i="1" s="1"/>
  <c r="Y1920" i="1" s="1"/>
  <c r="Z1920" i="1" s="1"/>
  <c r="R1920" i="1"/>
  <c r="Q1920" i="1"/>
  <c r="P1920" i="1"/>
  <c r="S1919" i="1"/>
  <c r="R1919" i="1"/>
  <c r="Q1919" i="1"/>
  <c r="P1919" i="1"/>
  <c r="Y1918" i="1"/>
  <c r="Z1918" i="1" s="1"/>
  <c r="X1918" i="1"/>
  <c r="W1918" i="1"/>
  <c r="V1918" i="1"/>
  <c r="U1918" i="1"/>
  <c r="T1918" i="1"/>
  <c r="S1918" i="1"/>
  <c r="R1918" i="1"/>
  <c r="Q1918" i="1"/>
  <c r="P1918" i="1"/>
  <c r="W1917" i="1"/>
  <c r="X1917" i="1" s="1"/>
  <c r="Y1917" i="1" s="1"/>
  <c r="Z1917" i="1" s="1"/>
  <c r="R1917" i="1"/>
  <c r="S1917" i="1" s="1"/>
  <c r="Q1917" i="1"/>
  <c r="P1917" i="1"/>
  <c r="R1916" i="1"/>
  <c r="S1916" i="1" s="1"/>
  <c r="Q1916" i="1"/>
  <c r="P1916" i="1"/>
  <c r="X1915" i="1"/>
  <c r="Y1915" i="1" s="1"/>
  <c r="Z1915" i="1" s="1"/>
  <c r="V1915" i="1"/>
  <c r="U1915" i="1"/>
  <c r="R1915" i="1"/>
  <c r="S1915" i="1" s="1"/>
  <c r="W1915" i="1" s="1"/>
  <c r="Q1915" i="1"/>
  <c r="P1915" i="1"/>
  <c r="W1914" i="1"/>
  <c r="X1914" i="1" s="1"/>
  <c r="Y1914" i="1" s="1"/>
  <c r="Z1914" i="1" s="1"/>
  <c r="S1914" i="1"/>
  <c r="R1914" i="1"/>
  <c r="Q1914" i="1"/>
  <c r="P1914" i="1"/>
  <c r="Z1913" i="1"/>
  <c r="W1913" i="1"/>
  <c r="X1913" i="1" s="1"/>
  <c r="Y1913" i="1" s="1"/>
  <c r="U1913" i="1"/>
  <c r="T1913" i="1"/>
  <c r="R1913" i="1"/>
  <c r="S1913" i="1" s="1"/>
  <c r="V1913" i="1" s="1"/>
  <c r="Q1913" i="1"/>
  <c r="P1913" i="1"/>
  <c r="S1912" i="1"/>
  <c r="R1912" i="1"/>
  <c r="Q1912" i="1"/>
  <c r="P1912" i="1"/>
  <c r="S1911" i="1"/>
  <c r="R1911" i="1"/>
  <c r="Q1911" i="1"/>
  <c r="P1911" i="1"/>
  <c r="R1910" i="1"/>
  <c r="S1910" i="1" s="1"/>
  <c r="Q1910" i="1"/>
  <c r="P1910" i="1"/>
  <c r="W1909" i="1"/>
  <c r="X1909" i="1" s="1"/>
  <c r="Y1909" i="1" s="1"/>
  <c r="Z1909" i="1" s="1"/>
  <c r="V1909" i="1"/>
  <c r="S1909" i="1"/>
  <c r="R1909" i="1"/>
  <c r="Q1909" i="1"/>
  <c r="P1909" i="1"/>
  <c r="R1908" i="1"/>
  <c r="S1908" i="1" s="1"/>
  <c r="Q1908" i="1"/>
  <c r="P1908" i="1"/>
  <c r="X1907" i="1"/>
  <c r="Y1907" i="1" s="1"/>
  <c r="Z1907" i="1" s="1"/>
  <c r="W1907" i="1"/>
  <c r="V1907" i="1"/>
  <c r="U1907" i="1"/>
  <c r="R1907" i="1"/>
  <c r="S1907" i="1" s="1"/>
  <c r="T1907" i="1" s="1"/>
  <c r="Q1907" i="1"/>
  <c r="P1907" i="1"/>
  <c r="S1906" i="1"/>
  <c r="R1906" i="1"/>
  <c r="Q1906" i="1"/>
  <c r="P1906" i="1"/>
  <c r="Z1905" i="1"/>
  <c r="X1905" i="1"/>
  <c r="Y1905" i="1" s="1"/>
  <c r="W1905" i="1"/>
  <c r="V1905" i="1"/>
  <c r="S1905" i="1"/>
  <c r="R1905" i="1"/>
  <c r="Q1905" i="1"/>
  <c r="P1905" i="1"/>
  <c r="U1904" i="1"/>
  <c r="T1904" i="1"/>
  <c r="R1904" i="1"/>
  <c r="S1904" i="1" s="1"/>
  <c r="V1904" i="1" s="1"/>
  <c r="Q1904" i="1"/>
  <c r="P1904" i="1"/>
  <c r="R1903" i="1"/>
  <c r="S1903" i="1" s="1"/>
  <c r="Q1903" i="1"/>
  <c r="P1903" i="1"/>
  <c r="V1902" i="1"/>
  <c r="S1902" i="1"/>
  <c r="R1902" i="1"/>
  <c r="Q1902" i="1"/>
  <c r="P1902" i="1"/>
  <c r="S1901" i="1"/>
  <c r="R1901" i="1"/>
  <c r="Q1901" i="1"/>
  <c r="P1901" i="1"/>
  <c r="R1900" i="1"/>
  <c r="S1900" i="1" s="1"/>
  <c r="Q1900" i="1"/>
  <c r="P1900" i="1"/>
  <c r="V1899" i="1"/>
  <c r="U1899" i="1"/>
  <c r="R1899" i="1"/>
  <c r="S1899" i="1" s="1"/>
  <c r="Q1899" i="1"/>
  <c r="P1899" i="1"/>
  <c r="U1898" i="1"/>
  <c r="S1898" i="1"/>
  <c r="R1898" i="1"/>
  <c r="Q1898" i="1"/>
  <c r="P1898" i="1"/>
  <c r="S1897" i="1"/>
  <c r="R1897" i="1"/>
  <c r="Q1897" i="1"/>
  <c r="P1897" i="1"/>
  <c r="R1896" i="1"/>
  <c r="S1896" i="1" s="1"/>
  <c r="Q1896" i="1"/>
  <c r="P1896" i="1"/>
  <c r="W1895" i="1"/>
  <c r="X1895" i="1" s="1"/>
  <c r="Y1895" i="1" s="1"/>
  <c r="Z1895" i="1" s="1"/>
  <c r="V1895" i="1"/>
  <c r="S1895" i="1"/>
  <c r="R1895" i="1"/>
  <c r="Q1895" i="1"/>
  <c r="P1895" i="1"/>
  <c r="S1894" i="1"/>
  <c r="R1894" i="1"/>
  <c r="Q1894" i="1"/>
  <c r="P1894" i="1"/>
  <c r="Y1893" i="1"/>
  <c r="Z1893" i="1" s="1"/>
  <c r="S1893" i="1"/>
  <c r="W1893" i="1" s="1"/>
  <c r="X1893" i="1" s="1"/>
  <c r="R1893" i="1"/>
  <c r="Q1893" i="1"/>
  <c r="P1893" i="1"/>
  <c r="S1892" i="1"/>
  <c r="R1892" i="1"/>
  <c r="Q1892" i="1"/>
  <c r="P1892" i="1"/>
  <c r="X1891" i="1"/>
  <c r="Y1891" i="1" s="1"/>
  <c r="Z1891" i="1" s="1"/>
  <c r="W1891" i="1"/>
  <c r="V1891" i="1"/>
  <c r="U1891" i="1"/>
  <c r="T1891" i="1"/>
  <c r="S1891" i="1"/>
  <c r="R1891" i="1"/>
  <c r="Q1891" i="1"/>
  <c r="P1891" i="1"/>
  <c r="R1890" i="1"/>
  <c r="S1890" i="1" s="1"/>
  <c r="Q1890" i="1"/>
  <c r="P1890" i="1"/>
  <c r="R1889" i="1"/>
  <c r="S1889" i="1" s="1"/>
  <c r="Q1889" i="1"/>
  <c r="P1889" i="1"/>
  <c r="V1888" i="1"/>
  <c r="S1888" i="1"/>
  <c r="R1888" i="1"/>
  <c r="Q1888" i="1"/>
  <c r="P1888" i="1"/>
  <c r="W1887" i="1"/>
  <c r="X1887" i="1" s="1"/>
  <c r="Y1887" i="1" s="1"/>
  <c r="Z1887" i="1" s="1"/>
  <c r="R1887" i="1"/>
  <c r="S1887" i="1" s="1"/>
  <c r="Q1887" i="1"/>
  <c r="P1887" i="1"/>
  <c r="R1886" i="1"/>
  <c r="S1886" i="1" s="1"/>
  <c r="Q1886" i="1"/>
  <c r="P1886" i="1"/>
  <c r="W1885" i="1"/>
  <c r="X1885" i="1" s="1"/>
  <c r="Y1885" i="1" s="1"/>
  <c r="Z1885" i="1" s="1"/>
  <c r="S1885" i="1"/>
  <c r="R1885" i="1"/>
  <c r="Q1885" i="1"/>
  <c r="P1885" i="1"/>
  <c r="R1884" i="1"/>
  <c r="S1884" i="1" s="1"/>
  <c r="Q1884" i="1"/>
  <c r="P1884" i="1"/>
  <c r="U1883" i="1"/>
  <c r="R1883" i="1"/>
  <c r="S1883" i="1" s="1"/>
  <c r="Q1883" i="1"/>
  <c r="P1883" i="1"/>
  <c r="R1882" i="1"/>
  <c r="S1882" i="1" s="1"/>
  <c r="Q1882" i="1"/>
  <c r="P1882" i="1"/>
  <c r="S1881" i="1"/>
  <c r="R1881" i="1"/>
  <c r="Q1881" i="1"/>
  <c r="P1881" i="1"/>
  <c r="X1880" i="1"/>
  <c r="Y1880" i="1" s="1"/>
  <c r="Z1880" i="1" s="1"/>
  <c r="W1880" i="1"/>
  <c r="V1880" i="1"/>
  <c r="U1880" i="1"/>
  <c r="T1880" i="1"/>
  <c r="S1880" i="1"/>
  <c r="R1880" i="1"/>
  <c r="Q1880" i="1"/>
  <c r="P1880" i="1"/>
  <c r="S1879" i="1"/>
  <c r="R1879" i="1"/>
  <c r="Q1879" i="1"/>
  <c r="P1879" i="1"/>
  <c r="X1878" i="1"/>
  <c r="Y1878" i="1" s="1"/>
  <c r="Z1878" i="1" s="1"/>
  <c r="W1878" i="1"/>
  <c r="V1878" i="1"/>
  <c r="U1878" i="1"/>
  <c r="T1878" i="1"/>
  <c r="S1878" i="1"/>
  <c r="R1878" i="1"/>
  <c r="Q1878" i="1"/>
  <c r="P1878" i="1"/>
  <c r="R1877" i="1"/>
  <c r="S1877" i="1" s="1"/>
  <c r="Q1877" i="1"/>
  <c r="P1877" i="1"/>
  <c r="Y1876" i="1"/>
  <c r="Z1876" i="1" s="1"/>
  <c r="W1876" i="1"/>
  <c r="X1876" i="1" s="1"/>
  <c r="V1876" i="1"/>
  <c r="U1876" i="1"/>
  <c r="R1876" i="1"/>
  <c r="S1876" i="1" s="1"/>
  <c r="T1876" i="1" s="1"/>
  <c r="Q1876" i="1"/>
  <c r="P1876" i="1"/>
  <c r="S1875" i="1"/>
  <c r="R1875" i="1"/>
  <c r="Q1875" i="1"/>
  <c r="P1875" i="1"/>
  <c r="S1874" i="1"/>
  <c r="R1874" i="1"/>
  <c r="Q1874" i="1"/>
  <c r="P1874" i="1"/>
  <c r="R1873" i="1"/>
  <c r="S1873" i="1" s="1"/>
  <c r="Q1873" i="1"/>
  <c r="P1873" i="1"/>
  <c r="R1872" i="1"/>
  <c r="S1872" i="1" s="1"/>
  <c r="Q1872" i="1"/>
  <c r="P1872" i="1"/>
  <c r="R1871" i="1"/>
  <c r="S1871" i="1" s="1"/>
  <c r="Q1871" i="1"/>
  <c r="P1871" i="1"/>
  <c r="S1870" i="1"/>
  <c r="R1870" i="1"/>
  <c r="Q1870" i="1"/>
  <c r="P1870" i="1"/>
  <c r="U1869" i="1"/>
  <c r="S1869" i="1"/>
  <c r="W1869" i="1" s="1"/>
  <c r="X1869" i="1" s="1"/>
  <c r="Y1869" i="1" s="1"/>
  <c r="Z1869" i="1" s="1"/>
  <c r="R1869" i="1"/>
  <c r="Q1869" i="1"/>
  <c r="P1869" i="1"/>
  <c r="R1868" i="1"/>
  <c r="S1868" i="1" s="1"/>
  <c r="Q1868" i="1"/>
  <c r="P1868" i="1"/>
  <c r="U1867" i="1"/>
  <c r="T1867" i="1"/>
  <c r="R1867" i="1"/>
  <c r="S1867" i="1" s="1"/>
  <c r="Q1867" i="1"/>
  <c r="P1867" i="1"/>
  <c r="R1866" i="1"/>
  <c r="S1866" i="1" s="1"/>
  <c r="W1866" i="1" s="1"/>
  <c r="X1866" i="1" s="1"/>
  <c r="Y1866" i="1" s="1"/>
  <c r="Z1866" i="1" s="1"/>
  <c r="Q1866" i="1"/>
  <c r="P1866" i="1"/>
  <c r="V1865" i="1"/>
  <c r="S1865" i="1"/>
  <c r="R1865" i="1"/>
  <c r="Q1865" i="1"/>
  <c r="P1865" i="1"/>
  <c r="Y1864" i="1"/>
  <c r="Z1864" i="1" s="1"/>
  <c r="X1864" i="1"/>
  <c r="W1864" i="1"/>
  <c r="V1864" i="1"/>
  <c r="U1864" i="1"/>
  <c r="T1864" i="1"/>
  <c r="R1864" i="1"/>
  <c r="S1864" i="1" s="1"/>
  <c r="Q1864" i="1"/>
  <c r="P1864" i="1"/>
  <c r="R1863" i="1"/>
  <c r="S1863" i="1" s="1"/>
  <c r="Q1863" i="1"/>
  <c r="P1863" i="1"/>
  <c r="U1862" i="1"/>
  <c r="T1862" i="1"/>
  <c r="S1862" i="1"/>
  <c r="R1862" i="1"/>
  <c r="Q1862" i="1"/>
  <c r="P1862" i="1"/>
  <c r="W1861" i="1"/>
  <c r="X1861" i="1" s="1"/>
  <c r="Y1861" i="1" s="1"/>
  <c r="Z1861" i="1" s="1"/>
  <c r="S1861" i="1"/>
  <c r="R1861" i="1"/>
  <c r="Q1861" i="1"/>
  <c r="P1861" i="1"/>
  <c r="R1860" i="1"/>
  <c r="S1860" i="1" s="1"/>
  <c r="Q1860" i="1"/>
  <c r="P1860" i="1"/>
  <c r="V1859" i="1"/>
  <c r="R1859" i="1"/>
  <c r="S1859" i="1" s="1"/>
  <c r="W1859" i="1" s="1"/>
  <c r="X1859" i="1" s="1"/>
  <c r="Y1859" i="1" s="1"/>
  <c r="Z1859" i="1" s="1"/>
  <c r="Q1859" i="1"/>
  <c r="P1859" i="1"/>
  <c r="U1858" i="1"/>
  <c r="S1858" i="1"/>
  <c r="R1858" i="1"/>
  <c r="Q1858" i="1"/>
  <c r="P1858" i="1"/>
  <c r="S1857" i="1"/>
  <c r="W1857" i="1" s="1"/>
  <c r="X1857" i="1" s="1"/>
  <c r="Y1857" i="1" s="1"/>
  <c r="Z1857" i="1" s="1"/>
  <c r="R1857" i="1"/>
  <c r="Q1857" i="1"/>
  <c r="P1857" i="1"/>
  <c r="V1856" i="1"/>
  <c r="U1856" i="1"/>
  <c r="R1856" i="1"/>
  <c r="S1856" i="1" s="1"/>
  <c r="T1856" i="1" s="1"/>
  <c r="Q1856" i="1"/>
  <c r="P1856" i="1"/>
  <c r="S1855" i="1"/>
  <c r="R1855" i="1"/>
  <c r="Q1855" i="1"/>
  <c r="P1855" i="1"/>
  <c r="S1854" i="1"/>
  <c r="R1854" i="1"/>
  <c r="Q1854" i="1"/>
  <c r="P1854" i="1"/>
  <c r="S1853" i="1"/>
  <c r="R1853" i="1"/>
  <c r="Q1853" i="1"/>
  <c r="P1853" i="1"/>
  <c r="U1852" i="1"/>
  <c r="R1852" i="1"/>
  <c r="S1852" i="1" s="1"/>
  <c r="Q1852" i="1"/>
  <c r="P1852" i="1"/>
  <c r="R1851" i="1"/>
  <c r="S1851" i="1" s="1"/>
  <c r="Q1851" i="1"/>
  <c r="P1851" i="1"/>
  <c r="U1850" i="1"/>
  <c r="T1850" i="1"/>
  <c r="S1850" i="1"/>
  <c r="V1850" i="1" s="1"/>
  <c r="R1850" i="1"/>
  <c r="Q1850" i="1"/>
  <c r="P1850" i="1"/>
  <c r="S1849" i="1"/>
  <c r="R1849" i="1"/>
  <c r="Q1849" i="1"/>
  <c r="P1849" i="1"/>
  <c r="V1848" i="1"/>
  <c r="S1848" i="1"/>
  <c r="R1848" i="1"/>
  <c r="Q1848" i="1"/>
  <c r="P1848" i="1"/>
  <c r="R1847" i="1"/>
  <c r="S1847" i="1" s="1"/>
  <c r="Q1847" i="1"/>
  <c r="P1847" i="1"/>
  <c r="R1846" i="1"/>
  <c r="S1846" i="1" s="1"/>
  <c r="Q1846" i="1"/>
  <c r="P1846" i="1"/>
  <c r="V1845" i="1"/>
  <c r="R1845" i="1"/>
  <c r="S1845" i="1" s="1"/>
  <c r="Q1845" i="1"/>
  <c r="P1845" i="1"/>
  <c r="V1844" i="1"/>
  <c r="T1844" i="1"/>
  <c r="S1844" i="1"/>
  <c r="W1844" i="1" s="1"/>
  <c r="X1844" i="1" s="1"/>
  <c r="Y1844" i="1" s="1"/>
  <c r="Z1844" i="1" s="1"/>
  <c r="R1844" i="1"/>
  <c r="Q1844" i="1"/>
  <c r="P1844" i="1"/>
  <c r="R1843" i="1"/>
  <c r="S1843" i="1" s="1"/>
  <c r="Q1843" i="1"/>
  <c r="P1843" i="1"/>
  <c r="T1842" i="1"/>
  <c r="S1842" i="1"/>
  <c r="R1842" i="1"/>
  <c r="Q1842" i="1"/>
  <c r="P1842" i="1"/>
  <c r="R1841" i="1"/>
  <c r="S1841" i="1" s="1"/>
  <c r="Q1841" i="1"/>
  <c r="P1841" i="1"/>
  <c r="U1840" i="1"/>
  <c r="T1840" i="1"/>
  <c r="R1840" i="1"/>
  <c r="S1840" i="1" s="1"/>
  <c r="V1840" i="1" s="1"/>
  <c r="Q1840" i="1"/>
  <c r="P1840" i="1"/>
  <c r="U1839" i="1"/>
  <c r="R1839" i="1"/>
  <c r="S1839" i="1" s="1"/>
  <c r="Q1839" i="1"/>
  <c r="P1839" i="1"/>
  <c r="W1838" i="1"/>
  <c r="X1838" i="1" s="1"/>
  <c r="Y1838" i="1" s="1"/>
  <c r="Z1838" i="1" s="1"/>
  <c r="V1838" i="1"/>
  <c r="U1838" i="1"/>
  <c r="T1838" i="1"/>
  <c r="S1838" i="1"/>
  <c r="R1838" i="1"/>
  <c r="Q1838" i="1"/>
  <c r="P1838" i="1"/>
  <c r="S1837" i="1"/>
  <c r="R1837" i="1"/>
  <c r="Q1837" i="1"/>
  <c r="P1837" i="1"/>
  <c r="W1836" i="1"/>
  <c r="X1836" i="1" s="1"/>
  <c r="Y1836" i="1" s="1"/>
  <c r="Z1836" i="1" s="1"/>
  <c r="U1836" i="1"/>
  <c r="R1836" i="1"/>
  <c r="S1836" i="1" s="1"/>
  <c r="T1836" i="1" s="1"/>
  <c r="Q1836" i="1"/>
  <c r="P1836" i="1"/>
  <c r="R1835" i="1"/>
  <c r="S1835" i="1" s="1"/>
  <c r="Q1835" i="1"/>
  <c r="P1835" i="1"/>
  <c r="S1834" i="1"/>
  <c r="R1834" i="1"/>
  <c r="Q1834" i="1"/>
  <c r="P1834" i="1"/>
  <c r="S1833" i="1"/>
  <c r="R1833" i="1"/>
  <c r="Q1833" i="1"/>
  <c r="P1833" i="1"/>
  <c r="U1832" i="1"/>
  <c r="R1832" i="1"/>
  <c r="S1832" i="1" s="1"/>
  <c r="Q1832" i="1"/>
  <c r="P1832" i="1"/>
  <c r="W1831" i="1"/>
  <c r="X1831" i="1" s="1"/>
  <c r="Y1831" i="1" s="1"/>
  <c r="Z1831" i="1" s="1"/>
  <c r="R1831" i="1"/>
  <c r="S1831" i="1" s="1"/>
  <c r="Q1831" i="1"/>
  <c r="P1831" i="1"/>
  <c r="R1830" i="1"/>
  <c r="S1830" i="1" s="1"/>
  <c r="Q1830" i="1"/>
  <c r="P1830" i="1"/>
  <c r="Y1829" i="1"/>
  <c r="Z1829" i="1" s="1"/>
  <c r="W1829" i="1"/>
  <c r="X1829" i="1" s="1"/>
  <c r="V1829" i="1"/>
  <c r="U1829" i="1"/>
  <c r="T1829" i="1"/>
  <c r="S1829" i="1"/>
  <c r="R1829" i="1"/>
  <c r="Q1829" i="1"/>
  <c r="P1829" i="1"/>
  <c r="W1828" i="1"/>
  <c r="X1828" i="1" s="1"/>
  <c r="Y1828" i="1" s="1"/>
  <c r="Z1828" i="1" s="1"/>
  <c r="T1828" i="1"/>
  <c r="S1828" i="1"/>
  <c r="R1828" i="1"/>
  <c r="Q1828" i="1"/>
  <c r="P1828" i="1"/>
  <c r="W1827" i="1"/>
  <c r="X1827" i="1" s="1"/>
  <c r="Y1827" i="1" s="1"/>
  <c r="Z1827" i="1" s="1"/>
  <c r="V1827" i="1"/>
  <c r="U1827" i="1"/>
  <c r="T1827" i="1"/>
  <c r="S1827" i="1"/>
  <c r="R1827" i="1"/>
  <c r="Q1827" i="1"/>
  <c r="P1827" i="1"/>
  <c r="R1826" i="1"/>
  <c r="S1826" i="1" s="1"/>
  <c r="Q1826" i="1"/>
  <c r="P1826" i="1"/>
  <c r="X1825" i="1"/>
  <c r="Y1825" i="1" s="1"/>
  <c r="Z1825" i="1" s="1"/>
  <c r="W1825" i="1"/>
  <c r="V1825" i="1"/>
  <c r="S1825" i="1"/>
  <c r="R1825" i="1"/>
  <c r="Q1825" i="1"/>
  <c r="P1825" i="1"/>
  <c r="S1824" i="1"/>
  <c r="R1824" i="1"/>
  <c r="Q1824" i="1"/>
  <c r="P1824" i="1"/>
  <c r="U1823" i="1"/>
  <c r="T1823" i="1"/>
  <c r="R1823" i="1"/>
  <c r="S1823" i="1" s="1"/>
  <c r="Q1823" i="1"/>
  <c r="P1823" i="1"/>
  <c r="R1822" i="1"/>
  <c r="S1822" i="1" s="1"/>
  <c r="Q1822" i="1"/>
  <c r="P1822" i="1"/>
  <c r="R1821" i="1"/>
  <c r="S1821" i="1" s="1"/>
  <c r="Q1821" i="1"/>
  <c r="P1821" i="1"/>
  <c r="V1820" i="1"/>
  <c r="U1820" i="1"/>
  <c r="R1820" i="1"/>
  <c r="S1820" i="1" s="1"/>
  <c r="Q1820" i="1"/>
  <c r="P1820" i="1"/>
  <c r="U1819" i="1"/>
  <c r="S1819" i="1"/>
  <c r="R1819" i="1"/>
  <c r="Q1819" i="1"/>
  <c r="P1819" i="1"/>
  <c r="V1818" i="1"/>
  <c r="R1818" i="1"/>
  <c r="S1818" i="1" s="1"/>
  <c r="Q1818" i="1"/>
  <c r="P1818" i="1"/>
  <c r="U1817" i="1"/>
  <c r="R1817" i="1"/>
  <c r="S1817" i="1" s="1"/>
  <c r="Q1817" i="1"/>
  <c r="P1817" i="1"/>
  <c r="W1816" i="1"/>
  <c r="X1816" i="1" s="1"/>
  <c r="Y1816" i="1" s="1"/>
  <c r="Z1816" i="1" s="1"/>
  <c r="U1816" i="1"/>
  <c r="T1816" i="1"/>
  <c r="R1816" i="1"/>
  <c r="S1816" i="1" s="1"/>
  <c r="V1816" i="1" s="1"/>
  <c r="Q1816" i="1"/>
  <c r="P1816" i="1"/>
  <c r="W1815" i="1"/>
  <c r="X1815" i="1" s="1"/>
  <c r="Y1815" i="1" s="1"/>
  <c r="Z1815" i="1" s="1"/>
  <c r="R1815" i="1"/>
  <c r="S1815" i="1" s="1"/>
  <c r="Q1815" i="1"/>
  <c r="P1815" i="1"/>
  <c r="W1814" i="1"/>
  <c r="X1814" i="1" s="1"/>
  <c r="Y1814" i="1" s="1"/>
  <c r="Z1814" i="1" s="1"/>
  <c r="V1814" i="1"/>
  <c r="T1814" i="1"/>
  <c r="S1814" i="1"/>
  <c r="U1814" i="1" s="1"/>
  <c r="R1814" i="1"/>
  <c r="Q1814" i="1"/>
  <c r="P1814" i="1"/>
  <c r="S1813" i="1"/>
  <c r="R1813" i="1"/>
  <c r="Q1813" i="1"/>
  <c r="P1813" i="1"/>
  <c r="R1812" i="1"/>
  <c r="S1812" i="1" s="1"/>
  <c r="Q1812" i="1"/>
  <c r="P1812" i="1"/>
  <c r="R1811" i="1"/>
  <c r="S1811" i="1" s="1"/>
  <c r="Q1811" i="1"/>
  <c r="P1811" i="1"/>
  <c r="Z1810" i="1"/>
  <c r="W1810" i="1"/>
  <c r="X1810" i="1" s="1"/>
  <c r="Y1810" i="1" s="1"/>
  <c r="U1810" i="1"/>
  <c r="R1810" i="1"/>
  <c r="S1810" i="1" s="1"/>
  <c r="Q1810" i="1"/>
  <c r="P1810" i="1"/>
  <c r="R1809" i="1"/>
  <c r="S1809" i="1" s="1"/>
  <c r="Q1809" i="1"/>
  <c r="P1809" i="1"/>
  <c r="Y1808" i="1"/>
  <c r="Z1808" i="1" s="1"/>
  <c r="W1808" i="1"/>
  <c r="X1808" i="1" s="1"/>
  <c r="V1808" i="1"/>
  <c r="R1808" i="1"/>
  <c r="S1808" i="1" s="1"/>
  <c r="Q1808" i="1"/>
  <c r="P1808" i="1"/>
  <c r="W1807" i="1"/>
  <c r="X1807" i="1" s="1"/>
  <c r="Y1807" i="1" s="1"/>
  <c r="Z1807" i="1" s="1"/>
  <c r="V1807" i="1"/>
  <c r="S1807" i="1"/>
  <c r="U1807" i="1" s="1"/>
  <c r="R1807" i="1"/>
  <c r="Q1807" i="1"/>
  <c r="P1807" i="1"/>
  <c r="V1806" i="1"/>
  <c r="S1806" i="1"/>
  <c r="R1806" i="1"/>
  <c r="Q1806" i="1"/>
  <c r="P1806" i="1"/>
  <c r="V1805" i="1"/>
  <c r="S1805" i="1"/>
  <c r="R1805" i="1"/>
  <c r="Q1805" i="1"/>
  <c r="P1805" i="1"/>
  <c r="R1804" i="1"/>
  <c r="S1804" i="1" s="1"/>
  <c r="Q1804" i="1"/>
  <c r="P1804" i="1"/>
  <c r="R1803" i="1"/>
  <c r="S1803" i="1" s="1"/>
  <c r="Q1803" i="1"/>
  <c r="P1803" i="1"/>
  <c r="R1802" i="1"/>
  <c r="S1802" i="1" s="1"/>
  <c r="Q1802" i="1"/>
  <c r="P1802" i="1"/>
  <c r="Z1801" i="1"/>
  <c r="W1801" i="1"/>
  <c r="X1801" i="1" s="1"/>
  <c r="Y1801" i="1" s="1"/>
  <c r="V1801" i="1"/>
  <c r="U1801" i="1"/>
  <c r="S1801" i="1"/>
  <c r="T1801" i="1" s="1"/>
  <c r="R1801" i="1"/>
  <c r="Q1801" i="1"/>
  <c r="P1801" i="1"/>
  <c r="S1800" i="1"/>
  <c r="R1800" i="1"/>
  <c r="Q1800" i="1"/>
  <c r="P1800" i="1"/>
  <c r="W1799" i="1"/>
  <c r="X1799" i="1" s="1"/>
  <c r="Y1799" i="1" s="1"/>
  <c r="Z1799" i="1" s="1"/>
  <c r="V1799" i="1"/>
  <c r="U1799" i="1"/>
  <c r="S1799" i="1"/>
  <c r="T1799" i="1" s="1"/>
  <c r="R1799" i="1"/>
  <c r="Q1799" i="1"/>
  <c r="P1799" i="1"/>
  <c r="R1798" i="1"/>
  <c r="S1798" i="1" s="1"/>
  <c r="Q1798" i="1"/>
  <c r="P1798" i="1"/>
  <c r="R1797" i="1"/>
  <c r="S1797" i="1" s="1"/>
  <c r="Q1797" i="1"/>
  <c r="P1797" i="1"/>
  <c r="W1796" i="1"/>
  <c r="X1796" i="1" s="1"/>
  <c r="Y1796" i="1" s="1"/>
  <c r="Z1796" i="1" s="1"/>
  <c r="V1796" i="1"/>
  <c r="U1796" i="1"/>
  <c r="T1796" i="1"/>
  <c r="S1796" i="1"/>
  <c r="R1796" i="1"/>
  <c r="Q1796" i="1"/>
  <c r="P1796" i="1"/>
  <c r="W1795" i="1"/>
  <c r="X1795" i="1" s="1"/>
  <c r="Y1795" i="1" s="1"/>
  <c r="Z1795" i="1" s="1"/>
  <c r="T1795" i="1"/>
  <c r="R1795" i="1"/>
  <c r="S1795" i="1" s="1"/>
  <c r="Q1795" i="1"/>
  <c r="P1795" i="1"/>
  <c r="V1794" i="1"/>
  <c r="U1794" i="1"/>
  <c r="R1794" i="1"/>
  <c r="S1794" i="1" s="1"/>
  <c r="T1794" i="1" s="1"/>
  <c r="Q1794" i="1"/>
  <c r="P1794" i="1"/>
  <c r="S1793" i="1"/>
  <c r="R1793" i="1"/>
  <c r="Q1793" i="1"/>
  <c r="P1793" i="1"/>
  <c r="W1792" i="1"/>
  <c r="X1792" i="1" s="1"/>
  <c r="Y1792" i="1" s="1"/>
  <c r="Z1792" i="1" s="1"/>
  <c r="V1792" i="1"/>
  <c r="U1792" i="1"/>
  <c r="T1792" i="1"/>
  <c r="S1792" i="1"/>
  <c r="R1792" i="1"/>
  <c r="Q1792" i="1"/>
  <c r="P1792" i="1"/>
  <c r="U1791" i="1"/>
  <c r="T1791" i="1"/>
  <c r="R1791" i="1"/>
  <c r="S1791" i="1" s="1"/>
  <c r="Q1791" i="1"/>
  <c r="P1791" i="1"/>
  <c r="X1790" i="1"/>
  <c r="Y1790" i="1" s="1"/>
  <c r="Z1790" i="1" s="1"/>
  <c r="R1790" i="1"/>
  <c r="S1790" i="1" s="1"/>
  <c r="W1790" i="1" s="1"/>
  <c r="Q1790" i="1"/>
  <c r="P1790" i="1"/>
  <c r="T1789" i="1"/>
  <c r="S1789" i="1"/>
  <c r="R1789" i="1"/>
  <c r="Q1789" i="1"/>
  <c r="P1789" i="1"/>
  <c r="V1788" i="1"/>
  <c r="T1788" i="1"/>
  <c r="R1788" i="1"/>
  <c r="S1788" i="1" s="1"/>
  <c r="Q1788" i="1"/>
  <c r="P1788" i="1"/>
  <c r="R1787" i="1"/>
  <c r="S1787" i="1" s="1"/>
  <c r="Q1787" i="1"/>
  <c r="P1787" i="1"/>
  <c r="S1786" i="1"/>
  <c r="R1786" i="1"/>
  <c r="Q1786" i="1"/>
  <c r="P1786" i="1"/>
  <c r="W1785" i="1"/>
  <c r="X1785" i="1" s="1"/>
  <c r="Y1785" i="1" s="1"/>
  <c r="Z1785" i="1" s="1"/>
  <c r="R1785" i="1"/>
  <c r="S1785" i="1" s="1"/>
  <c r="Q1785" i="1"/>
  <c r="P1785" i="1"/>
  <c r="S1784" i="1"/>
  <c r="R1784" i="1"/>
  <c r="Q1784" i="1"/>
  <c r="P1784" i="1"/>
  <c r="R1783" i="1"/>
  <c r="S1783" i="1" s="1"/>
  <c r="Q1783" i="1"/>
  <c r="P1783" i="1"/>
  <c r="R1782" i="1"/>
  <c r="S1782" i="1" s="1"/>
  <c r="Q1782" i="1"/>
  <c r="P1782" i="1"/>
  <c r="S1781" i="1"/>
  <c r="U1781" i="1" s="1"/>
  <c r="R1781" i="1"/>
  <c r="Q1781" i="1"/>
  <c r="P1781" i="1"/>
  <c r="S1780" i="1"/>
  <c r="R1780" i="1"/>
  <c r="Q1780" i="1"/>
  <c r="P1780" i="1"/>
  <c r="U1779" i="1"/>
  <c r="S1779" i="1"/>
  <c r="R1779" i="1"/>
  <c r="Q1779" i="1"/>
  <c r="P1779" i="1"/>
  <c r="S1778" i="1"/>
  <c r="R1778" i="1"/>
  <c r="Q1778" i="1"/>
  <c r="P1778" i="1"/>
  <c r="U1777" i="1"/>
  <c r="R1777" i="1"/>
  <c r="S1777" i="1" s="1"/>
  <c r="Q1777" i="1"/>
  <c r="P1777" i="1"/>
  <c r="Y1776" i="1"/>
  <c r="Z1776" i="1" s="1"/>
  <c r="X1776" i="1"/>
  <c r="W1776" i="1"/>
  <c r="V1776" i="1"/>
  <c r="S1776" i="1"/>
  <c r="U1776" i="1" s="1"/>
  <c r="R1776" i="1"/>
  <c r="Q1776" i="1"/>
  <c r="P1776" i="1"/>
  <c r="T1775" i="1"/>
  <c r="R1775" i="1"/>
  <c r="S1775" i="1" s="1"/>
  <c r="Q1775" i="1"/>
  <c r="P1775" i="1"/>
  <c r="U1774" i="1"/>
  <c r="S1774" i="1"/>
  <c r="R1774" i="1"/>
  <c r="Q1774" i="1"/>
  <c r="P1774" i="1"/>
  <c r="T1773" i="1"/>
  <c r="S1773" i="1"/>
  <c r="R1773" i="1"/>
  <c r="Q1773" i="1"/>
  <c r="P1773" i="1"/>
  <c r="S1772" i="1"/>
  <c r="W1772" i="1" s="1"/>
  <c r="X1772" i="1" s="1"/>
  <c r="Y1772" i="1" s="1"/>
  <c r="Z1772" i="1" s="1"/>
  <c r="R1772" i="1"/>
  <c r="Q1772" i="1"/>
  <c r="P1772" i="1"/>
  <c r="S1771" i="1"/>
  <c r="R1771" i="1"/>
  <c r="Q1771" i="1"/>
  <c r="P1771" i="1"/>
  <c r="W1770" i="1"/>
  <c r="X1770" i="1" s="1"/>
  <c r="Y1770" i="1" s="1"/>
  <c r="Z1770" i="1" s="1"/>
  <c r="V1770" i="1"/>
  <c r="U1770" i="1"/>
  <c r="R1770" i="1"/>
  <c r="S1770" i="1" s="1"/>
  <c r="T1770" i="1" s="1"/>
  <c r="Q1770" i="1"/>
  <c r="P1770" i="1"/>
  <c r="R1769" i="1"/>
  <c r="S1769" i="1" s="1"/>
  <c r="Q1769" i="1"/>
  <c r="P1769" i="1"/>
  <c r="W1768" i="1"/>
  <c r="X1768" i="1" s="1"/>
  <c r="Y1768" i="1" s="1"/>
  <c r="Z1768" i="1" s="1"/>
  <c r="V1768" i="1"/>
  <c r="T1768" i="1"/>
  <c r="R1768" i="1"/>
  <c r="S1768" i="1" s="1"/>
  <c r="U1768" i="1" s="1"/>
  <c r="Q1768" i="1"/>
  <c r="P1768" i="1"/>
  <c r="Y1767" i="1"/>
  <c r="Z1767" i="1" s="1"/>
  <c r="X1767" i="1"/>
  <c r="W1767" i="1"/>
  <c r="U1767" i="1"/>
  <c r="T1767" i="1"/>
  <c r="R1767" i="1"/>
  <c r="S1767" i="1" s="1"/>
  <c r="V1767" i="1" s="1"/>
  <c r="Q1767" i="1"/>
  <c r="P1767" i="1"/>
  <c r="V1766" i="1"/>
  <c r="R1766" i="1"/>
  <c r="S1766" i="1" s="1"/>
  <c r="Q1766" i="1"/>
  <c r="P1766" i="1"/>
  <c r="Y1765" i="1"/>
  <c r="Z1765" i="1" s="1"/>
  <c r="X1765" i="1"/>
  <c r="W1765" i="1"/>
  <c r="V1765" i="1"/>
  <c r="T1765" i="1"/>
  <c r="S1765" i="1"/>
  <c r="U1765" i="1" s="1"/>
  <c r="R1765" i="1"/>
  <c r="Q1765" i="1"/>
  <c r="P1765" i="1"/>
  <c r="R1764" i="1"/>
  <c r="S1764" i="1" s="1"/>
  <c r="Q1764" i="1"/>
  <c r="P1764" i="1"/>
  <c r="W1763" i="1"/>
  <c r="X1763" i="1" s="1"/>
  <c r="Y1763" i="1" s="1"/>
  <c r="Z1763" i="1" s="1"/>
  <c r="V1763" i="1"/>
  <c r="R1763" i="1"/>
  <c r="S1763" i="1" s="1"/>
  <c r="Q1763" i="1"/>
  <c r="P1763" i="1"/>
  <c r="R1762" i="1"/>
  <c r="S1762" i="1" s="1"/>
  <c r="Q1762" i="1"/>
  <c r="P1762" i="1"/>
  <c r="W1761" i="1"/>
  <c r="X1761" i="1" s="1"/>
  <c r="Y1761" i="1" s="1"/>
  <c r="Z1761" i="1" s="1"/>
  <c r="V1761" i="1"/>
  <c r="U1761" i="1"/>
  <c r="S1761" i="1"/>
  <c r="T1761" i="1" s="1"/>
  <c r="R1761" i="1"/>
  <c r="Q1761" i="1"/>
  <c r="P1761" i="1"/>
  <c r="R1760" i="1"/>
  <c r="S1760" i="1" s="1"/>
  <c r="Q1760" i="1"/>
  <c r="P1760" i="1"/>
  <c r="V1759" i="1"/>
  <c r="S1759" i="1"/>
  <c r="R1759" i="1"/>
  <c r="Q1759" i="1"/>
  <c r="P1759" i="1"/>
  <c r="U1758" i="1"/>
  <c r="T1758" i="1"/>
  <c r="R1758" i="1"/>
  <c r="S1758" i="1" s="1"/>
  <c r="Q1758" i="1"/>
  <c r="P1758" i="1"/>
  <c r="R1757" i="1"/>
  <c r="S1757" i="1" s="1"/>
  <c r="Q1757" i="1"/>
  <c r="P1757" i="1"/>
  <c r="R1756" i="1"/>
  <c r="S1756" i="1" s="1"/>
  <c r="Q1756" i="1"/>
  <c r="P1756" i="1"/>
  <c r="W1755" i="1"/>
  <c r="X1755" i="1" s="1"/>
  <c r="Y1755" i="1" s="1"/>
  <c r="Z1755" i="1" s="1"/>
  <c r="T1755" i="1"/>
  <c r="S1755" i="1"/>
  <c r="R1755" i="1"/>
  <c r="Q1755" i="1"/>
  <c r="P1755" i="1"/>
  <c r="R1754" i="1"/>
  <c r="S1754" i="1" s="1"/>
  <c r="Q1754" i="1"/>
  <c r="P1754" i="1"/>
  <c r="V1753" i="1"/>
  <c r="U1753" i="1"/>
  <c r="S1753" i="1"/>
  <c r="W1753" i="1" s="1"/>
  <c r="X1753" i="1" s="1"/>
  <c r="Y1753" i="1" s="1"/>
  <c r="Z1753" i="1" s="1"/>
  <c r="R1753" i="1"/>
  <c r="Q1753" i="1"/>
  <c r="P1753" i="1"/>
  <c r="R1752" i="1"/>
  <c r="S1752" i="1" s="1"/>
  <c r="Q1752" i="1"/>
  <c r="P1752" i="1"/>
  <c r="R1751" i="1"/>
  <c r="S1751" i="1" s="1"/>
  <c r="Q1751" i="1"/>
  <c r="P1751" i="1"/>
  <c r="Z1750" i="1"/>
  <c r="X1750" i="1"/>
  <c r="Y1750" i="1" s="1"/>
  <c r="W1750" i="1"/>
  <c r="V1750" i="1"/>
  <c r="U1750" i="1"/>
  <c r="T1750" i="1"/>
  <c r="R1750" i="1"/>
  <c r="S1750" i="1" s="1"/>
  <c r="Q1750" i="1"/>
  <c r="P1750" i="1"/>
  <c r="W1749" i="1"/>
  <c r="X1749" i="1" s="1"/>
  <c r="Y1749" i="1" s="1"/>
  <c r="Z1749" i="1" s="1"/>
  <c r="U1749" i="1"/>
  <c r="T1749" i="1"/>
  <c r="S1749" i="1"/>
  <c r="V1749" i="1" s="1"/>
  <c r="R1749" i="1"/>
  <c r="Q1749" i="1"/>
  <c r="P1749" i="1"/>
  <c r="Y1748" i="1"/>
  <c r="Z1748" i="1" s="1"/>
  <c r="X1748" i="1"/>
  <c r="W1748" i="1"/>
  <c r="V1748" i="1"/>
  <c r="T1748" i="1"/>
  <c r="R1748" i="1"/>
  <c r="S1748" i="1" s="1"/>
  <c r="U1748" i="1" s="1"/>
  <c r="Q1748" i="1"/>
  <c r="P1748" i="1"/>
  <c r="W1747" i="1"/>
  <c r="X1747" i="1" s="1"/>
  <c r="Y1747" i="1" s="1"/>
  <c r="Z1747" i="1" s="1"/>
  <c r="V1747" i="1"/>
  <c r="S1747" i="1"/>
  <c r="U1747" i="1" s="1"/>
  <c r="R1747" i="1"/>
  <c r="Q1747" i="1"/>
  <c r="P1747" i="1"/>
  <c r="V1746" i="1"/>
  <c r="S1746" i="1"/>
  <c r="R1746" i="1"/>
  <c r="Q1746" i="1"/>
  <c r="P1746" i="1"/>
  <c r="T1745" i="1"/>
  <c r="R1745" i="1"/>
  <c r="S1745" i="1" s="1"/>
  <c r="Q1745" i="1"/>
  <c r="P1745" i="1"/>
  <c r="R1744" i="1"/>
  <c r="S1744" i="1" s="1"/>
  <c r="Q1744" i="1"/>
  <c r="P1744" i="1"/>
  <c r="R1743" i="1"/>
  <c r="S1743" i="1" s="1"/>
  <c r="Q1743" i="1"/>
  <c r="P1743" i="1"/>
  <c r="Z1742" i="1"/>
  <c r="W1742" i="1"/>
  <c r="X1742" i="1" s="1"/>
  <c r="Y1742" i="1" s="1"/>
  <c r="T1742" i="1"/>
  <c r="S1742" i="1"/>
  <c r="V1742" i="1" s="1"/>
  <c r="R1742" i="1"/>
  <c r="Q1742" i="1"/>
  <c r="P1742" i="1"/>
  <c r="Z1741" i="1"/>
  <c r="Y1741" i="1"/>
  <c r="X1741" i="1"/>
  <c r="W1741" i="1"/>
  <c r="V1741" i="1"/>
  <c r="U1741" i="1"/>
  <c r="S1741" i="1"/>
  <c r="T1741" i="1" s="1"/>
  <c r="R1741" i="1"/>
  <c r="Q1741" i="1"/>
  <c r="P1741" i="1"/>
  <c r="Y1740" i="1"/>
  <c r="Z1740" i="1" s="1"/>
  <c r="X1740" i="1"/>
  <c r="V1740" i="1"/>
  <c r="U1740" i="1"/>
  <c r="S1740" i="1"/>
  <c r="W1740" i="1" s="1"/>
  <c r="R1740" i="1"/>
  <c r="Q1740" i="1"/>
  <c r="P1740" i="1"/>
  <c r="X1739" i="1"/>
  <c r="Y1739" i="1" s="1"/>
  <c r="Z1739" i="1" s="1"/>
  <c r="W1739" i="1"/>
  <c r="V1739" i="1"/>
  <c r="U1739" i="1"/>
  <c r="S1739" i="1"/>
  <c r="T1739" i="1" s="1"/>
  <c r="R1739" i="1"/>
  <c r="Q1739" i="1"/>
  <c r="P1739" i="1"/>
  <c r="W1738" i="1"/>
  <c r="X1738" i="1" s="1"/>
  <c r="Y1738" i="1" s="1"/>
  <c r="Z1738" i="1" s="1"/>
  <c r="V1738" i="1"/>
  <c r="T1738" i="1"/>
  <c r="R1738" i="1"/>
  <c r="S1738" i="1" s="1"/>
  <c r="U1738" i="1" s="1"/>
  <c r="Q1738" i="1"/>
  <c r="P1738" i="1"/>
  <c r="R1737" i="1"/>
  <c r="S1737" i="1" s="1"/>
  <c r="Q1737" i="1"/>
  <c r="P1737" i="1"/>
  <c r="R1736" i="1"/>
  <c r="S1736" i="1" s="1"/>
  <c r="Q1736" i="1"/>
  <c r="P1736" i="1"/>
  <c r="T1735" i="1"/>
  <c r="S1735" i="1"/>
  <c r="R1735" i="1"/>
  <c r="Q1735" i="1"/>
  <c r="P1735" i="1"/>
  <c r="U1734" i="1"/>
  <c r="T1734" i="1"/>
  <c r="R1734" i="1"/>
  <c r="S1734" i="1" s="1"/>
  <c r="Q1734" i="1"/>
  <c r="P1734" i="1"/>
  <c r="R1733" i="1"/>
  <c r="S1733" i="1" s="1"/>
  <c r="Q1733" i="1"/>
  <c r="P1733" i="1"/>
  <c r="R1732" i="1"/>
  <c r="S1732" i="1" s="1"/>
  <c r="Q1732" i="1"/>
  <c r="P1732" i="1"/>
  <c r="T1731" i="1"/>
  <c r="R1731" i="1"/>
  <c r="S1731" i="1" s="1"/>
  <c r="Q1731" i="1"/>
  <c r="P1731" i="1"/>
  <c r="Z1730" i="1"/>
  <c r="Y1730" i="1"/>
  <c r="W1730" i="1"/>
  <c r="X1730" i="1" s="1"/>
  <c r="S1730" i="1"/>
  <c r="U1730" i="1" s="1"/>
  <c r="R1730" i="1"/>
  <c r="Q1730" i="1"/>
  <c r="P1730" i="1"/>
  <c r="R1729" i="1"/>
  <c r="S1729" i="1" s="1"/>
  <c r="Q1729" i="1"/>
  <c r="P1729" i="1"/>
  <c r="X1728" i="1"/>
  <c r="Y1728" i="1" s="1"/>
  <c r="Z1728" i="1" s="1"/>
  <c r="V1728" i="1"/>
  <c r="S1728" i="1"/>
  <c r="W1728" i="1" s="1"/>
  <c r="R1728" i="1"/>
  <c r="Q1728" i="1"/>
  <c r="P1728" i="1"/>
  <c r="W1727" i="1"/>
  <c r="X1727" i="1" s="1"/>
  <c r="Y1727" i="1" s="1"/>
  <c r="Z1727" i="1" s="1"/>
  <c r="V1727" i="1"/>
  <c r="T1727" i="1"/>
  <c r="S1727" i="1"/>
  <c r="U1727" i="1" s="1"/>
  <c r="R1727" i="1"/>
  <c r="Q1727" i="1"/>
  <c r="P1727" i="1"/>
  <c r="R1726" i="1"/>
  <c r="S1726" i="1" s="1"/>
  <c r="Q1726" i="1"/>
  <c r="P1726" i="1"/>
  <c r="T1725" i="1"/>
  <c r="R1725" i="1"/>
  <c r="S1725" i="1" s="1"/>
  <c r="Q1725" i="1"/>
  <c r="P1725" i="1"/>
  <c r="R1724" i="1"/>
  <c r="S1724" i="1" s="1"/>
  <c r="Q1724" i="1"/>
  <c r="P1724" i="1"/>
  <c r="R1723" i="1"/>
  <c r="S1723" i="1" s="1"/>
  <c r="Q1723" i="1"/>
  <c r="P1723" i="1"/>
  <c r="U1722" i="1"/>
  <c r="R1722" i="1"/>
  <c r="S1722" i="1" s="1"/>
  <c r="Q1722" i="1"/>
  <c r="P1722" i="1"/>
  <c r="W1721" i="1"/>
  <c r="X1721" i="1" s="1"/>
  <c r="Y1721" i="1" s="1"/>
  <c r="Z1721" i="1" s="1"/>
  <c r="T1721" i="1"/>
  <c r="S1721" i="1"/>
  <c r="R1721" i="1"/>
  <c r="Q1721" i="1"/>
  <c r="P1721" i="1"/>
  <c r="R1720" i="1"/>
  <c r="S1720" i="1" s="1"/>
  <c r="Q1720" i="1"/>
  <c r="P1720" i="1"/>
  <c r="W1719" i="1"/>
  <c r="X1719" i="1" s="1"/>
  <c r="Y1719" i="1" s="1"/>
  <c r="Z1719" i="1" s="1"/>
  <c r="V1719" i="1"/>
  <c r="U1719" i="1"/>
  <c r="T1719" i="1"/>
  <c r="S1719" i="1"/>
  <c r="R1719" i="1"/>
  <c r="Q1719" i="1"/>
  <c r="P1719" i="1"/>
  <c r="R1718" i="1"/>
  <c r="S1718" i="1" s="1"/>
  <c r="Q1718" i="1"/>
  <c r="P1718" i="1"/>
  <c r="S1717" i="1"/>
  <c r="R1717" i="1"/>
  <c r="Q1717" i="1"/>
  <c r="P1717" i="1"/>
  <c r="S1716" i="1"/>
  <c r="R1716" i="1"/>
  <c r="Q1716" i="1"/>
  <c r="P1716" i="1"/>
  <c r="R1715" i="1"/>
  <c r="S1715" i="1" s="1"/>
  <c r="Q1715" i="1"/>
  <c r="P1715" i="1"/>
  <c r="S1714" i="1"/>
  <c r="R1714" i="1"/>
  <c r="Q1714" i="1"/>
  <c r="P1714" i="1"/>
  <c r="T1713" i="1"/>
  <c r="S1713" i="1"/>
  <c r="R1713" i="1"/>
  <c r="Q1713" i="1"/>
  <c r="P1713" i="1"/>
  <c r="R1712" i="1"/>
  <c r="S1712" i="1" s="1"/>
  <c r="Q1712" i="1"/>
  <c r="P1712" i="1"/>
  <c r="V1711" i="1"/>
  <c r="R1711" i="1"/>
  <c r="S1711" i="1" s="1"/>
  <c r="Q1711" i="1"/>
  <c r="P1711" i="1"/>
  <c r="T1710" i="1"/>
  <c r="S1710" i="1"/>
  <c r="R1710" i="1"/>
  <c r="Q1710" i="1"/>
  <c r="P1710" i="1"/>
  <c r="W1709" i="1"/>
  <c r="X1709" i="1" s="1"/>
  <c r="Y1709" i="1" s="1"/>
  <c r="Z1709" i="1" s="1"/>
  <c r="U1709" i="1"/>
  <c r="S1709" i="1"/>
  <c r="V1709" i="1" s="1"/>
  <c r="R1709" i="1"/>
  <c r="Q1709" i="1"/>
  <c r="P1709" i="1"/>
  <c r="W1708" i="1"/>
  <c r="X1708" i="1" s="1"/>
  <c r="Y1708" i="1" s="1"/>
  <c r="Z1708" i="1" s="1"/>
  <c r="V1708" i="1"/>
  <c r="R1708" i="1"/>
  <c r="S1708" i="1" s="1"/>
  <c r="T1708" i="1" s="1"/>
  <c r="Q1708" i="1"/>
  <c r="P1708" i="1"/>
  <c r="W1707" i="1"/>
  <c r="X1707" i="1" s="1"/>
  <c r="Y1707" i="1" s="1"/>
  <c r="Z1707" i="1" s="1"/>
  <c r="V1707" i="1"/>
  <c r="U1707" i="1"/>
  <c r="T1707" i="1"/>
  <c r="S1707" i="1"/>
  <c r="R1707" i="1"/>
  <c r="Q1707" i="1"/>
  <c r="P1707" i="1"/>
  <c r="R1706" i="1"/>
  <c r="S1706" i="1" s="1"/>
  <c r="Q1706" i="1"/>
  <c r="P1706" i="1"/>
  <c r="S1705" i="1"/>
  <c r="R1705" i="1"/>
  <c r="Q1705" i="1"/>
  <c r="P1705" i="1"/>
  <c r="R1704" i="1"/>
  <c r="S1704" i="1" s="1"/>
  <c r="Q1704" i="1"/>
  <c r="P1704" i="1"/>
  <c r="R1703" i="1"/>
  <c r="S1703" i="1" s="1"/>
  <c r="Q1703" i="1"/>
  <c r="P1703" i="1"/>
  <c r="U1702" i="1"/>
  <c r="R1702" i="1"/>
  <c r="S1702" i="1" s="1"/>
  <c r="Q1702" i="1"/>
  <c r="P1702" i="1"/>
  <c r="X1701" i="1"/>
  <c r="Y1701" i="1" s="1"/>
  <c r="Z1701" i="1" s="1"/>
  <c r="W1701" i="1"/>
  <c r="U1701" i="1"/>
  <c r="T1701" i="1"/>
  <c r="S1701" i="1"/>
  <c r="V1701" i="1" s="1"/>
  <c r="R1701" i="1"/>
  <c r="Q1701" i="1"/>
  <c r="P1701" i="1"/>
  <c r="T1700" i="1"/>
  <c r="S1700" i="1"/>
  <c r="R1700" i="1"/>
  <c r="Q1700" i="1"/>
  <c r="P1700" i="1"/>
  <c r="W1699" i="1"/>
  <c r="X1699" i="1" s="1"/>
  <c r="Y1699" i="1" s="1"/>
  <c r="Z1699" i="1" s="1"/>
  <c r="V1699" i="1"/>
  <c r="U1699" i="1"/>
  <c r="T1699" i="1"/>
  <c r="S1699" i="1"/>
  <c r="R1699" i="1"/>
  <c r="Q1699" i="1"/>
  <c r="P1699" i="1"/>
  <c r="V1698" i="1"/>
  <c r="U1698" i="1"/>
  <c r="S1698" i="1"/>
  <c r="W1698" i="1" s="1"/>
  <c r="X1698" i="1" s="1"/>
  <c r="Y1698" i="1" s="1"/>
  <c r="Z1698" i="1" s="1"/>
  <c r="R1698" i="1"/>
  <c r="Q1698" i="1"/>
  <c r="P1698" i="1"/>
  <c r="W1697" i="1"/>
  <c r="X1697" i="1" s="1"/>
  <c r="Y1697" i="1" s="1"/>
  <c r="Z1697" i="1" s="1"/>
  <c r="V1697" i="1"/>
  <c r="S1697" i="1"/>
  <c r="R1697" i="1"/>
  <c r="Q1697" i="1"/>
  <c r="P1697" i="1"/>
  <c r="R1696" i="1"/>
  <c r="S1696" i="1" s="1"/>
  <c r="Q1696" i="1"/>
  <c r="P1696" i="1"/>
  <c r="R1695" i="1"/>
  <c r="S1695" i="1" s="1"/>
  <c r="Q1695" i="1"/>
  <c r="P1695" i="1"/>
  <c r="R1694" i="1"/>
  <c r="S1694" i="1" s="1"/>
  <c r="Q1694" i="1"/>
  <c r="P1694" i="1"/>
  <c r="W1693" i="1"/>
  <c r="X1693" i="1" s="1"/>
  <c r="Y1693" i="1" s="1"/>
  <c r="Z1693" i="1" s="1"/>
  <c r="T1693" i="1"/>
  <c r="S1693" i="1"/>
  <c r="R1693" i="1"/>
  <c r="Q1693" i="1"/>
  <c r="P1693" i="1"/>
  <c r="W1692" i="1"/>
  <c r="X1692" i="1" s="1"/>
  <c r="Y1692" i="1" s="1"/>
  <c r="Z1692" i="1" s="1"/>
  <c r="V1692" i="1"/>
  <c r="U1692" i="1"/>
  <c r="R1692" i="1"/>
  <c r="S1692" i="1" s="1"/>
  <c r="T1692" i="1" s="1"/>
  <c r="Q1692" i="1"/>
  <c r="P1692" i="1"/>
  <c r="V1691" i="1"/>
  <c r="S1691" i="1"/>
  <c r="R1691" i="1"/>
  <c r="Q1691" i="1"/>
  <c r="P1691" i="1"/>
  <c r="S1690" i="1"/>
  <c r="R1690" i="1"/>
  <c r="Q1690" i="1"/>
  <c r="P1690" i="1"/>
  <c r="R1689" i="1"/>
  <c r="S1689" i="1" s="1"/>
  <c r="Q1689" i="1"/>
  <c r="P1689" i="1"/>
  <c r="W1688" i="1"/>
  <c r="X1688" i="1" s="1"/>
  <c r="Y1688" i="1" s="1"/>
  <c r="Z1688" i="1" s="1"/>
  <c r="U1688" i="1"/>
  <c r="R1688" i="1"/>
  <c r="S1688" i="1" s="1"/>
  <c r="Q1688" i="1"/>
  <c r="P1688" i="1"/>
  <c r="V1687" i="1"/>
  <c r="U1687" i="1"/>
  <c r="S1687" i="1"/>
  <c r="W1687" i="1" s="1"/>
  <c r="X1687" i="1" s="1"/>
  <c r="Y1687" i="1" s="1"/>
  <c r="Z1687" i="1" s="1"/>
  <c r="R1687" i="1"/>
  <c r="Q1687" i="1"/>
  <c r="P1687" i="1"/>
  <c r="W1686" i="1"/>
  <c r="X1686" i="1" s="1"/>
  <c r="Y1686" i="1" s="1"/>
  <c r="Z1686" i="1" s="1"/>
  <c r="T1686" i="1"/>
  <c r="R1686" i="1"/>
  <c r="S1686" i="1" s="1"/>
  <c r="Q1686" i="1"/>
  <c r="P1686" i="1"/>
  <c r="R1685" i="1"/>
  <c r="S1685" i="1" s="1"/>
  <c r="Q1685" i="1"/>
  <c r="P1685" i="1"/>
  <c r="R1684" i="1"/>
  <c r="S1684" i="1" s="1"/>
  <c r="Q1684" i="1"/>
  <c r="P1684" i="1"/>
  <c r="S1683" i="1"/>
  <c r="R1683" i="1"/>
  <c r="Q1683" i="1"/>
  <c r="P1683" i="1"/>
  <c r="T1682" i="1"/>
  <c r="R1682" i="1"/>
  <c r="S1682" i="1" s="1"/>
  <c r="Q1682" i="1"/>
  <c r="P1682" i="1"/>
  <c r="V1681" i="1"/>
  <c r="U1681" i="1"/>
  <c r="R1681" i="1"/>
  <c r="S1681" i="1" s="1"/>
  <c r="Q1681" i="1"/>
  <c r="P1681" i="1"/>
  <c r="W1680" i="1"/>
  <c r="X1680" i="1" s="1"/>
  <c r="Y1680" i="1" s="1"/>
  <c r="Z1680" i="1" s="1"/>
  <c r="V1680" i="1"/>
  <c r="T1680" i="1"/>
  <c r="R1680" i="1"/>
  <c r="S1680" i="1" s="1"/>
  <c r="U1680" i="1" s="1"/>
  <c r="Q1680" i="1"/>
  <c r="P1680" i="1"/>
  <c r="W1679" i="1"/>
  <c r="X1679" i="1" s="1"/>
  <c r="Y1679" i="1" s="1"/>
  <c r="Z1679" i="1" s="1"/>
  <c r="V1679" i="1"/>
  <c r="U1679" i="1"/>
  <c r="T1679" i="1"/>
  <c r="S1679" i="1"/>
  <c r="R1679" i="1"/>
  <c r="Q1679" i="1"/>
  <c r="P1679" i="1"/>
  <c r="U1678" i="1"/>
  <c r="R1678" i="1"/>
  <c r="S1678" i="1" s="1"/>
  <c r="Q1678" i="1"/>
  <c r="P1678" i="1"/>
  <c r="X1677" i="1"/>
  <c r="Y1677" i="1" s="1"/>
  <c r="Z1677" i="1" s="1"/>
  <c r="W1677" i="1"/>
  <c r="S1677" i="1"/>
  <c r="R1677" i="1"/>
  <c r="Q1677" i="1"/>
  <c r="P1677" i="1"/>
  <c r="W1676" i="1"/>
  <c r="X1676" i="1" s="1"/>
  <c r="Y1676" i="1" s="1"/>
  <c r="Z1676" i="1" s="1"/>
  <c r="V1676" i="1"/>
  <c r="U1676" i="1"/>
  <c r="S1676" i="1"/>
  <c r="T1676" i="1" s="1"/>
  <c r="R1676" i="1"/>
  <c r="Q1676" i="1"/>
  <c r="P1676" i="1"/>
  <c r="R1675" i="1"/>
  <c r="S1675" i="1" s="1"/>
  <c r="Q1675" i="1"/>
  <c r="P1675" i="1"/>
  <c r="R1674" i="1"/>
  <c r="S1674" i="1" s="1"/>
  <c r="Q1674" i="1"/>
  <c r="P1674" i="1"/>
  <c r="S1673" i="1"/>
  <c r="R1673" i="1"/>
  <c r="Q1673" i="1"/>
  <c r="P1673" i="1"/>
  <c r="W1672" i="1"/>
  <c r="X1672" i="1" s="1"/>
  <c r="Y1672" i="1" s="1"/>
  <c r="Z1672" i="1" s="1"/>
  <c r="V1672" i="1"/>
  <c r="U1672" i="1"/>
  <c r="T1672" i="1"/>
  <c r="S1672" i="1"/>
  <c r="R1672" i="1"/>
  <c r="Q1672" i="1"/>
  <c r="P1672" i="1"/>
  <c r="U1671" i="1"/>
  <c r="S1671" i="1"/>
  <c r="R1671" i="1"/>
  <c r="Q1671" i="1"/>
  <c r="P1671" i="1"/>
  <c r="S1670" i="1"/>
  <c r="R1670" i="1"/>
  <c r="Q1670" i="1"/>
  <c r="P1670" i="1"/>
  <c r="X1669" i="1"/>
  <c r="Y1669" i="1" s="1"/>
  <c r="Z1669" i="1" s="1"/>
  <c r="W1669" i="1"/>
  <c r="U1669" i="1"/>
  <c r="S1669" i="1"/>
  <c r="V1669" i="1" s="1"/>
  <c r="R1669" i="1"/>
  <c r="Q1669" i="1"/>
  <c r="P1669" i="1"/>
  <c r="V1668" i="1"/>
  <c r="R1668" i="1"/>
  <c r="S1668" i="1" s="1"/>
  <c r="Q1668" i="1"/>
  <c r="P1668" i="1"/>
  <c r="W1667" i="1"/>
  <c r="X1667" i="1" s="1"/>
  <c r="Y1667" i="1" s="1"/>
  <c r="Z1667" i="1" s="1"/>
  <c r="V1667" i="1"/>
  <c r="U1667" i="1"/>
  <c r="T1667" i="1"/>
  <c r="R1667" i="1"/>
  <c r="S1667" i="1" s="1"/>
  <c r="Q1667" i="1"/>
  <c r="P1667" i="1"/>
  <c r="R1666" i="1"/>
  <c r="S1666" i="1" s="1"/>
  <c r="Q1666" i="1"/>
  <c r="P1666" i="1"/>
  <c r="S1665" i="1"/>
  <c r="R1665" i="1"/>
  <c r="Q1665" i="1"/>
  <c r="P1665" i="1"/>
  <c r="R1664" i="1"/>
  <c r="S1664" i="1" s="1"/>
  <c r="Q1664" i="1"/>
  <c r="P1664" i="1"/>
  <c r="T1663" i="1"/>
  <c r="R1663" i="1"/>
  <c r="S1663" i="1" s="1"/>
  <c r="Q1663" i="1"/>
  <c r="P1663" i="1"/>
  <c r="U1662" i="1"/>
  <c r="T1662" i="1"/>
  <c r="R1662" i="1"/>
  <c r="S1662" i="1" s="1"/>
  <c r="Q1662" i="1"/>
  <c r="P1662" i="1"/>
  <c r="Y1661" i="1"/>
  <c r="Z1661" i="1" s="1"/>
  <c r="S1661" i="1"/>
  <c r="W1661" i="1" s="1"/>
  <c r="X1661" i="1" s="1"/>
  <c r="R1661" i="1"/>
  <c r="Q1661" i="1"/>
  <c r="P1661" i="1"/>
  <c r="Z1660" i="1"/>
  <c r="W1660" i="1"/>
  <c r="X1660" i="1" s="1"/>
  <c r="Y1660" i="1" s="1"/>
  <c r="V1660" i="1"/>
  <c r="S1660" i="1"/>
  <c r="U1660" i="1" s="1"/>
  <c r="R1660" i="1"/>
  <c r="Q1660" i="1"/>
  <c r="P1660" i="1"/>
  <c r="Y1659" i="1"/>
  <c r="Z1659" i="1" s="1"/>
  <c r="X1659" i="1"/>
  <c r="W1659" i="1"/>
  <c r="V1659" i="1"/>
  <c r="U1659" i="1"/>
  <c r="T1659" i="1"/>
  <c r="S1659" i="1"/>
  <c r="R1659" i="1"/>
  <c r="Q1659" i="1"/>
  <c r="P1659" i="1"/>
  <c r="X1658" i="1"/>
  <c r="Y1658" i="1" s="1"/>
  <c r="Z1658" i="1" s="1"/>
  <c r="V1658" i="1"/>
  <c r="U1658" i="1"/>
  <c r="S1658" i="1"/>
  <c r="W1658" i="1" s="1"/>
  <c r="R1658" i="1"/>
  <c r="Q1658" i="1"/>
  <c r="P1658" i="1"/>
  <c r="V1657" i="1"/>
  <c r="S1657" i="1"/>
  <c r="R1657" i="1"/>
  <c r="Q1657" i="1"/>
  <c r="P1657" i="1"/>
  <c r="V1656" i="1"/>
  <c r="U1656" i="1"/>
  <c r="R1656" i="1"/>
  <c r="S1656" i="1" s="1"/>
  <c r="W1656" i="1" s="1"/>
  <c r="X1656" i="1" s="1"/>
  <c r="Y1656" i="1" s="1"/>
  <c r="Z1656" i="1" s="1"/>
  <c r="Q1656" i="1"/>
  <c r="P1656" i="1"/>
  <c r="U1655" i="1"/>
  <c r="R1655" i="1"/>
  <c r="S1655" i="1" s="1"/>
  <c r="Q1655" i="1"/>
  <c r="P1655" i="1"/>
  <c r="W1654" i="1"/>
  <c r="X1654" i="1" s="1"/>
  <c r="Y1654" i="1" s="1"/>
  <c r="Z1654" i="1" s="1"/>
  <c r="V1654" i="1"/>
  <c r="U1654" i="1"/>
  <c r="T1654" i="1"/>
  <c r="S1654" i="1"/>
  <c r="R1654" i="1"/>
  <c r="Q1654" i="1"/>
  <c r="P1654" i="1"/>
  <c r="S1653" i="1"/>
  <c r="R1653" i="1"/>
  <c r="Q1653" i="1"/>
  <c r="P1653" i="1"/>
  <c r="R1652" i="1"/>
  <c r="S1652" i="1" s="1"/>
  <c r="Q1652" i="1"/>
  <c r="P1652" i="1"/>
  <c r="R1651" i="1"/>
  <c r="S1651" i="1" s="1"/>
  <c r="Q1651" i="1"/>
  <c r="P1651" i="1"/>
  <c r="T1650" i="1"/>
  <c r="S1650" i="1"/>
  <c r="R1650" i="1"/>
  <c r="Q1650" i="1"/>
  <c r="P1650" i="1"/>
  <c r="X1649" i="1"/>
  <c r="Y1649" i="1" s="1"/>
  <c r="Z1649" i="1" s="1"/>
  <c r="W1649" i="1"/>
  <c r="T1649" i="1"/>
  <c r="S1649" i="1"/>
  <c r="V1649" i="1" s="1"/>
  <c r="R1649" i="1"/>
  <c r="Q1649" i="1"/>
  <c r="P1649" i="1"/>
  <c r="Z1648" i="1"/>
  <c r="Y1648" i="1"/>
  <c r="W1648" i="1"/>
  <c r="X1648" i="1" s="1"/>
  <c r="V1648" i="1"/>
  <c r="U1648" i="1"/>
  <c r="R1648" i="1"/>
  <c r="S1648" i="1" s="1"/>
  <c r="T1648" i="1" s="1"/>
  <c r="Q1648" i="1"/>
  <c r="P1648" i="1"/>
  <c r="Z1647" i="1"/>
  <c r="W1647" i="1"/>
  <c r="X1647" i="1" s="1"/>
  <c r="Y1647" i="1" s="1"/>
  <c r="S1647" i="1"/>
  <c r="T1647" i="1" s="1"/>
  <c r="R1647" i="1"/>
  <c r="Q1647" i="1"/>
  <c r="P1647" i="1"/>
  <c r="T1646" i="1"/>
  <c r="R1646" i="1"/>
  <c r="S1646" i="1" s="1"/>
  <c r="Q1646" i="1"/>
  <c r="P1646" i="1"/>
  <c r="S1645" i="1"/>
  <c r="R1645" i="1"/>
  <c r="Q1645" i="1"/>
  <c r="P1645" i="1"/>
  <c r="S1644" i="1"/>
  <c r="R1644" i="1"/>
  <c r="Q1644" i="1"/>
  <c r="P1644" i="1"/>
  <c r="X1643" i="1"/>
  <c r="Y1643" i="1" s="1"/>
  <c r="Z1643" i="1" s="1"/>
  <c r="S1643" i="1"/>
  <c r="W1643" i="1" s="1"/>
  <c r="R1643" i="1"/>
  <c r="Q1643" i="1"/>
  <c r="P1643" i="1"/>
  <c r="R1642" i="1"/>
  <c r="S1642" i="1" s="1"/>
  <c r="Q1642" i="1"/>
  <c r="P1642" i="1"/>
  <c r="R1641" i="1"/>
  <c r="S1641" i="1" s="1"/>
  <c r="Q1641" i="1"/>
  <c r="P1641" i="1"/>
  <c r="W1640" i="1"/>
  <c r="X1640" i="1" s="1"/>
  <c r="Y1640" i="1" s="1"/>
  <c r="Z1640" i="1" s="1"/>
  <c r="T1640" i="1"/>
  <c r="S1640" i="1"/>
  <c r="U1640" i="1" s="1"/>
  <c r="R1640" i="1"/>
  <c r="Q1640" i="1"/>
  <c r="P1640" i="1"/>
  <c r="Y1639" i="1"/>
  <c r="Z1639" i="1" s="1"/>
  <c r="W1639" i="1"/>
  <c r="X1639" i="1" s="1"/>
  <c r="V1639" i="1"/>
  <c r="U1639" i="1"/>
  <c r="T1639" i="1"/>
  <c r="S1639" i="1"/>
  <c r="R1639" i="1"/>
  <c r="Q1639" i="1"/>
  <c r="P1639" i="1"/>
  <c r="Y1638" i="1"/>
  <c r="Z1638" i="1" s="1"/>
  <c r="X1638" i="1"/>
  <c r="V1638" i="1"/>
  <c r="T1638" i="1"/>
  <c r="S1638" i="1"/>
  <c r="W1638" i="1" s="1"/>
  <c r="R1638" i="1"/>
  <c r="Q1638" i="1"/>
  <c r="P1638" i="1"/>
  <c r="Z1637" i="1"/>
  <c r="Y1637" i="1"/>
  <c r="W1637" i="1"/>
  <c r="X1637" i="1" s="1"/>
  <c r="V1637" i="1"/>
  <c r="S1637" i="1"/>
  <c r="R1637" i="1"/>
  <c r="Q1637" i="1"/>
  <c r="P1637" i="1"/>
  <c r="Z1636" i="1"/>
  <c r="W1636" i="1"/>
  <c r="X1636" i="1" s="1"/>
  <c r="Y1636" i="1" s="1"/>
  <c r="V1636" i="1"/>
  <c r="U1636" i="1"/>
  <c r="S1636" i="1"/>
  <c r="T1636" i="1" s="1"/>
  <c r="R1636" i="1"/>
  <c r="Q1636" i="1"/>
  <c r="P1636" i="1"/>
  <c r="R1635" i="1"/>
  <c r="S1635" i="1" s="1"/>
  <c r="Q1635" i="1"/>
  <c r="P1635" i="1"/>
  <c r="W1634" i="1"/>
  <c r="X1634" i="1" s="1"/>
  <c r="Y1634" i="1" s="1"/>
  <c r="Z1634" i="1" s="1"/>
  <c r="U1634" i="1"/>
  <c r="S1634" i="1"/>
  <c r="R1634" i="1"/>
  <c r="Q1634" i="1"/>
  <c r="P1634" i="1"/>
  <c r="T1633" i="1"/>
  <c r="S1633" i="1"/>
  <c r="R1633" i="1"/>
  <c r="Q1633" i="1"/>
  <c r="P1633" i="1"/>
  <c r="V1632" i="1"/>
  <c r="S1632" i="1"/>
  <c r="R1632" i="1"/>
  <c r="Q1632" i="1"/>
  <c r="P1632" i="1"/>
  <c r="R1631" i="1"/>
  <c r="S1631" i="1" s="1"/>
  <c r="Q1631" i="1"/>
  <c r="P1631" i="1"/>
  <c r="S1630" i="1"/>
  <c r="R1630" i="1"/>
  <c r="Q1630" i="1"/>
  <c r="P1630" i="1"/>
  <c r="R1629" i="1"/>
  <c r="S1629" i="1" s="1"/>
  <c r="Q1629" i="1"/>
  <c r="P1629" i="1"/>
  <c r="X1628" i="1"/>
  <c r="Y1628" i="1" s="1"/>
  <c r="Z1628" i="1" s="1"/>
  <c r="W1628" i="1"/>
  <c r="V1628" i="1"/>
  <c r="U1628" i="1"/>
  <c r="T1628" i="1"/>
  <c r="R1628" i="1"/>
  <c r="S1628" i="1" s="1"/>
  <c r="Q1628" i="1"/>
  <c r="P1628" i="1"/>
  <c r="W1627" i="1"/>
  <c r="X1627" i="1" s="1"/>
  <c r="Y1627" i="1" s="1"/>
  <c r="Z1627" i="1" s="1"/>
  <c r="U1627" i="1"/>
  <c r="R1627" i="1"/>
  <c r="S1627" i="1" s="1"/>
  <c r="Q1627" i="1"/>
  <c r="P1627" i="1"/>
  <c r="V1626" i="1"/>
  <c r="R1626" i="1"/>
  <c r="S1626" i="1" s="1"/>
  <c r="Q1626" i="1"/>
  <c r="P1626" i="1"/>
  <c r="Y1625" i="1"/>
  <c r="Z1625" i="1" s="1"/>
  <c r="X1625" i="1"/>
  <c r="W1625" i="1"/>
  <c r="V1625" i="1"/>
  <c r="T1625" i="1"/>
  <c r="S1625" i="1"/>
  <c r="U1625" i="1" s="1"/>
  <c r="R1625" i="1"/>
  <c r="Q1625" i="1"/>
  <c r="P1625" i="1"/>
  <c r="S1624" i="1"/>
  <c r="R1624" i="1"/>
  <c r="Q1624" i="1"/>
  <c r="P1624" i="1"/>
  <c r="X1623" i="1"/>
  <c r="Y1623" i="1" s="1"/>
  <c r="Z1623" i="1" s="1"/>
  <c r="W1623" i="1"/>
  <c r="V1623" i="1"/>
  <c r="U1623" i="1"/>
  <c r="S1623" i="1"/>
  <c r="T1623" i="1" s="1"/>
  <c r="R1623" i="1"/>
  <c r="Q1623" i="1"/>
  <c r="P1623" i="1"/>
  <c r="U1622" i="1"/>
  <c r="R1622" i="1"/>
  <c r="S1622" i="1" s="1"/>
  <c r="Q1622" i="1"/>
  <c r="P1622" i="1"/>
  <c r="W1621" i="1"/>
  <c r="X1621" i="1" s="1"/>
  <c r="Y1621" i="1" s="1"/>
  <c r="Z1621" i="1" s="1"/>
  <c r="S1621" i="1"/>
  <c r="V1621" i="1" s="1"/>
  <c r="R1621" i="1"/>
  <c r="Q1621" i="1"/>
  <c r="P1621" i="1"/>
  <c r="W1620" i="1"/>
  <c r="X1620" i="1" s="1"/>
  <c r="Y1620" i="1" s="1"/>
  <c r="Z1620" i="1" s="1"/>
  <c r="V1620" i="1"/>
  <c r="S1620" i="1"/>
  <c r="U1620" i="1" s="1"/>
  <c r="R1620" i="1"/>
  <c r="Q1620" i="1"/>
  <c r="P1620" i="1"/>
  <c r="U1619" i="1"/>
  <c r="S1619" i="1"/>
  <c r="R1619" i="1"/>
  <c r="Q1619" i="1"/>
  <c r="P1619" i="1"/>
  <c r="S1618" i="1"/>
  <c r="W1618" i="1" s="1"/>
  <c r="X1618" i="1" s="1"/>
  <c r="Y1618" i="1" s="1"/>
  <c r="Z1618" i="1" s="1"/>
  <c r="R1618" i="1"/>
  <c r="Q1618" i="1"/>
  <c r="P1618" i="1"/>
  <c r="W1617" i="1"/>
  <c r="X1617" i="1" s="1"/>
  <c r="Y1617" i="1" s="1"/>
  <c r="Z1617" i="1" s="1"/>
  <c r="V1617" i="1"/>
  <c r="U1617" i="1"/>
  <c r="S1617" i="1"/>
  <c r="T1617" i="1" s="1"/>
  <c r="R1617" i="1"/>
  <c r="Q1617" i="1"/>
  <c r="P1617" i="1"/>
  <c r="Z1616" i="1"/>
  <c r="V1616" i="1"/>
  <c r="U1616" i="1"/>
  <c r="T1616" i="1"/>
  <c r="S1616" i="1"/>
  <c r="W1616" i="1" s="1"/>
  <c r="X1616" i="1" s="1"/>
  <c r="Y1616" i="1" s="1"/>
  <c r="R1616" i="1"/>
  <c r="Q1616" i="1"/>
  <c r="P1616" i="1"/>
  <c r="R1615" i="1"/>
  <c r="S1615" i="1" s="1"/>
  <c r="Q1615" i="1"/>
  <c r="P1615" i="1"/>
  <c r="R1614" i="1"/>
  <c r="S1614" i="1" s="1"/>
  <c r="Q1614" i="1"/>
  <c r="P1614" i="1"/>
  <c r="W1613" i="1"/>
  <c r="X1613" i="1" s="1"/>
  <c r="Y1613" i="1" s="1"/>
  <c r="Z1613" i="1" s="1"/>
  <c r="S1613" i="1"/>
  <c r="R1613" i="1"/>
  <c r="Q1613" i="1"/>
  <c r="P1613" i="1"/>
  <c r="T1612" i="1"/>
  <c r="R1612" i="1"/>
  <c r="S1612" i="1" s="1"/>
  <c r="Q1612" i="1"/>
  <c r="P1612" i="1"/>
  <c r="V1611" i="1"/>
  <c r="U1611" i="1"/>
  <c r="S1611" i="1"/>
  <c r="R1611" i="1"/>
  <c r="Q1611" i="1"/>
  <c r="P1611" i="1"/>
  <c r="W1610" i="1"/>
  <c r="X1610" i="1" s="1"/>
  <c r="Y1610" i="1" s="1"/>
  <c r="Z1610" i="1" s="1"/>
  <c r="R1610" i="1"/>
  <c r="S1610" i="1" s="1"/>
  <c r="Q1610" i="1"/>
  <c r="P1610" i="1"/>
  <c r="T1609" i="1"/>
  <c r="R1609" i="1"/>
  <c r="S1609" i="1" s="1"/>
  <c r="Q1609" i="1"/>
  <c r="P1609" i="1"/>
  <c r="W1608" i="1"/>
  <c r="X1608" i="1" s="1"/>
  <c r="Y1608" i="1" s="1"/>
  <c r="Z1608" i="1" s="1"/>
  <c r="V1608" i="1"/>
  <c r="T1608" i="1"/>
  <c r="R1608" i="1"/>
  <c r="S1608" i="1" s="1"/>
  <c r="U1608" i="1" s="1"/>
  <c r="Q1608" i="1"/>
  <c r="P1608" i="1"/>
  <c r="T1607" i="1"/>
  <c r="R1607" i="1"/>
  <c r="S1607" i="1" s="1"/>
  <c r="Q1607" i="1"/>
  <c r="P1607" i="1"/>
  <c r="R1606" i="1"/>
  <c r="S1606" i="1" s="1"/>
  <c r="Q1606" i="1"/>
  <c r="P1606" i="1"/>
  <c r="S1605" i="1"/>
  <c r="U1605" i="1" s="1"/>
  <c r="R1605" i="1"/>
  <c r="Q1605" i="1"/>
  <c r="P1605" i="1"/>
  <c r="S1604" i="1"/>
  <c r="R1604" i="1"/>
  <c r="Q1604" i="1"/>
  <c r="P1604" i="1"/>
  <c r="R1603" i="1"/>
  <c r="S1603" i="1" s="1"/>
  <c r="Q1603" i="1"/>
  <c r="P1603" i="1"/>
  <c r="R1602" i="1"/>
  <c r="S1602" i="1" s="1"/>
  <c r="Q1602" i="1"/>
  <c r="P1602" i="1"/>
  <c r="Y1601" i="1"/>
  <c r="Z1601" i="1" s="1"/>
  <c r="V1601" i="1"/>
  <c r="U1601" i="1"/>
  <c r="T1601" i="1"/>
  <c r="S1601" i="1"/>
  <c r="W1601" i="1" s="1"/>
  <c r="X1601" i="1" s="1"/>
  <c r="R1601" i="1"/>
  <c r="Q1601" i="1"/>
  <c r="P1601" i="1"/>
  <c r="W1600" i="1"/>
  <c r="X1600" i="1" s="1"/>
  <c r="Y1600" i="1" s="1"/>
  <c r="Z1600" i="1" s="1"/>
  <c r="S1600" i="1"/>
  <c r="U1600" i="1" s="1"/>
  <c r="R1600" i="1"/>
  <c r="Q1600" i="1"/>
  <c r="P1600" i="1"/>
  <c r="S1599" i="1"/>
  <c r="R1599" i="1"/>
  <c r="Q1599" i="1"/>
  <c r="P1599" i="1"/>
  <c r="S1598" i="1"/>
  <c r="R1598" i="1"/>
  <c r="Q1598" i="1"/>
  <c r="P1598" i="1"/>
  <c r="U1597" i="1"/>
  <c r="S1597" i="1"/>
  <c r="R1597" i="1"/>
  <c r="Q1597" i="1"/>
  <c r="P1597" i="1"/>
  <c r="S1596" i="1"/>
  <c r="W1596" i="1" s="1"/>
  <c r="X1596" i="1" s="1"/>
  <c r="Y1596" i="1" s="1"/>
  <c r="Z1596" i="1" s="1"/>
  <c r="R1596" i="1"/>
  <c r="Q1596" i="1"/>
  <c r="P1596" i="1"/>
  <c r="R1595" i="1"/>
  <c r="S1595" i="1" s="1"/>
  <c r="Q1595" i="1"/>
  <c r="P1595" i="1"/>
  <c r="X1594" i="1"/>
  <c r="Y1594" i="1" s="1"/>
  <c r="Z1594" i="1" s="1"/>
  <c r="W1594" i="1"/>
  <c r="U1594" i="1"/>
  <c r="T1594" i="1"/>
  <c r="S1594" i="1"/>
  <c r="V1594" i="1" s="1"/>
  <c r="R1594" i="1"/>
  <c r="Q1594" i="1"/>
  <c r="P1594" i="1"/>
  <c r="T1593" i="1"/>
  <c r="S1593" i="1"/>
  <c r="R1593" i="1"/>
  <c r="Q1593" i="1"/>
  <c r="P1593" i="1"/>
  <c r="W1592" i="1"/>
  <c r="X1592" i="1" s="1"/>
  <c r="Y1592" i="1" s="1"/>
  <c r="Z1592" i="1" s="1"/>
  <c r="R1592" i="1"/>
  <c r="S1592" i="1" s="1"/>
  <c r="Q1592" i="1"/>
  <c r="P1592" i="1"/>
  <c r="R1591" i="1"/>
  <c r="S1591" i="1" s="1"/>
  <c r="Q1591" i="1"/>
  <c r="P1591" i="1"/>
  <c r="R1590" i="1"/>
  <c r="S1590" i="1" s="1"/>
  <c r="Q1590" i="1"/>
  <c r="P1590" i="1"/>
  <c r="X1589" i="1"/>
  <c r="Y1589" i="1" s="1"/>
  <c r="Z1589" i="1" s="1"/>
  <c r="W1589" i="1"/>
  <c r="U1589" i="1"/>
  <c r="T1589" i="1"/>
  <c r="S1589" i="1"/>
  <c r="V1589" i="1" s="1"/>
  <c r="R1589" i="1"/>
  <c r="Q1589" i="1"/>
  <c r="P1589" i="1"/>
  <c r="V1588" i="1"/>
  <c r="R1588" i="1"/>
  <c r="S1588" i="1" s="1"/>
  <c r="Q1588" i="1"/>
  <c r="P1588" i="1"/>
  <c r="V1587" i="1"/>
  <c r="U1587" i="1"/>
  <c r="T1587" i="1"/>
  <c r="S1587" i="1"/>
  <c r="W1587" i="1" s="1"/>
  <c r="X1587" i="1" s="1"/>
  <c r="Y1587" i="1" s="1"/>
  <c r="Z1587" i="1" s="1"/>
  <c r="R1587" i="1"/>
  <c r="Q1587" i="1"/>
  <c r="P1587" i="1"/>
  <c r="W1586" i="1"/>
  <c r="X1586" i="1" s="1"/>
  <c r="Y1586" i="1" s="1"/>
  <c r="Z1586" i="1" s="1"/>
  <c r="R1586" i="1"/>
  <c r="S1586" i="1" s="1"/>
  <c r="Q1586" i="1"/>
  <c r="P1586" i="1"/>
  <c r="X1585" i="1"/>
  <c r="Y1585" i="1" s="1"/>
  <c r="Z1585" i="1" s="1"/>
  <c r="W1585" i="1"/>
  <c r="V1585" i="1"/>
  <c r="U1585" i="1"/>
  <c r="S1585" i="1"/>
  <c r="T1585" i="1" s="1"/>
  <c r="R1585" i="1"/>
  <c r="Q1585" i="1"/>
  <c r="P1585" i="1"/>
  <c r="V1584" i="1"/>
  <c r="S1584" i="1"/>
  <c r="R1584" i="1"/>
  <c r="Q1584" i="1"/>
  <c r="P1584" i="1"/>
  <c r="U1583" i="1"/>
  <c r="S1583" i="1"/>
  <c r="W1583" i="1" s="1"/>
  <c r="X1583" i="1" s="1"/>
  <c r="Y1583" i="1" s="1"/>
  <c r="Z1583" i="1" s="1"/>
  <c r="R1583" i="1"/>
  <c r="Q1583" i="1"/>
  <c r="P1583" i="1"/>
  <c r="T1582" i="1"/>
  <c r="R1582" i="1"/>
  <c r="S1582" i="1" s="1"/>
  <c r="Q1582" i="1"/>
  <c r="P1582" i="1"/>
  <c r="R1581" i="1"/>
  <c r="S1581" i="1" s="1"/>
  <c r="Q1581" i="1"/>
  <c r="P1581" i="1"/>
  <c r="V1580" i="1"/>
  <c r="R1580" i="1"/>
  <c r="S1580" i="1" s="1"/>
  <c r="Q1580" i="1"/>
  <c r="P1580" i="1"/>
  <c r="X1579" i="1"/>
  <c r="Y1579" i="1" s="1"/>
  <c r="Z1579" i="1" s="1"/>
  <c r="W1579" i="1"/>
  <c r="V1579" i="1"/>
  <c r="U1579" i="1"/>
  <c r="T1579" i="1"/>
  <c r="S1579" i="1"/>
  <c r="R1579" i="1"/>
  <c r="Q1579" i="1"/>
  <c r="P1579" i="1"/>
  <c r="R1578" i="1"/>
  <c r="S1578" i="1" s="1"/>
  <c r="Q1578" i="1"/>
  <c r="P1578" i="1"/>
  <c r="U1577" i="1"/>
  <c r="S1577" i="1"/>
  <c r="R1577" i="1"/>
  <c r="Q1577" i="1"/>
  <c r="P1577" i="1"/>
  <c r="W1576" i="1"/>
  <c r="X1576" i="1" s="1"/>
  <c r="Y1576" i="1" s="1"/>
  <c r="Z1576" i="1" s="1"/>
  <c r="U1576" i="1"/>
  <c r="R1576" i="1"/>
  <c r="S1576" i="1" s="1"/>
  <c r="Q1576" i="1"/>
  <c r="P1576" i="1"/>
  <c r="W1575" i="1"/>
  <c r="X1575" i="1" s="1"/>
  <c r="Y1575" i="1" s="1"/>
  <c r="Z1575" i="1" s="1"/>
  <c r="U1575" i="1"/>
  <c r="R1575" i="1"/>
  <c r="S1575" i="1" s="1"/>
  <c r="Q1575" i="1"/>
  <c r="P1575" i="1"/>
  <c r="W1574" i="1"/>
  <c r="X1574" i="1" s="1"/>
  <c r="Y1574" i="1" s="1"/>
  <c r="Z1574" i="1" s="1"/>
  <c r="V1574" i="1"/>
  <c r="T1574" i="1"/>
  <c r="S1574" i="1"/>
  <c r="U1574" i="1" s="1"/>
  <c r="R1574" i="1"/>
  <c r="Q1574" i="1"/>
  <c r="P1574" i="1"/>
  <c r="S1573" i="1"/>
  <c r="R1573" i="1"/>
  <c r="Q1573" i="1"/>
  <c r="P1573" i="1"/>
  <c r="W1572" i="1"/>
  <c r="X1572" i="1" s="1"/>
  <c r="Y1572" i="1" s="1"/>
  <c r="Z1572" i="1" s="1"/>
  <c r="V1572" i="1"/>
  <c r="U1572" i="1"/>
  <c r="S1572" i="1"/>
  <c r="T1572" i="1" s="1"/>
  <c r="R1572" i="1"/>
  <c r="Q1572" i="1"/>
  <c r="P1572" i="1"/>
  <c r="V1571" i="1"/>
  <c r="U1571" i="1"/>
  <c r="R1571" i="1"/>
  <c r="S1571" i="1" s="1"/>
  <c r="Q1571" i="1"/>
  <c r="P1571" i="1"/>
  <c r="V1570" i="1"/>
  <c r="U1570" i="1"/>
  <c r="T1570" i="1"/>
  <c r="S1570" i="1"/>
  <c r="W1570" i="1" s="1"/>
  <c r="X1570" i="1" s="1"/>
  <c r="Y1570" i="1" s="1"/>
  <c r="Z1570" i="1" s="1"/>
  <c r="R1570" i="1"/>
  <c r="Q1570" i="1"/>
  <c r="P1570" i="1"/>
  <c r="W1569" i="1"/>
  <c r="X1569" i="1" s="1"/>
  <c r="Y1569" i="1" s="1"/>
  <c r="Z1569" i="1" s="1"/>
  <c r="U1569" i="1"/>
  <c r="T1569" i="1"/>
  <c r="S1569" i="1"/>
  <c r="V1569" i="1" s="1"/>
  <c r="R1569" i="1"/>
  <c r="Q1569" i="1"/>
  <c r="P1569" i="1"/>
  <c r="R1568" i="1"/>
  <c r="S1568" i="1" s="1"/>
  <c r="W1568" i="1" s="1"/>
  <c r="X1568" i="1" s="1"/>
  <c r="Y1568" i="1" s="1"/>
  <c r="Z1568" i="1" s="1"/>
  <c r="Q1568" i="1"/>
  <c r="P1568" i="1"/>
  <c r="Z1567" i="1"/>
  <c r="V1567" i="1"/>
  <c r="U1567" i="1"/>
  <c r="T1567" i="1"/>
  <c r="S1567" i="1"/>
  <c r="W1567" i="1" s="1"/>
  <c r="X1567" i="1" s="1"/>
  <c r="Y1567" i="1" s="1"/>
  <c r="R1567" i="1"/>
  <c r="Q1567" i="1"/>
  <c r="P1567" i="1"/>
  <c r="W1566" i="1"/>
  <c r="X1566" i="1" s="1"/>
  <c r="Y1566" i="1" s="1"/>
  <c r="Z1566" i="1" s="1"/>
  <c r="V1566" i="1"/>
  <c r="R1566" i="1"/>
  <c r="S1566" i="1" s="1"/>
  <c r="U1566" i="1" s="1"/>
  <c r="Q1566" i="1"/>
  <c r="P1566" i="1"/>
  <c r="S1565" i="1"/>
  <c r="R1565" i="1"/>
  <c r="Q1565" i="1"/>
  <c r="P1565" i="1"/>
  <c r="S1564" i="1"/>
  <c r="R1564" i="1"/>
  <c r="Q1564" i="1"/>
  <c r="P1564" i="1"/>
  <c r="Y1563" i="1"/>
  <c r="Z1563" i="1" s="1"/>
  <c r="W1563" i="1"/>
  <c r="X1563" i="1" s="1"/>
  <c r="S1563" i="1"/>
  <c r="R1563" i="1"/>
  <c r="Q1563" i="1"/>
  <c r="P1563" i="1"/>
  <c r="U1562" i="1"/>
  <c r="T1562" i="1"/>
  <c r="R1562" i="1"/>
  <c r="S1562" i="1" s="1"/>
  <c r="Q1562" i="1"/>
  <c r="P1562" i="1"/>
  <c r="R1561" i="1"/>
  <c r="S1561" i="1" s="1"/>
  <c r="Q1561" i="1"/>
  <c r="P1561" i="1"/>
  <c r="S1560" i="1"/>
  <c r="R1560" i="1"/>
  <c r="Q1560" i="1"/>
  <c r="P1560" i="1"/>
  <c r="Y1559" i="1"/>
  <c r="Z1559" i="1" s="1"/>
  <c r="X1559" i="1"/>
  <c r="W1559" i="1"/>
  <c r="V1559" i="1"/>
  <c r="T1559" i="1"/>
  <c r="S1559" i="1"/>
  <c r="U1559" i="1" s="1"/>
  <c r="R1559" i="1"/>
  <c r="Q1559" i="1"/>
  <c r="P1559" i="1"/>
  <c r="U1558" i="1"/>
  <c r="R1558" i="1"/>
  <c r="S1558" i="1" s="1"/>
  <c r="Q1558" i="1"/>
  <c r="P1558" i="1"/>
  <c r="W1557" i="1"/>
  <c r="X1557" i="1" s="1"/>
  <c r="Y1557" i="1" s="1"/>
  <c r="Z1557" i="1" s="1"/>
  <c r="V1557" i="1"/>
  <c r="S1557" i="1"/>
  <c r="R1557" i="1"/>
  <c r="Q1557" i="1"/>
  <c r="P1557" i="1"/>
  <c r="S1556" i="1"/>
  <c r="R1556" i="1"/>
  <c r="Q1556" i="1"/>
  <c r="P1556" i="1"/>
  <c r="Y1555" i="1"/>
  <c r="Z1555" i="1" s="1"/>
  <c r="X1555" i="1"/>
  <c r="W1555" i="1"/>
  <c r="U1555" i="1"/>
  <c r="R1555" i="1"/>
  <c r="S1555" i="1" s="1"/>
  <c r="Q1555" i="1"/>
  <c r="P1555" i="1"/>
  <c r="R1554" i="1"/>
  <c r="S1554" i="1" s="1"/>
  <c r="Q1554" i="1"/>
  <c r="P1554" i="1"/>
  <c r="S1553" i="1"/>
  <c r="R1553" i="1"/>
  <c r="Q1553" i="1"/>
  <c r="P1553" i="1"/>
  <c r="R1552" i="1"/>
  <c r="S1552" i="1" s="1"/>
  <c r="Q1552" i="1"/>
  <c r="P1552" i="1"/>
  <c r="S1551" i="1"/>
  <c r="R1551" i="1"/>
  <c r="Q1551" i="1"/>
  <c r="P1551" i="1"/>
  <c r="V1550" i="1"/>
  <c r="U1550" i="1"/>
  <c r="T1550" i="1"/>
  <c r="S1550" i="1"/>
  <c r="W1550" i="1" s="1"/>
  <c r="X1550" i="1" s="1"/>
  <c r="Y1550" i="1" s="1"/>
  <c r="Z1550" i="1" s="1"/>
  <c r="R1550" i="1"/>
  <c r="Q1550" i="1"/>
  <c r="P1550" i="1"/>
  <c r="R1549" i="1"/>
  <c r="S1549" i="1" s="1"/>
  <c r="Q1549" i="1"/>
  <c r="P1549" i="1"/>
  <c r="U1548" i="1"/>
  <c r="R1548" i="1"/>
  <c r="S1548" i="1" s="1"/>
  <c r="Q1548" i="1"/>
  <c r="P1548" i="1"/>
  <c r="R1547" i="1"/>
  <c r="S1547" i="1" s="1"/>
  <c r="Q1547" i="1"/>
  <c r="P1547" i="1"/>
  <c r="R1546" i="1"/>
  <c r="S1546" i="1" s="1"/>
  <c r="Q1546" i="1"/>
  <c r="P1546" i="1"/>
  <c r="V1545" i="1"/>
  <c r="R1545" i="1"/>
  <c r="S1545" i="1" s="1"/>
  <c r="T1545" i="1" s="1"/>
  <c r="Q1545" i="1"/>
  <c r="P1545" i="1"/>
  <c r="V1544" i="1"/>
  <c r="S1544" i="1"/>
  <c r="R1544" i="1"/>
  <c r="Q1544" i="1"/>
  <c r="P1544" i="1"/>
  <c r="V1543" i="1"/>
  <c r="R1543" i="1"/>
  <c r="S1543" i="1" s="1"/>
  <c r="Q1543" i="1"/>
  <c r="P1543" i="1"/>
  <c r="U1542" i="1"/>
  <c r="R1542" i="1"/>
  <c r="S1542" i="1" s="1"/>
  <c r="Q1542" i="1"/>
  <c r="P1542" i="1"/>
  <c r="S1541" i="1"/>
  <c r="V1541" i="1" s="1"/>
  <c r="R1541" i="1"/>
  <c r="Q1541" i="1"/>
  <c r="P1541" i="1"/>
  <c r="S1540" i="1"/>
  <c r="R1540" i="1"/>
  <c r="Q1540" i="1"/>
  <c r="P1540" i="1"/>
  <c r="S1539" i="1"/>
  <c r="R1539" i="1"/>
  <c r="Q1539" i="1"/>
  <c r="P1539" i="1"/>
  <c r="S1538" i="1"/>
  <c r="R1538" i="1"/>
  <c r="Q1538" i="1"/>
  <c r="P1538" i="1"/>
  <c r="W1537" i="1"/>
  <c r="X1537" i="1" s="1"/>
  <c r="Y1537" i="1" s="1"/>
  <c r="Z1537" i="1" s="1"/>
  <c r="V1537" i="1"/>
  <c r="S1537" i="1"/>
  <c r="R1537" i="1"/>
  <c r="Q1537" i="1"/>
  <c r="P1537" i="1"/>
  <c r="S1536" i="1"/>
  <c r="W1536" i="1" s="1"/>
  <c r="X1536" i="1" s="1"/>
  <c r="Y1536" i="1" s="1"/>
  <c r="Z1536" i="1" s="1"/>
  <c r="R1536" i="1"/>
  <c r="Q1536" i="1"/>
  <c r="P1536" i="1"/>
  <c r="Y1535" i="1"/>
  <c r="Z1535" i="1" s="1"/>
  <c r="X1535" i="1"/>
  <c r="W1535" i="1"/>
  <c r="U1535" i="1"/>
  <c r="R1535" i="1"/>
  <c r="S1535" i="1" s="1"/>
  <c r="Q1535" i="1"/>
  <c r="P1535" i="1"/>
  <c r="X1534" i="1"/>
  <c r="Y1534" i="1" s="1"/>
  <c r="Z1534" i="1" s="1"/>
  <c r="W1534" i="1"/>
  <c r="V1534" i="1"/>
  <c r="U1534" i="1"/>
  <c r="S1534" i="1"/>
  <c r="T1534" i="1" s="1"/>
  <c r="R1534" i="1"/>
  <c r="Q1534" i="1"/>
  <c r="P1534" i="1"/>
  <c r="W1533" i="1"/>
  <c r="X1533" i="1" s="1"/>
  <c r="Y1533" i="1" s="1"/>
  <c r="Z1533" i="1" s="1"/>
  <c r="T1533" i="1"/>
  <c r="S1533" i="1"/>
  <c r="R1533" i="1"/>
  <c r="Q1533" i="1"/>
  <c r="P1533" i="1"/>
  <c r="S1532" i="1"/>
  <c r="R1532" i="1"/>
  <c r="Q1532" i="1"/>
  <c r="P1532" i="1"/>
  <c r="S1531" i="1"/>
  <c r="R1531" i="1"/>
  <c r="Q1531" i="1"/>
  <c r="P1531" i="1"/>
  <c r="R1530" i="1"/>
  <c r="S1530" i="1" s="1"/>
  <c r="Q1530" i="1"/>
  <c r="P1530" i="1"/>
  <c r="U1529" i="1"/>
  <c r="R1529" i="1"/>
  <c r="S1529" i="1" s="1"/>
  <c r="Q1529" i="1"/>
  <c r="P1529" i="1"/>
  <c r="W1528" i="1"/>
  <c r="X1528" i="1" s="1"/>
  <c r="Y1528" i="1" s="1"/>
  <c r="Z1528" i="1" s="1"/>
  <c r="V1528" i="1"/>
  <c r="U1528" i="1"/>
  <c r="T1528" i="1"/>
  <c r="R1528" i="1"/>
  <c r="S1528" i="1" s="1"/>
  <c r="Q1528" i="1"/>
  <c r="P1528" i="1"/>
  <c r="R1527" i="1"/>
  <c r="S1527" i="1" s="1"/>
  <c r="Q1527" i="1"/>
  <c r="P1527" i="1"/>
  <c r="W1526" i="1"/>
  <c r="X1526" i="1" s="1"/>
  <c r="Y1526" i="1" s="1"/>
  <c r="Z1526" i="1" s="1"/>
  <c r="T1526" i="1"/>
  <c r="R1526" i="1"/>
  <c r="S1526" i="1" s="1"/>
  <c r="U1526" i="1" s="1"/>
  <c r="Q1526" i="1"/>
  <c r="P1526" i="1"/>
  <c r="X1525" i="1"/>
  <c r="Y1525" i="1" s="1"/>
  <c r="Z1525" i="1" s="1"/>
  <c r="W1525" i="1"/>
  <c r="V1525" i="1"/>
  <c r="T1525" i="1"/>
  <c r="S1525" i="1"/>
  <c r="U1525" i="1" s="1"/>
  <c r="R1525" i="1"/>
  <c r="Q1525" i="1"/>
  <c r="P1525" i="1"/>
  <c r="S1524" i="1"/>
  <c r="R1524" i="1"/>
  <c r="Q1524" i="1"/>
  <c r="P1524" i="1"/>
  <c r="Z1523" i="1"/>
  <c r="X1523" i="1"/>
  <c r="Y1523" i="1" s="1"/>
  <c r="W1523" i="1"/>
  <c r="V1523" i="1"/>
  <c r="U1523" i="1"/>
  <c r="S1523" i="1"/>
  <c r="T1523" i="1" s="1"/>
  <c r="R1523" i="1"/>
  <c r="Q1523" i="1"/>
  <c r="P1523" i="1"/>
  <c r="R1522" i="1"/>
  <c r="S1522" i="1" s="1"/>
  <c r="Q1522" i="1"/>
  <c r="P1522" i="1"/>
  <c r="S1521" i="1"/>
  <c r="R1521" i="1"/>
  <c r="Q1521" i="1"/>
  <c r="P1521" i="1"/>
  <c r="S1520" i="1"/>
  <c r="U1520" i="1" s="1"/>
  <c r="R1520" i="1"/>
  <c r="Q1520" i="1"/>
  <c r="P1520" i="1"/>
  <c r="Z1519" i="1"/>
  <c r="W1519" i="1"/>
  <c r="X1519" i="1" s="1"/>
  <c r="Y1519" i="1" s="1"/>
  <c r="S1519" i="1"/>
  <c r="V1519" i="1" s="1"/>
  <c r="R1519" i="1"/>
  <c r="Q1519" i="1"/>
  <c r="P1519" i="1"/>
  <c r="V1518" i="1"/>
  <c r="U1518" i="1"/>
  <c r="T1518" i="1"/>
  <c r="S1518" i="1"/>
  <c r="W1518" i="1" s="1"/>
  <c r="X1518" i="1" s="1"/>
  <c r="Y1518" i="1" s="1"/>
  <c r="Z1518" i="1" s="1"/>
  <c r="R1518" i="1"/>
  <c r="Q1518" i="1"/>
  <c r="P1518" i="1"/>
  <c r="X1517" i="1"/>
  <c r="Y1517" i="1" s="1"/>
  <c r="Z1517" i="1" s="1"/>
  <c r="W1517" i="1"/>
  <c r="S1517" i="1"/>
  <c r="T1517" i="1" s="1"/>
  <c r="R1517" i="1"/>
  <c r="Q1517" i="1"/>
  <c r="P1517" i="1"/>
  <c r="Z1516" i="1"/>
  <c r="V1516" i="1"/>
  <c r="U1516" i="1"/>
  <c r="T1516" i="1"/>
  <c r="S1516" i="1"/>
  <c r="W1516" i="1" s="1"/>
  <c r="X1516" i="1" s="1"/>
  <c r="Y1516" i="1" s="1"/>
  <c r="R1516" i="1"/>
  <c r="Q1516" i="1"/>
  <c r="P1516" i="1"/>
  <c r="R1515" i="1"/>
  <c r="S1515" i="1" s="1"/>
  <c r="Q1515" i="1"/>
  <c r="P1515" i="1"/>
  <c r="R1514" i="1"/>
  <c r="S1514" i="1" s="1"/>
  <c r="Q1514" i="1"/>
  <c r="P1514" i="1"/>
  <c r="S1513" i="1"/>
  <c r="R1513" i="1"/>
  <c r="Q1513" i="1"/>
  <c r="P1513" i="1"/>
  <c r="Z1512" i="1"/>
  <c r="W1512" i="1"/>
  <c r="X1512" i="1" s="1"/>
  <c r="Y1512" i="1" s="1"/>
  <c r="R1512" i="1"/>
  <c r="S1512" i="1" s="1"/>
  <c r="Q1512" i="1"/>
  <c r="P1512" i="1"/>
  <c r="S1511" i="1"/>
  <c r="R1511" i="1"/>
  <c r="Q1511" i="1"/>
  <c r="P1511" i="1"/>
  <c r="R1510" i="1"/>
  <c r="S1510" i="1" s="1"/>
  <c r="Q1510" i="1"/>
  <c r="P1510" i="1"/>
  <c r="S1509" i="1"/>
  <c r="R1509" i="1"/>
  <c r="Q1509" i="1"/>
  <c r="P1509" i="1"/>
  <c r="Z1508" i="1"/>
  <c r="Y1508" i="1"/>
  <c r="X1508" i="1"/>
  <c r="W1508" i="1"/>
  <c r="V1508" i="1"/>
  <c r="T1508" i="1"/>
  <c r="R1508" i="1"/>
  <c r="S1508" i="1" s="1"/>
  <c r="U1508" i="1" s="1"/>
  <c r="Q1508" i="1"/>
  <c r="P1508" i="1"/>
  <c r="S1507" i="1"/>
  <c r="R1507" i="1"/>
  <c r="Q1507" i="1"/>
  <c r="P1507" i="1"/>
  <c r="W1506" i="1"/>
  <c r="X1506" i="1" s="1"/>
  <c r="Y1506" i="1" s="1"/>
  <c r="Z1506" i="1" s="1"/>
  <c r="V1506" i="1"/>
  <c r="R1506" i="1"/>
  <c r="S1506" i="1" s="1"/>
  <c r="Q1506" i="1"/>
  <c r="P1506" i="1"/>
  <c r="R1505" i="1"/>
  <c r="S1505" i="1" s="1"/>
  <c r="Q1505" i="1"/>
  <c r="P1505" i="1"/>
  <c r="S1504" i="1"/>
  <c r="R1504" i="1"/>
  <c r="Q1504" i="1"/>
  <c r="P1504" i="1"/>
  <c r="R1503" i="1"/>
  <c r="S1503" i="1" s="1"/>
  <c r="Q1503" i="1"/>
  <c r="P1503" i="1"/>
  <c r="U1502" i="1"/>
  <c r="R1502" i="1"/>
  <c r="S1502" i="1" s="1"/>
  <c r="Q1502" i="1"/>
  <c r="P1502" i="1"/>
  <c r="Y1501" i="1"/>
  <c r="Z1501" i="1" s="1"/>
  <c r="V1501" i="1"/>
  <c r="U1501" i="1"/>
  <c r="T1501" i="1"/>
  <c r="S1501" i="1"/>
  <c r="W1501" i="1" s="1"/>
  <c r="X1501" i="1" s="1"/>
  <c r="R1501" i="1"/>
  <c r="Q1501" i="1"/>
  <c r="P1501" i="1"/>
  <c r="S1500" i="1"/>
  <c r="R1500" i="1"/>
  <c r="Q1500" i="1"/>
  <c r="P1500" i="1"/>
  <c r="U1499" i="1"/>
  <c r="S1499" i="1"/>
  <c r="R1499" i="1"/>
  <c r="Q1499" i="1"/>
  <c r="P1499" i="1"/>
  <c r="R1498" i="1"/>
  <c r="S1498" i="1" s="1"/>
  <c r="Q1498" i="1"/>
  <c r="P1498" i="1"/>
  <c r="U1497" i="1"/>
  <c r="S1497" i="1"/>
  <c r="R1497" i="1"/>
  <c r="Q1497" i="1"/>
  <c r="P1497" i="1"/>
  <c r="R1496" i="1"/>
  <c r="S1496" i="1" s="1"/>
  <c r="Q1496" i="1"/>
  <c r="P1496" i="1"/>
  <c r="R1495" i="1"/>
  <c r="S1495" i="1" s="1"/>
  <c r="Q1495" i="1"/>
  <c r="P1495" i="1"/>
  <c r="R1494" i="1"/>
  <c r="S1494" i="1" s="1"/>
  <c r="Q1494" i="1"/>
  <c r="P1494" i="1"/>
  <c r="T1493" i="1"/>
  <c r="S1493" i="1"/>
  <c r="R1493" i="1"/>
  <c r="Q1493" i="1"/>
  <c r="P1493" i="1"/>
  <c r="T1492" i="1"/>
  <c r="R1492" i="1"/>
  <c r="S1492" i="1" s="1"/>
  <c r="Q1492" i="1"/>
  <c r="P1492" i="1"/>
  <c r="V1491" i="1"/>
  <c r="U1491" i="1"/>
  <c r="R1491" i="1"/>
  <c r="S1491" i="1" s="1"/>
  <c r="Q1491" i="1"/>
  <c r="P1491" i="1"/>
  <c r="W1490" i="1"/>
  <c r="X1490" i="1" s="1"/>
  <c r="Y1490" i="1" s="1"/>
  <c r="Z1490" i="1" s="1"/>
  <c r="U1490" i="1"/>
  <c r="S1490" i="1"/>
  <c r="V1490" i="1" s="1"/>
  <c r="R1490" i="1"/>
  <c r="Q1490" i="1"/>
  <c r="P1490" i="1"/>
  <c r="R1489" i="1"/>
  <c r="S1489" i="1" s="1"/>
  <c r="Q1489" i="1"/>
  <c r="P1489" i="1"/>
  <c r="R1488" i="1"/>
  <c r="S1488" i="1" s="1"/>
  <c r="Q1488" i="1"/>
  <c r="P1488" i="1"/>
  <c r="R1487" i="1"/>
  <c r="S1487" i="1" s="1"/>
  <c r="W1487" i="1" s="1"/>
  <c r="X1487" i="1" s="1"/>
  <c r="Y1487" i="1" s="1"/>
  <c r="Z1487" i="1" s="1"/>
  <c r="Q1487" i="1"/>
  <c r="P1487" i="1"/>
  <c r="R1486" i="1"/>
  <c r="S1486" i="1" s="1"/>
  <c r="Q1486" i="1"/>
  <c r="P1486" i="1"/>
  <c r="W1485" i="1"/>
  <c r="X1485" i="1" s="1"/>
  <c r="Y1485" i="1" s="1"/>
  <c r="Z1485" i="1" s="1"/>
  <c r="V1485" i="1"/>
  <c r="U1485" i="1"/>
  <c r="T1485" i="1"/>
  <c r="R1485" i="1"/>
  <c r="S1485" i="1" s="1"/>
  <c r="Q1485" i="1"/>
  <c r="P1485" i="1"/>
  <c r="S1484" i="1"/>
  <c r="R1484" i="1"/>
  <c r="Q1484" i="1"/>
  <c r="P1484" i="1"/>
  <c r="Z1483" i="1"/>
  <c r="X1483" i="1"/>
  <c r="Y1483" i="1" s="1"/>
  <c r="W1483" i="1"/>
  <c r="V1483" i="1"/>
  <c r="T1483" i="1"/>
  <c r="S1483" i="1"/>
  <c r="U1483" i="1" s="1"/>
  <c r="R1483" i="1"/>
  <c r="Q1483" i="1"/>
  <c r="P1483" i="1"/>
  <c r="S1482" i="1"/>
  <c r="R1482" i="1"/>
  <c r="Q1482" i="1"/>
  <c r="P1482" i="1"/>
  <c r="S1481" i="1"/>
  <c r="R1481" i="1"/>
  <c r="Q1481" i="1"/>
  <c r="P1481" i="1"/>
  <c r="R1480" i="1"/>
  <c r="S1480" i="1" s="1"/>
  <c r="Q1480" i="1"/>
  <c r="P1480" i="1"/>
  <c r="R1479" i="1"/>
  <c r="S1479" i="1" s="1"/>
  <c r="Q1479" i="1"/>
  <c r="P1479" i="1"/>
  <c r="X1478" i="1"/>
  <c r="Y1478" i="1" s="1"/>
  <c r="Z1478" i="1" s="1"/>
  <c r="W1478" i="1"/>
  <c r="V1478" i="1"/>
  <c r="U1478" i="1"/>
  <c r="T1478" i="1"/>
  <c r="S1478" i="1"/>
  <c r="R1478" i="1"/>
  <c r="Q1478" i="1"/>
  <c r="P1478" i="1"/>
  <c r="V1477" i="1"/>
  <c r="U1477" i="1"/>
  <c r="R1477" i="1"/>
  <c r="S1477" i="1" s="1"/>
  <c r="W1477" i="1" s="1"/>
  <c r="X1477" i="1" s="1"/>
  <c r="Y1477" i="1" s="1"/>
  <c r="Z1477" i="1" s="1"/>
  <c r="Q1477" i="1"/>
  <c r="P1477" i="1"/>
  <c r="W1476" i="1"/>
  <c r="X1476" i="1" s="1"/>
  <c r="Y1476" i="1" s="1"/>
  <c r="Z1476" i="1" s="1"/>
  <c r="V1476" i="1"/>
  <c r="U1476" i="1"/>
  <c r="T1476" i="1"/>
  <c r="S1476" i="1"/>
  <c r="R1476" i="1"/>
  <c r="Q1476" i="1"/>
  <c r="P1476" i="1"/>
  <c r="S1475" i="1"/>
  <c r="R1475" i="1"/>
  <c r="Q1475" i="1"/>
  <c r="P1475" i="1"/>
  <c r="U1474" i="1"/>
  <c r="S1474" i="1"/>
  <c r="T1474" i="1" s="1"/>
  <c r="R1474" i="1"/>
  <c r="Q1474" i="1"/>
  <c r="P1474" i="1"/>
  <c r="R1473" i="1"/>
  <c r="S1473" i="1" s="1"/>
  <c r="Q1473" i="1"/>
  <c r="P1473" i="1"/>
  <c r="Z1472" i="1"/>
  <c r="W1472" i="1"/>
  <c r="X1472" i="1" s="1"/>
  <c r="Y1472" i="1" s="1"/>
  <c r="R1472" i="1"/>
  <c r="S1472" i="1" s="1"/>
  <c r="Q1472" i="1"/>
  <c r="P1472" i="1"/>
  <c r="R1471" i="1"/>
  <c r="S1471" i="1" s="1"/>
  <c r="Q1471" i="1"/>
  <c r="P1471" i="1"/>
  <c r="R1470" i="1"/>
  <c r="S1470" i="1" s="1"/>
  <c r="Q1470" i="1"/>
  <c r="P1470" i="1"/>
  <c r="R1469" i="1"/>
  <c r="S1469" i="1" s="1"/>
  <c r="Q1469" i="1"/>
  <c r="P1469" i="1"/>
  <c r="S1468" i="1"/>
  <c r="R1468" i="1"/>
  <c r="Q1468" i="1"/>
  <c r="P1468" i="1"/>
  <c r="R1467" i="1"/>
  <c r="S1467" i="1" s="1"/>
  <c r="Q1467" i="1"/>
  <c r="P1467" i="1"/>
  <c r="R1466" i="1"/>
  <c r="S1466" i="1" s="1"/>
  <c r="Q1466" i="1"/>
  <c r="P1466" i="1"/>
  <c r="R1465" i="1"/>
  <c r="S1465" i="1" s="1"/>
  <c r="Q1465" i="1"/>
  <c r="P1465" i="1"/>
  <c r="W1464" i="1"/>
  <c r="X1464" i="1" s="1"/>
  <c r="Y1464" i="1" s="1"/>
  <c r="Z1464" i="1" s="1"/>
  <c r="T1464" i="1"/>
  <c r="S1464" i="1"/>
  <c r="V1464" i="1" s="1"/>
  <c r="R1464" i="1"/>
  <c r="Q1464" i="1"/>
  <c r="P1464" i="1"/>
  <c r="Y1463" i="1"/>
  <c r="Z1463" i="1" s="1"/>
  <c r="X1463" i="1"/>
  <c r="W1463" i="1"/>
  <c r="V1463" i="1"/>
  <c r="T1463" i="1"/>
  <c r="S1463" i="1"/>
  <c r="U1463" i="1" s="1"/>
  <c r="R1463" i="1"/>
  <c r="Q1463" i="1"/>
  <c r="P1463" i="1"/>
  <c r="Z1462" i="1"/>
  <c r="W1462" i="1"/>
  <c r="X1462" i="1" s="1"/>
  <c r="Y1462" i="1" s="1"/>
  <c r="V1462" i="1"/>
  <c r="U1462" i="1"/>
  <c r="T1462" i="1"/>
  <c r="S1462" i="1"/>
  <c r="R1462" i="1"/>
  <c r="Q1462" i="1"/>
  <c r="P1462" i="1"/>
  <c r="V1461" i="1"/>
  <c r="S1461" i="1"/>
  <c r="R1461" i="1"/>
  <c r="Q1461" i="1"/>
  <c r="P1461" i="1"/>
  <c r="R1460" i="1"/>
  <c r="S1460" i="1" s="1"/>
  <c r="Q1460" i="1"/>
  <c r="P1460" i="1"/>
  <c r="U1459" i="1"/>
  <c r="T1459" i="1"/>
  <c r="S1459" i="1"/>
  <c r="R1459" i="1"/>
  <c r="Q1459" i="1"/>
  <c r="P1459" i="1"/>
  <c r="U1458" i="1"/>
  <c r="S1458" i="1"/>
  <c r="R1458" i="1"/>
  <c r="Q1458" i="1"/>
  <c r="P1458" i="1"/>
  <c r="W1457" i="1"/>
  <c r="X1457" i="1" s="1"/>
  <c r="Y1457" i="1" s="1"/>
  <c r="Z1457" i="1" s="1"/>
  <c r="V1457" i="1"/>
  <c r="U1457" i="1"/>
  <c r="T1457" i="1"/>
  <c r="R1457" i="1"/>
  <c r="S1457" i="1" s="1"/>
  <c r="Q1457" i="1"/>
  <c r="P1457" i="1"/>
  <c r="U1456" i="1"/>
  <c r="S1456" i="1"/>
  <c r="R1456" i="1"/>
  <c r="Q1456" i="1"/>
  <c r="P1456" i="1"/>
  <c r="V1455" i="1"/>
  <c r="S1455" i="1"/>
  <c r="R1455" i="1"/>
  <c r="Q1455" i="1"/>
  <c r="P1455" i="1"/>
  <c r="S1454" i="1"/>
  <c r="R1454" i="1"/>
  <c r="Q1454" i="1"/>
  <c r="P1454" i="1"/>
  <c r="S1453" i="1"/>
  <c r="R1453" i="1"/>
  <c r="Q1453" i="1"/>
  <c r="P1453" i="1"/>
  <c r="R1452" i="1"/>
  <c r="S1452" i="1" s="1"/>
  <c r="Q1452" i="1"/>
  <c r="P1452" i="1"/>
  <c r="R1451" i="1"/>
  <c r="S1451" i="1" s="1"/>
  <c r="Q1451" i="1"/>
  <c r="P1451" i="1"/>
  <c r="S1450" i="1"/>
  <c r="R1450" i="1"/>
  <c r="Q1450" i="1"/>
  <c r="P1450" i="1"/>
  <c r="W1449" i="1"/>
  <c r="X1449" i="1" s="1"/>
  <c r="Y1449" i="1" s="1"/>
  <c r="Z1449" i="1" s="1"/>
  <c r="V1449" i="1"/>
  <c r="R1449" i="1"/>
  <c r="S1449" i="1" s="1"/>
  <c r="T1449" i="1" s="1"/>
  <c r="Q1449" i="1"/>
  <c r="P1449" i="1"/>
  <c r="Y1448" i="1"/>
  <c r="Z1448" i="1" s="1"/>
  <c r="V1448" i="1"/>
  <c r="S1448" i="1"/>
  <c r="W1448" i="1" s="1"/>
  <c r="X1448" i="1" s="1"/>
  <c r="R1448" i="1"/>
  <c r="Q1448" i="1"/>
  <c r="P1448" i="1"/>
  <c r="S1447" i="1"/>
  <c r="R1447" i="1"/>
  <c r="Q1447" i="1"/>
  <c r="P1447" i="1"/>
  <c r="V1446" i="1"/>
  <c r="R1446" i="1"/>
  <c r="S1446" i="1" s="1"/>
  <c r="Q1446" i="1"/>
  <c r="P1446" i="1"/>
  <c r="X1445" i="1"/>
  <c r="Y1445" i="1" s="1"/>
  <c r="Z1445" i="1" s="1"/>
  <c r="V1445" i="1"/>
  <c r="U1445" i="1"/>
  <c r="T1445" i="1"/>
  <c r="R1445" i="1"/>
  <c r="S1445" i="1" s="1"/>
  <c r="W1445" i="1" s="1"/>
  <c r="Q1445" i="1"/>
  <c r="P1445" i="1"/>
  <c r="R1444" i="1"/>
  <c r="S1444" i="1" s="1"/>
  <c r="Q1444" i="1"/>
  <c r="P1444" i="1"/>
  <c r="W1443" i="1"/>
  <c r="X1443" i="1" s="1"/>
  <c r="Y1443" i="1" s="1"/>
  <c r="Z1443" i="1" s="1"/>
  <c r="V1443" i="1"/>
  <c r="T1443" i="1"/>
  <c r="S1443" i="1"/>
  <c r="U1443" i="1" s="1"/>
  <c r="R1443" i="1"/>
  <c r="Q1443" i="1"/>
  <c r="P1443" i="1"/>
  <c r="Y1442" i="1"/>
  <c r="Z1442" i="1" s="1"/>
  <c r="W1442" i="1"/>
  <c r="X1442" i="1" s="1"/>
  <c r="V1442" i="1"/>
  <c r="U1442" i="1"/>
  <c r="R1442" i="1"/>
  <c r="S1442" i="1" s="1"/>
  <c r="T1442" i="1" s="1"/>
  <c r="Q1442" i="1"/>
  <c r="P1442" i="1"/>
  <c r="R1441" i="1"/>
  <c r="S1441" i="1" s="1"/>
  <c r="Q1441" i="1"/>
  <c r="P1441" i="1"/>
  <c r="V1440" i="1"/>
  <c r="S1440" i="1"/>
  <c r="T1440" i="1" s="1"/>
  <c r="R1440" i="1"/>
  <c r="Q1440" i="1"/>
  <c r="P1440" i="1"/>
  <c r="R1439" i="1"/>
  <c r="S1439" i="1" s="1"/>
  <c r="Q1439" i="1"/>
  <c r="P1439" i="1"/>
  <c r="V1438" i="1"/>
  <c r="S1438" i="1"/>
  <c r="R1438" i="1"/>
  <c r="Q1438" i="1"/>
  <c r="P1438" i="1"/>
  <c r="T1437" i="1"/>
  <c r="R1437" i="1"/>
  <c r="S1437" i="1" s="1"/>
  <c r="Q1437" i="1"/>
  <c r="P1437" i="1"/>
  <c r="S1436" i="1"/>
  <c r="R1436" i="1"/>
  <c r="Q1436" i="1"/>
  <c r="P1436" i="1"/>
  <c r="R1435" i="1"/>
  <c r="S1435" i="1" s="1"/>
  <c r="Q1435" i="1"/>
  <c r="P1435" i="1"/>
  <c r="Y1434" i="1"/>
  <c r="Z1434" i="1" s="1"/>
  <c r="X1434" i="1"/>
  <c r="W1434" i="1"/>
  <c r="V1434" i="1"/>
  <c r="U1434" i="1"/>
  <c r="S1434" i="1"/>
  <c r="T1434" i="1" s="1"/>
  <c r="R1434" i="1"/>
  <c r="Q1434" i="1"/>
  <c r="P1434" i="1"/>
  <c r="R1433" i="1"/>
  <c r="S1433" i="1" s="1"/>
  <c r="Q1433" i="1"/>
  <c r="P1433" i="1"/>
  <c r="Y1432" i="1"/>
  <c r="Z1432" i="1" s="1"/>
  <c r="X1432" i="1"/>
  <c r="W1432" i="1"/>
  <c r="U1432" i="1"/>
  <c r="R1432" i="1"/>
  <c r="S1432" i="1" s="1"/>
  <c r="Q1432" i="1"/>
  <c r="P1432" i="1"/>
  <c r="T1431" i="1"/>
  <c r="R1431" i="1"/>
  <c r="S1431" i="1" s="1"/>
  <c r="Q1431" i="1"/>
  <c r="P1431" i="1"/>
  <c r="W1430" i="1"/>
  <c r="X1430" i="1" s="1"/>
  <c r="Y1430" i="1" s="1"/>
  <c r="Z1430" i="1" s="1"/>
  <c r="R1430" i="1"/>
  <c r="S1430" i="1" s="1"/>
  <c r="Q1430" i="1"/>
  <c r="P1430" i="1"/>
  <c r="S1429" i="1"/>
  <c r="R1429" i="1"/>
  <c r="Q1429" i="1"/>
  <c r="P1429" i="1"/>
  <c r="Y1428" i="1"/>
  <c r="Z1428" i="1" s="1"/>
  <c r="U1428" i="1"/>
  <c r="S1428" i="1"/>
  <c r="W1428" i="1" s="1"/>
  <c r="X1428" i="1" s="1"/>
  <c r="R1428" i="1"/>
  <c r="Q1428" i="1"/>
  <c r="P1428" i="1"/>
  <c r="R1427" i="1"/>
  <c r="S1427" i="1" s="1"/>
  <c r="Q1427" i="1"/>
  <c r="P1427" i="1"/>
  <c r="W1426" i="1"/>
  <c r="X1426" i="1" s="1"/>
  <c r="Y1426" i="1" s="1"/>
  <c r="Z1426" i="1" s="1"/>
  <c r="S1426" i="1"/>
  <c r="T1426" i="1" s="1"/>
  <c r="R1426" i="1"/>
  <c r="Q1426" i="1"/>
  <c r="P1426" i="1"/>
  <c r="X1425" i="1"/>
  <c r="Y1425" i="1" s="1"/>
  <c r="Z1425" i="1" s="1"/>
  <c r="W1425" i="1"/>
  <c r="V1425" i="1"/>
  <c r="U1425" i="1"/>
  <c r="T1425" i="1"/>
  <c r="R1425" i="1"/>
  <c r="S1425" i="1" s="1"/>
  <c r="Q1425" i="1"/>
  <c r="P1425" i="1"/>
  <c r="U1424" i="1"/>
  <c r="T1424" i="1"/>
  <c r="R1424" i="1"/>
  <c r="S1424" i="1" s="1"/>
  <c r="V1424" i="1" s="1"/>
  <c r="Q1424" i="1"/>
  <c r="P1424" i="1"/>
  <c r="W1423" i="1"/>
  <c r="X1423" i="1" s="1"/>
  <c r="Y1423" i="1" s="1"/>
  <c r="Z1423" i="1" s="1"/>
  <c r="V1423" i="1"/>
  <c r="T1423" i="1"/>
  <c r="S1423" i="1"/>
  <c r="U1423" i="1" s="1"/>
  <c r="R1423" i="1"/>
  <c r="Q1423" i="1"/>
  <c r="P1423" i="1"/>
  <c r="R1422" i="1"/>
  <c r="S1422" i="1" s="1"/>
  <c r="Q1422" i="1"/>
  <c r="P1422" i="1"/>
  <c r="R1421" i="1"/>
  <c r="S1421" i="1" s="1"/>
  <c r="Q1421" i="1"/>
  <c r="P1421" i="1"/>
  <c r="S1420" i="1"/>
  <c r="R1420" i="1"/>
  <c r="Q1420" i="1"/>
  <c r="P1420" i="1"/>
  <c r="U1419" i="1"/>
  <c r="R1419" i="1"/>
  <c r="S1419" i="1" s="1"/>
  <c r="Q1419" i="1"/>
  <c r="P1419" i="1"/>
  <c r="S1418" i="1"/>
  <c r="R1418" i="1"/>
  <c r="Q1418" i="1"/>
  <c r="P1418" i="1"/>
  <c r="V1417" i="1"/>
  <c r="R1417" i="1"/>
  <c r="S1417" i="1" s="1"/>
  <c r="Q1417" i="1"/>
  <c r="P1417" i="1"/>
  <c r="S1416" i="1"/>
  <c r="R1416" i="1"/>
  <c r="Q1416" i="1"/>
  <c r="P1416" i="1"/>
  <c r="S1415" i="1"/>
  <c r="T1415" i="1" s="1"/>
  <c r="R1415" i="1"/>
  <c r="Q1415" i="1"/>
  <c r="P1415" i="1"/>
  <c r="S1414" i="1"/>
  <c r="R1414" i="1"/>
  <c r="Q1414" i="1"/>
  <c r="P1414" i="1"/>
  <c r="R1413" i="1"/>
  <c r="S1413" i="1" s="1"/>
  <c r="Q1413" i="1"/>
  <c r="P1413" i="1"/>
  <c r="R1412" i="1"/>
  <c r="S1412" i="1" s="1"/>
  <c r="Q1412" i="1"/>
  <c r="P1412" i="1"/>
  <c r="W1411" i="1"/>
  <c r="X1411" i="1" s="1"/>
  <c r="Y1411" i="1" s="1"/>
  <c r="Z1411" i="1" s="1"/>
  <c r="V1411" i="1"/>
  <c r="S1411" i="1"/>
  <c r="U1411" i="1" s="1"/>
  <c r="R1411" i="1"/>
  <c r="Q1411" i="1"/>
  <c r="P1411" i="1"/>
  <c r="R1410" i="1"/>
  <c r="S1410" i="1" s="1"/>
  <c r="Q1410" i="1"/>
  <c r="P1410" i="1"/>
  <c r="X1409" i="1"/>
  <c r="Y1409" i="1" s="1"/>
  <c r="Z1409" i="1" s="1"/>
  <c r="W1409" i="1"/>
  <c r="V1409" i="1"/>
  <c r="U1409" i="1"/>
  <c r="S1409" i="1"/>
  <c r="T1409" i="1" s="1"/>
  <c r="R1409" i="1"/>
  <c r="Q1409" i="1"/>
  <c r="P1409" i="1"/>
  <c r="S1408" i="1"/>
  <c r="R1408" i="1"/>
  <c r="Q1408" i="1"/>
  <c r="P1408" i="1"/>
  <c r="W1407" i="1"/>
  <c r="X1407" i="1" s="1"/>
  <c r="Y1407" i="1" s="1"/>
  <c r="Z1407" i="1" s="1"/>
  <c r="U1407" i="1"/>
  <c r="R1407" i="1"/>
  <c r="S1407" i="1" s="1"/>
  <c r="Q1407" i="1"/>
  <c r="P1407" i="1"/>
  <c r="W1406" i="1"/>
  <c r="X1406" i="1" s="1"/>
  <c r="Y1406" i="1" s="1"/>
  <c r="Z1406" i="1" s="1"/>
  <c r="S1406" i="1"/>
  <c r="R1406" i="1"/>
  <c r="Q1406" i="1"/>
  <c r="P1406" i="1"/>
  <c r="V1405" i="1"/>
  <c r="U1405" i="1"/>
  <c r="T1405" i="1"/>
  <c r="R1405" i="1"/>
  <c r="S1405" i="1" s="1"/>
  <c r="W1405" i="1" s="1"/>
  <c r="X1405" i="1" s="1"/>
  <c r="Y1405" i="1" s="1"/>
  <c r="Z1405" i="1" s="1"/>
  <c r="Q1405" i="1"/>
  <c r="P1405" i="1"/>
  <c r="R1404" i="1"/>
  <c r="S1404" i="1" s="1"/>
  <c r="Q1404" i="1"/>
  <c r="P1404" i="1"/>
  <c r="X1403" i="1"/>
  <c r="Y1403" i="1" s="1"/>
  <c r="Z1403" i="1" s="1"/>
  <c r="W1403" i="1"/>
  <c r="V1403" i="1"/>
  <c r="T1403" i="1"/>
  <c r="S1403" i="1"/>
  <c r="U1403" i="1" s="1"/>
  <c r="R1403" i="1"/>
  <c r="Q1403" i="1"/>
  <c r="P1403" i="1"/>
  <c r="U1402" i="1"/>
  <c r="R1402" i="1"/>
  <c r="S1402" i="1" s="1"/>
  <c r="Q1402" i="1"/>
  <c r="P1402" i="1"/>
  <c r="R1401" i="1"/>
  <c r="S1401" i="1" s="1"/>
  <c r="Q1401" i="1"/>
  <c r="P1401" i="1"/>
  <c r="U1400" i="1"/>
  <c r="R1400" i="1"/>
  <c r="S1400" i="1" s="1"/>
  <c r="Q1400" i="1"/>
  <c r="P1400" i="1"/>
  <c r="S1399" i="1"/>
  <c r="V1399" i="1" s="1"/>
  <c r="R1399" i="1"/>
  <c r="Q1399" i="1"/>
  <c r="P1399" i="1"/>
  <c r="U1398" i="1"/>
  <c r="R1398" i="1"/>
  <c r="S1398" i="1" s="1"/>
  <c r="Q1398" i="1"/>
  <c r="P1398" i="1"/>
  <c r="W1397" i="1"/>
  <c r="X1397" i="1" s="1"/>
  <c r="Y1397" i="1" s="1"/>
  <c r="Z1397" i="1" s="1"/>
  <c r="V1397" i="1"/>
  <c r="R1397" i="1"/>
  <c r="S1397" i="1" s="1"/>
  <c r="U1397" i="1" s="1"/>
  <c r="Q1397" i="1"/>
  <c r="P1397" i="1"/>
  <c r="S1396" i="1"/>
  <c r="R1396" i="1"/>
  <c r="Q1396" i="1"/>
  <c r="P1396" i="1"/>
  <c r="T1395" i="1"/>
  <c r="R1395" i="1"/>
  <c r="S1395" i="1" s="1"/>
  <c r="Q1395" i="1"/>
  <c r="P1395" i="1"/>
  <c r="R1394" i="1"/>
  <c r="S1394" i="1" s="1"/>
  <c r="Q1394" i="1"/>
  <c r="P1394" i="1"/>
  <c r="Y1393" i="1"/>
  <c r="Z1393" i="1" s="1"/>
  <c r="X1393" i="1"/>
  <c r="W1393" i="1"/>
  <c r="V1393" i="1"/>
  <c r="U1393" i="1"/>
  <c r="S1393" i="1"/>
  <c r="T1393" i="1" s="1"/>
  <c r="R1393" i="1"/>
  <c r="Q1393" i="1"/>
  <c r="P1393" i="1"/>
  <c r="T1392" i="1"/>
  <c r="R1392" i="1"/>
  <c r="S1392" i="1" s="1"/>
  <c r="Q1392" i="1"/>
  <c r="P1392" i="1"/>
  <c r="X1391" i="1"/>
  <c r="Y1391" i="1" s="1"/>
  <c r="Z1391" i="1" s="1"/>
  <c r="W1391" i="1"/>
  <c r="V1391" i="1"/>
  <c r="U1391" i="1"/>
  <c r="T1391" i="1"/>
  <c r="R1391" i="1"/>
  <c r="S1391" i="1" s="1"/>
  <c r="Q1391" i="1"/>
  <c r="P1391" i="1"/>
  <c r="R1390" i="1"/>
  <c r="S1390" i="1" s="1"/>
  <c r="Q1390" i="1"/>
  <c r="P1390" i="1"/>
  <c r="S1389" i="1"/>
  <c r="R1389" i="1"/>
  <c r="Q1389" i="1"/>
  <c r="P1389" i="1"/>
  <c r="R1388" i="1"/>
  <c r="S1388" i="1" s="1"/>
  <c r="Q1388" i="1"/>
  <c r="P1388" i="1"/>
  <c r="R1387" i="1"/>
  <c r="S1387" i="1" s="1"/>
  <c r="Q1387" i="1"/>
  <c r="P1387" i="1"/>
  <c r="T1386" i="1"/>
  <c r="R1386" i="1"/>
  <c r="S1386" i="1" s="1"/>
  <c r="Q1386" i="1"/>
  <c r="P1386" i="1"/>
  <c r="R1385" i="1"/>
  <c r="S1385" i="1" s="1"/>
  <c r="Q1385" i="1"/>
  <c r="P1385" i="1"/>
  <c r="U1384" i="1"/>
  <c r="S1384" i="1"/>
  <c r="R1384" i="1"/>
  <c r="Q1384" i="1"/>
  <c r="P1384" i="1"/>
  <c r="W1383" i="1"/>
  <c r="X1383" i="1" s="1"/>
  <c r="Y1383" i="1" s="1"/>
  <c r="Z1383" i="1" s="1"/>
  <c r="T1383" i="1"/>
  <c r="S1383" i="1"/>
  <c r="U1383" i="1" s="1"/>
  <c r="R1383" i="1"/>
  <c r="Q1383" i="1"/>
  <c r="P1383" i="1"/>
  <c r="S1382" i="1"/>
  <c r="R1382" i="1"/>
  <c r="Q1382" i="1"/>
  <c r="P1382" i="1"/>
  <c r="S1381" i="1"/>
  <c r="R1381" i="1"/>
  <c r="Q1381" i="1"/>
  <c r="P1381" i="1"/>
  <c r="T1380" i="1"/>
  <c r="R1380" i="1"/>
  <c r="S1380" i="1" s="1"/>
  <c r="W1380" i="1" s="1"/>
  <c r="X1380" i="1" s="1"/>
  <c r="Y1380" i="1" s="1"/>
  <c r="Z1380" i="1" s="1"/>
  <c r="Q1380" i="1"/>
  <c r="P1380" i="1"/>
  <c r="S1379" i="1"/>
  <c r="R1379" i="1"/>
  <c r="Q1379" i="1"/>
  <c r="P1379" i="1"/>
  <c r="S1378" i="1"/>
  <c r="R1378" i="1"/>
  <c r="Q1378" i="1"/>
  <c r="P1378" i="1"/>
  <c r="V1377" i="1"/>
  <c r="S1377" i="1"/>
  <c r="R1377" i="1"/>
  <c r="Q1377" i="1"/>
  <c r="P1377" i="1"/>
  <c r="W1376" i="1"/>
  <c r="X1376" i="1" s="1"/>
  <c r="Y1376" i="1" s="1"/>
  <c r="Z1376" i="1" s="1"/>
  <c r="U1376" i="1"/>
  <c r="S1376" i="1"/>
  <c r="V1376" i="1" s="1"/>
  <c r="R1376" i="1"/>
  <c r="Q1376" i="1"/>
  <c r="P1376" i="1"/>
  <c r="X1375" i="1"/>
  <c r="Y1375" i="1" s="1"/>
  <c r="Z1375" i="1" s="1"/>
  <c r="W1375" i="1"/>
  <c r="V1375" i="1"/>
  <c r="U1375" i="1"/>
  <c r="T1375" i="1"/>
  <c r="S1375" i="1"/>
  <c r="R1375" i="1"/>
  <c r="Q1375" i="1"/>
  <c r="P1375" i="1"/>
  <c r="W1374" i="1"/>
  <c r="X1374" i="1" s="1"/>
  <c r="Y1374" i="1" s="1"/>
  <c r="Z1374" i="1" s="1"/>
  <c r="V1374" i="1"/>
  <c r="S1374" i="1"/>
  <c r="T1374" i="1" s="1"/>
  <c r="R1374" i="1"/>
  <c r="Q1374" i="1"/>
  <c r="P1374" i="1"/>
  <c r="Z1373" i="1"/>
  <c r="Y1373" i="1"/>
  <c r="W1373" i="1"/>
  <c r="X1373" i="1" s="1"/>
  <c r="V1373" i="1"/>
  <c r="R1373" i="1"/>
  <c r="S1373" i="1" s="1"/>
  <c r="T1373" i="1" s="1"/>
  <c r="Q1373" i="1"/>
  <c r="P1373" i="1"/>
  <c r="W1372" i="1"/>
  <c r="X1372" i="1" s="1"/>
  <c r="Y1372" i="1" s="1"/>
  <c r="Z1372" i="1" s="1"/>
  <c r="R1372" i="1"/>
  <c r="S1372" i="1" s="1"/>
  <c r="V1372" i="1" s="1"/>
  <c r="Q1372" i="1"/>
  <c r="P1372" i="1"/>
  <c r="W1371" i="1"/>
  <c r="X1371" i="1" s="1"/>
  <c r="Y1371" i="1" s="1"/>
  <c r="Z1371" i="1" s="1"/>
  <c r="V1371" i="1"/>
  <c r="R1371" i="1"/>
  <c r="S1371" i="1" s="1"/>
  <c r="Q1371" i="1"/>
  <c r="P1371" i="1"/>
  <c r="W1370" i="1"/>
  <c r="X1370" i="1" s="1"/>
  <c r="Y1370" i="1" s="1"/>
  <c r="Z1370" i="1" s="1"/>
  <c r="R1370" i="1"/>
  <c r="S1370" i="1" s="1"/>
  <c r="Q1370" i="1"/>
  <c r="P1370" i="1"/>
  <c r="R1369" i="1"/>
  <c r="S1369" i="1" s="1"/>
  <c r="Q1369" i="1"/>
  <c r="P1369" i="1"/>
  <c r="T1368" i="1"/>
  <c r="S1368" i="1"/>
  <c r="R1368" i="1"/>
  <c r="Q1368" i="1"/>
  <c r="P1368" i="1"/>
  <c r="Z1367" i="1"/>
  <c r="W1367" i="1"/>
  <c r="X1367" i="1" s="1"/>
  <c r="Y1367" i="1" s="1"/>
  <c r="U1367" i="1"/>
  <c r="R1367" i="1"/>
  <c r="S1367" i="1" s="1"/>
  <c r="T1367" i="1" s="1"/>
  <c r="Q1367" i="1"/>
  <c r="P1367" i="1"/>
  <c r="S1366" i="1"/>
  <c r="V1366" i="1" s="1"/>
  <c r="R1366" i="1"/>
  <c r="Q1366" i="1"/>
  <c r="P1366" i="1"/>
  <c r="R1365" i="1"/>
  <c r="S1365" i="1" s="1"/>
  <c r="Q1365" i="1"/>
  <c r="P1365" i="1"/>
  <c r="W1364" i="1"/>
  <c r="X1364" i="1" s="1"/>
  <c r="Y1364" i="1" s="1"/>
  <c r="Z1364" i="1" s="1"/>
  <c r="V1364" i="1"/>
  <c r="S1364" i="1"/>
  <c r="R1364" i="1"/>
  <c r="Q1364" i="1"/>
  <c r="P1364" i="1"/>
  <c r="W1363" i="1"/>
  <c r="X1363" i="1" s="1"/>
  <c r="Y1363" i="1" s="1"/>
  <c r="Z1363" i="1" s="1"/>
  <c r="S1363" i="1"/>
  <c r="R1363" i="1"/>
  <c r="Q1363" i="1"/>
  <c r="P1363" i="1"/>
  <c r="V1362" i="1"/>
  <c r="U1362" i="1"/>
  <c r="R1362" i="1"/>
  <c r="S1362" i="1" s="1"/>
  <c r="W1362" i="1" s="1"/>
  <c r="X1362" i="1" s="1"/>
  <c r="Y1362" i="1" s="1"/>
  <c r="Z1362" i="1" s="1"/>
  <c r="Q1362" i="1"/>
  <c r="P1362" i="1"/>
  <c r="R1361" i="1"/>
  <c r="S1361" i="1" s="1"/>
  <c r="Q1361" i="1"/>
  <c r="P1361" i="1"/>
  <c r="R1360" i="1"/>
  <c r="S1360" i="1" s="1"/>
  <c r="Q1360" i="1"/>
  <c r="P1360" i="1"/>
  <c r="W1359" i="1"/>
  <c r="X1359" i="1" s="1"/>
  <c r="Y1359" i="1" s="1"/>
  <c r="Z1359" i="1" s="1"/>
  <c r="S1359" i="1"/>
  <c r="R1359" i="1"/>
  <c r="Q1359" i="1"/>
  <c r="P1359" i="1"/>
  <c r="R1358" i="1"/>
  <c r="S1358" i="1" s="1"/>
  <c r="Q1358" i="1"/>
  <c r="P1358" i="1"/>
  <c r="W1357" i="1"/>
  <c r="X1357" i="1" s="1"/>
  <c r="Y1357" i="1" s="1"/>
  <c r="Z1357" i="1" s="1"/>
  <c r="T1357" i="1"/>
  <c r="S1357" i="1"/>
  <c r="R1357" i="1"/>
  <c r="Q1357" i="1"/>
  <c r="P1357" i="1"/>
  <c r="Y1356" i="1"/>
  <c r="Z1356" i="1" s="1"/>
  <c r="W1356" i="1"/>
  <c r="X1356" i="1" s="1"/>
  <c r="V1356" i="1"/>
  <c r="T1356" i="1"/>
  <c r="S1356" i="1"/>
  <c r="U1356" i="1" s="1"/>
  <c r="R1356" i="1"/>
  <c r="Q1356" i="1"/>
  <c r="P1356" i="1"/>
  <c r="U1355" i="1"/>
  <c r="R1355" i="1"/>
  <c r="S1355" i="1" s="1"/>
  <c r="Q1355" i="1"/>
  <c r="P1355" i="1"/>
  <c r="W1354" i="1"/>
  <c r="X1354" i="1" s="1"/>
  <c r="Y1354" i="1" s="1"/>
  <c r="Z1354" i="1" s="1"/>
  <c r="S1354" i="1"/>
  <c r="T1354" i="1" s="1"/>
  <c r="R1354" i="1"/>
  <c r="Q1354" i="1"/>
  <c r="P1354" i="1"/>
  <c r="V1353" i="1"/>
  <c r="U1353" i="1"/>
  <c r="R1353" i="1"/>
  <c r="S1353" i="1" s="1"/>
  <c r="Q1353" i="1"/>
  <c r="P1353" i="1"/>
  <c r="W1352" i="1"/>
  <c r="X1352" i="1" s="1"/>
  <c r="Y1352" i="1" s="1"/>
  <c r="Z1352" i="1" s="1"/>
  <c r="U1352" i="1"/>
  <c r="T1352" i="1"/>
  <c r="R1352" i="1"/>
  <c r="S1352" i="1" s="1"/>
  <c r="V1352" i="1" s="1"/>
  <c r="Q1352" i="1"/>
  <c r="P1352" i="1"/>
  <c r="V1351" i="1"/>
  <c r="R1351" i="1"/>
  <c r="S1351" i="1" s="1"/>
  <c r="Q1351" i="1"/>
  <c r="P1351" i="1"/>
  <c r="V1350" i="1"/>
  <c r="T1350" i="1"/>
  <c r="R1350" i="1"/>
  <c r="S1350" i="1" s="1"/>
  <c r="Q1350" i="1"/>
  <c r="P1350" i="1"/>
  <c r="R1349" i="1"/>
  <c r="S1349" i="1" s="1"/>
  <c r="Q1349" i="1"/>
  <c r="P1349" i="1"/>
  <c r="V1348" i="1"/>
  <c r="R1348" i="1"/>
  <c r="S1348" i="1" s="1"/>
  <c r="W1348" i="1" s="1"/>
  <c r="X1348" i="1" s="1"/>
  <c r="Y1348" i="1" s="1"/>
  <c r="Z1348" i="1" s="1"/>
  <c r="Q1348" i="1"/>
  <c r="P1348" i="1"/>
  <c r="U1347" i="1"/>
  <c r="R1347" i="1"/>
  <c r="S1347" i="1" s="1"/>
  <c r="Q1347" i="1"/>
  <c r="P1347" i="1"/>
  <c r="R1346" i="1"/>
  <c r="S1346" i="1" s="1"/>
  <c r="Q1346" i="1"/>
  <c r="P1346" i="1"/>
  <c r="V1345" i="1"/>
  <c r="R1345" i="1"/>
  <c r="S1345" i="1" s="1"/>
  <c r="Q1345" i="1"/>
  <c r="P1345" i="1"/>
  <c r="Y1344" i="1"/>
  <c r="Z1344" i="1" s="1"/>
  <c r="X1344" i="1"/>
  <c r="W1344" i="1"/>
  <c r="V1344" i="1"/>
  <c r="U1344" i="1"/>
  <c r="S1344" i="1"/>
  <c r="T1344" i="1" s="1"/>
  <c r="R1344" i="1"/>
  <c r="Q1344" i="1"/>
  <c r="P1344" i="1"/>
  <c r="X1343" i="1"/>
  <c r="Y1343" i="1" s="1"/>
  <c r="Z1343" i="1" s="1"/>
  <c r="W1343" i="1"/>
  <c r="S1343" i="1"/>
  <c r="R1343" i="1"/>
  <c r="Q1343" i="1"/>
  <c r="P1343" i="1"/>
  <c r="U1342" i="1"/>
  <c r="R1342" i="1"/>
  <c r="S1342" i="1" s="1"/>
  <c r="T1342" i="1" s="1"/>
  <c r="Q1342" i="1"/>
  <c r="P1342" i="1"/>
  <c r="R1341" i="1"/>
  <c r="S1341" i="1" s="1"/>
  <c r="Q1341" i="1"/>
  <c r="P1341" i="1"/>
  <c r="Y1340" i="1"/>
  <c r="Z1340" i="1" s="1"/>
  <c r="X1340" i="1"/>
  <c r="W1340" i="1"/>
  <c r="V1340" i="1"/>
  <c r="U1340" i="1"/>
  <c r="S1340" i="1"/>
  <c r="T1340" i="1" s="1"/>
  <c r="R1340" i="1"/>
  <c r="Q1340" i="1"/>
  <c r="P1340" i="1"/>
  <c r="S1339" i="1"/>
  <c r="R1339" i="1"/>
  <c r="Q1339" i="1"/>
  <c r="P1339" i="1"/>
  <c r="R1338" i="1"/>
  <c r="S1338" i="1" s="1"/>
  <c r="Q1338" i="1"/>
  <c r="P1338" i="1"/>
  <c r="S1337" i="1"/>
  <c r="R1337" i="1"/>
  <c r="Q1337" i="1"/>
  <c r="P1337" i="1"/>
  <c r="T1336" i="1"/>
  <c r="S1336" i="1"/>
  <c r="V1336" i="1" s="1"/>
  <c r="R1336" i="1"/>
  <c r="Q1336" i="1"/>
  <c r="P1336" i="1"/>
  <c r="R1335" i="1"/>
  <c r="S1335" i="1" s="1"/>
  <c r="Q1335" i="1"/>
  <c r="P1335" i="1"/>
  <c r="V1334" i="1"/>
  <c r="S1334" i="1"/>
  <c r="R1334" i="1"/>
  <c r="Q1334" i="1"/>
  <c r="P1334" i="1"/>
  <c r="R1333" i="1"/>
  <c r="S1333" i="1" s="1"/>
  <c r="Q1333" i="1"/>
  <c r="P1333" i="1"/>
  <c r="W1332" i="1"/>
  <c r="X1332" i="1" s="1"/>
  <c r="Y1332" i="1" s="1"/>
  <c r="Z1332" i="1" s="1"/>
  <c r="U1332" i="1"/>
  <c r="T1332" i="1"/>
  <c r="R1332" i="1"/>
  <c r="S1332" i="1" s="1"/>
  <c r="V1332" i="1" s="1"/>
  <c r="Q1332" i="1"/>
  <c r="P1332" i="1"/>
  <c r="R1331" i="1"/>
  <c r="S1331" i="1" s="1"/>
  <c r="Q1331" i="1"/>
  <c r="P1331" i="1"/>
  <c r="S1330" i="1"/>
  <c r="R1330" i="1"/>
  <c r="Q1330" i="1"/>
  <c r="P1330" i="1"/>
  <c r="U1329" i="1"/>
  <c r="R1329" i="1"/>
  <c r="S1329" i="1" s="1"/>
  <c r="Q1329" i="1"/>
  <c r="P1329" i="1"/>
  <c r="R1328" i="1"/>
  <c r="S1328" i="1" s="1"/>
  <c r="Q1328" i="1"/>
  <c r="P1328" i="1"/>
  <c r="T1327" i="1"/>
  <c r="S1327" i="1"/>
  <c r="W1327" i="1" s="1"/>
  <c r="X1327" i="1" s="1"/>
  <c r="Y1327" i="1" s="1"/>
  <c r="Z1327" i="1" s="1"/>
  <c r="R1327" i="1"/>
  <c r="Q1327" i="1"/>
  <c r="P1327" i="1"/>
  <c r="X1326" i="1"/>
  <c r="Y1326" i="1" s="1"/>
  <c r="Z1326" i="1" s="1"/>
  <c r="W1326" i="1"/>
  <c r="V1326" i="1"/>
  <c r="U1326" i="1"/>
  <c r="S1326" i="1"/>
  <c r="T1326" i="1" s="1"/>
  <c r="R1326" i="1"/>
  <c r="Q1326" i="1"/>
  <c r="P1326" i="1"/>
  <c r="R1325" i="1"/>
  <c r="S1325" i="1" s="1"/>
  <c r="V1325" i="1" s="1"/>
  <c r="Q1325" i="1"/>
  <c r="P1325" i="1"/>
  <c r="X1324" i="1"/>
  <c r="Y1324" i="1" s="1"/>
  <c r="Z1324" i="1" s="1"/>
  <c r="W1324" i="1"/>
  <c r="V1324" i="1"/>
  <c r="U1324" i="1"/>
  <c r="T1324" i="1"/>
  <c r="S1324" i="1"/>
  <c r="R1324" i="1"/>
  <c r="Q1324" i="1"/>
  <c r="P1324" i="1"/>
  <c r="W1323" i="1"/>
  <c r="X1323" i="1" s="1"/>
  <c r="Y1323" i="1" s="1"/>
  <c r="Z1323" i="1" s="1"/>
  <c r="V1323" i="1"/>
  <c r="S1323" i="1"/>
  <c r="R1323" i="1"/>
  <c r="Q1323" i="1"/>
  <c r="P1323" i="1"/>
  <c r="Y1322" i="1"/>
  <c r="Z1322" i="1" s="1"/>
  <c r="X1322" i="1"/>
  <c r="W1322" i="1"/>
  <c r="V1322" i="1"/>
  <c r="R1322" i="1"/>
  <c r="S1322" i="1" s="1"/>
  <c r="T1322" i="1" s="1"/>
  <c r="Q1322" i="1"/>
  <c r="P1322" i="1"/>
  <c r="U1321" i="1"/>
  <c r="T1321" i="1"/>
  <c r="S1321" i="1"/>
  <c r="R1321" i="1"/>
  <c r="Q1321" i="1"/>
  <c r="P1321" i="1"/>
  <c r="S1320" i="1"/>
  <c r="R1320" i="1"/>
  <c r="Q1320" i="1"/>
  <c r="P1320" i="1"/>
  <c r="T1319" i="1"/>
  <c r="S1319" i="1"/>
  <c r="R1319" i="1"/>
  <c r="Q1319" i="1"/>
  <c r="P1319" i="1"/>
  <c r="U1318" i="1"/>
  <c r="R1318" i="1"/>
  <c r="S1318" i="1" s="1"/>
  <c r="Q1318" i="1"/>
  <c r="P1318" i="1"/>
  <c r="R1317" i="1"/>
  <c r="S1317" i="1" s="1"/>
  <c r="Q1317" i="1"/>
  <c r="P1317" i="1"/>
  <c r="S1316" i="1"/>
  <c r="R1316" i="1"/>
  <c r="Q1316" i="1"/>
  <c r="P1316" i="1"/>
  <c r="R1315" i="1"/>
  <c r="S1315" i="1" s="1"/>
  <c r="Q1315" i="1"/>
  <c r="P1315" i="1"/>
  <c r="R1314" i="1"/>
  <c r="S1314" i="1" s="1"/>
  <c r="Q1314" i="1"/>
  <c r="P1314" i="1"/>
  <c r="Y1313" i="1"/>
  <c r="Z1313" i="1" s="1"/>
  <c r="W1313" i="1"/>
  <c r="X1313" i="1" s="1"/>
  <c r="V1313" i="1"/>
  <c r="T1313" i="1"/>
  <c r="S1313" i="1"/>
  <c r="U1313" i="1" s="1"/>
  <c r="R1313" i="1"/>
  <c r="Q1313" i="1"/>
  <c r="P1313" i="1"/>
  <c r="V1312" i="1"/>
  <c r="U1312" i="1"/>
  <c r="R1312" i="1"/>
  <c r="S1312" i="1" s="1"/>
  <c r="W1312" i="1" s="1"/>
  <c r="X1312" i="1" s="1"/>
  <c r="Y1312" i="1" s="1"/>
  <c r="Z1312" i="1" s="1"/>
  <c r="Q1312" i="1"/>
  <c r="P1312" i="1"/>
  <c r="W1311" i="1"/>
  <c r="X1311" i="1" s="1"/>
  <c r="Y1311" i="1" s="1"/>
  <c r="Z1311" i="1" s="1"/>
  <c r="V1311" i="1"/>
  <c r="R1311" i="1"/>
  <c r="S1311" i="1" s="1"/>
  <c r="T1311" i="1" s="1"/>
  <c r="Q1311" i="1"/>
  <c r="P1311" i="1"/>
  <c r="S1310" i="1"/>
  <c r="R1310" i="1"/>
  <c r="Q1310" i="1"/>
  <c r="P1310" i="1"/>
  <c r="S1309" i="1"/>
  <c r="R1309" i="1"/>
  <c r="Q1309" i="1"/>
  <c r="P1309" i="1"/>
  <c r="S1308" i="1"/>
  <c r="R1308" i="1"/>
  <c r="Q1308" i="1"/>
  <c r="P1308" i="1"/>
  <c r="V1307" i="1"/>
  <c r="R1307" i="1"/>
  <c r="S1307" i="1" s="1"/>
  <c r="Q1307" i="1"/>
  <c r="P1307" i="1"/>
  <c r="R1306" i="1"/>
  <c r="S1306" i="1" s="1"/>
  <c r="Q1306" i="1"/>
  <c r="P1306" i="1"/>
  <c r="T1305" i="1"/>
  <c r="S1305" i="1"/>
  <c r="R1305" i="1"/>
  <c r="Q1305" i="1"/>
  <c r="P1305" i="1"/>
  <c r="T1304" i="1"/>
  <c r="S1304" i="1"/>
  <c r="R1304" i="1"/>
  <c r="Q1304" i="1"/>
  <c r="P1304" i="1"/>
  <c r="S1303" i="1"/>
  <c r="R1303" i="1"/>
  <c r="Q1303" i="1"/>
  <c r="P1303" i="1"/>
  <c r="Z1302" i="1"/>
  <c r="X1302" i="1"/>
  <c r="Y1302" i="1" s="1"/>
  <c r="W1302" i="1"/>
  <c r="V1302" i="1"/>
  <c r="U1302" i="1"/>
  <c r="T1302" i="1"/>
  <c r="S1302" i="1"/>
  <c r="R1302" i="1"/>
  <c r="Q1302" i="1"/>
  <c r="P1302" i="1"/>
  <c r="R1301" i="1"/>
  <c r="S1301" i="1" s="1"/>
  <c r="Q1301" i="1"/>
  <c r="P1301" i="1"/>
  <c r="S1300" i="1"/>
  <c r="R1300" i="1"/>
  <c r="Q1300" i="1"/>
  <c r="P1300" i="1"/>
  <c r="W1299" i="1"/>
  <c r="X1299" i="1" s="1"/>
  <c r="Y1299" i="1" s="1"/>
  <c r="Z1299" i="1" s="1"/>
  <c r="V1299" i="1"/>
  <c r="U1299" i="1"/>
  <c r="T1299" i="1"/>
  <c r="S1299" i="1"/>
  <c r="R1299" i="1"/>
  <c r="Q1299" i="1"/>
  <c r="P1299" i="1"/>
  <c r="R1298" i="1"/>
  <c r="S1298" i="1" s="1"/>
  <c r="Q1298" i="1"/>
  <c r="P1298" i="1"/>
  <c r="R1297" i="1"/>
  <c r="S1297" i="1" s="1"/>
  <c r="Q1297" i="1"/>
  <c r="P1297" i="1"/>
  <c r="W1296" i="1"/>
  <c r="X1296" i="1" s="1"/>
  <c r="Y1296" i="1" s="1"/>
  <c r="Z1296" i="1" s="1"/>
  <c r="S1296" i="1"/>
  <c r="R1296" i="1"/>
  <c r="Q1296" i="1"/>
  <c r="P1296" i="1"/>
  <c r="S1295" i="1"/>
  <c r="R1295" i="1"/>
  <c r="Q1295" i="1"/>
  <c r="P1295" i="1"/>
  <c r="R1294" i="1"/>
  <c r="S1294" i="1" s="1"/>
  <c r="Q1294" i="1"/>
  <c r="P1294" i="1"/>
  <c r="T1293" i="1"/>
  <c r="S1293" i="1"/>
  <c r="W1293" i="1" s="1"/>
  <c r="X1293" i="1" s="1"/>
  <c r="Y1293" i="1" s="1"/>
  <c r="Z1293" i="1" s="1"/>
  <c r="R1293" i="1"/>
  <c r="Q1293" i="1"/>
  <c r="P1293" i="1"/>
  <c r="Z1292" i="1"/>
  <c r="W1292" i="1"/>
  <c r="X1292" i="1" s="1"/>
  <c r="Y1292" i="1" s="1"/>
  <c r="R1292" i="1"/>
  <c r="S1292" i="1" s="1"/>
  <c r="Q1292" i="1"/>
  <c r="P1292" i="1"/>
  <c r="U1291" i="1"/>
  <c r="R1291" i="1"/>
  <c r="S1291" i="1" s="1"/>
  <c r="Q1291" i="1"/>
  <c r="P1291" i="1"/>
  <c r="V1290" i="1"/>
  <c r="S1290" i="1"/>
  <c r="R1290" i="1"/>
  <c r="Q1290" i="1"/>
  <c r="P1290" i="1"/>
  <c r="W1289" i="1"/>
  <c r="X1289" i="1" s="1"/>
  <c r="Y1289" i="1" s="1"/>
  <c r="Z1289" i="1" s="1"/>
  <c r="S1289" i="1"/>
  <c r="R1289" i="1"/>
  <c r="Q1289" i="1"/>
  <c r="P1289" i="1"/>
  <c r="S1288" i="1"/>
  <c r="R1288" i="1"/>
  <c r="Q1288" i="1"/>
  <c r="P1288" i="1"/>
  <c r="V1287" i="1"/>
  <c r="U1287" i="1"/>
  <c r="R1287" i="1"/>
  <c r="S1287" i="1" s="1"/>
  <c r="Q1287" i="1"/>
  <c r="P1287" i="1"/>
  <c r="X1286" i="1"/>
  <c r="Y1286" i="1" s="1"/>
  <c r="Z1286" i="1" s="1"/>
  <c r="W1286" i="1"/>
  <c r="V1286" i="1"/>
  <c r="T1286" i="1"/>
  <c r="R1286" i="1"/>
  <c r="S1286" i="1" s="1"/>
  <c r="U1286" i="1" s="1"/>
  <c r="Q1286" i="1"/>
  <c r="P1286" i="1"/>
  <c r="R1285" i="1"/>
  <c r="S1285" i="1" s="1"/>
  <c r="Q1285" i="1"/>
  <c r="P1285" i="1"/>
  <c r="R1284" i="1"/>
  <c r="S1284" i="1" s="1"/>
  <c r="Q1284" i="1"/>
  <c r="P1284" i="1"/>
  <c r="S1283" i="1"/>
  <c r="R1283" i="1"/>
  <c r="Q1283" i="1"/>
  <c r="P1283" i="1"/>
  <c r="W1282" i="1"/>
  <c r="X1282" i="1" s="1"/>
  <c r="Y1282" i="1" s="1"/>
  <c r="Z1282" i="1" s="1"/>
  <c r="V1282" i="1"/>
  <c r="U1282" i="1"/>
  <c r="T1282" i="1"/>
  <c r="S1282" i="1"/>
  <c r="R1282" i="1"/>
  <c r="Q1282" i="1"/>
  <c r="P1282" i="1"/>
  <c r="S1281" i="1"/>
  <c r="R1281" i="1"/>
  <c r="Q1281" i="1"/>
  <c r="P1281" i="1"/>
  <c r="S1280" i="1"/>
  <c r="R1280" i="1"/>
  <c r="Q1280" i="1"/>
  <c r="P1280" i="1"/>
  <c r="R1279" i="1"/>
  <c r="S1279" i="1" s="1"/>
  <c r="Q1279" i="1"/>
  <c r="P1279" i="1"/>
  <c r="U1278" i="1"/>
  <c r="T1278" i="1"/>
  <c r="R1278" i="1"/>
  <c r="S1278" i="1" s="1"/>
  <c r="Q1278" i="1"/>
  <c r="P1278" i="1"/>
  <c r="R1277" i="1"/>
  <c r="S1277" i="1" s="1"/>
  <c r="Q1277" i="1"/>
  <c r="P1277" i="1"/>
  <c r="R1276" i="1"/>
  <c r="S1276" i="1" s="1"/>
  <c r="Q1276" i="1"/>
  <c r="P1276" i="1"/>
  <c r="X1275" i="1"/>
  <c r="Y1275" i="1" s="1"/>
  <c r="Z1275" i="1" s="1"/>
  <c r="W1275" i="1"/>
  <c r="V1275" i="1"/>
  <c r="U1275" i="1"/>
  <c r="S1275" i="1"/>
  <c r="T1275" i="1" s="1"/>
  <c r="R1275" i="1"/>
  <c r="Q1275" i="1"/>
  <c r="P1275" i="1"/>
  <c r="R1274" i="1"/>
  <c r="S1274" i="1" s="1"/>
  <c r="Q1274" i="1"/>
  <c r="P1274" i="1"/>
  <c r="Y1273" i="1"/>
  <c r="Z1273" i="1" s="1"/>
  <c r="W1273" i="1"/>
  <c r="X1273" i="1" s="1"/>
  <c r="V1273" i="1"/>
  <c r="U1273" i="1"/>
  <c r="T1273" i="1"/>
  <c r="S1273" i="1"/>
  <c r="R1273" i="1"/>
  <c r="Q1273" i="1"/>
  <c r="P1273" i="1"/>
  <c r="S1272" i="1"/>
  <c r="U1272" i="1" s="1"/>
  <c r="R1272" i="1"/>
  <c r="Q1272" i="1"/>
  <c r="P1272" i="1"/>
  <c r="R1271" i="1"/>
  <c r="S1271" i="1" s="1"/>
  <c r="Q1271" i="1"/>
  <c r="P1271" i="1"/>
  <c r="W1270" i="1"/>
  <c r="X1270" i="1" s="1"/>
  <c r="Y1270" i="1" s="1"/>
  <c r="Z1270" i="1" s="1"/>
  <c r="V1270" i="1"/>
  <c r="U1270" i="1"/>
  <c r="R1270" i="1"/>
  <c r="S1270" i="1" s="1"/>
  <c r="T1270" i="1" s="1"/>
  <c r="Q1270" i="1"/>
  <c r="P1270" i="1"/>
  <c r="X1269" i="1"/>
  <c r="Y1269" i="1" s="1"/>
  <c r="Z1269" i="1" s="1"/>
  <c r="W1269" i="1"/>
  <c r="T1269" i="1"/>
  <c r="S1269" i="1"/>
  <c r="R1269" i="1"/>
  <c r="Q1269" i="1"/>
  <c r="P1269" i="1"/>
  <c r="R1268" i="1"/>
  <c r="S1268" i="1" s="1"/>
  <c r="Q1268" i="1"/>
  <c r="P1268" i="1"/>
  <c r="V1267" i="1"/>
  <c r="U1267" i="1"/>
  <c r="R1267" i="1"/>
  <c r="S1267" i="1" s="1"/>
  <c r="Q1267" i="1"/>
  <c r="P1267" i="1"/>
  <c r="U1266" i="1"/>
  <c r="T1266" i="1"/>
  <c r="S1266" i="1"/>
  <c r="R1266" i="1"/>
  <c r="Q1266" i="1"/>
  <c r="P1266" i="1"/>
  <c r="S1265" i="1"/>
  <c r="R1265" i="1"/>
  <c r="Q1265" i="1"/>
  <c r="P1265" i="1"/>
  <c r="S1264" i="1"/>
  <c r="R1264" i="1"/>
  <c r="Q1264" i="1"/>
  <c r="P1264" i="1"/>
  <c r="V1263" i="1"/>
  <c r="S1263" i="1"/>
  <c r="R1263" i="1"/>
  <c r="Q1263" i="1"/>
  <c r="P1263" i="1"/>
  <c r="X1262" i="1"/>
  <c r="Y1262" i="1" s="1"/>
  <c r="Z1262" i="1" s="1"/>
  <c r="W1262" i="1"/>
  <c r="V1262" i="1"/>
  <c r="U1262" i="1"/>
  <c r="T1262" i="1"/>
  <c r="S1262" i="1"/>
  <c r="R1262" i="1"/>
  <c r="Q1262" i="1"/>
  <c r="P1262" i="1"/>
  <c r="V1261" i="1"/>
  <c r="T1261" i="1"/>
  <c r="S1261" i="1"/>
  <c r="W1261" i="1" s="1"/>
  <c r="X1261" i="1" s="1"/>
  <c r="Y1261" i="1" s="1"/>
  <c r="Z1261" i="1" s="1"/>
  <c r="R1261" i="1"/>
  <c r="Q1261" i="1"/>
  <c r="P1261" i="1"/>
  <c r="R1260" i="1"/>
  <c r="S1260" i="1" s="1"/>
  <c r="Q1260" i="1"/>
  <c r="P1260" i="1"/>
  <c r="W1259" i="1"/>
  <c r="X1259" i="1" s="1"/>
  <c r="Y1259" i="1" s="1"/>
  <c r="Z1259" i="1" s="1"/>
  <c r="V1259" i="1"/>
  <c r="U1259" i="1"/>
  <c r="T1259" i="1"/>
  <c r="S1259" i="1"/>
  <c r="R1259" i="1"/>
  <c r="Q1259" i="1"/>
  <c r="P1259" i="1"/>
  <c r="T1258" i="1"/>
  <c r="R1258" i="1"/>
  <c r="S1258" i="1" s="1"/>
  <c r="Q1258" i="1"/>
  <c r="P1258" i="1"/>
  <c r="U1257" i="1"/>
  <c r="R1257" i="1"/>
  <c r="S1257" i="1" s="1"/>
  <c r="Q1257" i="1"/>
  <c r="P1257" i="1"/>
  <c r="V1256" i="1"/>
  <c r="S1256" i="1"/>
  <c r="R1256" i="1"/>
  <c r="Q1256" i="1"/>
  <c r="P1256" i="1"/>
  <c r="U1255" i="1"/>
  <c r="T1255" i="1"/>
  <c r="R1255" i="1"/>
  <c r="S1255" i="1" s="1"/>
  <c r="Q1255" i="1"/>
  <c r="P1255" i="1"/>
  <c r="R1254" i="1"/>
  <c r="S1254" i="1" s="1"/>
  <c r="Q1254" i="1"/>
  <c r="P1254" i="1"/>
  <c r="S1253" i="1"/>
  <c r="R1253" i="1"/>
  <c r="Q1253" i="1"/>
  <c r="P1253" i="1"/>
  <c r="R1252" i="1"/>
  <c r="S1252" i="1" s="1"/>
  <c r="Q1252" i="1"/>
  <c r="P1252" i="1"/>
  <c r="W1251" i="1"/>
  <c r="X1251" i="1" s="1"/>
  <c r="Y1251" i="1" s="1"/>
  <c r="Z1251" i="1" s="1"/>
  <c r="V1251" i="1"/>
  <c r="R1251" i="1"/>
  <c r="S1251" i="1" s="1"/>
  <c r="Q1251" i="1"/>
  <c r="P1251" i="1"/>
  <c r="W1250" i="1"/>
  <c r="X1250" i="1" s="1"/>
  <c r="Y1250" i="1" s="1"/>
  <c r="Z1250" i="1" s="1"/>
  <c r="T1250" i="1"/>
  <c r="R1250" i="1"/>
  <c r="S1250" i="1" s="1"/>
  <c r="Q1250" i="1"/>
  <c r="P1250" i="1"/>
  <c r="S1249" i="1"/>
  <c r="R1249" i="1"/>
  <c r="Q1249" i="1"/>
  <c r="P1249" i="1"/>
  <c r="R1248" i="1"/>
  <c r="S1248" i="1" s="1"/>
  <c r="Q1248" i="1"/>
  <c r="P1248" i="1"/>
  <c r="U1247" i="1"/>
  <c r="R1247" i="1"/>
  <c r="S1247" i="1" s="1"/>
  <c r="Q1247" i="1"/>
  <c r="P1247" i="1"/>
  <c r="Z1246" i="1"/>
  <c r="W1246" i="1"/>
  <c r="X1246" i="1" s="1"/>
  <c r="Y1246" i="1" s="1"/>
  <c r="V1246" i="1"/>
  <c r="T1246" i="1"/>
  <c r="S1246" i="1"/>
  <c r="U1246" i="1" s="1"/>
  <c r="R1246" i="1"/>
  <c r="Q1246" i="1"/>
  <c r="P1246" i="1"/>
  <c r="R1245" i="1"/>
  <c r="S1245" i="1" s="1"/>
  <c r="Q1245" i="1"/>
  <c r="P1245" i="1"/>
  <c r="R1244" i="1"/>
  <c r="S1244" i="1" s="1"/>
  <c r="Q1244" i="1"/>
  <c r="P1244" i="1"/>
  <c r="V1243" i="1"/>
  <c r="R1243" i="1"/>
  <c r="S1243" i="1" s="1"/>
  <c r="Q1243" i="1"/>
  <c r="P1243" i="1"/>
  <c r="V1242" i="1"/>
  <c r="R1242" i="1"/>
  <c r="S1242" i="1" s="1"/>
  <c r="Q1242" i="1"/>
  <c r="P1242" i="1"/>
  <c r="X1241" i="1"/>
  <c r="Y1241" i="1" s="1"/>
  <c r="Z1241" i="1" s="1"/>
  <c r="W1241" i="1"/>
  <c r="V1241" i="1"/>
  <c r="U1241" i="1"/>
  <c r="S1241" i="1"/>
  <c r="T1241" i="1" s="1"/>
  <c r="R1241" i="1"/>
  <c r="Q1241" i="1"/>
  <c r="P1241" i="1"/>
  <c r="S1240" i="1"/>
  <c r="R1240" i="1"/>
  <c r="Q1240" i="1"/>
  <c r="P1240" i="1"/>
  <c r="X1239" i="1"/>
  <c r="Y1239" i="1" s="1"/>
  <c r="Z1239" i="1" s="1"/>
  <c r="W1239" i="1"/>
  <c r="V1239" i="1"/>
  <c r="U1239" i="1"/>
  <c r="S1239" i="1"/>
  <c r="T1239" i="1" s="1"/>
  <c r="R1239" i="1"/>
  <c r="Q1239" i="1"/>
  <c r="P1239" i="1"/>
  <c r="U1238" i="1"/>
  <c r="T1238" i="1"/>
  <c r="R1238" i="1"/>
  <c r="S1238" i="1" s="1"/>
  <c r="Q1238" i="1"/>
  <c r="P1238" i="1"/>
  <c r="R1237" i="1"/>
  <c r="S1237" i="1" s="1"/>
  <c r="Q1237" i="1"/>
  <c r="P1237" i="1"/>
  <c r="W1236" i="1"/>
  <c r="X1236" i="1" s="1"/>
  <c r="Y1236" i="1" s="1"/>
  <c r="Z1236" i="1" s="1"/>
  <c r="V1236" i="1"/>
  <c r="R1236" i="1"/>
  <c r="S1236" i="1" s="1"/>
  <c r="Q1236" i="1"/>
  <c r="P1236" i="1"/>
  <c r="S1235" i="1"/>
  <c r="R1235" i="1"/>
  <c r="Q1235" i="1"/>
  <c r="P1235" i="1"/>
  <c r="T1234" i="1"/>
  <c r="S1234" i="1"/>
  <c r="R1234" i="1"/>
  <c r="Q1234" i="1"/>
  <c r="P1234" i="1"/>
  <c r="Y1233" i="1"/>
  <c r="Z1233" i="1" s="1"/>
  <c r="W1233" i="1"/>
  <c r="X1233" i="1" s="1"/>
  <c r="V1233" i="1"/>
  <c r="U1233" i="1"/>
  <c r="T1233" i="1"/>
  <c r="S1233" i="1"/>
  <c r="R1233" i="1"/>
  <c r="Q1233" i="1"/>
  <c r="P1233" i="1"/>
  <c r="S1232" i="1"/>
  <c r="R1232" i="1"/>
  <c r="Q1232" i="1"/>
  <c r="P1232" i="1"/>
  <c r="W1231" i="1"/>
  <c r="X1231" i="1" s="1"/>
  <c r="Y1231" i="1" s="1"/>
  <c r="Z1231" i="1" s="1"/>
  <c r="V1231" i="1"/>
  <c r="R1231" i="1"/>
  <c r="S1231" i="1" s="1"/>
  <c r="T1231" i="1" s="1"/>
  <c r="Q1231" i="1"/>
  <c r="P1231" i="1"/>
  <c r="S1230" i="1"/>
  <c r="R1230" i="1"/>
  <c r="Q1230" i="1"/>
  <c r="P1230" i="1"/>
  <c r="W1229" i="1"/>
  <c r="X1229" i="1" s="1"/>
  <c r="Y1229" i="1" s="1"/>
  <c r="Z1229" i="1" s="1"/>
  <c r="S1229" i="1"/>
  <c r="R1229" i="1"/>
  <c r="Q1229" i="1"/>
  <c r="P1229" i="1"/>
  <c r="T1228" i="1"/>
  <c r="S1228" i="1"/>
  <c r="R1228" i="1"/>
  <c r="Q1228" i="1"/>
  <c r="P1228" i="1"/>
  <c r="V1227" i="1"/>
  <c r="U1227" i="1"/>
  <c r="R1227" i="1"/>
  <c r="S1227" i="1" s="1"/>
  <c r="Q1227" i="1"/>
  <c r="P1227" i="1"/>
  <c r="R1226" i="1"/>
  <c r="S1226" i="1" s="1"/>
  <c r="Q1226" i="1"/>
  <c r="P1226" i="1"/>
  <c r="W1225" i="1"/>
  <c r="X1225" i="1" s="1"/>
  <c r="Y1225" i="1" s="1"/>
  <c r="Z1225" i="1" s="1"/>
  <c r="S1225" i="1"/>
  <c r="R1225" i="1"/>
  <c r="Q1225" i="1"/>
  <c r="P1225" i="1"/>
  <c r="Y1224" i="1"/>
  <c r="Z1224" i="1" s="1"/>
  <c r="X1224" i="1"/>
  <c r="W1224" i="1"/>
  <c r="V1224" i="1"/>
  <c r="U1224" i="1"/>
  <c r="S1224" i="1"/>
  <c r="T1224" i="1" s="1"/>
  <c r="R1224" i="1"/>
  <c r="Q1224" i="1"/>
  <c r="P1224" i="1"/>
  <c r="U1223" i="1"/>
  <c r="T1223" i="1"/>
  <c r="S1223" i="1"/>
  <c r="R1223" i="1"/>
  <c r="Q1223" i="1"/>
  <c r="P1223" i="1"/>
  <c r="X1222" i="1"/>
  <c r="Y1222" i="1" s="1"/>
  <c r="Z1222" i="1" s="1"/>
  <c r="W1222" i="1"/>
  <c r="V1222" i="1"/>
  <c r="U1222" i="1"/>
  <c r="R1222" i="1"/>
  <c r="S1222" i="1" s="1"/>
  <c r="T1222" i="1" s="1"/>
  <c r="Q1222" i="1"/>
  <c r="P1222" i="1"/>
  <c r="W1221" i="1"/>
  <c r="X1221" i="1" s="1"/>
  <c r="Y1221" i="1" s="1"/>
  <c r="Z1221" i="1" s="1"/>
  <c r="V1221" i="1"/>
  <c r="T1221" i="1"/>
  <c r="R1221" i="1"/>
  <c r="S1221" i="1" s="1"/>
  <c r="U1221" i="1" s="1"/>
  <c r="Q1221" i="1"/>
  <c r="P1221" i="1"/>
  <c r="R1220" i="1"/>
  <c r="S1220" i="1" s="1"/>
  <c r="Q1220" i="1"/>
  <c r="P1220" i="1"/>
  <c r="R1219" i="1"/>
  <c r="S1219" i="1" s="1"/>
  <c r="Q1219" i="1"/>
  <c r="P1219" i="1"/>
  <c r="U1218" i="1"/>
  <c r="R1218" i="1"/>
  <c r="S1218" i="1" s="1"/>
  <c r="Q1218" i="1"/>
  <c r="P1218" i="1"/>
  <c r="S1217" i="1"/>
  <c r="T1217" i="1" s="1"/>
  <c r="R1217" i="1"/>
  <c r="Q1217" i="1"/>
  <c r="P1217" i="1"/>
  <c r="R1216" i="1"/>
  <c r="S1216" i="1" s="1"/>
  <c r="Q1216" i="1"/>
  <c r="P1216" i="1"/>
  <c r="U1215" i="1"/>
  <c r="T1215" i="1"/>
  <c r="S1215" i="1"/>
  <c r="R1215" i="1"/>
  <c r="Q1215" i="1"/>
  <c r="P1215" i="1"/>
  <c r="S1214" i="1"/>
  <c r="R1214" i="1"/>
  <c r="Q1214" i="1"/>
  <c r="P1214" i="1"/>
  <c r="S1213" i="1"/>
  <c r="R1213" i="1"/>
  <c r="Q1213" i="1"/>
  <c r="P1213" i="1"/>
  <c r="R1212" i="1"/>
  <c r="S1212" i="1" s="1"/>
  <c r="Q1212" i="1"/>
  <c r="P1212" i="1"/>
  <c r="R1211" i="1"/>
  <c r="S1211" i="1" s="1"/>
  <c r="Q1211" i="1"/>
  <c r="P1211" i="1"/>
  <c r="W1210" i="1"/>
  <c r="X1210" i="1" s="1"/>
  <c r="Y1210" i="1" s="1"/>
  <c r="Z1210" i="1" s="1"/>
  <c r="V1210" i="1"/>
  <c r="S1210" i="1"/>
  <c r="T1210" i="1" s="1"/>
  <c r="R1210" i="1"/>
  <c r="Q1210" i="1"/>
  <c r="P1210" i="1"/>
  <c r="T1209" i="1"/>
  <c r="S1209" i="1"/>
  <c r="R1209" i="1"/>
  <c r="Q1209" i="1"/>
  <c r="P1209" i="1"/>
  <c r="T1208" i="1"/>
  <c r="S1208" i="1"/>
  <c r="R1208" i="1"/>
  <c r="Q1208" i="1"/>
  <c r="P1208" i="1"/>
  <c r="V1207" i="1"/>
  <c r="R1207" i="1"/>
  <c r="S1207" i="1" s="1"/>
  <c r="Q1207" i="1"/>
  <c r="P1207" i="1"/>
  <c r="R1206" i="1"/>
  <c r="S1206" i="1" s="1"/>
  <c r="Q1206" i="1"/>
  <c r="P1206" i="1"/>
  <c r="R1205" i="1"/>
  <c r="S1205" i="1" s="1"/>
  <c r="Q1205" i="1"/>
  <c r="P1205" i="1"/>
  <c r="R1204" i="1"/>
  <c r="S1204" i="1" s="1"/>
  <c r="Q1204" i="1"/>
  <c r="P1204" i="1"/>
  <c r="S1203" i="1"/>
  <c r="R1203" i="1"/>
  <c r="Q1203" i="1"/>
  <c r="P1203" i="1"/>
  <c r="X1202" i="1"/>
  <c r="Y1202" i="1" s="1"/>
  <c r="Z1202" i="1" s="1"/>
  <c r="W1202" i="1"/>
  <c r="V1202" i="1"/>
  <c r="U1202" i="1"/>
  <c r="T1202" i="1"/>
  <c r="S1202" i="1"/>
  <c r="R1202" i="1"/>
  <c r="Q1202" i="1"/>
  <c r="P1202" i="1"/>
  <c r="W1201" i="1"/>
  <c r="X1201" i="1" s="1"/>
  <c r="Y1201" i="1" s="1"/>
  <c r="Z1201" i="1" s="1"/>
  <c r="U1201" i="1"/>
  <c r="S1201" i="1"/>
  <c r="T1201" i="1" s="1"/>
  <c r="R1201" i="1"/>
  <c r="Q1201" i="1"/>
  <c r="P1201" i="1"/>
  <c r="W1200" i="1"/>
  <c r="X1200" i="1" s="1"/>
  <c r="Y1200" i="1" s="1"/>
  <c r="Z1200" i="1" s="1"/>
  <c r="V1200" i="1"/>
  <c r="R1200" i="1"/>
  <c r="S1200" i="1" s="1"/>
  <c r="Q1200" i="1"/>
  <c r="P1200" i="1"/>
  <c r="R1199" i="1"/>
  <c r="S1199" i="1" s="1"/>
  <c r="Q1199" i="1"/>
  <c r="P1199" i="1"/>
  <c r="U1198" i="1"/>
  <c r="T1198" i="1"/>
  <c r="R1198" i="1"/>
  <c r="S1198" i="1" s="1"/>
  <c r="Q1198" i="1"/>
  <c r="P1198" i="1"/>
  <c r="Y1197" i="1"/>
  <c r="Z1197" i="1" s="1"/>
  <c r="X1197" i="1"/>
  <c r="W1197" i="1"/>
  <c r="V1197" i="1"/>
  <c r="T1197" i="1"/>
  <c r="R1197" i="1"/>
  <c r="S1197" i="1" s="1"/>
  <c r="U1197" i="1" s="1"/>
  <c r="Q1197" i="1"/>
  <c r="P1197" i="1"/>
  <c r="S1196" i="1"/>
  <c r="R1196" i="1"/>
  <c r="Q1196" i="1"/>
  <c r="P1196" i="1"/>
  <c r="S1195" i="1"/>
  <c r="W1195" i="1" s="1"/>
  <c r="X1195" i="1" s="1"/>
  <c r="Y1195" i="1" s="1"/>
  <c r="Z1195" i="1" s="1"/>
  <c r="R1195" i="1"/>
  <c r="Q1195" i="1"/>
  <c r="P1195" i="1"/>
  <c r="T1194" i="1"/>
  <c r="S1194" i="1"/>
  <c r="R1194" i="1"/>
  <c r="Q1194" i="1"/>
  <c r="P1194" i="1"/>
  <c r="S1193" i="1"/>
  <c r="R1193" i="1"/>
  <c r="Q1193" i="1"/>
  <c r="P1193" i="1"/>
  <c r="V1192" i="1"/>
  <c r="U1192" i="1"/>
  <c r="T1192" i="1"/>
  <c r="R1192" i="1"/>
  <c r="S1192" i="1" s="1"/>
  <c r="W1192" i="1" s="1"/>
  <c r="X1192" i="1" s="1"/>
  <c r="Y1192" i="1" s="1"/>
  <c r="Z1192" i="1" s="1"/>
  <c r="Q1192" i="1"/>
  <c r="P1192" i="1"/>
  <c r="R1191" i="1"/>
  <c r="S1191" i="1" s="1"/>
  <c r="Q1191" i="1"/>
  <c r="P1191" i="1"/>
  <c r="W1190" i="1"/>
  <c r="X1190" i="1" s="1"/>
  <c r="Y1190" i="1" s="1"/>
  <c r="Z1190" i="1" s="1"/>
  <c r="S1190" i="1"/>
  <c r="U1190" i="1" s="1"/>
  <c r="R1190" i="1"/>
  <c r="Q1190" i="1"/>
  <c r="P1190" i="1"/>
  <c r="V1189" i="1"/>
  <c r="R1189" i="1"/>
  <c r="S1189" i="1" s="1"/>
  <c r="Q1189" i="1"/>
  <c r="P1189" i="1"/>
  <c r="U1188" i="1"/>
  <c r="R1188" i="1"/>
  <c r="S1188" i="1" s="1"/>
  <c r="Q1188" i="1"/>
  <c r="P1188" i="1"/>
  <c r="V1187" i="1"/>
  <c r="R1187" i="1"/>
  <c r="S1187" i="1" s="1"/>
  <c r="Q1187" i="1"/>
  <c r="P1187" i="1"/>
  <c r="R1186" i="1"/>
  <c r="S1186" i="1" s="1"/>
  <c r="Q1186" i="1"/>
  <c r="P1186" i="1"/>
  <c r="S1185" i="1"/>
  <c r="R1185" i="1"/>
  <c r="Q1185" i="1"/>
  <c r="P1185" i="1"/>
  <c r="R1184" i="1"/>
  <c r="S1184" i="1" s="1"/>
  <c r="Q1184" i="1"/>
  <c r="P1184" i="1"/>
  <c r="U1183" i="1"/>
  <c r="S1183" i="1"/>
  <c r="R1183" i="1"/>
  <c r="Q1183" i="1"/>
  <c r="P1183" i="1"/>
  <c r="R1182" i="1"/>
  <c r="S1182" i="1" s="1"/>
  <c r="Q1182" i="1"/>
  <c r="P1182" i="1"/>
  <c r="S1181" i="1"/>
  <c r="T1181" i="1" s="1"/>
  <c r="R1181" i="1"/>
  <c r="Q1181" i="1"/>
  <c r="P1181" i="1"/>
  <c r="T1180" i="1"/>
  <c r="S1180" i="1"/>
  <c r="R1180" i="1"/>
  <c r="Q1180" i="1"/>
  <c r="P1180" i="1"/>
  <c r="W1179" i="1"/>
  <c r="X1179" i="1" s="1"/>
  <c r="Y1179" i="1" s="1"/>
  <c r="Z1179" i="1" s="1"/>
  <c r="U1179" i="1"/>
  <c r="T1179" i="1"/>
  <c r="S1179" i="1"/>
  <c r="V1179" i="1" s="1"/>
  <c r="R1179" i="1"/>
  <c r="Q1179" i="1"/>
  <c r="P1179" i="1"/>
  <c r="W1178" i="1"/>
  <c r="X1178" i="1" s="1"/>
  <c r="Y1178" i="1" s="1"/>
  <c r="Z1178" i="1" s="1"/>
  <c r="V1178" i="1"/>
  <c r="U1178" i="1"/>
  <c r="S1178" i="1"/>
  <c r="T1178" i="1" s="1"/>
  <c r="R1178" i="1"/>
  <c r="Q1178" i="1"/>
  <c r="P1178" i="1"/>
  <c r="V1177" i="1"/>
  <c r="U1177" i="1"/>
  <c r="T1177" i="1"/>
  <c r="S1177" i="1"/>
  <c r="W1177" i="1" s="1"/>
  <c r="X1177" i="1" s="1"/>
  <c r="Y1177" i="1" s="1"/>
  <c r="Z1177" i="1" s="1"/>
  <c r="R1177" i="1"/>
  <c r="Q1177" i="1"/>
  <c r="P1177" i="1"/>
  <c r="W1176" i="1"/>
  <c r="X1176" i="1" s="1"/>
  <c r="Y1176" i="1" s="1"/>
  <c r="Z1176" i="1" s="1"/>
  <c r="R1176" i="1"/>
  <c r="S1176" i="1" s="1"/>
  <c r="Q1176" i="1"/>
  <c r="P1176" i="1"/>
  <c r="T1175" i="1"/>
  <c r="S1175" i="1"/>
  <c r="R1175" i="1"/>
  <c r="Q1175" i="1"/>
  <c r="P1175" i="1"/>
  <c r="T1174" i="1"/>
  <c r="S1174" i="1"/>
  <c r="R1174" i="1"/>
  <c r="Q1174" i="1"/>
  <c r="P1174" i="1"/>
  <c r="R1173" i="1"/>
  <c r="S1173" i="1" s="1"/>
  <c r="Q1173" i="1"/>
  <c r="P1173" i="1"/>
  <c r="V1172" i="1"/>
  <c r="U1172" i="1"/>
  <c r="R1172" i="1"/>
  <c r="S1172" i="1" s="1"/>
  <c r="W1172" i="1" s="1"/>
  <c r="X1172" i="1" s="1"/>
  <c r="Y1172" i="1" s="1"/>
  <c r="Z1172" i="1" s="1"/>
  <c r="Q1172" i="1"/>
  <c r="P1172" i="1"/>
  <c r="X1171" i="1"/>
  <c r="Y1171" i="1" s="1"/>
  <c r="Z1171" i="1" s="1"/>
  <c r="V1171" i="1"/>
  <c r="U1171" i="1"/>
  <c r="T1171" i="1"/>
  <c r="S1171" i="1"/>
  <c r="W1171" i="1" s="1"/>
  <c r="R1171" i="1"/>
  <c r="Q1171" i="1"/>
  <c r="P1171" i="1"/>
  <c r="W1170" i="1"/>
  <c r="X1170" i="1" s="1"/>
  <c r="Y1170" i="1" s="1"/>
  <c r="Z1170" i="1" s="1"/>
  <c r="V1170" i="1"/>
  <c r="S1170" i="1"/>
  <c r="U1170" i="1" s="1"/>
  <c r="R1170" i="1"/>
  <c r="Q1170" i="1"/>
  <c r="P1170" i="1"/>
  <c r="W1169" i="1"/>
  <c r="X1169" i="1" s="1"/>
  <c r="Y1169" i="1" s="1"/>
  <c r="Z1169" i="1" s="1"/>
  <c r="U1169" i="1"/>
  <c r="R1169" i="1"/>
  <c r="S1169" i="1" s="1"/>
  <c r="V1169" i="1" s="1"/>
  <c r="Q1169" i="1"/>
  <c r="P1169" i="1"/>
  <c r="Y1168" i="1"/>
  <c r="Z1168" i="1" s="1"/>
  <c r="X1168" i="1"/>
  <c r="V1168" i="1"/>
  <c r="U1168" i="1"/>
  <c r="S1168" i="1"/>
  <c r="W1168" i="1" s="1"/>
  <c r="R1168" i="1"/>
  <c r="Q1168" i="1"/>
  <c r="P1168" i="1"/>
  <c r="R1167" i="1"/>
  <c r="S1167" i="1" s="1"/>
  <c r="Q1167" i="1"/>
  <c r="P1167" i="1"/>
  <c r="Z1166" i="1"/>
  <c r="X1166" i="1"/>
  <c r="Y1166" i="1" s="1"/>
  <c r="W1166" i="1"/>
  <c r="V1166" i="1"/>
  <c r="S1166" i="1"/>
  <c r="U1166" i="1" s="1"/>
  <c r="R1166" i="1"/>
  <c r="Q1166" i="1"/>
  <c r="P1166" i="1"/>
  <c r="R1165" i="1"/>
  <c r="S1165" i="1" s="1"/>
  <c r="Q1165" i="1"/>
  <c r="P1165" i="1"/>
  <c r="R1164" i="1"/>
  <c r="S1164" i="1" s="1"/>
  <c r="Q1164" i="1"/>
  <c r="P1164" i="1"/>
  <c r="U1163" i="1"/>
  <c r="T1163" i="1"/>
  <c r="S1163" i="1"/>
  <c r="R1163" i="1"/>
  <c r="Q1163" i="1"/>
  <c r="P1163" i="1"/>
  <c r="W1162" i="1"/>
  <c r="X1162" i="1" s="1"/>
  <c r="Y1162" i="1" s="1"/>
  <c r="Z1162" i="1" s="1"/>
  <c r="S1162" i="1"/>
  <c r="V1162" i="1" s="1"/>
  <c r="R1162" i="1"/>
  <c r="Q1162" i="1"/>
  <c r="P1162" i="1"/>
  <c r="R1161" i="1"/>
  <c r="S1161" i="1" s="1"/>
  <c r="T1161" i="1" s="1"/>
  <c r="Q1161" i="1"/>
  <c r="P1161" i="1"/>
  <c r="X1160" i="1"/>
  <c r="Y1160" i="1" s="1"/>
  <c r="Z1160" i="1" s="1"/>
  <c r="V1160" i="1"/>
  <c r="U1160" i="1"/>
  <c r="T1160" i="1"/>
  <c r="S1160" i="1"/>
  <c r="W1160" i="1" s="1"/>
  <c r="R1160" i="1"/>
  <c r="Q1160" i="1"/>
  <c r="P1160" i="1"/>
  <c r="R1159" i="1"/>
  <c r="S1159" i="1" s="1"/>
  <c r="Q1159" i="1"/>
  <c r="P1159" i="1"/>
  <c r="X1158" i="1"/>
  <c r="Y1158" i="1" s="1"/>
  <c r="Z1158" i="1" s="1"/>
  <c r="W1158" i="1"/>
  <c r="V1158" i="1"/>
  <c r="U1158" i="1"/>
  <c r="S1158" i="1"/>
  <c r="T1158" i="1" s="1"/>
  <c r="R1158" i="1"/>
  <c r="Q1158" i="1"/>
  <c r="P1158" i="1"/>
  <c r="W1157" i="1"/>
  <c r="X1157" i="1" s="1"/>
  <c r="Y1157" i="1" s="1"/>
  <c r="Z1157" i="1" s="1"/>
  <c r="R1157" i="1"/>
  <c r="S1157" i="1" s="1"/>
  <c r="V1157" i="1" s="1"/>
  <c r="Q1157" i="1"/>
  <c r="P1157" i="1"/>
  <c r="R1156" i="1"/>
  <c r="S1156" i="1" s="1"/>
  <c r="Q1156" i="1"/>
  <c r="P1156" i="1"/>
  <c r="X1155" i="1"/>
  <c r="Y1155" i="1" s="1"/>
  <c r="Z1155" i="1" s="1"/>
  <c r="W1155" i="1"/>
  <c r="V1155" i="1"/>
  <c r="S1155" i="1"/>
  <c r="U1155" i="1" s="1"/>
  <c r="R1155" i="1"/>
  <c r="Q1155" i="1"/>
  <c r="P1155" i="1"/>
  <c r="R1154" i="1"/>
  <c r="S1154" i="1" s="1"/>
  <c r="Q1154" i="1"/>
  <c r="P1154" i="1"/>
  <c r="V1153" i="1"/>
  <c r="R1153" i="1"/>
  <c r="S1153" i="1" s="1"/>
  <c r="Q1153" i="1"/>
  <c r="P1153" i="1"/>
  <c r="V1152" i="1"/>
  <c r="U1152" i="1"/>
  <c r="T1152" i="1"/>
  <c r="R1152" i="1"/>
  <c r="S1152" i="1" s="1"/>
  <c r="W1152" i="1" s="1"/>
  <c r="X1152" i="1" s="1"/>
  <c r="Y1152" i="1" s="1"/>
  <c r="Z1152" i="1" s="1"/>
  <c r="Q1152" i="1"/>
  <c r="P1152" i="1"/>
  <c r="S1151" i="1"/>
  <c r="R1151" i="1"/>
  <c r="Q1151" i="1"/>
  <c r="P1151" i="1"/>
  <c r="V1150" i="1"/>
  <c r="T1150" i="1"/>
  <c r="R1150" i="1"/>
  <c r="S1150" i="1" s="1"/>
  <c r="U1150" i="1" s="1"/>
  <c r="Q1150" i="1"/>
  <c r="P1150" i="1"/>
  <c r="T1149" i="1"/>
  <c r="R1149" i="1"/>
  <c r="S1149" i="1" s="1"/>
  <c r="W1149" i="1" s="1"/>
  <c r="X1149" i="1" s="1"/>
  <c r="Y1149" i="1" s="1"/>
  <c r="Z1149" i="1" s="1"/>
  <c r="Q1149" i="1"/>
  <c r="P1149" i="1"/>
  <c r="R1148" i="1"/>
  <c r="S1148" i="1" s="1"/>
  <c r="W1148" i="1" s="1"/>
  <c r="X1148" i="1" s="1"/>
  <c r="Y1148" i="1" s="1"/>
  <c r="Z1148" i="1" s="1"/>
  <c r="Q1148" i="1"/>
  <c r="P1148" i="1"/>
  <c r="V1147" i="1"/>
  <c r="R1147" i="1"/>
  <c r="S1147" i="1" s="1"/>
  <c r="Q1147" i="1"/>
  <c r="P1147" i="1"/>
  <c r="W1146" i="1"/>
  <c r="X1146" i="1" s="1"/>
  <c r="Y1146" i="1" s="1"/>
  <c r="Z1146" i="1" s="1"/>
  <c r="S1146" i="1"/>
  <c r="V1146" i="1" s="1"/>
  <c r="R1146" i="1"/>
  <c r="Q1146" i="1"/>
  <c r="P1146" i="1"/>
  <c r="R1145" i="1"/>
  <c r="S1145" i="1" s="1"/>
  <c r="Q1145" i="1"/>
  <c r="P1145" i="1"/>
  <c r="R1144" i="1"/>
  <c r="S1144" i="1" s="1"/>
  <c r="Q1144" i="1"/>
  <c r="P1144" i="1"/>
  <c r="U1143" i="1"/>
  <c r="T1143" i="1"/>
  <c r="S1143" i="1"/>
  <c r="R1143" i="1"/>
  <c r="Q1143" i="1"/>
  <c r="P1143" i="1"/>
  <c r="W1142" i="1"/>
  <c r="X1142" i="1" s="1"/>
  <c r="Y1142" i="1" s="1"/>
  <c r="Z1142" i="1" s="1"/>
  <c r="V1142" i="1"/>
  <c r="U1142" i="1"/>
  <c r="T1142" i="1"/>
  <c r="S1142" i="1"/>
  <c r="R1142" i="1"/>
  <c r="Q1142" i="1"/>
  <c r="P1142" i="1"/>
  <c r="W1141" i="1"/>
  <c r="X1141" i="1" s="1"/>
  <c r="Y1141" i="1" s="1"/>
  <c r="Z1141" i="1" s="1"/>
  <c r="V1141" i="1"/>
  <c r="S1141" i="1"/>
  <c r="T1141" i="1" s="1"/>
  <c r="R1141" i="1"/>
  <c r="Q1141" i="1"/>
  <c r="P1141" i="1"/>
  <c r="T1140" i="1"/>
  <c r="S1140" i="1"/>
  <c r="R1140" i="1"/>
  <c r="Q1140" i="1"/>
  <c r="P1140" i="1"/>
  <c r="Y1139" i="1"/>
  <c r="Z1139" i="1" s="1"/>
  <c r="X1139" i="1"/>
  <c r="W1139" i="1"/>
  <c r="U1139" i="1"/>
  <c r="S1139" i="1"/>
  <c r="V1139" i="1" s="1"/>
  <c r="R1139" i="1"/>
  <c r="Q1139" i="1"/>
  <c r="P1139" i="1"/>
  <c r="Y1138" i="1"/>
  <c r="Z1138" i="1" s="1"/>
  <c r="W1138" i="1"/>
  <c r="X1138" i="1" s="1"/>
  <c r="V1138" i="1"/>
  <c r="U1138" i="1"/>
  <c r="S1138" i="1"/>
  <c r="T1138" i="1" s="1"/>
  <c r="R1138" i="1"/>
  <c r="Q1138" i="1"/>
  <c r="P1138" i="1"/>
  <c r="W1137" i="1"/>
  <c r="X1137" i="1" s="1"/>
  <c r="Y1137" i="1" s="1"/>
  <c r="Z1137" i="1" s="1"/>
  <c r="V1137" i="1"/>
  <c r="U1137" i="1"/>
  <c r="S1137" i="1"/>
  <c r="T1137" i="1" s="1"/>
  <c r="R1137" i="1"/>
  <c r="Q1137" i="1"/>
  <c r="P1137" i="1"/>
  <c r="R1136" i="1"/>
  <c r="S1136" i="1" s="1"/>
  <c r="Q1136" i="1"/>
  <c r="P1136" i="1"/>
  <c r="R1135" i="1"/>
  <c r="S1135" i="1" s="1"/>
  <c r="Q1135" i="1"/>
  <c r="P1135" i="1"/>
  <c r="R1134" i="1"/>
  <c r="S1134" i="1" s="1"/>
  <c r="Q1134" i="1"/>
  <c r="P1134" i="1"/>
  <c r="R1133" i="1"/>
  <c r="S1133" i="1" s="1"/>
  <c r="Q1133" i="1"/>
  <c r="P1133" i="1"/>
  <c r="V1132" i="1"/>
  <c r="U1132" i="1"/>
  <c r="T1132" i="1"/>
  <c r="R1132" i="1"/>
  <c r="S1132" i="1" s="1"/>
  <c r="W1132" i="1" s="1"/>
  <c r="X1132" i="1" s="1"/>
  <c r="Y1132" i="1" s="1"/>
  <c r="Z1132" i="1" s="1"/>
  <c r="Q1132" i="1"/>
  <c r="P1132" i="1"/>
  <c r="R1131" i="1"/>
  <c r="S1131" i="1" s="1"/>
  <c r="Q1131" i="1"/>
  <c r="P1131" i="1"/>
  <c r="W1130" i="1"/>
  <c r="X1130" i="1" s="1"/>
  <c r="Y1130" i="1" s="1"/>
  <c r="Z1130" i="1" s="1"/>
  <c r="V1130" i="1"/>
  <c r="S1130" i="1"/>
  <c r="U1130" i="1" s="1"/>
  <c r="R1130" i="1"/>
  <c r="Q1130" i="1"/>
  <c r="P1130" i="1"/>
  <c r="W1129" i="1"/>
  <c r="X1129" i="1" s="1"/>
  <c r="Y1129" i="1" s="1"/>
  <c r="Z1129" i="1" s="1"/>
  <c r="V1129" i="1"/>
  <c r="U1129" i="1"/>
  <c r="T1129" i="1"/>
  <c r="R1129" i="1"/>
  <c r="S1129" i="1" s="1"/>
  <c r="Q1129" i="1"/>
  <c r="P1129" i="1"/>
  <c r="X1128" i="1"/>
  <c r="Y1128" i="1" s="1"/>
  <c r="Z1128" i="1" s="1"/>
  <c r="V1128" i="1"/>
  <c r="U1128" i="1"/>
  <c r="S1128" i="1"/>
  <c r="W1128" i="1" s="1"/>
  <c r="R1128" i="1"/>
  <c r="Q1128" i="1"/>
  <c r="P1128" i="1"/>
  <c r="R1127" i="1"/>
  <c r="S1127" i="1" s="1"/>
  <c r="Q1127" i="1"/>
  <c r="P1127" i="1"/>
  <c r="X1126" i="1"/>
  <c r="Y1126" i="1" s="1"/>
  <c r="Z1126" i="1" s="1"/>
  <c r="W1126" i="1"/>
  <c r="V1126" i="1"/>
  <c r="U1126" i="1"/>
  <c r="S1126" i="1"/>
  <c r="T1126" i="1" s="1"/>
  <c r="R1126" i="1"/>
  <c r="Q1126" i="1"/>
  <c r="P1126" i="1"/>
  <c r="S1125" i="1"/>
  <c r="R1125" i="1"/>
  <c r="Q1125" i="1"/>
  <c r="P1125" i="1"/>
  <c r="V1124" i="1"/>
  <c r="S1124" i="1"/>
  <c r="R1124" i="1"/>
  <c r="Q1124" i="1"/>
  <c r="P1124" i="1"/>
  <c r="U1123" i="1"/>
  <c r="T1123" i="1"/>
  <c r="S1123" i="1"/>
  <c r="R1123" i="1"/>
  <c r="Q1123" i="1"/>
  <c r="P1123" i="1"/>
  <c r="R1122" i="1"/>
  <c r="S1122" i="1" s="1"/>
  <c r="Q1122" i="1"/>
  <c r="P1122" i="1"/>
  <c r="W1121" i="1"/>
  <c r="X1121" i="1" s="1"/>
  <c r="Y1121" i="1" s="1"/>
  <c r="Z1121" i="1" s="1"/>
  <c r="U1121" i="1"/>
  <c r="S1121" i="1"/>
  <c r="T1121" i="1" s="1"/>
  <c r="R1121" i="1"/>
  <c r="Q1121" i="1"/>
  <c r="P1121" i="1"/>
  <c r="T1120" i="1"/>
  <c r="S1120" i="1"/>
  <c r="R1120" i="1"/>
  <c r="Q1120" i="1"/>
  <c r="P1120" i="1"/>
  <c r="Y1119" i="1"/>
  <c r="Z1119" i="1" s="1"/>
  <c r="X1119" i="1"/>
  <c r="W1119" i="1"/>
  <c r="T1119" i="1"/>
  <c r="S1119" i="1"/>
  <c r="V1119" i="1" s="1"/>
  <c r="R1119" i="1"/>
  <c r="Q1119" i="1"/>
  <c r="P1119" i="1"/>
  <c r="X1118" i="1"/>
  <c r="Y1118" i="1" s="1"/>
  <c r="Z1118" i="1" s="1"/>
  <c r="W1118" i="1"/>
  <c r="V1118" i="1"/>
  <c r="U1118" i="1"/>
  <c r="S1118" i="1"/>
  <c r="T1118" i="1" s="1"/>
  <c r="R1118" i="1"/>
  <c r="Q1118" i="1"/>
  <c r="P1118" i="1"/>
  <c r="W1117" i="1"/>
  <c r="X1117" i="1" s="1"/>
  <c r="Y1117" i="1" s="1"/>
  <c r="Z1117" i="1" s="1"/>
  <c r="V1117" i="1"/>
  <c r="T1117" i="1"/>
  <c r="S1117" i="1"/>
  <c r="U1117" i="1" s="1"/>
  <c r="R1117" i="1"/>
  <c r="Q1117" i="1"/>
  <c r="P1117" i="1"/>
  <c r="R1116" i="1"/>
  <c r="S1116" i="1" s="1"/>
  <c r="Q1116" i="1"/>
  <c r="P1116" i="1"/>
  <c r="S1115" i="1"/>
  <c r="R1115" i="1"/>
  <c r="Q1115" i="1"/>
  <c r="P1115" i="1"/>
  <c r="S1114" i="1"/>
  <c r="R1114" i="1"/>
  <c r="Q1114" i="1"/>
  <c r="P1114" i="1"/>
  <c r="W1113" i="1"/>
  <c r="X1113" i="1" s="1"/>
  <c r="Y1113" i="1" s="1"/>
  <c r="Z1113" i="1" s="1"/>
  <c r="S1113" i="1"/>
  <c r="V1113" i="1" s="1"/>
  <c r="R1113" i="1"/>
  <c r="Q1113" i="1"/>
  <c r="P1113" i="1"/>
  <c r="V1112" i="1"/>
  <c r="U1112" i="1"/>
  <c r="T1112" i="1"/>
  <c r="R1112" i="1"/>
  <c r="S1112" i="1" s="1"/>
  <c r="W1112" i="1" s="1"/>
  <c r="X1112" i="1" s="1"/>
  <c r="Y1112" i="1" s="1"/>
  <c r="Z1112" i="1" s="1"/>
  <c r="Q1112" i="1"/>
  <c r="P1112" i="1"/>
  <c r="S1111" i="1"/>
  <c r="R1111" i="1"/>
  <c r="Q1111" i="1"/>
  <c r="P1111" i="1"/>
  <c r="X1110" i="1"/>
  <c r="Y1110" i="1" s="1"/>
  <c r="Z1110" i="1" s="1"/>
  <c r="W1110" i="1"/>
  <c r="T1110" i="1"/>
  <c r="S1110" i="1"/>
  <c r="U1110" i="1" s="1"/>
  <c r="R1110" i="1"/>
  <c r="Q1110" i="1"/>
  <c r="P1110" i="1"/>
  <c r="X1109" i="1"/>
  <c r="Y1109" i="1" s="1"/>
  <c r="Z1109" i="1" s="1"/>
  <c r="W1109" i="1"/>
  <c r="V1109" i="1"/>
  <c r="R1109" i="1"/>
  <c r="S1109" i="1" s="1"/>
  <c r="U1109" i="1" s="1"/>
  <c r="Q1109" i="1"/>
  <c r="P1109" i="1"/>
  <c r="Y1108" i="1"/>
  <c r="Z1108" i="1" s="1"/>
  <c r="X1108" i="1"/>
  <c r="V1108" i="1"/>
  <c r="T1108" i="1"/>
  <c r="S1108" i="1"/>
  <c r="W1108" i="1" s="1"/>
  <c r="R1108" i="1"/>
  <c r="Q1108" i="1"/>
  <c r="P1108" i="1"/>
  <c r="W1107" i="1"/>
  <c r="X1107" i="1" s="1"/>
  <c r="Y1107" i="1" s="1"/>
  <c r="Z1107" i="1" s="1"/>
  <c r="V1107" i="1"/>
  <c r="R1107" i="1"/>
  <c r="S1107" i="1" s="1"/>
  <c r="Q1107" i="1"/>
  <c r="P1107" i="1"/>
  <c r="U1106" i="1"/>
  <c r="T1106" i="1"/>
  <c r="R1106" i="1"/>
  <c r="S1106" i="1" s="1"/>
  <c r="W1106" i="1" s="1"/>
  <c r="X1106" i="1" s="1"/>
  <c r="Y1106" i="1" s="1"/>
  <c r="Z1106" i="1" s="1"/>
  <c r="Q1106" i="1"/>
  <c r="P1106" i="1"/>
  <c r="R1105" i="1"/>
  <c r="S1105" i="1" s="1"/>
  <c r="Q1105" i="1"/>
  <c r="P1105" i="1"/>
  <c r="R1104" i="1"/>
  <c r="S1104" i="1" s="1"/>
  <c r="T1104" i="1" s="1"/>
  <c r="Q1104" i="1"/>
  <c r="P1104" i="1"/>
  <c r="U1103" i="1"/>
  <c r="T1103" i="1"/>
  <c r="S1103" i="1"/>
  <c r="R1103" i="1"/>
  <c r="Q1103" i="1"/>
  <c r="P1103" i="1"/>
  <c r="X1102" i="1"/>
  <c r="Y1102" i="1" s="1"/>
  <c r="Z1102" i="1" s="1"/>
  <c r="W1102" i="1"/>
  <c r="V1102" i="1"/>
  <c r="U1102" i="1"/>
  <c r="S1102" i="1"/>
  <c r="T1102" i="1" s="1"/>
  <c r="R1102" i="1"/>
  <c r="Q1102" i="1"/>
  <c r="P1102" i="1"/>
  <c r="W1101" i="1"/>
  <c r="X1101" i="1" s="1"/>
  <c r="Y1101" i="1" s="1"/>
  <c r="Z1101" i="1" s="1"/>
  <c r="V1101" i="1"/>
  <c r="U1101" i="1"/>
  <c r="S1101" i="1"/>
  <c r="T1101" i="1" s="1"/>
  <c r="R1101" i="1"/>
  <c r="Q1101" i="1"/>
  <c r="P1101" i="1"/>
  <c r="T1100" i="1"/>
  <c r="S1100" i="1"/>
  <c r="R1100" i="1"/>
  <c r="Q1100" i="1"/>
  <c r="P1100" i="1"/>
  <c r="Y1099" i="1"/>
  <c r="Z1099" i="1" s="1"/>
  <c r="X1099" i="1"/>
  <c r="W1099" i="1"/>
  <c r="U1099" i="1"/>
  <c r="T1099" i="1"/>
  <c r="S1099" i="1"/>
  <c r="V1099" i="1" s="1"/>
  <c r="R1099" i="1"/>
  <c r="Q1099" i="1"/>
  <c r="P1099" i="1"/>
  <c r="W1098" i="1"/>
  <c r="X1098" i="1" s="1"/>
  <c r="Y1098" i="1" s="1"/>
  <c r="Z1098" i="1" s="1"/>
  <c r="V1098" i="1"/>
  <c r="U1098" i="1"/>
  <c r="S1098" i="1"/>
  <c r="T1098" i="1" s="1"/>
  <c r="R1098" i="1"/>
  <c r="Q1098" i="1"/>
  <c r="P1098" i="1"/>
  <c r="Y1097" i="1"/>
  <c r="Z1097" i="1" s="1"/>
  <c r="W1097" i="1"/>
  <c r="X1097" i="1" s="1"/>
  <c r="V1097" i="1"/>
  <c r="U1097" i="1"/>
  <c r="T1097" i="1"/>
  <c r="S1097" i="1"/>
  <c r="R1097" i="1"/>
  <c r="Q1097" i="1"/>
  <c r="P1097" i="1"/>
  <c r="R1096" i="1"/>
  <c r="S1096" i="1" s="1"/>
  <c r="Q1096" i="1"/>
  <c r="P1096" i="1"/>
  <c r="Y1095" i="1"/>
  <c r="Z1095" i="1" s="1"/>
  <c r="U1095" i="1"/>
  <c r="T1095" i="1"/>
  <c r="R1095" i="1"/>
  <c r="S1095" i="1" s="1"/>
  <c r="W1095" i="1" s="1"/>
  <c r="X1095" i="1" s="1"/>
  <c r="Q1095" i="1"/>
  <c r="P1095" i="1"/>
  <c r="T1094" i="1"/>
  <c r="R1094" i="1"/>
  <c r="S1094" i="1" s="1"/>
  <c r="Q1094" i="1"/>
  <c r="P1094" i="1"/>
  <c r="R1093" i="1"/>
  <c r="S1093" i="1" s="1"/>
  <c r="Q1093" i="1"/>
  <c r="P1093" i="1"/>
  <c r="V1092" i="1"/>
  <c r="U1092" i="1"/>
  <c r="R1092" i="1"/>
  <c r="S1092" i="1" s="1"/>
  <c r="W1092" i="1" s="1"/>
  <c r="X1092" i="1" s="1"/>
  <c r="Y1092" i="1" s="1"/>
  <c r="Z1092" i="1" s="1"/>
  <c r="Q1092" i="1"/>
  <c r="P1092" i="1"/>
  <c r="W1091" i="1"/>
  <c r="X1091" i="1" s="1"/>
  <c r="Y1091" i="1" s="1"/>
  <c r="Z1091" i="1" s="1"/>
  <c r="S1091" i="1"/>
  <c r="R1091" i="1"/>
  <c r="Q1091" i="1"/>
  <c r="P1091" i="1"/>
  <c r="X1090" i="1"/>
  <c r="Y1090" i="1" s="1"/>
  <c r="Z1090" i="1" s="1"/>
  <c r="W1090" i="1"/>
  <c r="V1090" i="1"/>
  <c r="T1090" i="1"/>
  <c r="S1090" i="1"/>
  <c r="U1090" i="1" s="1"/>
  <c r="R1090" i="1"/>
  <c r="Q1090" i="1"/>
  <c r="P1090" i="1"/>
  <c r="U1089" i="1"/>
  <c r="T1089" i="1"/>
  <c r="R1089" i="1"/>
  <c r="S1089" i="1" s="1"/>
  <c r="W1089" i="1" s="1"/>
  <c r="X1089" i="1" s="1"/>
  <c r="Y1089" i="1" s="1"/>
  <c r="Z1089" i="1" s="1"/>
  <c r="Q1089" i="1"/>
  <c r="P1089" i="1"/>
  <c r="Y1088" i="1"/>
  <c r="Z1088" i="1" s="1"/>
  <c r="X1088" i="1"/>
  <c r="V1088" i="1"/>
  <c r="U1088" i="1"/>
  <c r="T1088" i="1"/>
  <c r="S1088" i="1"/>
  <c r="W1088" i="1" s="1"/>
  <c r="R1088" i="1"/>
  <c r="Q1088" i="1"/>
  <c r="P1088" i="1"/>
  <c r="W1087" i="1"/>
  <c r="X1087" i="1" s="1"/>
  <c r="Y1087" i="1" s="1"/>
  <c r="Z1087" i="1" s="1"/>
  <c r="R1087" i="1"/>
  <c r="S1087" i="1" s="1"/>
  <c r="Q1087" i="1"/>
  <c r="P1087" i="1"/>
  <c r="W1086" i="1"/>
  <c r="X1086" i="1" s="1"/>
  <c r="Y1086" i="1" s="1"/>
  <c r="Z1086" i="1" s="1"/>
  <c r="V1086" i="1"/>
  <c r="S1086" i="1"/>
  <c r="T1086" i="1" s="1"/>
  <c r="R1086" i="1"/>
  <c r="Q1086" i="1"/>
  <c r="P1086" i="1"/>
  <c r="R1085" i="1"/>
  <c r="S1085" i="1" s="1"/>
  <c r="Q1085" i="1"/>
  <c r="P1085" i="1"/>
  <c r="V1084" i="1"/>
  <c r="U1084" i="1"/>
  <c r="S1084" i="1"/>
  <c r="W1084" i="1" s="1"/>
  <c r="X1084" i="1" s="1"/>
  <c r="Y1084" i="1" s="1"/>
  <c r="Z1084" i="1" s="1"/>
  <c r="R1084" i="1"/>
  <c r="Q1084" i="1"/>
  <c r="P1084" i="1"/>
  <c r="S1083" i="1"/>
  <c r="R1083" i="1"/>
  <c r="Q1083" i="1"/>
  <c r="P1083" i="1"/>
  <c r="X1082" i="1"/>
  <c r="Y1082" i="1" s="1"/>
  <c r="Z1082" i="1" s="1"/>
  <c r="W1082" i="1"/>
  <c r="R1082" i="1"/>
  <c r="S1082" i="1" s="1"/>
  <c r="Q1082" i="1"/>
  <c r="P1082" i="1"/>
  <c r="R1081" i="1"/>
  <c r="S1081" i="1" s="1"/>
  <c r="Q1081" i="1"/>
  <c r="P1081" i="1"/>
  <c r="U1080" i="1"/>
  <c r="S1080" i="1"/>
  <c r="W1080" i="1" s="1"/>
  <c r="X1080" i="1" s="1"/>
  <c r="Y1080" i="1" s="1"/>
  <c r="Z1080" i="1" s="1"/>
  <c r="R1080" i="1"/>
  <c r="Q1080" i="1"/>
  <c r="P1080" i="1"/>
  <c r="R1079" i="1"/>
  <c r="S1079" i="1" s="1"/>
  <c r="Q1079" i="1"/>
  <c r="P1079" i="1"/>
  <c r="R1078" i="1"/>
  <c r="S1078" i="1" s="1"/>
  <c r="T1078" i="1" s="1"/>
  <c r="Q1078" i="1"/>
  <c r="P1078" i="1"/>
  <c r="Y1077" i="1"/>
  <c r="Z1077" i="1" s="1"/>
  <c r="W1077" i="1"/>
  <c r="X1077" i="1" s="1"/>
  <c r="V1077" i="1"/>
  <c r="U1077" i="1"/>
  <c r="T1077" i="1"/>
  <c r="S1077" i="1"/>
  <c r="R1077" i="1"/>
  <c r="Q1077" i="1"/>
  <c r="P1077" i="1"/>
  <c r="W1076" i="1"/>
  <c r="X1076" i="1" s="1"/>
  <c r="Y1076" i="1" s="1"/>
  <c r="Z1076" i="1" s="1"/>
  <c r="R1076" i="1"/>
  <c r="S1076" i="1" s="1"/>
  <c r="Q1076" i="1"/>
  <c r="P1076" i="1"/>
  <c r="W1075" i="1"/>
  <c r="X1075" i="1" s="1"/>
  <c r="Y1075" i="1" s="1"/>
  <c r="Z1075" i="1" s="1"/>
  <c r="V1075" i="1"/>
  <c r="U1075" i="1"/>
  <c r="T1075" i="1"/>
  <c r="R1075" i="1"/>
  <c r="S1075" i="1" s="1"/>
  <c r="Q1075" i="1"/>
  <c r="P1075" i="1"/>
  <c r="R1074" i="1"/>
  <c r="S1074" i="1" s="1"/>
  <c r="Q1074" i="1"/>
  <c r="P1074" i="1"/>
  <c r="W1073" i="1"/>
  <c r="X1073" i="1" s="1"/>
  <c r="Y1073" i="1" s="1"/>
  <c r="Z1073" i="1" s="1"/>
  <c r="V1073" i="1"/>
  <c r="R1073" i="1"/>
  <c r="S1073" i="1" s="1"/>
  <c r="U1073" i="1" s="1"/>
  <c r="Q1073" i="1"/>
  <c r="P1073" i="1"/>
  <c r="V1072" i="1"/>
  <c r="U1072" i="1"/>
  <c r="R1072" i="1"/>
  <c r="S1072" i="1" s="1"/>
  <c r="W1072" i="1" s="1"/>
  <c r="X1072" i="1" s="1"/>
  <c r="Y1072" i="1" s="1"/>
  <c r="Z1072" i="1" s="1"/>
  <c r="Q1072" i="1"/>
  <c r="P1072" i="1"/>
  <c r="S1071" i="1"/>
  <c r="R1071" i="1"/>
  <c r="Q1071" i="1"/>
  <c r="P1071" i="1"/>
  <c r="X1070" i="1"/>
  <c r="Y1070" i="1" s="1"/>
  <c r="Z1070" i="1" s="1"/>
  <c r="W1070" i="1"/>
  <c r="V1070" i="1"/>
  <c r="T1070" i="1"/>
  <c r="S1070" i="1"/>
  <c r="U1070" i="1" s="1"/>
  <c r="R1070" i="1"/>
  <c r="Q1070" i="1"/>
  <c r="P1070" i="1"/>
  <c r="V1069" i="1"/>
  <c r="U1069" i="1"/>
  <c r="R1069" i="1"/>
  <c r="S1069" i="1" s="1"/>
  <c r="W1069" i="1" s="1"/>
  <c r="X1069" i="1" s="1"/>
  <c r="Y1069" i="1" s="1"/>
  <c r="Z1069" i="1" s="1"/>
  <c r="Q1069" i="1"/>
  <c r="P1069" i="1"/>
  <c r="X1068" i="1"/>
  <c r="Y1068" i="1" s="1"/>
  <c r="Z1068" i="1" s="1"/>
  <c r="V1068" i="1"/>
  <c r="U1068" i="1"/>
  <c r="T1068" i="1"/>
  <c r="S1068" i="1"/>
  <c r="W1068" i="1" s="1"/>
  <c r="R1068" i="1"/>
  <c r="Q1068" i="1"/>
  <c r="P1068" i="1"/>
  <c r="R1067" i="1"/>
  <c r="S1067" i="1" s="1"/>
  <c r="Q1067" i="1"/>
  <c r="P1067" i="1"/>
  <c r="U1066" i="1"/>
  <c r="T1066" i="1"/>
  <c r="S1066" i="1"/>
  <c r="W1066" i="1" s="1"/>
  <c r="X1066" i="1" s="1"/>
  <c r="Y1066" i="1" s="1"/>
  <c r="Z1066" i="1" s="1"/>
  <c r="R1066" i="1"/>
  <c r="Q1066" i="1"/>
  <c r="P1066" i="1"/>
  <c r="S1065" i="1"/>
  <c r="R1065" i="1"/>
  <c r="Q1065" i="1"/>
  <c r="P1065" i="1"/>
  <c r="S1064" i="1"/>
  <c r="R1064" i="1"/>
  <c r="Q1064" i="1"/>
  <c r="P1064" i="1"/>
  <c r="S1063" i="1"/>
  <c r="R1063" i="1"/>
  <c r="Q1063" i="1"/>
  <c r="P1063" i="1"/>
  <c r="S1062" i="1"/>
  <c r="R1062" i="1"/>
  <c r="Q1062" i="1"/>
  <c r="P1062" i="1"/>
  <c r="W1061" i="1"/>
  <c r="X1061" i="1" s="1"/>
  <c r="Y1061" i="1" s="1"/>
  <c r="Z1061" i="1" s="1"/>
  <c r="R1061" i="1"/>
  <c r="S1061" i="1" s="1"/>
  <c r="Q1061" i="1"/>
  <c r="P1061" i="1"/>
  <c r="Y1060" i="1"/>
  <c r="Z1060" i="1" s="1"/>
  <c r="W1060" i="1"/>
  <c r="X1060" i="1" s="1"/>
  <c r="V1060" i="1"/>
  <c r="U1060" i="1"/>
  <c r="T1060" i="1"/>
  <c r="S1060" i="1"/>
  <c r="R1060" i="1"/>
  <c r="Q1060" i="1"/>
  <c r="P1060" i="1"/>
  <c r="R1059" i="1"/>
  <c r="S1059" i="1" s="1"/>
  <c r="Q1059" i="1"/>
  <c r="P1059" i="1"/>
  <c r="W1058" i="1"/>
  <c r="X1058" i="1" s="1"/>
  <c r="Y1058" i="1" s="1"/>
  <c r="Z1058" i="1" s="1"/>
  <c r="V1058" i="1"/>
  <c r="U1058" i="1"/>
  <c r="R1058" i="1"/>
  <c r="S1058" i="1" s="1"/>
  <c r="T1058" i="1" s="1"/>
  <c r="Q1058" i="1"/>
  <c r="P1058" i="1"/>
  <c r="Y1057" i="1"/>
  <c r="Z1057" i="1" s="1"/>
  <c r="W1057" i="1"/>
  <c r="X1057" i="1" s="1"/>
  <c r="V1057" i="1"/>
  <c r="U1057" i="1"/>
  <c r="T1057" i="1"/>
  <c r="S1057" i="1"/>
  <c r="R1057" i="1"/>
  <c r="Q1057" i="1"/>
  <c r="P1057" i="1"/>
  <c r="R1056" i="1"/>
  <c r="S1056" i="1" s="1"/>
  <c r="Q1056" i="1"/>
  <c r="P1056" i="1"/>
  <c r="R1055" i="1"/>
  <c r="S1055" i="1" s="1"/>
  <c r="Q1055" i="1"/>
  <c r="P1055" i="1"/>
  <c r="R1054" i="1"/>
  <c r="S1054" i="1" s="1"/>
  <c r="Q1054" i="1"/>
  <c r="P1054" i="1"/>
  <c r="U1053" i="1"/>
  <c r="R1053" i="1"/>
  <c r="S1053" i="1" s="1"/>
  <c r="Q1053" i="1"/>
  <c r="P1053" i="1"/>
  <c r="V1052" i="1"/>
  <c r="U1052" i="1"/>
  <c r="R1052" i="1"/>
  <c r="S1052" i="1" s="1"/>
  <c r="W1052" i="1" s="1"/>
  <c r="X1052" i="1" s="1"/>
  <c r="Y1052" i="1" s="1"/>
  <c r="Z1052" i="1" s="1"/>
  <c r="Q1052" i="1"/>
  <c r="P1052" i="1"/>
  <c r="R1051" i="1"/>
  <c r="S1051" i="1" s="1"/>
  <c r="Q1051" i="1"/>
  <c r="P1051" i="1"/>
  <c r="W1050" i="1"/>
  <c r="X1050" i="1" s="1"/>
  <c r="Y1050" i="1" s="1"/>
  <c r="Z1050" i="1" s="1"/>
  <c r="V1050" i="1"/>
  <c r="T1050" i="1"/>
  <c r="S1050" i="1"/>
  <c r="U1050" i="1" s="1"/>
  <c r="R1050" i="1"/>
  <c r="Q1050" i="1"/>
  <c r="P1050" i="1"/>
  <c r="Y1049" i="1"/>
  <c r="Z1049" i="1" s="1"/>
  <c r="V1049" i="1"/>
  <c r="U1049" i="1"/>
  <c r="R1049" i="1"/>
  <c r="S1049" i="1" s="1"/>
  <c r="W1049" i="1" s="1"/>
  <c r="X1049" i="1" s="1"/>
  <c r="Q1049" i="1"/>
  <c r="P1049" i="1"/>
  <c r="X1048" i="1"/>
  <c r="Y1048" i="1" s="1"/>
  <c r="Z1048" i="1" s="1"/>
  <c r="V1048" i="1"/>
  <c r="U1048" i="1"/>
  <c r="T1048" i="1"/>
  <c r="S1048" i="1"/>
  <c r="W1048" i="1" s="1"/>
  <c r="R1048" i="1"/>
  <c r="Q1048" i="1"/>
  <c r="P1048" i="1"/>
  <c r="R1047" i="1"/>
  <c r="S1047" i="1" s="1"/>
  <c r="Q1047" i="1"/>
  <c r="P1047" i="1"/>
  <c r="R1046" i="1"/>
  <c r="S1046" i="1" s="1"/>
  <c r="Q1046" i="1"/>
  <c r="P1046" i="1"/>
  <c r="R1045" i="1"/>
  <c r="S1045" i="1" s="1"/>
  <c r="Q1045" i="1"/>
  <c r="P1045" i="1"/>
  <c r="T1044" i="1"/>
  <c r="R1044" i="1"/>
  <c r="S1044" i="1" s="1"/>
  <c r="U1044" i="1" s="1"/>
  <c r="Q1044" i="1"/>
  <c r="P1044" i="1"/>
  <c r="S1043" i="1"/>
  <c r="R1043" i="1"/>
  <c r="Q1043" i="1"/>
  <c r="P1043" i="1"/>
  <c r="R1042" i="1"/>
  <c r="S1042" i="1" s="1"/>
  <c r="Q1042" i="1"/>
  <c r="P1042" i="1"/>
  <c r="R1041" i="1"/>
  <c r="S1041" i="1" s="1"/>
  <c r="Q1041" i="1"/>
  <c r="P1041" i="1"/>
  <c r="S1040" i="1"/>
  <c r="R1040" i="1"/>
  <c r="Q1040" i="1"/>
  <c r="P1040" i="1"/>
  <c r="R1039" i="1"/>
  <c r="S1039" i="1" s="1"/>
  <c r="Q1039" i="1"/>
  <c r="P1039" i="1"/>
  <c r="Y1038" i="1"/>
  <c r="Z1038" i="1" s="1"/>
  <c r="W1038" i="1"/>
  <c r="X1038" i="1" s="1"/>
  <c r="V1038" i="1"/>
  <c r="U1038" i="1"/>
  <c r="S1038" i="1"/>
  <c r="T1038" i="1" s="1"/>
  <c r="R1038" i="1"/>
  <c r="Q1038" i="1"/>
  <c r="P1038" i="1"/>
  <c r="R1037" i="1"/>
  <c r="S1037" i="1" s="1"/>
  <c r="Q1037" i="1"/>
  <c r="P1037" i="1"/>
  <c r="R1036" i="1"/>
  <c r="S1036" i="1" s="1"/>
  <c r="Q1036" i="1"/>
  <c r="P1036" i="1"/>
  <c r="T1035" i="1"/>
  <c r="R1035" i="1"/>
  <c r="S1035" i="1" s="1"/>
  <c r="Q1035" i="1"/>
  <c r="P1035" i="1"/>
  <c r="S1034" i="1"/>
  <c r="R1034" i="1"/>
  <c r="Q1034" i="1"/>
  <c r="P1034" i="1"/>
  <c r="R1033" i="1"/>
  <c r="S1033" i="1" s="1"/>
  <c r="Q1033" i="1"/>
  <c r="P1033" i="1"/>
  <c r="R1032" i="1"/>
  <c r="S1032" i="1" s="1"/>
  <c r="Q1032" i="1"/>
  <c r="P1032" i="1"/>
  <c r="Y1031" i="1"/>
  <c r="Z1031" i="1" s="1"/>
  <c r="X1031" i="1"/>
  <c r="W1031" i="1"/>
  <c r="V1031" i="1"/>
  <c r="T1031" i="1"/>
  <c r="S1031" i="1"/>
  <c r="U1031" i="1" s="1"/>
  <c r="R1031" i="1"/>
  <c r="Q1031" i="1"/>
  <c r="P1031" i="1"/>
  <c r="W1030" i="1"/>
  <c r="X1030" i="1" s="1"/>
  <c r="Y1030" i="1" s="1"/>
  <c r="Z1030" i="1" s="1"/>
  <c r="R1030" i="1"/>
  <c r="S1030" i="1" s="1"/>
  <c r="Q1030" i="1"/>
  <c r="P1030" i="1"/>
  <c r="V1029" i="1"/>
  <c r="U1029" i="1"/>
  <c r="R1029" i="1"/>
  <c r="S1029" i="1" s="1"/>
  <c r="W1029" i="1" s="1"/>
  <c r="X1029" i="1" s="1"/>
  <c r="Y1029" i="1" s="1"/>
  <c r="Z1029" i="1" s="1"/>
  <c r="Q1029" i="1"/>
  <c r="P1029" i="1"/>
  <c r="R1028" i="1"/>
  <c r="S1028" i="1" s="1"/>
  <c r="Q1028" i="1"/>
  <c r="P1028" i="1"/>
  <c r="V1027" i="1"/>
  <c r="R1027" i="1"/>
  <c r="S1027" i="1" s="1"/>
  <c r="Q1027" i="1"/>
  <c r="P1027" i="1"/>
  <c r="W1026" i="1"/>
  <c r="X1026" i="1" s="1"/>
  <c r="Y1026" i="1" s="1"/>
  <c r="Z1026" i="1" s="1"/>
  <c r="S1026" i="1"/>
  <c r="R1026" i="1"/>
  <c r="Q1026" i="1"/>
  <c r="P1026" i="1"/>
  <c r="R1025" i="1"/>
  <c r="S1025" i="1" s="1"/>
  <c r="Q1025" i="1"/>
  <c r="P1025" i="1"/>
  <c r="R1024" i="1"/>
  <c r="S1024" i="1" s="1"/>
  <c r="Q1024" i="1"/>
  <c r="P1024" i="1"/>
  <c r="T1023" i="1"/>
  <c r="S1023" i="1"/>
  <c r="R1023" i="1"/>
  <c r="Q1023" i="1"/>
  <c r="P1023" i="1"/>
  <c r="R1022" i="1"/>
  <c r="S1022" i="1" s="1"/>
  <c r="Q1022" i="1"/>
  <c r="P1022" i="1"/>
  <c r="W1021" i="1"/>
  <c r="X1021" i="1" s="1"/>
  <c r="Y1021" i="1" s="1"/>
  <c r="Z1021" i="1" s="1"/>
  <c r="R1021" i="1"/>
  <c r="S1021" i="1" s="1"/>
  <c r="Q1021" i="1"/>
  <c r="P1021" i="1"/>
  <c r="V1020" i="1"/>
  <c r="U1020" i="1"/>
  <c r="T1020" i="1"/>
  <c r="S1020" i="1"/>
  <c r="W1020" i="1" s="1"/>
  <c r="X1020" i="1" s="1"/>
  <c r="Y1020" i="1" s="1"/>
  <c r="Z1020" i="1" s="1"/>
  <c r="R1020" i="1"/>
  <c r="Q1020" i="1"/>
  <c r="P1020" i="1"/>
  <c r="X1019" i="1"/>
  <c r="Y1019" i="1" s="1"/>
  <c r="Z1019" i="1" s="1"/>
  <c r="W1019" i="1"/>
  <c r="R1019" i="1"/>
  <c r="S1019" i="1" s="1"/>
  <c r="Q1019" i="1"/>
  <c r="P1019" i="1"/>
  <c r="Z1018" i="1"/>
  <c r="Y1018" i="1"/>
  <c r="X1018" i="1"/>
  <c r="W1018" i="1"/>
  <c r="V1018" i="1"/>
  <c r="U1018" i="1"/>
  <c r="R1018" i="1"/>
  <c r="S1018" i="1" s="1"/>
  <c r="T1018" i="1" s="1"/>
  <c r="Q1018" i="1"/>
  <c r="P1018" i="1"/>
  <c r="W1017" i="1"/>
  <c r="X1017" i="1" s="1"/>
  <c r="Y1017" i="1" s="1"/>
  <c r="Z1017" i="1" s="1"/>
  <c r="V1017" i="1"/>
  <c r="R1017" i="1"/>
  <c r="S1017" i="1" s="1"/>
  <c r="Q1017" i="1"/>
  <c r="P1017" i="1"/>
  <c r="R1016" i="1"/>
  <c r="S1016" i="1" s="1"/>
  <c r="Q1016" i="1"/>
  <c r="P1016" i="1"/>
  <c r="W1015" i="1"/>
  <c r="X1015" i="1" s="1"/>
  <c r="Y1015" i="1" s="1"/>
  <c r="Z1015" i="1" s="1"/>
  <c r="V1015" i="1"/>
  <c r="U1015" i="1"/>
  <c r="T1015" i="1"/>
  <c r="S1015" i="1"/>
  <c r="R1015" i="1"/>
  <c r="Q1015" i="1"/>
  <c r="P1015" i="1"/>
  <c r="R1014" i="1"/>
  <c r="S1014" i="1" s="1"/>
  <c r="Q1014" i="1"/>
  <c r="P1014" i="1"/>
  <c r="R1013" i="1"/>
  <c r="S1013" i="1" s="1"/>
  <c r="Q1013" i="1"/>
  <c r="P1013" i="1"/>
  <c r="S1012" i="1"/>
  <c r="R1012" i="1"/>
  <c r="Q1012" i="1"/>
  <c r="P1012" i="1"/>
  <c r="W1011" i="1"/>
  <c r="X1011" i="1" s="1"/>
  <c r="Y1011" i="1" s="1"/>
  <c r="Z1011" i="1" s="1"/>
  <c r="R1011" i="1"/>
  <c r="S1011" i="1" s="1"/>
  <c r="Q1011" i="1"/>
  <c r="P1011" i="1"/>
  <c r="U1010" i="1"/>
  <c r="S1010" i="1"/>
  <c r="R1010" i="1"/>
  <c r="Q1010" i="1"/>
  <c r="P1010" i="1"/>
  <c r="U1009" i="1"/>
  <c r="T1009" i="1"/>
  <c r="R1009" i="1"/>
  <c r="S1009" i="1" s="1"/>
  <c r="W1009" i="1" s="1"/>
  <c r="X1009" i="1" s="1"/>
  <c r="Y1009" i="1" s="1"/>
  <c r="Z1009" i="1" s="1"/>
  <c r="Q1009" i="1"/>
  <c r="P1009" i="1"/>
  <c r="R1008" i="1"/>
  <c r="S1008" i="1" s="1"/>
  <c r="Q1008" i="1"/>
  <c r="P1008" i="1"/>
  <c r="W1007" i="1"/>
  <c r="X1007" i="1" s="1"/>
  <c r="Y1007" i="1" s="1"/>
  <c r="Z1007" i="1" s="1"/>
  <c r="V1007" i="1"/>
  <c r="R1007" i="1"/>
  <c r="S1007" i="1" s="1"/>
  <c r="Q1007" i="1"/>
  <c r="P1007" i="1"/>
  <c r="S1006" i="1"/>
  <c r="R1006" i="1"/>
  <c r="Q1006" i="1"/>
  <c r="P1006" i="1"/>
  <c r="S1005" i="1"/>
  <c r="R1005" i="1"/>
  <c r="Q1005" i="1"/>
  <c r="P1005" i="1"/>
  <c r="S1004" i="1"/>
  <c r="R1004" i="1"/>
  <c r="Q1004" i="1"/>
  <c r="P1004" i="1"/>
  <c r="U1003" i="1"/>
  <c r="T1003" i="1"/>
  <c r="S1003" i="1"/>
  <c r="R1003" i="1"/>
  <c r="Q1003" i="1"/>
  <c r="P1003" i="1"/>
  <c r="R1002" i="1"/>
  <c r="S1002" i="1" s="1"/>
  <c r="Q1002" i="1"/>
  <c r="P1002" i="1"/>
  <c r="W1001" i="1"/>
  <c r="X1001" i="1" s="1"/>
  <c r="Y1001" i="1" s="1"/>
  <c r="Z1001" i="1" s="1"/>
  <c r="V1001" i="1"/>
  <c r="T1001" i="1"/>
  <c r="S1001" i="1"/>
  <c r="U1001" i="1" s="1"/>
  <c r="R1001" i="1"/>
  <c r="Q1001" i="1"/>
  <c r="P1001" i="1"/>
  <c r="W1000" i="1"/>
  <c r="X1000" i="1" s="1"/>
  <c r="Y1000" i="1" s="1"/>
  <c r="Z1000" i="1" s="1"/>
  <c r="V1000" i="1"/>
  <c r="U1000" i="1"/>
  <c r="T1000" i="1"/>
  <c r="S1000" i="1"/>
  <c r="R1000" i="1"/>
  <c r="Q1000" i="1"/>
  <c r="P1000" i="1"/>
  <c r="U999" i="1"/>
  <c r="S999" i="1"/>
  <c r="R999" i="1"/>
  <c r="Q999" i="1"/>
  <c r="P999" i="1"/>
  <c r="W998" i="1"/>
  <c r="X998" i="1" s="1"/>
  <c r="Y998" i="1" s="1"/>
  <c r="Z998" i="1" s="1"/>
  <c r="V998" i="1"/>
  <c r="U998" i="1"/>
  <c r="R998" i="1"/>
  <c r="S998" i="1" s="1"/>
  <c r="T998" i="1" s="1"/>
  <c r="Q998" i="1"/>
  <c r="P998" i="1"/>
  <c r="V997" i="1"/>
  <c r="U997" i="1"/>
  <c r="R997" i="1"/>
  <c r="S997" i="1" s="1"/>
  <c r="Q997" i="1"/>
  <c r="P997" i="1"/>
  <c r="R996" i="1"/>
  <c r="S996" i="1" s="1"/>
  <c r="Q996" i="1"/>
  <c r="P996" i="1"/>
  <c r="R995" i="1"/>
  <c r="S995" i="1" s="1"/>
  <c r="Q995" i="1"/>
  <c r="P995" i="1"/>
  <c r="R994" i="1"/>
  <c r="S994" i="1" s="1"/>
  <c r="Q994" i="1"/>
  <c r="P994" i="1"/>
  <c r="R993" i="1"/>
  <c r="S993" i="1" s="1"/>
  <c r="Q993" i="1"/>
  <c r="P993" i="1"/>
  <c r="R992" i="1"/>
  <c r="S992" i="1" s="1"/>
  <c r="Q992" i="1"/>
  <c r="P992" i="1"/>
  <c r="V991" i="1"/>
  <c r="R991" i="1"/>
  <c r="S991" i="1" s="1"/>
  <c r="Q991" i="1"/>
  <c r="P991" i="1"/>
  <c r="U990" i="1"/>
  <c r="T990" i="1"/>
  <c r="R990" i="1"/>
  <c r="S990" i="1" s="1"/>
  <c r="Q990" i="1"/>
  <c r="P990" i="1"/>
  <c r="X989" i="1"/>
  <c r="Y989" i="1" s="1"/>
  <c r="Z989" i="1" s="1"/>
  <c r="V989" i="1"/>
  <c r="U989" i="1"/>
  <c r="T989" i="1"/>
  <c r="S989" i="1"/>
  <c r="W989" i="1" s="1"/>
  <c r="R989" i="1"/>
  <c r="Q989" i="1"/>
  <c r="P989" i="1"/>
  <c r="U988" i="1"/>
  <c r="T988" i="1"/>
  <c r="S988" i="1"/>
  <c r="R988" i="1"/>
  <c r="Q988" i="1"/>
  <c r="P988" i="1"/>
  <c r="X987" i="1"/>
  <c r="Y987" i="1" s="1"/>
  <c r="Z987" i="1" s="1"/>
  <c r="W987" i="1"/>
  <c r="V987" i="1"/>
  <c r="U987" i="1"/>
  <c r="R987" i="1"/>
  <c r="S987" i="1" s="1"/>
  <c r="T987" i="1" s="1"/>
  <c r="Q987" i="1"/>
  <c r="P987" i="1"/>
  <c r="U986" i="1"/>
  <c r="R986" i="1"/>
  <c r="S986" i="1" s="1"/>
  <c r="Q986" i="1"/>
  <c r="P986" i="1"/>
  <c r="W985" i="1"/>
  <c r="X985" i="1" s="1"/>
  <c r="Y985" i="1" s="1"/>
  <c r="Z985" i="1" s="1"/>
  <c r="R985" i="1"/>
  <c r="S985" i="1" s="1"/>
  <c r="Q985" i="1"/>
  <c r="P985" i="1"/>
  <c r="S984" i="1"/>
  <c r="R984" i="1"/>
  <c r="Q984" i="1"/>
  <c r="P984" i="1"/>
  <c r="W983" i="1"/>
  <c r="X983" i="1" s="1"/>
  <c r="Y983" i="1" s="1"/>
  <c r="Z983" i="1" s="1"/>
  <c r="V983" i="1"/>
  <c r="U983" i="1"/>
  <c r="T983" i="1"/>
  <c r="S983" i="1"/>
  <c r="R983" i="1"/>
  <c r="Q983" i="1"/>
  <c r="P983" i="1"/>
  <c r="R982" i="1"/>
  <c r="S982" i="1" s="1"/>
  <c r="Q982" i="1"/>
  <c r="P982" i="1"/>
  <c r="R981" i="1"/>
  <c r="S981" i="1" s="1"/>
  <c r="Q981" i="1"/>
  <c r="P981" i="1"/>
  <c r="R980" i="1"/>
  <c r="S980" i="1" s="1"/>
  <c r="Q980" i="1"/>
  <c r="P980" i="1"/>
  <c r="T979" i="1"/>
  <c r="S979" i="1"/>
  <c r="W979" i="1" s="1"/>
  <c r="X979" i="1" s="1"/>
  <c r="Y979" i="1" s="1"/>
  <c r="Z979" i="1" s="1"/>
  <c r="R979" i="1"/>
  <c r="Q979" i="1"/>
  <c r="P979" i="1"/>
  <c r="S978" i="1"/>
  <c r="R978" i="1"/>
  <c r="Q978" i="1"/>
  <c r="P978" i="1"/>
  <c r="W977" i="1"/>
  <c r="X977" i="1" s="1"/>
  <c r="Y977" i="1" s="1"/>
  <c r="Z977" i="1" s="1"/>
  <c r="V977" i="1"/>
  <c r="U977" i="1"/>
  <c r="T977" i="1"/>
  <c r="S977" i="1"/>
  <c r="R977" i="1"/>
  <c r="Q977" i="1"/>
  <c r="P977" i="1"/>
  <c r="S976" i="1"/>
  <c r="R976" i="1"/>
  <c r="Q976" i="1"/>
  <c r="P976" i="1"/>
  <c r="Z975" i="1"/>
  <c r="W975" i="1"/>
  <c r="X975" i="1" s="1"/>
  <c r="Y975" i="1" s="1"/>
  <c r="V975" i="1"/>
  <c r="R975" i="1"/>
  <c r="S975" i="1" s="1"/>
  <c r="Q975" i="1"/>
  <c r="P975" i="1"/>
  <c r="R974" i="1"/>
  <c r="S974" i="1" s="1"/>
  <c r="Q974" i="1"/>
  <c r="P974" i="1"/>
  <c r="R973" i="1"/>
  <c r="S973" i="1" s="1"/>
  <c r="Q973" i="1"/>
  <c r="P973" i="1"/>
  <c r="Y972" i="1"/>
  <c r="Z972" i="1" s="1"/>
  <c r="X972" i="1"/>
  <c r="W972" i="1"/>
  <c r="T972" i="1"/>
  <c r="R972" i="1"/>
  <c r="S972" i="1" s="1"/>
  <c r="Q972" i="1"/>
  <c r="P972" i="1"/>
  <c r="R971" i="1"/>
  <c r="S971" i="1" s="1"/>
  <c r="Q971" i="1"/>
  <c r="P971" i="1"/>
  <c r="V970" i="1"/>
  <c r="U970" i="1"/>
  <c r="R970" i="1"/>
  <c r="S970" i="1" s="1"/>
  <c r="W970" i="1" s="1"/>
  <c r="X970" i="1" s="1"/>
  <c r="Y970" i="1" s="1"/>
  <c r="Z970" i="1" s="1"/>
  <c r="Q970" i="1"/>
  <c r="P970" i="1"/>
  <c r="R969" i="1"/>
  <c r="S969" i="1" s="1"/>
  <c r="Q969" i="1"/>
  <c r="P969" i="1"/>
  <c r="X968" i="1"/>
  <c r="Y968" i="1" s="1"/>
  <c r="Z968" i="1" s="1"/>
  <c r="U968" i="1"/>
  <c r="S968" i="1"/>
  <c r="W968" i="1" s="1"/>
  <c r="R968" i="1"/>
  <c r="Q968" i="1"/>
  <c r="P968" i="1"/>
  <c r="W967" i="1"/>
  <c r="X967" i="1" s="1"/>
  <c r="Y967" i="1" s="1"/>
  <c r="Z967" i="1" s="1"/>
  <c r="T967" i="1"/>
  <c r="R967" i="1"/>
  <c r="S967" i="1" s="1"/>
  <c r="Q967" i="1"/>
  <c r="P967" i="1"/>
  <c r="W966" i="1"/>
  <c r="X966" i="1" s="1"/>
  <c r="Y966" i="1" s="1"/>
  <c r="Z966" i="1" s="1"/>
  <c r="V966" i="1"/>
  <c r="U966" i="1"/>
  <c r="R966" i="1"/>
  <c r="S966" i="1" s="1"/>
  <c r="T966" i="1" s="1"/>
  <c r="Q966" i="1"/>
  <c r="P966" i="1"/>
  <c r="W965" i="1"/>
  <c r="X965" i="1" s="1"/>
  <c r="Y965" i="1" s="1"/>
  <c r="Z965" i="1" s="1"/>
  <c r="R965" i="1"/>
  <c r="S965" i="1" s="1"/>
  <c r="Q965" i="1"/>
  <c r="P965" i="1"/>
  <c r="W964" i="1"/>
  <c r="X964" i="1" s="1"/>
  <c r="Y964" i="1" s="1"/>
  <c r="Z964" i="1" s="1"/>
  <c r="S964" i="1"/>
  <c r="R964" i="1"/>
  <c r="Q964" i="1"/>
  <c r="P964" i="1"/>
  <c r="S963" i="1"/>
  <c r="R963" i="1"/>
  <c r="Q963" i="1"/>
  <c r="P963" i="1"/>
  <c r="S962" i="1"/>
  <c r="R962" i="1"/>
  <c r="Q962" i="1"/>
  <c r="P962" i="1"/>
  <c r="U961" i="1"/>
  <c r="R961" i="1"/>
  <c r="S961" i="1" s="1"/>
  <c r="Q961" i="1"/>
  <c r="P961" i="1"/>
  <c r="R960" i="1"/>
  <c r="S960" i="1" s="1"/>
  <c r="Q960" i="1"/>
  <c r="P960" i="1"/>
  <c r="R959" i="1"/>
  <c r="S959" i="1" s="1"/>
  <c r="Q959" i="1"/>
  <c r="P959" i="1"/>
  <c r="T958" i="1"/>
  <c r="S958" i="1"/>
  <c r="W958" i="1" s="1"/>
  <c r="X958" i="1" s="1"/>
  <c r="Y958" i="1" s="1"/>
  <c r="Z958" i="1" s="1"/>
  <c r="R958" i="1"/>
  <c r="Q958" i="1"/>
  <c r="P958" i="1"/>
  <c r="Y957" i="1"/>
  <c r="Z957" i="1" s="1"/>
  <c r="X957" i="1"/>
  <c r="W957" i="1"/>
  <c r="V957" i="1"/>
  <c r="U957" i="1"/>
  <c r="T957" i="1"/>
  <c r="S957" i="1"/>
  <c r="R957" i="1"/>
  <c r="Q957" i="1"/>
  <c r="P957" i="1"/>
  <c r="U956" i="1"/>
  <c r="R956" i="1"/>
  <c r="S956" i="1" s="1"/>
  <c r="Q956" i="1"/>
  <c r="P956" i="1"/>
  <c r="Z955" i="1"/>
  <c r="Y955" i="1"/>
  <c r="W955" i="1"/>
  <c r="X955" i="1" s="1"/>
  <c r="R955" i="1"/>
  <c r="S955" i="1" s="1"/>
  <c r="Q955" i="1"/>
  <c r="P955" i="1"/>
  <c r="W954" i="1"/>
  <c r="X954" i="1" s="1"/>
  <c r="Y954" i="1" s="1"/>
  <c r="Z954" i="1" s="1"/>
  <c r="R954" i="1"/>
  <c r="S954" i="1" s="1"/>
  <c r="Q954" i="1"/>
  <c r="P954" i="1"/>
  <c r="R953" i="1"/>
  <c r="S953" i="1" s="1"/>
  <c r="Q953" i="1"/>
  <c r="P953" i="1"/>
  <c r="T952" i="1"/>
  <c r="R952" i="1"/>
  <c r="S952" i="1" s="1"/>
  <c r="Q952" i="1"/>
  <c r="P952" i="1"/>
  <c r="R951" i="1"/>
  <c r="S951" i="1" s="1"/>
  <c r="Q951" i="1"/>
  <c r="P951" i="1"/>
  <c r="S950" i="1"/>
  <c r="R950" i="1"/>
  <c r="Q950" i="1"/>
  <c r="P950" i="1"/>
  <c r="T949" i="1"/>
  <c r="R949" i="1"/>
  <c r="S949" i="1" s="1"/>
  <c r="Q949" i="1"/>
  <c r="P949" i="1"/>
  <c r="V948" i="1"/>
  <c r="S948" i="1"/>
  <c r="R948" i="1"/>
  <c r="Q948" i="1"/>
  <c r="P948" i="1"/>
  <c r="W947" i="1"/>
  <c r="X947" i="1" s="1"/>
  <c r="Y947" i="1" s="1"/>
  <c r="Z947" i="1" s="1"/>
  <c r="S947" i="1"/>
  <c r="R947" i="1"/>
  <c r="Q947" i="1"/>
  <c r="P947" i="1"/>
  <c r="X946" i="1"/>
  <c r="Y946" i="1" s="1"/>
  <c r="Z946" i="1" s="1"/>
  <c r="W946" i="1"/>
  <c r="R946" i="1"/>
  <c r="S946" i="1" s="1"/>
  <c r="Q946" i="1"/>
  <c r="P946" i="1"/>
  <c r="S945" i="1"/>
  <c r="R945" i="1"/>
  <c r="Q945" i="1"/>
  <c r="P945" i="1"/>
  <c r="X944" i="1"/>
  <c r="Y944" i="1" s="1"/>
  <c r="Z944" i="1" s="1"/>
  <c r="W944" i="1"/>
  <c r="S944" i="1"/>
  <c r="R944" i="1"/>
  <c r="Q944" i="1"/>
  <c r="P944" i="1"/>
  <c r="R943" i="1"/>
  <c r="S943" i="1" s="1"/>
  <c r="Q943" i="1"/>
  <c r="P943" i="1"/>
  <c r="R942" i="1"/>
  <c r="S942" i="1" s="1"/>
  <c r="Q942" i="1"/>
  <c r="P942" i="1"/>
  <c r="S941" i="1"/>
  <c r="R941" i="1"/>
  <c r="Q941" i="1"/>
  <c r="P941" i="1"/>
  <c r="R940" i="1"/>
  <c r="S940" i="1" s="1"/>
  <c r="Q940" i="1"/>
  <c r="P940" i="1"/>
  <c r="W939" i="1"/>
  <c r="X939" i="1" s="1"/>
  <c r="Y939" i="1" s="1"/>
  <c r="Z939" i="1" s="1"/>
  <c r="V939" i="1"/>
  <c r="T939" i="1"/>
  <c r="R939" i="1"/>
  <c r="S939" i="1" s="1"/>
  <c r="U939" i="1" s="1"/>
  <c r="Q939" i="1"/>
  <c r="P939" i="1"/>
  <c r="W938" i="1"/>
  <c r="X938" i="1" s="1"/>
  <c r="Y938" i="1" s="1"/>
  <c r="Z938" i="1" s="1"/>
  <c r="V938" i="1"/>
  <c r="T938" i="1"/>
  <c r="R938" i="1"/>
  <c r="S938" i="1" s="1"/>
  <c r="U938" i="1" s="1"/>
  <c r="Q938" i="1"/>
  <c r="P938" i="1"/>
  <c r="W937" i="1"/>
  <c r="X937" i="1" s="1"/>
  <c r="Y937" i="1" s="1"/>
  <c r="Z937" i="1" s="1"/>
  <c r="R937" i="1"/>
  <c r="S937" i="1" s="1"/>
  <c r="Q937" i="1"/>
  <c r="P937" i="1"/>
  <c r="Y936" i="1"/>
  <c r="Z936" i="1" s="1"/>
  <c r="W936" i="1"/>
  <c r="X936" i="1" s="1"/>
  <c r="V936" i="1"/>
  <c r="R936" i="1"/>
  <c r="S936" i="1" s="1"/>
  <c r="U936" i="1" s="1"/>
  <c r="Q936" i="1"/>
  <c r="P936" i="1"/>
  <c r="V935" i="1"/>
  <c r="R935" i="1"/>
  <c r="S935" i="1" s="1"/>
  <c r="Q935" i="1"/>
  <c r="P935" i="1"/>
  <c r="S934" i="1"/>
  <c r="R934" i="1"/>
  <c r="Q934" i="1"/>
  <c r="P934" i="1"/>
  <c r="R933" i="1"/>
  <c r="S933" i="1" s="1"/>
  <c r="Q933" i="1"/>
  <c r="P933" i="1"/>
  <c r="V932" i="1"/>
  <c r="U932" i="1"/>
  <c r="T932" i="1"/>
  <c r="S932" i="1"/>
  <c r="W932" i="1" s="1"/>
  <c r="X932" i="1" s="1"/>
  <c r="Y932" i="1" s="1"/>
  <c r="Z932" i="1" s="1"/>
  <c r="R932" i="1"/>
  <c r="Q932" i="1"/>
  <c r="P932" i="1"/>
  <c r="V931" i="1"/>
  <c r="R931" i="1"/>
  <c r="S931" i="1" s="1"/>
  <c r="Q931" i="1"/>
  <c r="P931" i="1"/>
  <c r="R930" i="1"/>
  <c r="S930" i="1" s="1"/>
  <c r="Q930" i="1"/>
  <c r="P930" i="1"/>
  <c r="T929" i="1"/>
  <c r="S929" i="1"/>
  <c r="R929" i="1"/>
  <c r="Q929" i="1"/>
  <c r="P929" i="1"/>
  <c r="V928" i="1"/>
  <c r="U928" i="1"/>
  <c r="T928" i="1"/>
  <c r="S928" i="1"/>
  <c r="W928" i="1" s="1"/>
  <c r="X928" i="1" s="1"/>
  <c r="Y928" i="1" s="1"/>
  <c r="Z928" i="1" s="1"/>
  <c r="R928" i="1"/>
  <c r="Q928" i="1"/>
  <c r="P928" i="1"/>
  <c r="U927" i="1"/>
  <c r="R927" i="1"/>
  <c r="S927" i="1" s="1"/>
  <c r="Q927" i="1"/>
  <c r="P927" i="1"/>
  <c r="Y926" i="1"/>
  <c r="Z926" i="1" s="1"/>
  <c r="W926" i="1"/>
  <c r="X926" i="1" s="1"/>
  <c r="V926" i="1"/>
  <c r="R926" i="1"/>
  <c r="S926" i="1" s="1"/>
  <c r="T926" i="1" s="1"/>
  <c r="Q926" i="1"/>
  <c r="P926" i="1"/>
  <c r="U925" i="1"/>
  <c r="R925" i="1"/>
  <c r="S925" i="1" s="1"/>
  <c r="Q925" i="1"/>
  <c r="P925" i="1"/>
  <c r="X924" i="1"/>
  <c r="Y924" i="1" s="1"/>
  <c r="Z924" i="1" s="1"/>
  <c r="W924" i="1"/>
  <c r="S924" i="1"/>
  <c r="R924" i="1"/>
  <c r="Q924" i="1"/>
  <c r="P924" i="1"/>
  <c r="S923" i="1"/>
  <c r="R923" i="1"/>
  <c r="Q923" i="1"/>
  <c r="P923" i="1"/>
  <c r="U922" i="1"/>
  <c r="S922" i="1"/>
  <c r="R922" i="1"/>
  <c r="Q922" i="1"/>
  <c r="P922" i="1"/>
  <c r="U921" i="1"/>
  <c r="R921" i="1"/>
  <c r="S921" i="1" s="1"/>
  <c r="Q921" i="1"/>
  <c r="P921" i="1"/>
  <c r="U920" i="1"/>
  <c r="T920" i="1"/>
  <c r="S920" i="1"/>
  <c r="R920" i="1"/>
  <c r="Q920" i="1"/>
  <c r="P920" i="1"/>
  <c r="S919" i="1"/>
  <c r="R919" i="1"/>
  <c r="Q919" i="1"/>
  <c r="P919" i="1"/>
  <c r="R918" i="1"/>
  <c r="S918" i="1" s="1"/>
  <c r="Q918" i="1"/>
  <c r="P918" i="1"/>
  <c r="V917" i="1"/>
  <c r="U917" i="1"/>
  <c r="R917" i="1"/>
  <c r="S917" i="1" s="1"/>
  <c r="T917" i="1" s="1"/>
  <c r="Q917" i="1"/>
  <c r="P917" i="1"/>
  <c r="U916" i="1"/>
  <c r="S916" i="1"/>
  <c r="R916" i="1"/>
  <c r="Q916" i="1"/>
  <c r="P916" i="1"/>
  <c r="V915" i="1"/>
  <c r="R915" i="1"/>
  <c r="S915" i="1" s="1"/>
  <c r="Q915" i="1"/>
  <c r="P915" i="1"/>
  <c r="R914" i="1"/>
  <c r="S914" i="1" s="1"/>
  <c r="Q914" i="1"/>
  <c r="P914" i="1"/>
  <c r="R913" i="1"/>
  <c r="S913" i="1" s="1"/>
  <c r="Q913" i="1"/>
  <c r="P913" i="1"/>
  <c r="U912" i="1"/>
  <c r="R912" i="1"/>
  <c r="S912" i="1" s="1"/>
  <c r="Q912" i="1"/>
  <c r="P912" i="1"/>
  <c r="R911" i="1"/>
  <c r="S911" i="1" s="1"/>
  <c r="Q911" i="1"/>
  <c r="P911" i="1"/>
  <c r="S910" i="1"/>
  <c r="R910" i="1"/>
  <c r="Q910" i="1"/>
  <c r="P910" i="1"/>
  <c r="S909" i="1"/>
  <c r="R909" i="1"/>
  <c r="Q909" i="1"/>
  <c r="P909" i="1"/>
  <c r="V908" i="1"/>
  <c r="S908" i="1"/>
  <c r="R908" i="1"/>
  <c r="Q908" i="1"/>
  <c r="P908" i="1"/>
  <c r="S907" i="1"/>
  <c r="R907" i="1"/>
  <c r="Q907" i="1"/>
  <c r="P907" i="1"/>
  <c r="W906" i="1"/>
  <c r="X906" i="1" s="1"/>
  <c r="Y906" i="1" s="1"/>
  <c r="Z906" i="1" s="1"/>
  <c r="R906" i="1"/>
  <c r="S906" i="1" s="1"/>
  <c r="Q906" i="1"/>
  <c r="P906" i="1"/>
  <c r="V905" i="1"/>
  <c r="S905" i="1"/>
  <c r="W905" i="1" s="1"/>
  <c r="X905" i="1" s="1"/>
  <c r="Y905" i="1" s="1"/>
  <c r="Z905" i="1" s="1"/>
  <c r="R905" i="1"/>
  <c r="Q905" i="1"/>
  <c r="P905" i="1"/>
  <c r="W904" i="1"/>
  <c r="X904" i="1" s="1"/>
  <c r="Y904" i="1" s="1"/>
  <c r="Z904" i="1" s="1"/>
  <c r="S904" i="1"/>
  <c r="R904" i="1"/>
  <c r="Q904" i="1"/>
  <c r="P904" i="1"/>
  <c r="S903" i="1"/>
  <c r="R903" i="1"/>
  <c r="Q903" i="1"/>
  <c r="P903" i="1"/>
  <c r="S902" i="1"/>
  <c r="R902" i="1"/>
  <c r="Q902" i="1"/>
  <c r="P902" i="1"/>
  <c r="Z901" i="1"/>
  <c r="Y901" i="1"/>
  <c r="V901" i="1"/>
  <c r="T901" i="1"/>
  <c r="S901" i="1"/>
  <c r="W901" i="1" s="1"/>
  <c r="X901" i="1" s="1"/>
  <c r="R901" i="1"/>
  <c r="Q901" i="1"/>
  <c r="P901" i="1"/>
  <c r="W900" i="1"/>
  <c r="X900" i="1" s="1"/>
  <c r="Y900" i="1" s="1"/>
  <c r="Z900" i="1" s="1"/>
  <c r="S900" i="1"/>
  <c r="V900" i="1" s="1"/>
  <c r="R900" i="1"/>
  <c r="Q900" i="1"/>
  <c r="P900" i="1"/>
  <c r="S899" i="1"/>
  <c r="R899" i="1"/>
  <c r="Q899" i="1"/>
  <c r="P899" i="1"/>
  <c r="R898" i="1"/>
  <c r="S898" i="1" s="1"/>
  <c r="Q898" i="1"/>
  <c r="P898" i="1"/>
  <c r="R897" i="1"/>
  <c r="S897" i="1" s="1"/>
  <c r="Q897" i="1"/>
  <c r="P897" i="1"/>
  <c r="X896" i="1"/>
  <c r="Y896" i="1" s="1"/>
  <c r="Z896" i="1" s="1"/>
  <c r="W896" i="1"/>
  <c r="V896" i="1"/>
  <c r="U896" i="1"/>
  <c r="S896" i="1"/>
  <c r="T896" i="1" s="1"/>
  <c r="R896" i="1"/>
  <c r="Q896" i="1"/>
  <c r="P896" i="1"/>
  <c r="W895" i="1"/>
  <c r="X895" i="1" s="1"/>
  <c r="Y895" i="1" s="1"/>
  <c r="Z895" i="1" s="1"/>
  <c r="R895" i="1"/>
  <c r="S895" i="1" s="1"/>
  <c r="Q895" i="1"/>
  <c r="P895" i="1"/>
  <c r="S894" i="1"/>
  <c r="R894" i="1"/>
  <c r="Q894" i="1"/>
  <c r="P894" i="1"/>
  <c r="T893" i="1"/>
  <c r="R893" i="1"/>
  <c r="S893" i="1" s="1"/>
  <c r="Q893" i="1"/>
  <c r="P893" i="1"/>
  <c r="T892" i="1"/>
  <c r="S892" i="1"/>
  <c r="R892" i="1"/>
  <c r="Q892" i="1"/>
  <c r="P892" i="1"/>
  <c r="V891" i="1"/>
  <c r="T891" i="1"/>
  <c r="R891" i="1"/>
  <c r="S891" i="1" s="1"/>
  <c r="Q891" i="1"/>
  <c r="P891" i="1"/>
  <c r="R890" i="1"/>
  <c r="S890" i="1" s="1"/>
  <c r="Q890" i="1"/>
  <c r="P890" i="1"/>
  <c r="V889" i="1"/>
  <c r="S889" i="1"/>
  <c r="R889" i="1"/>
  <c r="Q889" i="1"/>
  <c r="P889" i="1"/>
  <c r="S888" i="1"/>
  <c r="W888" i="1" s="1"/>
  <c r="X888" i="1" s="1"/>
  <c r="Y888" i="1" s="1"/>
  <c r="Z888" i="1" s="1"/>
  <c r="R888" i="1"/>
  <c r="Q888" i="1"/>
  <c r="P888" i="1"/>
  <c r="V887" i="1"/>
  <c r="U887" i="1"/>
  <c r="R887" i="1"/>
  <c r="S887" i="1" s="1"/>
  <c r="W887" i="1" s="1"/>
  <c r="X887" i="1" s="1"/>
  <c r="Y887" i="1" s="1"/>
  <c r="Z887" i="1" s="1"/>
  <c r="Q887" i="1"/>
  <c r="P887" i="1"/>
  <c r="W886" i="1"/>
  <c r="X886" i="1" s="1"/>
  <c r="Y886" i="1" s="1"/>
  <c r="Z886" i="1" s="1"/>
  <c r="U886" i="1"/>
  <c r="R886" i="1"/>
  <c r="S886" i="1" s="1"/>
  <c r="T886" i="1" s="1"/>
  <c r="Q886" i="1"/>
  <c r="P886" i="1"/>
  <c r="R885" i="1"/>
  <c r="S885" i="1" s="1"/>
  <c r="Q885" i="1"/>
  <c r="P885" i="1"/>
  <c r="S884" i="1"/>
  <c r="R884" i="1"/>
  <c r="Q884" i="1"/>
  <c r="P884" i="1"/>
  <c r="V883" i="1"/>
  <c r="U883" i="1"/>
  <c r="T883" i="1"/>
  <c r="S883" i="1"/>
  <c r="W883" i="1" s="1"/>
  <c r="X883" i="1" s="1"/>
  <c r="Y883" i="1" s="1"/>
  <c r="Z883" i="1" s="1"/>
  <c r="R883" i="1"/>
  <c r="Q883" i="1"/>
  <c r="P883" i="1"/>
  <c r="S882" i="1"/>
  <c r="R882" i="1"/>
  <c r="Q882" i="1"/>
  <c r="P882" i="1"/>
  <c r="R881" i="1"/>
  <c r="S881" i="1" s="1"/>
  <c r="Q881" i="1"/>
  <c r="P881" i="1"/>
  <c r="T880" i="1"/>
  <c r="R880" i="1"/>
  <c r="S880" i="1" s="1"/>
  <c r="Q880" i="1"/>
  <c r="P880" i="1"/>
  <c r="T879" i="1"/>
  <c r="R879" i="1"/>
  <c r="S879" i="1" s="1"/>
  <c r="U879" i="1" s="1"/>
  <c r="Q879" i="1"/>
  <c r="P879" i="1"/>
  <c r="U878" i="1"/>
  <c r="T878" i="1"/>
  <c r="R878" i="1"/>
  <c r="S878" i="1" s="1"/>
  <c r="Q878" i="1"/>
  <c r="P878" i="1"/>
  <c r="W877" i="1"/>
  <c r="X877" i="1" s="1"/>
  <c r="Y877" i="1" s="1"/>
  <c r="Z877" i="1" s="1"/>
  <c r="R877" i="1"/>
  <c r="S877" i="1" s="1"/>
  <c r="Q877" i="1"/>
  <c r="P877" i="1"/>
  <c r="U876" i="1"/>
  <c r="R876" i="1"/>
  <c r="S876" i="1" s="1"/>
  <c r="Q876" i="1"/>
  <c r="P876" i="1"/>
  <c r="R875" i="1"/>
  <c r="S875" i="1" s="1"/>
  <c r="Q875" i="1"/>
  <c r="P875" i="1"/>
  <c r="X874" i="1"/>
  <c r="Y874" i="1" s="1"/>
  <c r="Z874" i="1" s="1"/>
  <c r="W874" i="1"/>
  <c r="T874" i="1"/>
  <c r="S874" i="1"/>
  <c r="R874" i="1"/>
  <c r="Q874" i="1"/>
  <c r="P874" i="1"/>
  <c r="T873" i="1"/>
  <c r="R873" i="1"/>
  <c r="S873" i="1" s="1"/>
  <c r="Q873" i="1"/>
  <c r="P873" i="1"/>
  <c r="R872" i="1"/>
  <c r="S872" i="1" s="1"/>
  <c r="Q872" i="1"/>
  <c r="P872" i="1"/>
  <c r="T871" i="1"/>
  <c r="S871" i="1"/>
  <c r="R871" i="1"/>
  <c r="Q871" i="1"/>
  <c r="P871" i="1"/>
  <c r="T870" i="1"/>
  <c r="S870" i="1"/>
  <c r="R870" i="1"/>
  <c r="Q870" i="1"/>
  <c r="P870" i="1"/>
  <c r="S869" i="1"/>
  <c r="R869" i="1"/>
  <c r="Q869" i="1"/>
  <c r="P869" i="1"/>
  <c r="W868" i="1"/>
  <c r="X868" i="1" s="1"/>
  <c r="Y868" i="1" s="1"/>
  <c r="Z868" i="1" s="1"/>
  <c r="T868" i="1"/>
  <c r="S868" i="1"/>
  <c r="V868" i="1" s="1"/>
  <c r="R868" i="1"/>
  <c r="Q868" i="1"/>
  <c r="P868" i="1"/>
  <c r="U867" i="1"/>
  <c r="T867" i="1"/>
  <c r="R867" i="1"/>
  <c r="S867" i="1" s="1"/>
  <c r="Q867" i="1"/>
  <c r="P867" i="1"/>
  <c r="W866" i="1"/>
  <c r="X866" i="1" s="1"/>
  <c r="Y866" i="1" s="1"/>
  <c r="Z866" i="1" s="1"/>
  <c r="V866" i="1"/>
  <c r="U866" i="1"/>
  <c r="R866" i="1"/>
  <c r="S866" i="1" s="1"/>
  <c r="T866" i="1" s="1"/>
  <c r="Q866" i="1"/>
  <c r="P866" i="1"/>
  <c r="R865" i="1"/>
  <c r="S865" i="1" s="1"/>
  <c r="Q865" i="1"/>
  <c r="P865" i="1"/>
  <c r="X864" i="1"/>
  <c r="Y864" i="1" s="1"/>
  <c r="Z864" i="1" s="1"/>
  <c r="W864" i="1"/>
  <c r="S864" i="1"/>
  <c r="R864" i="1"/>
  <c r="Q864" i="1"/>
  <c r="P864" i="1"/>
  <c r="R863" i="1"/>
  <c r="S863" i="1" s="1"/>
  <c r="Q863" i="1"/>
  <c r="P863" i="1"/>
  <c r="S862" i="1"/>
  <c r="R862" i="1"/>
  <c r="Q862" i="1"/>
  <c r="P862" i="1"/>
  <c r="R861" i="1"/>
  <c r="S861" i="1" s="1"/>
  <c r="Q861" i="1"/>
  <c r="P861" i="1"/>
  <c r="R860" i="1"/>
  <c r="S860" i="1" s="1"/>
  <c r="Q860" i="1"/>
  <c r="P860" i="1"/>
  <c r="Y859" i="1"/>
  <c r="Z859" i="1" s="1"/>
  <c r="X859" i="1"/>
  <c r="W859" i="1"/>
  <c r="T859" i="1"/>
  <c r="S859" i="1"/>
  <c r="R859" i="1"/>
  <c r="Q859" i="1"/>
  <c r="P859" i="1"/>
  <c r="V858" i="1"/>
  <c r="S858" i="1"/>
  <c r="W858" i="1" s="1"/>
  <c r="X858" i="1" s="1"/>
  <c r="Y858" i="1" s="1"/>
  <c r="Z858" i="1" s="1"/>
  <c r="R858" i="1"/>
  <c r="Q858" i="1"/>
  <c r="P858" i="1"/>
  <c r="W857" i="1"/>
  <c r="X857" i="1" s="1"/>
  <c r="Y857" i="1" s="1"/>
  <c r="Z857" i="1" s="1"/>
  <c r="T857" i="1"/>
  <c r="R857" i="1"/>
  <c r="S857" i="1" s="1"/>
  <c r="Q857" i="1"/>
  <c r="P857" i="1"/>
  <c r="U856" i="1"/>
  <c r="T856" i="1"/>
  <c r="S856" i="1"/>
  <c r="W856" i="1" s="1"/>
  <c r="X856" i="1" s="1"/>
  <c r="Y856" i="1" s="1"/>
  <c r="Z856" i="1" s="1"/>
  <c r="R856" i="1"/>
  <c r="Q856" i="1"/>
  <c r="P856" i="1"/>
  <c r="Y855" i="1"/>
  <c r="Z855" i="1" s="1"/>
  <c r="X855" i="1"/>
  <c r="W855" i="1"/>
  <c r="R855" i="1"/>
  <c r="S855" i="1" s="1"/>
  <c r="Q855" i="1"/>
  <c r="P855" i="1"/>
  <c r="R854" i="1"/>
  <c r="S854" i="1" s="1"/>
  <c r="Q854" i="1"/>
  <c r="P854" i="1"/>
  <c r="R853" i="1"/>
  <c r="S853" i="1" s="1"/>
  <c r="Q853" i="1"/>
  <c r="P853" i="1"/>
  <c r="U852" i="1"/>
  <c r="S852" i="1"/>
  <c r="R852" i="1"/>
  <c r="Q852" i="1"/>
  <c r="P852" i="1"/>
  <c r="S851" i="1"/>
  <c r="R851" i="1"/>
  <c r="Q851" i="1"/>
  <c r="P851" i="1"/>
  <c r="S850" i="1"/>
  <c r="R850" i="1"/>
  <c r="Q850" i="1"/>
  <c r="P850" i="1"/>
  <c r="X849" i="1"/>
  <c r="Y849" i="1" s="1"/>
  <c r="Z849" i="1" s="1"/>
  <c r="V849" i="1"/>
  <c r="U849" i="1"/>
  <c r="S849" i="1"/>
  <c r="W849" i="1" s="1"/>
  <c r="R849" i="1"/>
  <c r="Q849" i="1"/>
  <c r="P849" i="1"/>
  <c r="W848" i="1"/>
  <c r="X848" i="1" s="1"/>
  <c r="Y848" i="1" s="1"/>
  <c r="Z848" i="1" s="1"/>
  <c r="V848" i="1"/>
  <c r="S848" i="1"/>
  <c r="R848" i="1"/>
  <c r="Q848" i="1"/>
  <c r="P848" i="1"/>
  <c r="U847" i="1"/>
  <c r="T847" i="1"/>
  <c r="R847" i="1"/>
  <c r="S847" i="1" s="1"/>
  <c r="Q847" i="1"/>
  <c r="P847" i="1"/>
  <c r="R846" i="1"/>
  <c r="S846" i="1" s="1"/>
  <c r="Q846" i="1"/>
  <c r="P846" i="1"/>
  <c r="R845" i="1"/>
  <c r="S845" i="1" s="1"/>
  <c r="Q845" i="1"/>
  <c r="P845" i="1"/>
  <c r="W844" i="1"/>
  <c r="X844" i="1" s="1"/>
  <c r="Y844" i="1" s="1"/>
  <c r="Z844" i="1" s="1"/>
  <c r="S844" i="1"/>
  <c r="R844" i="1"/>
  <c r="Q844" i="1"/>
  <c r="P844" i="1"/>
  <c r="R843" i="1"/>
  <c r="S843" i="1" s="1"/>
  <c r="Q843" i="1"/>
  <c r="P843" i="1"/>
  <c r="R842" i="1"/>
  <c r="S842" i="1" s="1"/>
  <c r="Q842" i="1"/>
  <c r="P842" i="1"/>
  <c r="U841" i="1"/>
  <c r="T841" i="1"/>
  <c r="S841" i="1"/>
  <c r="W841" i="1" s="1"/>
  <c r="X841" i="1" s="1"/>
  <c r="Y841" i="1" s="1"/>
  <c r="Z841" i="1" s="1"/>
  <c r="R841" i="1"/>
  <c r="Q841" i="1"/>
  <c r="P841" i="1"/>
  <c r="U840" i="1"/>
  <c r="T840" i="1"/>
  <c r="R840" i="1"/>
  <c r="S840" i="1" s="1"/>
  <c r="V840" i="1" s="1"/>
  <c r="Q840" i="1"/>
  <c r="P840" i="1"/>
  <c r="X839" i="1"/>
  <c r="Y839" i="1" s="1"/>
  <c r="Z839" i="1" s="1"/>
  <c r="W839" i="1"/>
  <c r="V839" i="1"/>
  <c r="T839" i="1"/>
  <c r="S839" i="1"/>
  <c r="U839" i="1" s="1"/>
  <c r="R839" i="1"/>
  <c r="Q839" i="1"/>
  <c r="P839" i="1"/>
  <c r="U838" i="1"/>
  <c r="R838" i="1"/>
  <c r="S838" i="1" s="1"/>
  <c r="W838" i="1" s="1"/>
  <c r="X838" i="1" s="1"/>
  <c r="Y838" i="1" s="1"/>
  <c r="Z838" i="1" s="1"/>
  <c r="Q838" i="1"/>
  <c r="P838" i="1"/>
  <c r="R837" i="1"/>
  <c r="S837" i="1" s="1"/>
  <c r="Q837" i="1"/>
  <c r="P837" i="1"/>
  <c r="V836" i="1"/>
  <c r="U836" i="1"/>
  <c r="T836" i="1"/>
  <c r="R836" i="1"/>
  <c r="S836" i="1" s="1"/>
  <c r="W836" i="1" s="1"/>
  <c r="X836" i="1" s="1"/>
  <c r="Y836" i="1" s="1"/>
  <c r="Z836" i="1" s="1"/>
  <c r="Q836" i="1"/>
  <c r="P836" i="1"/>
  <c r="W835" i="1"/>
  <c r="X835" i="1" s="1"/>
  <c r="Y835" i="1" s="1"/>
  <c r="Z835" i="1" s="1"/>
  <c r="V835" i="1"/>
  <c r="R835" i="1"/>
  <c r="S835" i="1" s="1"/>
  <c r="Q835" i="1"/>
  <c r="P835" i="1"/>
  <c r="Z834" i="1"/>
  <c r="X834" i="1"/>
  <c r="Y834" i="1" s="1"/>
  <c r="W834" i="1"/>
  <c r="V834" i="1"/>
  <c r="U834" i="1"/>
  <c r="S834" i="1"/>
  <c r="T834" i="1" s="1"/>
  <c r="R834" i="1"/>
  <c r="Q834" i="1"/>
  <c r="P834" i="1"/>
  <c r="V833" i="1"/>
  <c r="R833" i="1"/>
  <c r="S833" i="1" s="1"/>
  <c r="Q833" i="1"/>
  <c r="P833" i="1"/>
  <c r="X832" i="1"/>
  <c r="Y832" i="1" s="1"/>
  <c r="Z832" i="1" s="1"/>
  <c r="W832" i="1"/>
  <c r="V832" i="1"/>
  <c r="U832" i="1"/>
  <c r="S832" i="1"/>
  <c r="T832" i="1" s="1"/>
  <c r="R832" i="1"/>
  <c r="Q832" i="1"/>
  <c r="P832" i="1"/>
  <c r="S831" i="1"/>
  <c r="R831" i="1"/>
  <c r="Q831" i="1"/>
  <c r="P831" i="1"/>
  <c r="R830" i="1"/>
  <c r="S830" i="1" s="1"/>
  <c r="Q830" i="1"/>
  <c r="P830" i="1"/>
  <c r="R829" i="1"/>
  <c r="S829" i="1" s="1"/>
  <c r="Q829" i="1"/>
  <c r="P829" i="1"/>
  <c r="V828" i="1"/>
  <c r="R828" i="1"/>
  <c r="S828" i="1" s="1"/>
  <c r="Q828" i="1"/>
  <c r="P828" i="1"/>
  <c r="R827" i="1"/>
  <c r="S827" i="1" s="1"/>
  <c r="Q827" i="1"/>
  <c r="P827" i="1"/>
  <c r="X826" i="1"/>
  <c r="Y826" i="1" s="1"/>
  <c r="Z826" i="1" s="1"/>
  <c r="U826" i="1"/>
  <c r="T826" i="1"/>
  <c r="S826" i="1"/>
  <c r="W826" i="1" s="1"/>
  <c r="R826" i="1"/>
  <c r="Q826" i="1"/>
  <c r="P826" i="1"/>
  <c r="W825" i="1"/>
  <c r="X825" i="1" s="1"/>
  <c r="Y825" i="1" s="1"/>
  <c r="Z825" i="1" s="1"/>
  <c r="R825" i="1"/>
  <c r="S825" i="1" s="1"/>
  <c r="Q825" i="1"/>
  <c r="P825" i="1"/>
  <c r="R824" i="1"/>
  <c r="S824" i="1" s="1"/>
  <c r="Q824" i="1"/>
  <c r="P824" i="1"/>
  <c r="X823" i="1"/>
  <c r="Y823" i="1" s="1"/>
  <c r="Z823" i="1" s="1"/>
  <c r="W823" i="1"/>
  <c r="V823" i="1"/>
  <c r="T823" i="1"/>
  <c r="S823" i="1"/>
  <c r="U823" i="1" s="1"/>
  <c r="R823" i="1"/>
  <c r="Q823" i="1"/>
  <c r="P823" i="1"/>
  <c r="Z822" i="1"/>
  <c r="W822" i="1"/>
  <c r="X822" i="1" s="1"/>
  <c r="Y822" i="1" s="1"/>
  <c r="S822" i="1"/>
  <c r="R822" i="1"/>
  <c r="Q822" i="1"/>
  <c r="P822" i="1"/>
  <c r="Y821" i="1"/>
  <c r="Z821" i="1" s="1"/>
  <c r="X821" i="1"/>
  <c r="W821" i="1"/>
  <c r="V821" i="1"/>
  <c r="T821" i="1"/>
  <c r="S821" i="1"/>
  <c r="U821" i="1" s="1"/>
  <c r="R821" i="1"/>
  <c r="Q821" i="1"/>
  <c r="P821" i="1"/>
  <c r="U820" i="1"/>
  <c r="R820" i="1"/>
  <c r="S820" i="1" s="1"/>
  <c r="Q820" i="1"/>
  <c r="P820" i="1"/>
  <c r="Z819" i="1"/>
  <c r="W819" i="1"/>
  <c r="X819" i="1" s="1"/>
  <c r="Y819" i="1" s="1"/>
  <c r="V819" i="1"/>
  <c r="R819" i="1"/>
  <c r="S819" i="1" s="1"/>
  <c r="U819" i="1" s="1"/>
  <c r="Q819" i="1"/>
  <c r="P819" i="1"/>
  <c r="W818" i="1"/>
  <c r="X818" i="1" s="1"/>
  <c r="Y818" i="1" s="1"/>
  <c r="Z818" i="1" s="1"/>
  <c r="T818" i="1"/>
  <c r="S818" i="1"/>
  <c r="R818" i="1"/>
  <c r="Q818" i="1"/>
  <c r="P818" i="1"/>
  <c r="U817" i="1"/>
  <c r="T817" i="1"/>
  <c r="R817" i="1"/>
  <c r="S817" i="1" s="1"/>
  <c r="Q817" i="1"/>
  <c r="P817" i="1"/>
  <c r="U816" i="1"/>
  <c r="T816" i="1"/>
  <c r="S816" i="1"/>
  <c r="W816" i="1" s="1"/>
  <c r="X816" i="1" s="1"/>
  <c r="Y816" i="1" s="1"/>
  <c r="Z816" i="1" s="1"/>
  <c r="R816" i="1"/>
  <c r="Q816" i="1"/>
  <c r="P816" i="1"/>
  <c r="Y815" i="1"/>
  <c r="Z815" i="1" s="1"/>
  <c r="X815" i="1"/>
  <c r="W815" i="1"/>
  <c r="U815" i="1"/>
  <c r="T815" i="1"/>
  <c r="R815" i="1"/>
  <c r="S815" i="1" s="1"/>
  <c r="V815" i="1" s="1"/>
  <c r="Q815" i="1"/>
  <c r="P815" i="1"/>
  <c r="S814" i="1"/>
  <c r="R814" i="1"/>
  <c r="Q814" i="1"/>
  <c r="P814" i="1"/>
  <c r="W813" i="1"/>
  <c r="X813" i="1" s="1"/>
  <c r="Y813" i="1" s="1"/>
  <c r="Z813" i="1" s="1"/>
  <c r="R813" i="1"/>
  <c r="S813" i="1" s="1"/>
  <c r="Q813" i="1"/>
  <c r="P813" i="1"/>
  <c r="S812" i="1"/>
  <c r="R812" i="1"/>
  <c r="Q812" i="1"/>
  <c r="P812" i="1"/>
  <c r="U811" i="1"/>
  <c r="T811" i="1"/>
  <c r="R811" i="1"/>
  <c r="S811" i="1" s="1"/>
  <c r="Q811" i="1"/>
  <c r="P811" i="1"/>
  <c r="R810" i="1"/>
  <c r="S810" i="1" s="1"/>
  <c r="Q810" i="1"/>
  <c r="P810" i="1"/>
  <c r="R809" i="1"/>
  <c r="S809" i="1" s="1"/>
  <c r="Q809" i="1"/>
  <c r="P809" i="1"/>
  <c r="R808" i="1"/>
  <c r="S808" i="1" s="1"/>
  <c r="Q808" i="1"/>
  <c r="P808" i="1"/>
  <c r="U807" i="1"/>
  <c r="R807" i="1"/>
  <c r="S807" i="1" s="1"/>
  <c r="Q807" i="1"/>
  <c r="P807" i="1"/>
  <c r="Y806" i="1"/>
  <c r="Z806" i="1" s="1"/>
  <c r="X806" i="1"/>
  <c r="W806" i="1"/>
  <c r="V806" i="1"/>
  <c r="T806" i="1"/>
  <c r="S806" i="1"/>
  <c r="U806" i="1" s="1"/>
  <c r="R806" i="1"/>
  <c r="Q806" i="1"/>
  <c r="P806" i="1"/>
  <c r="R805" i="1"/>
  <c r="S805" i="1" s="1"/>
  <c r="Q805" i="1"/>
  <c r="P805" i="1"/>
  <c r="X804" i="1"/>
  <c r="Y804" i="1" s="1"/>
  <c r="Z804" i="1" s="1"/>
  <c r="W804" i="1"/>
  <c r="V804" i="1"/>
  <c r="R804" i="1"/>
  <c r="S804" i="1" s="1"/>
  <c r="T804" i="1" s="1"/>
  <c r="Q804" i="1"/>
  <c r="P804" i="1"/>
  <c r="R803" i="1"/>
  <c r="S803" i="1" s="1"/>
  <c r="Q803" i="1"/>
  <c r="P803" i="1"/>
  <c r="X802" i="1"/>
  <c r="Y802" i="1" s="1"/>
  <c r="Z802" i="1" s="1"/>
  <c r="W802" i="1"/>
  <c r="S802" i="1"/>
  <c r="R802" i="1"/>
  <c r="Q802" i="1"/>
  <c r="P802" i="1"/>
  <c r="W801" i="1"/>
  <c r="X801" i="1" s="1"/>
  <c r="Y801" i="1" s="1"/>
  <c r="Z801" i="1" s="1"/>
  <c r="T801" i="1"/>
  <c r="R801" i="1"/>
  <c r="S801" i="1" s="1"/>
  <c r="Q801" i="1"/>
  <c r="P801" i="1"/>
  <c r="V800" i="1"/>
  <c r="U800" i="1"/>
  <c r="R800" i="1"/>
  <c r="S800" i="1" s="1"/>
  <c r="Q800" i="1"/>
  <c r="P800" i="1"/>
  <c r="R799" i="1"/>
  <c r="S799" i="1" s="1"/>
  <c r="Q799" i="1"/>
  <c r="P799" i="1"/>
  <c r="X798" i="1"/>
  <c r="Y798" i="1" s="1"/>
  <c r="Z798" i="1" s="1"/>
  <c r="W798" i="1"/>
  <c r="R798" i="1"/>
  <c r="S798" i="1" s="1"/>
  <c r="Q798" i="1"/>
  <c r="P798" i="1"/>
  <c r="S797" i="1"/>
  <c r="R797" i="1"/>
  <c r="Q797" i="1"/>
  <c r="P797" i="1"/>
  <c r="V796" i="1"/>
  <c r="U796" i="1"/>
  <c r="R796" i="1"/>
  <c r="S796" i="1" s="1"/>
  <c r="Q796" i="1"/>
  <c r="P796" i="1"/>
  <c r="R795" i="1"/>
  <c r="S795" i="1" s="1"/>
  <c r="Q795" i="1"/>
  <c r="P795" i="1"/>
  <c r="U794" i="1"/>
  <c r="T794" i="1"/>
  <c r="S794" i="1"/>
  <c r="W794" i="1" s="1"/>
  <c r="X794" i="1" s="1"/>
  <c r="Y794" i="1" s="1"/>
  <c r="Z794" i="1" s="1"/>
  <c r="R794" i="1"/>
  <c r="Q794" i="1"/>
  <c r="P794" i="1"/>
  <c r="R793" i="1"/>
  <c r="S793" i="1" s="1"/>
  <c r="Q793" i="1"/>
  <c r="P793" i="1"/>
  <c r="U792" i="1"/>
  <c r="T792" i="1"/>
  <c r="S792" i="1"/>
  <c r="W792" i="1" s="1"/>
  <c r="X792" i="1" s="1"/>
  <c r="Y792" i="1" s="1"/>
  <c r="Z792" i="1" s="1"/>
  <c r="R792" i="1"/>
  <c r="Q792" i="1"/>
  <c r="P792" i="1"/>
  <c r="Z791" i="1"/>
  <c r="Y791" i="1"/>
  <c r="X791" i="1"/>
  <c r="U791" i="1"/>
  <c r="T791" i="1"/>
  <c r="S791" i="1"/>
  <c r="W791" i="1" s="1"/>
  <c r="R791" i="1"/>
  <c r="Q791" i="1"/>
  <c r="P791" i="1"/>
  <c r="X790" i="1"/>
  <c r="Y790" i="1" s="1"/>
  <c r="Z790" i="1" s="1"/>
  <c r="U790" i="1"/>
  <c r="T790" i="1"/>
  <c r="S790" i="1"/>
  <c r="W790" i="1" s="1"/>
  <c r="R790" i="1"/>
  <c r="Q790" i="1"/>
  <c r="P790" i="1"/>
  <c r="Z789" i="1"/>
  <c r="W789" i="1"/>
  <c r="X789" i="1" s="1"/>
  <c r="Y789" i="1" s="1"/>
  <c r="S789" i="1"/>
  <c r="R789" i="1"/>
  <c r="Q789" i="1"/>
  <c r="P789" i="1"/>
  <c r="V788" i="1"/>
  <c r="S788" i="1"/>
  <c r="R788" i="1"/>
  <c r="Q788" i="1"/>
  <c r="P788" i="1"/>
  <c r="U787" i="1"/>
  <c r="R787" i="1"/>
  <c r="S787" i="1" s="1"/>
  <c r="Q787" i="1"/>
  <c r="P787" i="1"/>
  <c r="X786" i="1"/>
  <c r="Y786" i="1" s="1"/>
  <c r="Z786" i="1" s="1"/>
  <c r="W786" i="1"/>
  <c r="U786" i="1"/>
  <c r="S786" i="1"/>
  <c r="V786" i="1" s="1"/>
  <c r="R786" i="1"/>
  <c r="Q786" i="1"/>
  <c r="P786" i="1"/>
  <c r="V785" i="1"/>
  <c r="R785" i="1"/>
  <c r="S785" i="1" s="1"/>
  <c r="Q785" i="1"/>
  <c r="P785" i="1"/>
  <c r="X784" i="1"/>
  <c r="Y784" i="1" s="1"/>
  <c r="Z784" i="1" s="1"/>
  <c r="W784" i="1"/>
  <c r="U784" i="1"/>
  <c r="R784" i="1"/>
  <c r="S784" i="1" s="1"/>
  <c r="T784" i="1" s="1"/>
  <c r="Q784" i="1"/>
  <c r="P784" i="1"/>
  <c r="S783" i="1"/>
  <c r="R783" i="1"/>
  <c r="Q783" i="1"/>
  <c r="P783" i="1"/>
  <c r="W782" i="1"/>
  <c r="X782" i="1" s="1"/>
  <c r="Y782" i="1" s="1"/>
  <c r="Z782" i="1" s="1"/>
  <c r="T782" i="1"/>
  <c r="S782" i="1"/>
  <c r="R782" i="1"/>
  <c r="Q782" i="1"/>
  <c r="P782" i="1"/>
  <c r="S781" i="1"/>
  <c r="R781" i="1"/>
  <c r="Q781" i="1"/>
  <c r="P781" i="1"/>
  <c r="V780" i="1"/>
  <c r="U780" i="1"/>
  <c r="R780" i="1"/>
  <c r="S780" i="1" s="1"/>
  <c r="Q780" i="1"/>
  <c r="P780" i="1"/>
  <c r="R779" i="1"/>
  <c r="S779" i="1" s="1"/>
  <c r="Q779" i="1"/>
  <c r="P779" i="1"/>
  <c r="R778" i="1"/>
  <c r="S778" i="1" s="1"/>
  <c r="Q778" i="1"/>
  <c r="P778" i="1"/>
  <c r="T777" i="1"/>
  <c r="R777" i="1"/>
  <c r="S777" i="1" s="1"/>
  <c r="Q777" i="1"/>
  <c r="P777" i="1"/>
  <c r="R776" i="1"/>
  <c r="S776" i="1" s="1"/>
  <c r="Q776" i="1"/>
  <c r="P776" i="1"/>
  <c r="V775" i="1"/>
  <c r="U775" i="1"/>
  <c r="T775" i="1"/>
  <c r="R775" i="1"/>
  <c r="S775" i="1" s="1"/>
  <c r="W775" i="1" s="1"/>
  <c r="X775" i="1" s="1"/>
  <c r="Y775" i="1" s="1"/>
  <c r="Z775" i="1" s="1"/>
  <c r="Q775" i="1"/>
  <c r="P775" i="1"/>
  <c r="R774" i="1"/>
  <c r="S774" i="1" s="1"/>
  <c r="Q774" i="1"/>
  <c r="P774" i="1"/>
  <c r="S773" i="1"/>
  <c r="R773" i="1"/>
  <c r="Q773" i="1"/>
  <c r="P773" i="1"/>
  <c r="R772" i="1"/>
  <c r="S772" i="1" s="1"/>
  <c r="Q772" i="1"/>
  <c r="P772" i="1"/>
  <c r="U771" i="1"/>
  <c r="T771" i="1"/>
  <c r="S771" i="1"/>
  <c r="W771" i="1" s="1"/>
  <c r="X771" i="1" s="1"/>
  <c r="Y771" i="1" s="1"/>
  <c r="Z771" i="1" s="1"/>
  <c r="R771" i="1"/>
  <c r="Q771" i="1"/>
  <c r="P771" i="1"/>
  <c r="X770" i="1"/>
  <c r="Y770" i="1" s="1"/>
  <c r="Z770" i="1" s="1"/>
  <c r="W770" i="1"/>
  <c r="R770" i="1"/>
  <c r="S770" i="1" s="1"/>
  <c r="Q770" i="1"/>
  <c r="P770" i="1"/>
  <c r="R769" i="1"/>
  <c r="S769" i="1" s="1"/>
  <c r="Q769" i="1"/>
  <c r="P769" i="1"/>
  <c r="Y768" i="1"/>
  <c r="Z768" i="1" s="1"/>
  <c r="X768" i="1"/>
  <c r="W768" i="1"/>
  <c r="V768" i="1"/>
  <c r="U768" i="1"/>
  <c r="S768" i="1"/>
  <c r="T768" i="1" s="1"/>
  <c r="R768" i="1"/>
  <c r="Q768" i="1"/>
  <c r="P768" i="1"/>
  <c r="S767" i="1"/>
  <c r="R767" i="1"/>
  <c r="Q767" i="1"/>
  <c r="P767" i="1"/>
  <c r="Y766" i="1"/>
  <c r="Z766" i="1" s="1"/>
  <c r="W766" i="1"/>
  <c r="X766" i="1" s="1"/>
  <c r="V766" i="1"/>
  <c r="U766" i="1"/>
  <c r="T766" i="1"/>
  <c r="S766" i="1"/>
  <c r="R766" i="1"/>
  <c r="Q766" i="1"/>
  <c r="P766" i="1"/>
  <c r="W765" i="1"/>
  <c r="X765" i="1" s="1"/>
  <c r="Y765" i="1" s="1"/>
  <c r="Z765" i="1" s="1"/>
  <c r="V765" i="1"/>
  <c r="S765" i="1"/>
  <c r="R765" i="1"/>
  <c r="Q765" i="1"/>
  <c r="P765" i="1"/>
  <c r="X764" i="1"/>
  <c r="Y764" i="1" s="1"/>
  <c r="Z764" i="1" s="1"/>
  <c r="W764" i="1"/>
  <c r="V764" i="1"/>
  <c r="R764" i="1"/>
  <c r="S764" i="1" s="1"/>
  <c r="T764" i="1" s="1"/>
  <c r="Q764" i="1"/>
  <c r="P764" i="1"/>
  <c r="R763" i="1"/>
  <c r="S763" i="1" s="1"/>
  <c r="W763" i="1" s="1"/>
  <c r="X763" i="1" s="1"/>
  <c r="Y763" i="1" s="1"/>
  <c r="Z763" i="1" s="1"/>
  <c r="Q763" i="1"/>
  <c r="P763" i="1"/>
  <c r="W762" i="1"/>
  <c r="X762" i="1" s="1"/>
  <c r="Y762" i="1" s="1"/>
  <c r="Z762" i="1" s="1"/>
  <c r="T762" i="1"/>
  <c r="S762" i="1"/>
  <c r="R762" i="1"/>
  <c r="Q762" i="1"/>
  <c r="P762" i="1"/>
  <c r="V761" i="1"/>
  <c r="T761" i="1"/>
  <c r="R761" i="1"/>
  <c r="S761" i="1" s="1"/>
  <c r="W761" i="1" s="1"/>
  <c r="X761" i="1" s="1"/>
  <c r="Y761" i="1" s="1"/>
  <c r="Z761" i="1" s="1"/>
  <c r="Q761" i="1"/>
  <c r="P761" i="1"/>
  <c r="R760" i="1"/>
  <c r="S760" i="1" s="1"/>
  <c r="Q760" i="1"/>
  <c r="P760" i="1"/>
  <c r="T759" i="1"/>
  <c r="S759" i="1"/>
  <c r="R759" i="1"/>
  <c r="Q759" i="1"/>
  <c r="P759" i="1"/>
  <c r="S758" i="1"/>
  <c r="R758" i="1"/>
  <c r="Q758" i="1"/>
  <c r="P758" i="1"/>
  <c r="R757" i="1"/>
  <c r="S757" i="1" s="1"/>
  <c r="Q757" i="1"/>
  <c r="P757" i="1"/>
  <c r="R756" i="1"/>
  <c r="S756" i="1" s="1"/>
  <c r="Q756" i="1"/>
  <c r="P756" i="1"/>
  <c r="Y755" i="1"/>
  <c r="Z755" i="1" s="1"/>
  <c r="X755" i="1"/>
  <c r="W755" i="1"/>
  <c r="V755" i="1"/>
  <c r="U755" i="1"/>
  <c r="R755" i="1"/>
  <c r="S755" i="1" s="1"/>
  <c r="T755" i="1" s="1"/>
  <c r="Q755" i="1"/>
  <c r="P755" i="1"/>
  <c r="R754" i="1"/>
  <c r="S754" i="1" s="1"/>
  <c r="Q754" i="1"/>
  <c r="P754" i="1"/>
  <c r="X753" i="1"/>
  <c r="Y753" i="1" s="1"/>
  <c r="Z753" i="1" s="1"/>
  <c r="W753" i="1"/>
  <c r="S753" i="1"/>
  <c r="R753" i="1"/>
  <c r="Q753" i="1"/>
  <c r="P753" i="1"/>
  <c r="R752" i="1"/>
  <c r="S752" i="1" s="1"/>
  <c r="Q752" i="1"/>
  <c r="P752" i="1"/>
  <c r="Y751" i="1"/>
  <c r="Z751" i="1" s="1"/>
  <c r="X751" i="1"/>
  <c r="U751" i="1"/>
  <c r="T751" i="1"/>
  <c r="S751" i="1"/>
  <c r="W751" i="1" s="1"/>
  <c r="R751" i="1"/>
  <c r="Q751" i="1"/>
  <c r="P751" i="1"/>
  <c r="T750" i="1"/>
  <c r="R750" i="1"/>
  <c r="S750" i="1" s="1"/>
  <c r="Q750" i="1"/>
  <c r="P750" i="1"/>
  <c r="S749" i="1"/>
  <c r="R749" i="1"/>
  <c r="Q749" i="1"/>
  <c r="P749" i="1"/>
  <c r="W748" i="1"/>
  <c r="X748" i="1" s="1"/>
  <c r="Y748" i="1" s="1"/>
  <c r="Z748" i="1" s="1"/>
  <c r="V748" i="1"/>
  <c r="T748" i="1"/>
  <c r="R748" i="1"/>
  <c r="S748" i="1" s="1"/>
  <c r="U748" i="1" s="1"/>
  <c r="Q748" i="1"/>
  <c r="P748" i="1"/>
  <c r="R747" i="1"/>
  <c r="S747" i="1" s="1"/>
  <c r="Q747" i="1"/>
  <c r="P747" i="1"/>
  <c r="S746" i="1"/>
  <c r="R746" i="1"/>
  <c r="Q746" i="1"/>
  <c r="P746" i="1"/>
  <c r="R745" i="1"/>
  <c r="S745" i="1" s="1"/>
  <c r="Q745" i="1"/>
  <c r="P745" i="1"/>
  <c r="W744" i="1"/>
  <c r="X744" i="1" s="1"/>
  <c r="Y744" i="1" s="1"/>
  <c r="Z744" i="1" s="1"/>
  <c r="V744" i="1"/>
  <c r="U744" i="1"/>
  <c r="R744" i="1"/>
  <c r="S744" i="1" s="1"/>
  <c r="T744" i="1" s="1"/>
  <c r="Q744" i="1"/>
  <c r="P744" i="1"/>
  <c r="X743" i="1"/>
  <c r="Y743" i="1" s="1"/>
  <c r="Z743" i="1" s="1"/>
  <c r="U743" i="1"/>
  <c r="T743" i="1"/>
  <c r="S743" i="1"/>
  <c r="W743" i="1" s="1"/>
  <c r="R743" i="1"/>
  <c r="Q743" i="1"/>
  <c r="P743" i="1"/>
  <c r="S742" i="1"/>
  <c r="R742" i="1"/>
  <c r="Q742" i="1"/>
  <c r="P742" i="1"/>
  <c r="S741" i="1"/>
  <c r="R741" i="1"/>
  <c r="Q741" i="1"/>
  <c r="P741" i="1"/>
  <c r="R740" i="1"/>
  <c r="S740" i="1" s="1"/>
  <c r="Q740" i="1"/>
  <c r="P740" i="1"/>
  <c r="W739" i="1"/>
  <c r="X739" i="1" s="1"/>
  <c r="Y739" i="1" s="1"/>
  <c r="Z739" i="1" s="1"/>
  <c r="V739" i="1"/>
  <c r="U739" i="1"/>
  <c r="S739" i="1"/>
  <c r="T739" i="1" s="1"/>
  <c r="R739" i="1"/>
  <c r="Q739" i="1"/>
  <c r="P739" i="1"/>
  <c r="T738" i="1"/>
  <c r="S738" i="1"/>
  <c r="R738" i="1"/>
  <c r="Q738" i="1"/>
  <c r="P738" i="1"/>
  <c r="R737" i="1"/>
  <c r="S737" i="1" s="1"/>
  <c r="Q737" i="1"/>
  <c r="P737" i="1"/>
  <c r="Y736" i="1"/>
  <c r="Z736" i="1" s="1"/>
  <c r="V736" i="1"/>
  <c r="T736" i="1"/>
  <c r="S736" i="1"/>
  <c r="W736" i="1" s="1"/>
  <c r="X736" i="1" s="1"/>
  <c r="R736" i="1"/>
  <c r="Q736" i="1"/>
  <c r="P736" i="1"/>
  <c r="Y735" i="1"/>
  <c r="Z735" i="1" s="1"/>
  <c r="U735" i="1"/>
  <c r="T735" i="1"/>
  <c r="R735" i="1"/>
  <c r="S735" i="1" s="1"/>
  <c r="W735" i="1" s="1"/>
  <c r="X735" i="1" s="1"/>
  <c r="Q735" i="1"/>
  <c r="P735" i="1"/>
  <c r="X734" i="1"/>
  <c r="Y734" i="1" s="1"/>
  <c r="Z734" i="1" s="1"/>
  <c r="W734" i="1"/>
  <c r="V734" i="1"/>
  <c r="U734" i="1"/>
  <c r="S734" i="1"/>
  <c r="T734" i="1" s="1"/>
  <c r="R734" i="1"/>
  <c r="Q734" i="1"/>
  <c r="P734" i="1"/>
  <c r="S733" i="1"/>
  <c r="R733" i="1"/>
  <c r="Q733" i="1"/>
  <c r="P733" i="1"/>
  <c r="W732" i="1"/>
  <c r="X732" i="1" s="1"/>
  <c r="Y732" i="1" s="1"/>
  <c r="Z732" i="1" s="1"/>
  <c r="V732" i="1"/>
  <c r="U732" i="1"/>
  <c r="S732" i="1"/>
  <c r="T732" i="1" s="1"/>
  <c r="R732" i="1"/>
  <c r="Q732" i="1"/>
  <c r="P732" i="1"/>
  <c r="R731" i="1"/>
  <c r="S731" i="1" s="1"/>
  <c r="Q731" i="1"/>
  <c r="P731" i="1"/>
  <c r="W730" i="1"/>
  <c r="X730" i="1" s="1"/>
  <c r="Y730" i="1" s="1"/>
  <c r="Z730" i="1" s="1"/>
  <c r="T730" i="1"/>
  <c r="R730" i="1"/>
  <c r="S730" i="1" s="1"/>
  <c r="Q730" i="1"/>
  <c r="P730" i="1"/>
  <c r="V729" i="1"/>
  <c r="S729" i="1"/>
  <c r="R729" i="1"/>
  <c r="Q729" i="1"/>
  <c r="P729" i="1"/>
  <c r="W728" i="1"/>
  <c r="X728" i="1" s="1"/>
  <c r="Y728" i="1" s="1"/>
  <c r="Z728" i="1" s="1"/>
  <c r="T728" i="1"/>
  <c r="S728" i="1"/>
  <c r="R728" i="1"/>
  <c r="Q728" i="1"/>
  <c r="P728" i="1"/>
  <c r="R727" i="1"/>
  <c r="S727" i="1" s="1"/>
  <c r="Q727" i="1"/>
  <c r="P727" i="1"/>
  <c r="S726" i="1"/>
  <c r="R726" i="1"/>
  <c r="Q726" i="1"/>
  <c r="P726" i="1"/>
  <c r="T725" i="1"/>
  <c r="S725" i="1"/>
  <c r="R725" i="1"/>
  <c r="Q725" i="1"/>
  <c r="P725" i="1"/>
  <c r="W724" i="1"/>
  <c r="X724" i="1" s="1"/>
  <c r="Y724" i="1" s="1"/>
  <c r="Z724" i="1" s="1"/>
  <c r="V724" i="1"/>
  <c r="U724" i="1"/>
  <c r="R724" i="1"/>
  <c r="S724" i="1" s="1"/>
  <c r="T724" i="1" s="1"/>
  <c r="Q724" i="1"/>
  <c r="P724" i="1"/>
  <c r="R723" i="1"/>
  <c r="S723" i="1" s="1"/>
  <c r="Q723" i="1"/>
  <c r="P723" i="1"/>
  <c r="T722" i="1"/>
  <c r="S722" i="1"/>
  <c r="R722" i="1"/>
  <c r="Q722" i="1"/>
  <c r="P722" i="1"/>
  <c r="S721" i="1"/>
  <c r="R721" i="1"/>
  <c r="Q721" i="1"/>
  <c r="P721" i="1"/>
  <c r="V720" i="1"/>
  <c r="U720" i="1"/>
  <c r="R720" i="1"/>
  <c r="S720" i="1" s="1"/>
  <c r="Q720" i="1"/>
  <c r="P720" i="1"/>
  <c r="X719" i="1"/>
  <c r="Y719" i="1" s="1"/>
  <c r="Z719" i="1" s="1"/>
  <c r="W719" i="1"/>
  <c r="R719" i="1"/>
  <c r="S719" i="1" s="1"/>
  <c r="Q719" i="1"/>
  <c r="P719" i="1"/>
  <c r="S718" i="1"/>
  <c r="R718" i="1"/>
  <c r="Q718" i="1"/>
  <c r="P718" i="1"/>
  <c r="X717" i="1"/>
  <c r="Y717" i="1" s="1"/>
  <c r="Z717" i="1" s="1"/>
  <c r="W717" i="1"/>
  <c r="V717" i="1"/>
  <c r="U717" i="1"/>
  <c r="S717" i="1"/>
  <c r="T717" i="1" s="1"/>
  <c r="R717" i="1"/>
  <c r="Q717" i="1"/>
  <c r="P717" i="1"/>
  <c r="V716" i="1"/>
  <c r="S716" i="1"/>
  <c r="R716" i="1"/>
  <c r="Q716" i="1"/>
  <c r="P716" i="1"/>
  <c r="X715" i="1"/>
  <c r="Y715" i="1" s="1"/>
  <c r="Z715" i="1" s="1"/>
  <c r="W715" i="1"/>
  <c r="V715" i="1"/>
  <c r="U715" i="1"/>
  <c r="R715" i="1"/>
  <c r="S715" i="1" s="1"/>
  <c r="T715" i="1" s="1"/>
  <c r="Q715" i="1"/>
  <c r="P715" i="1"/>
  <c r="U714" i="1"/>
  <c r="S714" i="1"/>
  <c r="R714" i="1"/>
  <c r="Q714" i="1"/>
  <c r="P714" i="1"/>
  <c r="R713" i="1"/>
  <c r="S713" i="1" s="1"/>
  <c r="Q713" i="1"/>
  <c r="P713" i="1"/>
  <c r="S712" i="1"/>
  <c r="R712" i="1"/>
  <c r="Q712" i="1"/>
  <c r="P712" i="1"/>
  <c r="T711" i="1"/>
  <c r="R711" i="1"/>
  <c r="S711" i="1" s="1"/>
  <c r="Q711" i="1"/>
  <c r="P711" i="1"/>
  <c r="U710" i="1"/>
  <c r="T710" i="1"/>
  <c r="R710" i="1"/>
  <c r="S710" i="1" s="1"/>
  <c r="W710" i="1" s="1"/>
  <c r="X710" i="1" s="1"/>
  <c r="Y710" i="1" s="1"/>
  <c r="Z710" i="1" s="1"/>
  <c r="Q710" i="1"/>
  <c r="P710" i="1"/>
  <c r="W709" i="1"/>
  <c r="X709" i="1" s="1"/>
  <c r="Y709" i="1" s="1"/>
  <c r="Z709" i="1" s="1"/>
  <c r="V709" i="1"/>
  <c r="S709" i="1"/>
  <c r="R709" i="1"/>
  <c r="Q709" i="1"/>
  <c r="P709" i="1"/>
  <c r="T708" i="1"/>
  <c r="R708" i="1"/>
  <c r="S708" i="1" s="1"/>
  <c r="Q708" i="1"/>
  <c r="P708" i="1"/>
  <c r="R707" i="1"/>
  <c r="S707" i="1" s="1"/>
  <c r="Q707" i="1"/>
  <c r="P707" i="1"/>
  <c r="S706" i="1"/>
  <c r="R706" i="1"/>
  <c r="Q706" i="1"/>
  <c r="P706" i="1"/>
  <c r="W705" i="1"/>
  <c r="X705" i="1" s="1"/>
  <c r="Y705" i="1" s="1"/>
  <c r="Z705" i="1" s="1"/>
  <c r="U705" i="1"/>
  <c r="S705" i="1"/>
  <c r="V705" i="1" s="1"/>
  <c r="R705" i="1"/>
  <c r="Q705" i="1"/>
  <c r="P705" i="1"/>
  <c r="W704" i="1"/>
  <c r="X704" i="1" s="1"/>
  <c r="Y704" i="1" s="1"/>
  <c r="Z704" i="1" s="1"/>
  <c r="V704" i="1"/>
  <c r="R704" i="1"/>
  <c r="S704" i="1" s="1"/>
  <c r="T704" i="1" s="1"/>
  <c r="Q704" i="1"/>
  <c r="P704" i="1"/>
  <c r="U703" i="1"/>
  <c r="S703" i="1"/>
  <c r="R703" i="1"/>
  <c r="Q703" i="1"/>
  <c r="P703" i="1"/>
  <c r="T702" i="1"/>
  <c r="S702" i="1"/>
  <c r="R702" i="1"/>
  <c r="Q702" i="1"/>
  <c r="P702" i="1"/>
  <c r="W701" i="1"/>
  <c r="X701" i="1" s="1"/>
  <c r="Y701" i="1" s="1"/>
  <c r="Z701" i="1" s="1"/>
  <c r="S701" i="1"/>
  <c r="R701" i="1"/>
  <c r="Q701" i="1"/>
  <c r="P701" i="1"/>
  <c r="V700" i="1"/>
  <c r="R700" i="1"/>
  <c r="S700" i="1" s="1"/>
  <c r="Q700" i="1"/>
  <c r="P700" i="1"/>
  <c r="R699" i="1"/>
  <c r="S699" i="1" s="1"/>
  <c r="Q699" i="1"/>
  <c r="P699" i="1"/>
  <c r="W698" i="1"/>
  <c r="X698" i="1" s="1"/>
  <c r="Y698" i="1" s="1"/>
  <c r="Z698" i="1" s="1"/>
  <c r="S698" i="1"/>
  <c r="R698" i="1"/>
  <c r="Q698" i="1"/>
  <c r="P698" i="1"/>
  <c r="R697" i="1"/>
  <c r="S697" i="1" s="1"/>
  <c r="Q697" i="1"/>
  <c r="P697" i="1"/>
  <c r="R696" i="1"/>
  <c r="S696" i="1" s="1"/>
  <c r="Q696" i="1"/>
  <c r="P696" i="1"/>
  <c r="W695" i="1"/>
  <c r="X695" i="1" s="1"/>
  <c r="Y695" i="1" s="1"/>
  <c r="Z695" i="1" s="1"/>
  <c r="U695" i="1"/>
  <c r="R695" i="1"/>
  <c r="S695" i="1" s="1"/>
  <c r="T695" i="1" s="1"/>
  <c r="Q695" i="1"/>
  <c r="P695" i="1"/>
  <c r="V694" i="1"/>
  <c r="T694" i="1"/>
  <c r="S694" i="1"/>
  <c r="W694" i="1" s="1"/>
  <c r="X694" i="1" s="1"/>
  <c r="Y694" i="1" s="1"/>
  <c r="Z694" i="1" s="1"/>
  <c r="R694" i="1"/>
  <c r="Q694" i="1"/>
  <c r="P694" i="1"/>
  <c r="R693" i="1"/>
  <c r="S693" i="1" s="1"/>
  <c r="Q693" i="1"/>
  <c r="P693" i="1"/>
  <c r="R692" i="1"/>
  <c r="S692" i="1" s="1"/>
  <c r="Q692" i="1"/>
  <c r="P692" i="1"/>
  <c r="T691" i="1"/>
  <c r="R691" i="1"/>
  <c r="S691" i="1" s="1"/>
  <c r="Q691" i="1"/>
  <c r="P691" i="1"/>
  <c r="W690" i="1"/>
  <c r="X690" i="1" s="1"/>
  <c r="Y690" i="1" s="1"/>
  <c r="Z690" i="1" s="1"/>
  <c r="V690" i="1"/>
  <c r="U690" i="1"/>
  <c r="S690" i="1"/>
  <c r="T690" i="1" s="1"/>
  <c r="R690" i="1"/>
  <c r="Q690" i="1"/>
  <c r="P690" i="1"/>
  <c r="R689" i="1"/>
  <c r="S689" i="1" s="1"/>
  <c r="Q689" i="1"/>
  <c r="P689" i="1"/>
  <c r="U688" i="1"/>
  <c r="T688" i="1"/>
  <c r="S688" i="1"/>
  <c r="W688" i="1" s="1"/>
  <c r="X688" i="1" s="1"/>
  <c r="Y688" i="1" s="1"/>
  <c r="Z688" i="1" s="1"/>
  <c r="R688" i="1"/>
  <c r="Q688" i="1"/>
  <c r="P688" i="1"/>
  <c r="T687" i="1"/>
  <c r="S687" i="1"/>
  <c r="R687" i="1"/>
  <c r="Q687" i="1"/>
  <c r="P687" i="1"/>
  <c r="W686" i="1"/>
  <c r="X686" i="1" s="1"/>
  <c r="Y686" i="1" s="1"/>
  <c r="Z686" i="1" s="1"/>
  <c r="U686" i="1"/>
  <c r="T686" i="1"/>
  <c r="S686" i="1"/>
  <c r="V686" i="1" s="1"/>
  <c r="R686" i="1"/>
  <c r="Q686" i="1"/>
  <c r="P686" i="1"/>
  <c r="W685" i="1"/>
  <c r="X685" i="1" s="1"/>
  <c r="Y685" i="1" s="1"/>
  <c r="Z685" i="1" s="1"/>
  <c r="V685" i="1"/>
  <c r="T685" i="1"/>
  <c r="S685" i="1"/>
  <c r="U685" i="1" s="1"/>
  <c r="R685" i="1"/>
  <c r="Q685" i="1"/>
  <c r="P685" i="1"/>
  <c r="V684" i="1"/>
  <c r="U684" i="1"/>
  <c r="R684" i="1"/>
  <c r="S684" i="1" s="1"/>
  <c r="T684" i="1" s="1"/>
  <c r="Q684" i="1"/>
  <c r="P684" i="1"/>
  <c r="X683" i="1"/>
  <c r="Y683" i="1" s="1"/>
  <c r="Z683" i="1" s="1"/>
  <c r="W683" i="1"/>
  <c r="V683" i="1"/>
  <c r="U683" i="1"/>
  <c r="S683" i="1"/>
  <c r="T683" i="1" s="1"/>
  <c r="R683" i="1"/>
  <c r="Q683" i="1"/>
  <c r="P683" i="1"/>
  <c r="T682" i="1"/>
  <c r="S682" i="1"/>
  <c r="R682" i="1"/>
  <c r="Q682" i="1"/>
  <c r="P682" i="1"/>
  <c r="Y681" i="1"/>
  <c r="Z681" i="1" s="1"/>
  <c r="X681" i="1"/>
  <c r="W681" i="1"/>
  <c r="V681" i="1"/>
  <c r="U681" i="1"/>
  <c r="S681" i="1"/>
  <c r="T681" i="1" s="1"/>
  <c r="R681" i="1"/>
  <c r="Q681" i="1"/>
  <c r="P681" i="1"/>
  <c r="R680" i="1"/>
  <c r="S680" i="1" s="1"/>
  <c r="Q680" i="1"/>
  <c r="P680" i="1"/>
  <c r="W679" i="1"/>
  <c r="X679" i="1" s="1"/>
  <c r="Y679" i="1" s="1"/>
  <c r="Z679" i="1" s="1"/>
  <c r="U679" i="1"/>
  <c r="T679" i="1"/>
  <c r="S679" i="1"/>
  <c r="V679" i="1" s="1"/>
  <c r="R679" i="1"/>
  <c r="Q679" i="1"/>
  <c r="P679" i="1"/>
  <c r="T678" i="1"/>
  <c r="S678" i="1"/>
  <c r="R678" i="1"/>
  <c r="Q678" i="1"/>
  <c r="P678" i="1"/>
  <c r="R677" i="1"/>
  <c r="S677" i="1" s="1"/>
  <c r="Q677" i="1"/>
  <c r="P677" i="1"/>
  <c r="W676" i="1"/>
  <c r="X676" i="1" s="1"/>
  <c r="Y676" i="1" s="1"/>
  <c r="Z676" i="1" s="1"/>
  <c r="V676" i="1"/>
  <c r="R676" i="1"/>
  <c r="S676" i="1" s="1"/>
  <c r="Q676" i="1"/>
  <c r="P676" i="1"/>
  <c r="Z675" i="1"/>
  <c r="R675" i="1"/>
  <c r="S675" i="1" s="1"/>
  <c r="W675" i="1" s="1"/>
  <c r="X675" i="1" s="1"/>
  <c r="Y675" i="1" s="1"/>
  <c r="Q675" i="1"/>
  <c r="P675" i="1"/>
  <c r="U674" i="1"/>
  <c r="T674" i="1"/>
  <c r="S674" i="1"/>
  <c r="V674" i="1" s="1"/>
  <c r="R674" i="1"/>
  <c r="Q674" i="1"/>
  <c r="P674" i="1"/>
  <c r="W673" i="1"/>
  <c r="X673" i="1" s="1"/>
  <c r="Y673" i="1" s="1"/>
  <c r="Z673" i="1" s="1"/>
  <c r="V673" i="1"/>
  <c r="T673" i="1"/>
  <c r="S673" i="1"/>
  <c r="U673" i="1" s="1"/>
  <c r="R673" i="1"/>
  <c r="Q673" i="1"/>
  <c r="P673" i="1"/>
  <c r="Y672" i="1"/>
  <c r="Z672" i="1" s="1"/>
  <c r="U672" i="1"/>
  <c r="T672" i="1"/>
  <c r="S672" i="1"/>
  <c r="W672" i="1" s="1"/>
  <c r="X672" i="1" s="1"/>
  <c r="R672" i="1"/>
  <c r="Q672" i="1"/>
  <c r="P672" i="1"/>
  <c r="R671" i="1"/>
  <c r="S671" i="1" s="1"/>
  <c r="Q671" i="1"/>
  <c r="P671" i="1"/>
  <c r="V670" i="1"/>
  <c r="T670" i="1"/>
  <c r="S670" i="1"/>
  <c r="W670" i="1" s="1"/>
  <c r="X670" i="1" s="1"/>
  <c r="Y670" i="1" s="1"/>
  <c r="Z670" i="1" s="1"/>
  <c r="R670" i="1"/>
  <c r="Q670" i="1"/>
  <c r="P670" i="1"/>
  <c r="S669" i="1"/>
  <c r="R669" i="1"/>
  <c r="Q669" i="1"/>
  <c r="P669" i="1"/>
  <c r="S668" i="1"/>
  <c r="W668" i="1" s="1"/>
  <c r="X668" i="1" s="1"/>
  <c r="Y668" i="1" s="1"/>
  <c r="Z668" i="1" s="1"/>
  <c r="R668" i="1"/>
  <c r="Q668" i="1"/>
  <c r="P668" i="1"/>
  <c r="U667" i="1"/>
  <c r="T667" i="1"/>
  <c r="R667" i="1"/>
  <c r="S667" i="1" s="1"/>
  <c r="W667" i="1" s="1"/>
  <c r="X667" i="1" s="1"/>
  <c r="Y667" i="1" s="1"/>
  <c r="Z667" i="1" s="1"/>
  <c r="Q667" i="1"/>
  <c r="P667" i="1"/>
  <c r="X666" i="1"/>
  <c r="Y666" i="1" s="1"/>
  <c r="Z666" i="1" s="1"/>
  <c r="V666" i="1"/>
  <c r="U666" i="1"/>
  <c r="T666" i="1"/>
  <c r="S666" i="1"/>
  <c r="W666" i="1" s="1"/>
  <c r="R666" i="1"/>
  <c r="Q666" i="1"/>
  <c r="P666" i="1"/>
  <c r="R665" i="1"/>
  <c r="S665" i="1" s="1"/>
  <c r="Q665" i="1"/>
  <c r="P665" i="1"/>
  <c r="Y664" i="1"/>
  <c r="Z664" i="1" s="1"/>
  <c r="W664" i="1"/>
  <c r="X664" i="1" s="1"/>
  <c r="V664" i="1"/>
  <c r="U664" i="1"/>
  <c r="S664" i="1"/>
  <c r="T664" i="1" s="1"/>
  <c r="R664" i="1"/>
  <c r="Q664" i="1"/>
  <c r="P664" i="1"/>
  <c r="R663" i="1"/>
  <c r="S663" i="1" s="1"/>
  <c r="Q663" i="1"/>
  <c r="P663" i="1"/>
  <c r="W662" i="1"/>
  <c r="X662" i="1" s="1"/>
  <c r="Y662" i="1" s="1"/>
  <c r="Z662" i="1" s="1"/>
  <c r="R662" i="1"/>
  <c r="S662" i="1" s="1"/>
  <c r="Q662" i="1"/>
  <c r="P662" i="1"/>
  <c r="S661" i="1"/>
  <c r="R661" i="1"/>
  <c r="Q661" i="1"/>
  <c r="P661" i="1"/>
  <c r="R660" i="1"/>
  <c r="S660" i="1" s="1"/>
  <c r="Q660" i="1"/>
  <c r="P660" i="1"/>
  <c r="R659" i="1"/>
  <c r="S659" i="1" s="1"/>
  <c r="Q659" i="1"/>
  <c r="P659" i="1"/>
  <c r="S658" i="1"/>
  <c r="R658" i="1"/>
  <c r="Q658" i="1"/>
  <c r="P658" i="1"/>
  <c r="Y657" i="1"/>
  <c r="Z657" i="1" s="1"/>
  <c r="W657" i="1"/>
  <c r="X657" i="1" s="1"/>
  <c r="U657" i="1"/>
  <c r="S657" i="1"/>
  <c r="V657" i="1" s="1"/>
  <c r="R657" i="1"/>
  <c r="Q657" i="1"/>
  <c r="P657" i="1"/>
  <c r="W656" i="1"/>
  <c r="X656" i="1" s="1"/>
  <c r="Y656" i="1" s="1"/>
  <c r="Z656" i="1" s="1"/>
  <c r="U656" i="1"/>
  <c r="S656" i="1"/>
  <c r="T656" i="1" s="1"/>
  <c r="R656" i="1"/>
  <c r="Q656" i="1"/>
  <c r="P656" i="1"/>
  <c r="W655" i="1"/>
  <c r="X655" i="1" s="1"/>
  <c r="Y655" i="1" s="1"/>
  <c r="Z655" i="1" s="1"/>
  <c r="V655" i="1"/>
  <c r="U655" i="1"/>
  <c r="R655" i="1"/>
  <c r="S655" i="1" s="1"/>
  <c r="T655" i="1" s="1"/>
  <c r="Q655" i="1"/>
  <c r="P655" i="1"/>
  <c r="S654" i="1"/>
  <c r="R654" i="1"/>
  <c r="Q654" i="1"/>
  <c r="P654" i="1"/>
  <c r="Z653" i="1"/>
  <c r="W653" i="1"/>
  <c r="X653" i="1" s="1"/>
  <c r="Y653" i="1" s="1"/>
  <c r="V653" i="1"/>
  <c r="T653" i="1"/>
  <c r="S653" i="1"/>
  <c r="U653" i="1" s="1"/>
  <c r="R653" i="1"/>
  <c r="Q653" i="1"/>
  <c r="P653" i="1"/>
  <c r="S652" i="1"/>
  <c r="R652" i="1"/>
  <c r="Q652" i="1"/>
  <c r="P652" i="1"/>
  <c r="R651" i="1"/>
  <c r="S651" i="1" s="1"/>
  <c r="Q651" i="1"/>
  <c r="P651" i="1"/>
  <c r="R650" i="1"/>
  <c r="S650" i="1" s="1"/>
  <c r="Q650" i="1"/>
  <c r="P650" i="1"/>
  <c r="R649" i="1"/>
  <c r="S649" i="1" s="1"/>
  <c r="Q649" i="1"/>
  <c r="P649" i="1"/>
  <c r="V648" i="1"/>
  <c r="R648" i="1"/>
  <c r="S648" i="1" s="1"/>
  <c r="Q648" i="1"/>
  <c r="P648" i="1"/>
  <c r="R647" i="1"/>
  <c r="S647" i="1" s="1"/>
  <c r="Q647" i="1"/>
  <c r="P647" i="1"/>
  <c r="V646" i="1"/>
  <c r="U646" i="1"/>
  <c r="S646" i="1"/>
  <c r="R646" i="1"/>
  <c r="Q646" i="1"/>
  <c r="P646" i="1"/>
  <c r="S645" i="1"/>
  <c r="U645" i="1" s="1"/>
  <c r="R645" i="1"/>
  <c r="Q645" i="1"/>
  <c r="P645" i="1"/>
  <c r="Y644" i="1"/>
  <c r="Z644" i="1" s="1"/>
  <c r="X644" i="1"/>
  <c r="W644" i="1"/>
  <c r="V644" i="1"/>
  <c r="U644" i="1"/>
  <c r="S644" i="1"/>
  <c r="T644" i="1" s="1"/>
  <c r="R644" i="1"/>
  <c r="Q644" i="1"/>
  <c r="P644" i="1"/>
  <c r="S643" i="1"/>
  <c r="W643" i="1" s="1"/>
  <c r="X643" i="1" s="1"/>
  <c r="Y643" i="1" s="1"/>
  <c r="Z643" i="1" s="1"/>
  <c r="R643" i="1"/>
  <c r="Q643" i="1"/>
  <c r="P643" i="1"/>
  <c r="X642" i="1"/>
  <c r="Y642" i="1" s="1"/>
  <c r="Z642" i="1" s="1"/>
  <c r="W642" i="1"/>
  <c r="R642" i="1"/>
  <c r="S642" i="1" s="1"/>
  <c r="Q642" i="1"/>
  <c r="P642" i="1"/>
  <c r="V641" i="1"/>
  <c r="U641" i="1"/>
  <c r="T641" i="1"/>
  <c r="S641" i="1"/>
  <c r="W641" i="1" s="1"/>
  <c r="X641" i="1" s="1"/>
  <c r="Y641" i="1" s="1"/>
  <c r="Z641" i="1" s="1"/>
  <c r="R641" i="1"/>
  <c r="Q641" i="1"/>
  <c r="P641" i="1"/>
  <c r="S640" i="1"/>
  <c r="R640" i="1"/>
  <c r="Q640" i="1"/>
  <c r="P640" i="1"/>
  <c r="X639" i="1"/>
  <c r="Y639" i="1" s="1"/>
  <c r="Z639" i="1" s="1"/>
  <c r="W639" i="1"/>
  <c r="V639" i="1"/>
  <c r="U639" i="1"/>
  <c r="S639" i="1"/>
  <c r="T639" i="1" s="1"/>
  <c r="R639" i="1"/>
  <c r="Q639" i="1"/>
  <c r="P639" i="1"/>
  <c r="S638" i="1"/>
  <c r="R638" i="1"/>
  <c r="Q638" i="1"/>
  <c r="P638" i="1"/>
  <c r="U637" i="1"/>
  <c r="T637" i="1"/>
  <c r="R637" i="1"/>
  <c r="S637" i="1" s="1"/>
  <c r="Q637" i="1"/>
  <c r="P637" i="1"/>
  <c r="R636" i="1"/>
  <c r="S636" i="1" s="1"/>
  <c r="Q636" i="1"/>
  <c r="P636" i="1"/>
  <c r="R635" i="1"/>
  <c r="S635" i="1" s="1"/>
  <c r="Q635" i="1"/>
  <c r="P635" i="1"/>
  <c r="Y634" i="1"/>
  <c r="Z634" i="1" s="1"/>
  <c r="W634" i="1"/>
  <c r="X634" i="1" s="1"/>
  <c r="U634" i="1"/>
  <c r="T634" i="1"/>
  <c r="S634" i="1"/>
  <c r="V634" i="1" s="1"/>
  <c r="R634" i="1"/>
  <c r="Q634" i="1"/>
  <c r="P634" i="1"/>
  <c r="Y633" i="1"/>
  <c r="Z633" i="1" s="1"/>
  <c r="X633" i="1"/>
  <c r="W633" i="1"/>
  <c r="V633" i="1"/>
  <c r="T633" i="1"/>
  <c r="S633" i="1"/>
  <c r="U633" i="1" s="1"/>
  <c r="R633" i="1"/>
  <c r="Q633" i="1"/>
  <c r="P633" i="1"/>
  <c r="V632" i="1"/>
  <c r="U632" i="1"/>
  <c r="T632" i="1"/>
  <c r="S632" i="1"/>
  <c r="W632" i="1" s="1"/>
  <c r="X632" i="1" s="1"/>
  <c r="Y632" i="1" s="1"/>
  <c r="Z632" i="1" s="1"/>
  <c r="R632" i="1"/>
  <c r="Q632" i="1"/>
  <c r="P632" i="1"/>
  <c r="R631" i="1"/>
  <c r="S631" i="1" s="1"/>
  <c r="Q631" i="1"/>
  <c r="P631" i="1"/>
  <c r="W630" i="1"/>
  <c r="X630" i="1" s="1"/>
  <c r="Y630" i="1" s="1"/>
  <c r="Z630" i="1" s="1"/>
  <c r="V630" i="1"/>
  <c r="T630" i="1"/>
  <c r="R630" i="1"/>
  <c r="S630" i="1" s="1"/>
  <c r="U630" i="1" s="1"/>
  <c r="Q630" i="1"/>
  <c r="P630" i="1"/>
  <c r="R629" i="1"/>
  <c r="S629" i="1" s="1"/>
  <c r="Q629" i="1"/>
  <c r="P629" i="1"/>
  <c r="S628" i="1"/>
  <c r="R628" i="1"/>
  <c r="Q628" i="1"/>
  <c r="P628" i="1"/>
  <c r="V627" i="1"/>
  <c r="U627" i="1"/>
  <c r="T627" i="1"/>
  <c r="R627" i="1"/>
  <c r="S627" i="1" s="1"/>
  <c r="W627" i="1" s="1"/>
  <c r="X627" i="1" s="1"/>
  <c r="Y627" i="1" s="1"/>
  <c r="Z627" i="1" s="1"/>
  <c r="Q627" i="1"/>
  <c r="P627" i="1"/>
  <c r="U626" i="1"/>
  <c r="T626" i="1"/>
  <c r="S626" i="1"/>
  <c r="W626" i="1" s="1"/>
  <c r="X626" i="1" s="1"/>
  <c r="Y626" i="1" s="1"/>
  <c r="Z626" i="1" s="1"/>
  <c r="R626" i="1"/>
  <c r="Q626" i="1"/>
  <c r="P626" i="1"/>
  <c r="W625" i="1"/>
  <c r="X625" i="1" s="1"/>
  <c r="Y625" i="1" s="1"/>
  <c r="Z625" i="1" s="1"/>
  <c r="R625" i="1"/>
  <c r="S625" i="1" s="1"/>
  <c r="Q625" i="1"/>
  <c r="P625" i="1"/>
  <c r="W624" i="1"/>
  <c r="X624" i="1" s="1"/>
  <c r="Y624" i="1" s="1"/>
  <c r="Z624" i="1" s="1"/>
  <c r="V624" i="1"/>
  <c r="U624" i="1"/>
  <c r="S624" i="1"/>
  <c r="T624" i="1" s="1"/>
  <c r="R624" i="1"/>
  <c r="Q624" i="1"/>
  <c r="P624" i="1"/>
  <c r="V623" i="1"/>
  <c r="R623" i="1"/>
  <c r="S623" i="1" s="1"/>
  <c r="Q623" i="1"/>
  <c r="P623" i="1"/>
  <c r="W622" i="1"/>
  <c r="X622" i="1" s="1"/>
  <c r="Y622" i="1" s="1"/>
  <c r="Z622" i="1" s="1"/>
  <c r="R622" i="1"/>
  <c r="S622" i="1" s="1"/>
  <c r="Q622" i="1"/>
  <c r="P622" i="1"/>
  <c r="V621" i="1"/>
  <c r="U621" i="1"/>
  <c r="S621" i="1"/>
  <c r="R621" i="1"/>
  <c r="Q621" i="1"/>
  <c r="P621" i="1"/>
  <c r="R620" i="1"/>
  <c r="S620" i="1" s="1"/>
  <c r="Q620" i="1"/>
  <c r="P620" i="1"/>
  <c r="W619" i="1"/>
  <c r="X619" i="1" s="1"/>
  <c r="Y619" i="1" s="1"/>
  <c r="Z619" i="1" s="1"/>
  <c r="V619" i="1"/>
  <c r="S619" i="1"/>
  <c r="R619" i="1"/>
  <c r="Q619" i="1"/>
  <c r="P619" i="1"/>
  <c r="T618" i="1"/>
  <c r="S618" i="1"/>
  <c r="R618" i="1"/>
  <c r="Q618" i="1"/>
  <c r="P618" i="1"/>
  <c r="W617" i="1"/>
  <c r="X617" i="1" s="1"/>
  <c r="Y617" i="1" s="1"/>
  <c r="Z617" i="1" s="1"/>
  <c r="S617" i="1"/>
  <c r="R617" i="1"/>
  <c r="Q617" i="1"/>
  <c r="P617" i="1"/>
  <c r="W616" i="1"/>
  <c r="X616" i="1" s="1"/>
  <c r="Y616" i="1" s="1"/>
  <c r="Z616" i="1" s="1"/>
  <c r="R616" i="1"/>
  <c r="S616" i="1" s="1"/>
  <c r="Q616" i="1"/>
  <c r="P616" i="1"/>
  <c r="W615" i="1"/>
  <c r="X615" i="1" s="1"/>
  <c r="Y615" i="1" s="1"/>
  <c r="Z615" i="1" s="1"/>
  <c r="U615" i="1"/>
  <c r="T615" i="1"/>
  <c r="R615" i="1"/>
  <c r="S615" i="1" s="1"/>
  <c r="V615" i="1" s="1"/>
  <c r="Q615" i="1"/>
  <c r="P615" i="1"/>
  <c r="S614" i="1"/>
  <c r="R614" i="1"/>
  <c r="Q614" i="1"/>
  <c r="P614" i="1"/>
  <c r="W613" i="1"/>
  <c r="X613" i="1" s="1"/>
  <c r="Y613" i="1" s="1"/>
  <c r="Z613" i="1" s="1"/>
  <c r="V613" i="1"/>
  <c r="T613" i="1"/>
  <c r="S613" i="1"/>
  <c r="U613" i="1" s="1"/>
  <c r="R613" i="1"/>
  <c r="Q613" i="1"/>
  <c r="P613" i="1"/>
  <c r="S612" i="1"/>
  <c r="R612" i="1"/>
  <c r="Q612" i="1"/>
  <c r="P612" i="1"/>
  <c r="R611" i="1"/>
  <c r="S611" i="1" s="1"/>
  <c r="Q611" i="1"/>
  <c r="P611" i="1"/>
  <c r="R610" i="1"/>
  <c r="S610" i="1" s="1"/>
  <c r="Q610" i="1"/>
  <c r="P610" i="1"/>
  <c r="S609" i="1"/>
  <c r="R609" i="1"/>
  <c r="Q609" i="1"/>
  <c r="P609" i="1"/>
  <c r="R608" i="1"/>
  <c r="S608" i="1" s="1"/>
  <c r="Q608" i="1"/>
  <c r="P608" i="1"/>
  <c r="V607" i="1"/>
  <c r="U607" i="1"/>
  <c r="R607" i="1"/>
  <c r="S607" i="1" s="1"/>
  <c r="Q607" i="1"/>
  <c r="P607" i="1"/>
  <c r="S606" i="1"/>
  <c r="R606" i="1"/>
  <c r="Q606" i="1"/>
  <c r="P606" i="1"/>
  <c r="T605" i="1"/>
  <c r="S605" i="1"/>
  <c r="R605" i="1"/>
  <c r="Q605" i="1"/>
  <c r="P605" i="1"/>
  <c r="X604" i="1"/>
  <c r="Y604" i="1" s="1"/>
  <c r="Z604" i="1" s="1"/>
  <c r="W604" i="1"/>
  <c r="V604" i="1"/>
  <c r="U604" i="1"/>
  <c r="S604" i="1"/>
  <c r="T604" i="1" s="1"/>
  <c r="R604" i="1"/>
  <c r="Q604" i="1"/>
  <c r="P604" i="1"/>
  <c r="S603" i="1"/>
  <c r="R603" i="1"/>
  <c r="Q603" i="1"/>
  <c r="P603" i="1"/>
  <c r="X602" i="1"/>
  <c r="Y602" i="1" s="1"/>
  <c r="Z602" i="1" s="1"/>
  <c r="W602" i="1"/>
  <c r="R602" i="1"/>
  <c r="S602" i="1" s="1"/>
  <c r="Q602" i="1"/>
  <c r="P602" i="1"/>
  <c r="U601" i="1"/>
  <c r="T601" i="1"/>
  <c r="S601" i="1"/>
  <c r="W601" i="1" s="1"/>
  <c r="X601" i="1" s="1"/>
  <c r="Y601" i="1" s="1"/>
  <c r="Z601" i="1" s="1"/>
  <c r="R601" i="1"/>
  <c r="Q601" i="1"/>
  <c r="P601" i="1"/>
  <c r="R600" i="1"/>
  <c r="S600" i="1" s="1"/>
  <c r="Q600" i="1"/>
  <c r="P600" i="1"/>
  <c r="R599" i="1"/>
  <c r="S599" i="1" s="1"/>
  <c r="Q599" i="1"/>
  <c r="P599" i="1"/>
  <c r="T598" i="1"/>
  <c r="S598" i="1"/>
  <c r="R598" i="1"/>
  <c r="Q598" i="1"/>
  <c r="P598" i="1"/>
  <c r="R597" i="1"/>
  <c r="S597" i="1" s="1"/>
  <c r="Q597" i="1"/>
  <c r="P597" i="1"/>
  <c r="R596" i="1"/>
  <c r="S596" i="1" s="1"/>
  <c r="Q596" i="1"/>
  <c r="P596" i="1"/>
  <c r="R595" i="1"/>
  <c r="S595" i="1" s="1"/>
  <c r="W595" i="1" s="1"/>
  <c r="X595" i="1" s="1"/>
  <c r="Y595" i="1" s="1"/>
  <c r="Z595" i="1" s="1"/>
  <c r="Q595" i="1"/>
  <c r="P595" i="1"/>
  <c r="U594" i="1"/>
  <c r="T594" i="1"/>
  <c r="S594" i="1"/>
  <c r="V594" i="1" s="1"/>
  <c r="R594" i="1"/>
  <c r="Q594" i="1"/>
  <c r="P594" i="1"/>
  <c r="Y593" i="1"/>
  <c r="Z593" i="1" s="1"/>
  <c r="W593" i="1"/>
  <c r="X593" i="1" s="1"/>
  <c r="V593" i="1"/>
  <c r="T593" i="1"/>
  <c r="S593" i="1"/>
  <c r="U593" i="1" s="1"/>
  <c r="R593" i="1"/>
  <c r="Q593" i="1"/>
  <c r="P593" i="1"/>
  <c r="U592" i="1"/>
  <c r="T592" i="1"/>
  <c r="S592" i="1"/>
  <c r="W592" i="1" s="1"/>
  <c r="X592" i="1" s="1"/>
  <c r="Y592" i="1" s="1"/>
  <c r="Z592" i="1" s="1"/>
  <c r="R592" i="1"/>
  <c r="Q592" i="1"/>
  <c r="P592" i="1"/>
  <c r="R591" i="1"/>
  <c r="S591" i="1" s="1"/>
  <c r="Q591" i="1"/>
  <c r="P591" i="1"/>
  <c r="V590" i="1"/>
  <c r="T590" i="1"/>
  <c r="S590" i="1"/>
  <c r="W590" i="1" s="1"/>
  <c r="X590" i="1" s="1"/>
  <c r="Y590" i="1" s="1"/>
  <c r="Z590" i="1" s="1"/>
  <c r="R590" i="1"/>
  <c r="Q590" i="1"/>
  <c r="P590" i="1"/>
  <c r="R589" i="1"/>
  <c r="S589" i="1" s="1"/>
  <c r="Q589" i="1"/>
  <c r="P589" i="1"/>
  <c r="S588" i="1"/>
  <c r="W588" i="1" s="1"/>
  <c r="X588" i="1" s="1"/>
  <c r="Y588" i="1" s="1"/>
  <c r="Z588" i="1" s="1"/>
  <c r="R588" i="1"/>
  <c r="Q588" i="1"/>
  <c r="P588" i="1"/>
  <c r="U587" i="1"/>
  <c r="T587" i="1"/>
  <c r="R587" i="1"/>
  <c r="S587" i="1" s="1"/>
  <c r="W587" i="1" s="1"/>
  <c r="X587" i="1" s="1"/>
  <c r="Y587" i="1" s="1"/>
  <c r="Z587" i="1" s="1"/>
  <c r="Q587" i="1"/>
  <c r="P587" i="1"/>
  <c r="V586" i="1"/>
  <c r="U586" i="1"/>
  <c r="T586" i="1"/>
  <c r="S586" i="1"/>
  <c r="W586" i="1" s="1"/>
  <c r="X586" i="1" s="1"/>
  <c r="Y586" i="1" s="1"/>
  <c r="Z586" i="1" s="1"/>
  <c r="R586" i="1"/>
  <c r="Q586" i="1"/>
  <c r="P586" i="1"/>
  <c r="R585" i="1"/>
  <c r="S585" i="1" s="1"/>
  <c r="Q585" i="1"/>
  <c r="P585" i="1"/>
  <c r="W584" i="1"/>
  <c r="X584" i="1" s="1"/>
  <c r="Y584" i="1" s="1"/>
  <c r="Z584" i="1" s="1"/>
  <c r="V584" i="1"/>
  <c r="U584" i="1"/>
  <c r="S584" i="1"/>
  <c r="T584" i="1" s="1"/>
  <c r="R584" i="1"/>
  <c r="Q584" i="1"/>
  <c r="P584" i="1"/>
  <c r="R583" i="1"/>
  <c r="S583" i="1" s="1"/>
  <c r="Q583" i="1"/>
  <c r="P583" i="1"/>
  <c r="Z582" i="1"/>
  <c r="Y582" i="1"/>
  <c r="W582" i="1"/>
  <c r="X582" i="1" s="1"/>
  <c r="R582" i="1"/>
  <c r="S582" i="1" s="1"/>
  <c r="Q582" i="1"/>
  <c r="P582" i="1"/>
  <c r="S581" i="1"/>
  <c r="R581" i="1"/>
  <c r="Q581" i="1"/>
  <c r="P581" i="1"/>
  <c r="R580" i="1"/>
  <c r="S580" i="1" s="1"/>
  <c r="Q580" i="1"/>
  <c r="P580" i="1"/>
  <c r="R579" i="1"/>
  <c r="S579" i="1" s="1"/>
  <c r="Q579" i="1"/>
  <c r="P579" i="1"/>
  <c r="S578" i="1"/>
  <c r="R578" i="1"/>
  <c r="Q578" i="1"/>
  <c r="P578" i="1"/>
  <c r="Z577" i="1"/>
  <c r="Y577" i="1"/>
  <c r="W577" i="1"/>
  <c r="X577" i="1" s="1"/>
  <c r="U577" i="1"/>
  <c r="S577" i="1"/>
  <c r="V577" i="1" s="1"/>
  <c r="R577" i="1"/>
  <c r="Q577" i="1"/>
  <c r="P577" i="1"/>
  <c r="W576" i="1"/>
  <c r="X576" i="1" s="1"/>
  <c r="Y576" i="1" s="1"/>
  <c r="Z576" i="1" s="1"/>
  <c r="U576" i="1"/>
  <c r="S576" i="1"/>
  <c r="T576" i="1" s="1"/>
  <c r="R576" i="1"/>
  <c r="Q576" i="1"/>
  <c r="P576" i="1"/>
  <c r="X575" i="1"/>
  <c r="Y575" i="1" s="1"/>
  <c r="Z575" i="1" s="1"/>
  <c r="W575" i="1"/>
  <c r="U575" i="1"/>
  <c r="R575" i="1"/>
  <c r="S575" i="1" s="1"/>
  <c r="T575" i="1" s="1"/>
  <c r="Q575" i="1"/>
  <c r="P575" i="1"/>
  <c r="U574" i="1"/>
  <c r="S574" i="1"/>
  <c r="R574" i="1"/>
  <c r="Q574" i="1"/>
  <c r="P574" i="1"/>
  <c r="Y573" i="1"/>
  <c r="Z573" i="1" s="1"/>
  <c r="W573" i="1"/>
  <c r="X573" i="1" s="1"/>
  <c r="V573" i="1"/>
  <c r="T573" i="1"/>
  <c r="S573" i="1"/>
  <c r="U573" i="1" s="1"/>
  <c r="R573" i="1"/>
  <c r="Q573" i="1"/>
  <c r="P573" i="1"/>
  <c r="U572" i="1"/>
  <c r="S572" i="1"/>
  <c r="R572" i="1"/>
  <c r="Q572" i="1"/>
  <c r="P572" i="1"/>
  <c r="V571" i="1"/>
  <c r="R571" i="1"/>
  <c r="S571" i="1" s="1"/>
  <c r="Q571" i="1"/>
  <c r="P571" i="1"/>
  <c r="R570" i="1"/>
  <c r="S570" i="1" s="1"/>
  <c r="Q570" i="1"/>
  <c r="P570" i="1"/>
  <c r="R569" i="1"/>
  <c r="S569" i="1" s="1"/>
  <c r="Q569" i="1"/>
  <c r="P569" i="1"/>
  <c r="X568" i="1"/>
  <c r="Y568" i="1" s="1"/>
  <c r="Z568" i="1" s="1"/>
  <c r="V568" i="1"/>
  <c r="U568" i="1"/>
  <c r="T568" i="1"/>
  <c r="S568" i="1"/>
  <c r="W568" i="1" s="1"/>
  <c r="R568" i="1"/>
  <c r="Q568" i="1"/>
  <c r="P568" i="1"/>
  <c r="R567" i="1"/>
  <c r="S567" i="1" s="1"/>
  <c r="Q567" i="1"/>
  <c r="P567" i="1"/>
  <c r="Y566" i="1"/>
  <c r="Z566" i="1" s="1"/>
  <c r="X566" i="1"/>
  <c r="W566" i="1"/>
  <c r="V566" i="1"/>
  <c r="T566" i="1"/>
  <c r="S566" i="1"/>
  <c r="U566" i="1" s="1"/>
  <c r="R566" i="1"/>
  <c r="Q566" i="1"/>
  <c r="P566" i="1"/>
  <c r="W565" i="1"/>
  <c r="X565" i="1" s="1"/>
  <c r="Y565" i="1" s="1"/>
  <c r="Z565" i="1" s="1"/>
  <c r="T565" i="1"/>
  <c r="S565" i="1"/>
  <c r="U565" i="1" s="1"/>
  <c r="R565" i="1"/>
  <c r="Q565" i="1"/>
  <c r="P565" i="1"/>
  <c r="W564" i="1"/>
  <c r="X564" i="1" s="1"/>
  <c r="Y564" i="1" s="1"/>
  <c r="Z564" i="1" s="1"/>
  <c r="V564" i="1"/>
  <c r="U564" i="1"/>
  <c r="S564" i="1"/>
  <c r="T564" i="1" s="1"/>
  <c r="R564" i="1"/>
  <c r="Q564" i="1"/>
  <c r="P564" i="1"/>
  <c r="V563" i="1"/>
  <c r="T563" i="1"/>
  <c r="S563" i="1"/>
  <c r="W563" i="1" s="1"/>
  <c r="X563" i="1" s="1"/>
  <c r="Y563" i="1" s="1"/>
  <c r="Z563" i="1" s="1"/>
  <c r="R563" i="1"/>
  <c r="Q563" i="1"/>
  <c r="P563" i="1"/>
  <c r="R562" i="1"/>
  <c r="S562" i="1" s="1"/>
  <c r="Q562" i="1"/>
  <c r="P562" i="1"/>
  <c r="R561" i="1"/>
  <c r="S561" i="1" s="1"/>
  <c r="Q561" i="1"/>
  <c r="P561" i="1"/>
  <c r="R560" i="1"/>
  <c r="S560" i="1" s="1"/>
  <c r="Q560" i="1"/>
  <c r="P560" i="1"/>
  <c r="R559" i="1"/>
  <c r="S559" i="1" s="1"/>
  <c r="Q559" i="1"/>
  <c r="P559" i="1"/>
  <c r="T558" i="1"/>
  <c r="S558" i="1"/>
  <c r="R558" i="1"/>
  <c r="Q558" i="1"/>
  <c r="P558" i="1"/>
  <c r="V557" i="1"/>
  <c r="U557" i="1"/>
  <c r="T557" i="1"/>
  <c r="S557" i="1"/>
  <c r="W557" i="1" s="1"/>
  <c r="X557" i="1" s="1"/>
  <c r="Y557" i="1" s="1"/>
  <c r="Z557" i="1" s="1"/>
  <c r="R557" i="1"/>
  <c r="Q557" i="1"/>
  <c r="P557" i="1"/>
  <c r="V556" i="1"/>
  <c r="R556" i="1"/>
  <c r="S556" i="1" s="1"/>
  <c r="Q556" i="1"/>
  <c r="P556" i="1"/>
  <c r="Y555" i="1"/>
  <c r="Z555" i="1" s="1"/>
  <c r="X555" i="1"/>
  <c r="W555" i="1"/>
  <c r="V555" i="1"/>
  <c r="T555" i="1"/>
  <c r="R555" i="1"/>
  <c r="S555" i="1" s="1"/>
  <c r="U555" i="1" s="1"/>
  <c r="Q555" i="1"/>
  <c r="P555" i="1"/>
  <c r="W554" i="1"/>
  <c r="X554" i="1" s="1"/>
  <c r="Y554" i="1" s="1"/>
  <c r="Z554" i="1" s="1"/>
  <c r="T554" i="1"/>
  <c r="S554" i="1"/>
  <c r="V554" i="1" s="1"/>
  <c r="R554" i="1"/>
  <c r="Q554" i="1"/>
  <c r="P554" i="1"/>
  <c r="W553" i="1"/>
  <c r="X553" i="1" s="1"/>
  <c r="Y553" i="1" s="1"/>
  <c r="Z553" i="1" s="1"/>
  <c r="V553" i="1"/>
  <c r="T553" i="1"/>
  <c r="S553" i="1"/>
  <c r="U553" i="1" s="1"/>
  <c r="R553" i="1"/>
  <c r="Q553" i="1"/>
  <c r="P553" i="1"/>
  <c r="V552" i="1"/>
  <c r="T552" i="1"/>
  <c r="S552" i="1"/>
  <c r="W552" i="1" s="1"/>
  <c r="X552" i="1" s="1"/>
  <c r="Y552" i="1" s="1"/>
  <c r="Z552" i="1" s="1"/>
  <c r="R552" i="1"/>
  <c r="Q552" i="1"/>
  <c r="P552" i="1"/>
  <c r="V551" i="1"/>
  <c r="R551" i="1"/>
  <c r="S551" i="1" s="1"/>
  <c r="Q551" i="1"/>
  <c r="P551" i="1"/>
  <c r="S550" i="1"/>
  <c r="R550" i="1"/>
  <c r="Q550" i="1"/>
  <c r="P550" i="1"/>
  <c r="T549" i="1"/>
  <c r="S549" i="1"/>
  <c r="R549" i="1"/>
  <c r="Q549" i="1"/>
  <c r="P549" i="1"/>
  <c r="R548" i="1"/>
  <c r="S548" i="1" s="1"/>
  <c r="Q548" i="1"/>
  <c r="P548" i="1"/>
  <c r="T547" i="1"/>
  <c r="R547" i="1"/>
  <c r="S547" i="1" s="1"/>
  <c r="Q547" i="1"/>
  <c r="P547" i="1"/>
  <c r="W546" i="1"/>
  <c r="X546" i="1" s="1"/>
  <c r="Y546" i="1" s="1"/>
  <c r="Z546" i="1" s="1"/>
  <c r="U546" i="1"/>
  <c r="S546" i="1"/>
  <c r="V546" i="1" s="1"/>
  <c r="R546" i="1"/>
  <c r="Q546" i="1"/>
  <c r="P546" i="1"/>
  <c r="R545" i="1"/>
  <c r="S545" i="1" s="1"/>
  <c r="Q545" i="1"/>
  <c r="P545" i="1"/>
  <c r="V544" i="1"/>
  <c r="S544" i="1"/>
  <c r="T544" i="1" s="1"/>
  <c r="R544" i="1"/>
  <c r="Q544" i="1"/>
  <c r="P544" i="1"/>
  <c r="U543" i="1"/>
  <c r="T543" i="1"/>
  <c r="R543" i="1"/>
  <c r="S543" i="1" s="1"/>
  <c r="Q543" i="1"/>
  <c r="P543" i="1"/>
  <c r="X542" i="1"/>
  <c r="Y542" i="1" s="1"/>
  <c r="Z542" i="1" s="1"/>
  <c r="W542" i="1"/>
  <c r="U542" i="1"/>
  <c r="R542" i="1"/>
  <c r="S542" i="1" s="1"/>
  <c r="Q542" i="1"/>
  <c r="P542" i="1"/>
  <c r="S541" i="1"/>
  <c r="R541" i="1"/>
  <c r="Q541" i="1"/>
  <c r="P541" i="1"/>
  <c r="R540" i="1"/>
  <c r="S540" i="1" s="1"/>
  <c r="Q540" i="1"/>
  <c r="P540" i="1"/>
  <c r="S539" i="1"/>
  <c r="R539" i="1"/>
  <c r="Q539" i="1"/>
  <c r="P539" i="1"/>
  <c r="S538" i="1"/>
  <c r="R538" i="1"/>
  <c r="Q538" i="1"/>
  <c r="P538" i="1"/>
  <c r="Z537" i="1"/>
  <c r="W537" i="1"/>
  <c r="X537" i="1" s="1"/>
  <c r="Y537" i="1" s="1"/>
  <c r="R537" i="1"/>
  <c r="S537" i="1" s="1"/>
  <c r="Q537" i="1"/>
  <c r="P537" i="1"/>
  <c r="R536" i="1"/>
  <c r="S536" i="1" s="1"/>
  <c r="Q536" i="1"/>
  <c r="P536" i="1"/>
  <c r="Z535" i="1"/>
  <c r="W535" i="1"/>
  <c r="X535" i="1" s="1"/>
  <c r="Y535" i="1" s="1"/>
  <c r="U535" i="1"/>
  <c r="R535" i="1"/>
  <c r="S535" i="1" s="1"/>
  <c r="V535" i="1" s="1"/>
  <c r="Q535" i="1"/>
  <c r="P535" i="1"/>
  <c r="U534" i="1"/>
  <c r="T534" i="1"/>
  <c r="R534" i="1"/>
  <c r="S534" i="1" s="1"/>
  <c r="Q534" i="1"/>
  <c r="P534" i="1"/>
  <c r="Y533" i="1"/>
  <c r="Z533" i="1" s="1"/>
  <c r="X533" i="1"/>
  <c r="W533" i="1"/>
  <c r="V533" i="1"/>
  <c r="T533" i="1"/>
  <c r="S533" i="1"/>
  <c r="U533" i="1" s="1"/>
  <c r="R533" i="1"/>
  <c r="Q533" i="1"/>
  <c r="P533" i="1"/>
  <c r="W532" i="1"/>
  <c r="X532" i="1" s="1"/>
  <c r="Y532" i="1" s="1"/>
  <c r="Z532" i="1" s="1"/>
  <c r="U532" i="1"/>
  <c r="R532" i="1"/>
  <c r="S532" i="1" s="1"/>
  <c r="V532" i="1" s="1"/>
  <c r="Q532" i="1"/>
  <c r="P532" i="1"/>
  <c r="R531" i="1"/>
  <c r="S531" i="1" s="1"/>
  <c r="Q531" i="1"/>
  <c r="P531" i="1"/>
  <c r="T530" i="1"/>
  <c r="R530" i="1"/>
  <c r="S530" i="1" s="1"/>
  <c r="Q530" i="1"/>
  <c r="P530" i="1"/>
  <c r="T529" i="1"/>
  <c r="R529" i="1"/>
  <c r="S529" i="1" s="1"/>
  <c r="Q529" i="1"/>
  <c r="P529" i="1"/>
  <c r="R528" i="1"/>
  <c r="S528" i="1" s="1"/>
  <c r="Q528" i="1"/>
  <c r="P528" i="1"/>
  <c r="R527" i="1"/>
  <c r="S527" i="1" s="1"/>
  <c r="Q527" i="1"/>
  <c r="P527" i="1"/>
  <c r="X526" i="1"/>
  <c r="Y526" i="1" s="1"/>
  <c r="Z526" i="1" s="1"/>
  <c r="V526" i="1"/>
  <c r="U526" i="1"/>
  <c r="T526" i="1"/>
  <c r="S526" i="1"/>
  <c r="W526" i="1" s="1"/>
  <c r="R526" i="1"/>
  <c r="Q526" i="1"/>
  <c r="P526" i="1"/>
  <c r="S525" i="1"/>
  <c r="R525" i="1"/>
  <c r="Q525" i="1"/>
  <c r="P525" i="1"/>
  <c r="X524" i="1"/>
  <c r="Y524" i="1" s="1"/>
  <c r="Z524" i="1" s="1"/>
  <c r="W524" i="1"/>
  <c r="U524" i="1"/>
  <c r="S524" i="1"/>
  <c r="T524" i="1" s="1"/>
  <c r="R524" i="1"/>
  <c r="Q524" i="1"/>
  <c r="P524" i="1"/>
  <c r="U523" i="1"/>
  <c r="S523" i="1"/>
  <c r="R523" i="1"/>
  <c r="Q523" i="1"/>
  <c r="P523" i="1"/>
  <c r="X522" i="1"/>
  <c r="Y522" i="1" s="1"/>
  <c r="Z522" i="1" s="1"/>
  <c r="W522" i="1"/>
  <c r="T522" i="1"/>
  <c r="R522" i="1"/>
  <c r="S522" i="1" s="1"/>
  <c r="V522" i="1" s="1"/>
  <c r="Q522" i="1"/>
  <c r="P522" i="1"/>
  <c r="U521" i="1"/>
  <c r="T521" i="1"/>
  <c r="R521" i="1"/>
  <c r="S521" i="1" s="1"/>
  <c r="V521" i="1" s="1"/>
  <c r="Q521" i="1"/>
  <c r="P521" i="1"/>
  <c r="W520" i="1"/>
  <c r="X520" i="1" s="1"/>
  <c r="Y520" i="1" s="1"/>
  <c r="Z520" i="1" s="1"/>
  <c r="V520" i="1"/>
  <c r="S520" i="1"/>
  <c r="R520" i="1"/>
  <c r="Q520" i="1"/>
  <c r="P520" i="1"/>
  <c r="V519" i="1"/>
  <c r="T519" i="1"/>
  <c r="S519" i="1"/>
  <c r="R519" i="1"/>
  <c r="Q519" i="1"/>
  <c r="P519" i="1"/>
  <c r="S518" i="1"/>
  <c r="R518" i="1"/>
  <c r="Q518" i="1"/>
  <c r="P518" i="1"/>
  <c r="S517" i="1"/>
  <c r="R517" i="1"/>
  <c r="Q517" i="1"/>
  <c r="P517" i="1"/>
  <c r="S516" i="1"/>
  <c r="R516" i="1"/>
  <c r="Q516" i="1"/>
  <c r="P516" i="1"/>
  <c r="U515" i="1"/>
  <c r="T515" i="1"/>
  <c r="R515" i="1"/>
  <c r="S515" i="1" s="1"/>
  <c r="W515" i="1" s="1"/>
  <c r="X515" i="1" s="1"/>
  <c r="Y515" i="1" s="1"/>
  <c r="Z515" i="1" s="1"/>
  <c r="Q515" i="1"/>
  <c r="P515" i="1"/>
  <c r="R514" i="1"/>
  <c r="S514" i="1" s="1"/>
  <c r="Q514" i="1"/>
  <c r="P514" i="1"/>
  <c r="S513" i="1"/>
  <c r="U513" i="1" s="1"/>
  <c r="R513" i="1"/>
  <c r="Q513" i="1"/>
  <c r="P513" i="1"/>
  <c r="R512" i="1"/>
  <c r="S512" i="1" s="1"/>
  <c r="Q512" i="1"/>
  <c r="P512" i="1"/>
  <c r="V511" i="1"/>
  <c r="U511" i="1"/>
  <c r="R511" i="1"/>
  <c r="S511" i="1" s="1"/>
  <c r="Q511" i="1"/>
  <c r="P511" i="1"/>
  <c r="S510" i="1"/>
  <c r="R510" i="1"/>
  <c r="Q510" i="1"/>
  <c r="P510" i="1"/>
  <c r="R509" i="1"/>
  <c r="S509" i="1" s="1"/>
  <c r="Q509" i="1"/>
  <c r="P509" i="1"/>
  <c r="S508" i="1"/>
  <c r="R508" i="1"/>
  <c r="Q508" i="1"/>
  <c r="P508" i="1"/>
  <c r="Z507" i="1"/>
  <c r="Y507" i="1"/>
  <c r="V507" i="1"/>
  <c r="T507" i="1"/>
  <c r="R507" i="1"/>
  <c r="S507" i="1" s="1"/>
  <c r="W507" i="1" s="1"/>
  <c r="X507" i="1" s="1"/>
  <c r="Q507" i="1"/>
  <c r="P507" i="1"/>
  <c r="S506" i="1"/>
  <c r="R506" i="1"/>
  <c r="Q506" i="1"/>
  <c r="P506" i="1"/>
  <c r="W505" i="1"/>
  <c r="X505" i="1" s="1"/>
  <c r="Y505" i="1" s="1"/>
  <c r="Z505" i="1" s="1"/>
  <c r="V505" i="1"/>
  <c r="R505" i="1"/>
  <c r="S505" i="1" s="1"/>
  <c r="U505" i="1" s="1"/>
  <c r="Q505" i="1"/>
  <c r="P505" i="1"/>
  <c r="W504" i="1"/>
  <c r="X504" i="1" s="1"/>
  <c r="Y504" i="1" s="1"/>
  <c r="Z504" i="1" s="1"/>
  <c r="U504" i="1"/>
  <c r="S504" i="1"/>
  <c r="R504" i="1"/>
  <c r="Q504" i="1"/>
  <c r="P504" i="1"/>
  <c r="V503" i="1"/>
  <c r="T503" i="1"/>
  <c r="R503" i="1"/>
  <c r="S503" i="1" s="1"/>
  <c r="W503" i="1" s="1"/>
  <c r="X503" i="1" s="1"/>
  <c r="Y503" i="1" s="1"/>
  <c r="Z503" i="1" s="1"/>
  <c r="Q503" i="1"/>
  <c r="P503" i="1"/>
  <c r="W502" i="1"/>
  <c r="X502" i="1" s="1"/>
  <c r="Y502" i="1" s="1"/>
  <c r="Z502" i="1" s="1"/>
  <c r="R502" i="1"/>
  <c r="S502" i="1" s="1"/>
  <c r="Q502" i="1"/>
  <c r="P502" i="1"/>
  <c r="X501" i="1"/>
  <c r="Y501" i="1" s="1"/>
  <c r="Z501" i="1" s="1"/>
  <c r="V501" i="1"/>
  <c r="U501" i="1"/>
  <c r="T501" i="1"/>
  <c r="S501" i="1"/>
  <c r="W501" i="1" s="1"/>
  <c r="R501" i="1"/>
  <c r="Q501" i="1"/>
  <c r="P501" i="1"/>
  <c r="S500" i="1"/>
  <c r="R500" i="1"/>
  <c r="Q500" i="1"/>
  <c r="P500" i="1"/>
  <c r="R499" i="1"/>
  <c r="S499" i="1" s="1"/>
  <c r="Q499" i="1"/>
  <c r="P499" i="1"/>
  <c r="S498" i="1"/>
  <c r="R498" i="1"/>
  <c r="Q498" i="1"/>
  <c r="P498" i="1"/>
  <c r="R497" i="1"/>
  <c r="S497" i="1" s="1"/>
  <c r="Q497" i="1"/>
  <c r="P497" i="1"/>
  <c r="R496" i="1"/>
  <c r="S496" i="1" s="1"/>
  <c r="Q496" i="1"/>
  <c r="P496" i="1"/>
  <c r="R495" i="1"/>
  <c r="S495" i="1" s="1"/>
  <c r="W495" i="1" s="1"/>
  <c r="X495" i="1" s="1"/>
  <c r="Y495" i="1" s="1"/>
  <c r="Z495" i="1" s="1"/>
  <c r="Q495" i="1"/>
  <c r="P495" i="1"/>
  <c r="Y494" i="1"/>
  <c r="Z494" i="1" s="1"/>
  <c r="W494" i="1"/>
  <c r="X494" i="1" s="1"/>
  <c r="U494" i="1"/>
  <c r="T494" i="1"/>
  <c r="S494" i="1"/>
  <c r="V494" i="1" s="1"/>
  <c r="R494" i="1"/>
  <c r="Q494" i="1"/>
  <c r="P494" i="1"/>
  <c r="V493" i="1"/>
  <c r="S493" i="1"/>
  <c r="R493" i="1"/>
  <c r="Q493" i="1"/>
  <c r="P493" i="1"/>
  <c r="V492" i="1"/>
  <c r="U492" i="1"/>
  <c r="T492" i="1"/>
  <c r="S492" i="1"/>
  <c r="W492" i="1" s="1"/>
  <c r="X492" i="1" s="1"/>
  <c r="Y492" i="1" s="1"/>
  <c r="Z492" i="1" s="1"/>
  <c r="R492" i="1"/>
  <c r="Q492" i="1"/>
  <c r="P492" i="1"/>
  <c r="V491" i="1"/>
  <c r="U491" i="1"/>
  <c r="R491" i="1"/>
  <c r="S491" i="1" s="1"/>
  <c r="Q491" i="1"/>
  <c r="P491" i="1"/>
  <c r="R490" i="1"/>
  <c r="S490" i="1" s="1"/>
  <c r="U490" i="1" s="1"/>
  <c r="Q490" i="1"/>
  <c r="P490" i="1"/>
  <c r="R489" i="1"/>
  <c r="S489" i="1" s="1"/>
  <c r="Q489" i="1"/>
  <c r="P489" i="1"/>
  <c r="Z488" i="1"/>
  <c r="Y488" i="1"/>
  <c r="W488" i="1"/>
  <c r="X488" i="1" s="1"/>
  <c r="S488" i="1"/>
  <c r="T488" i="1" s="1"/>
  <c r="R488" i="1"/>
  <c r="Q488" i="1"/>
  <c r="P488" i="1"/>
  <c r="R487" i="1"/>
  <c r="S487" i="1" s="1"/>
  <c r="Q487" i="1"/>
  <c r="P487" i="1"/>
  <c r="Y486" i="1"/>
  <c r="Z486" i="1" s="1"/>
  <c r="W486" i="1"/>
  <c r="X486" i="1" s="1"/>
  <c r="V486" i="1"/>
  <c r="U486" i="1"/>
  <c r="T486" i="1"/>
  <c r="S486" i="1"/>
  <c r="R486" i="1"/>
  <c r="Q486" i="1"/>
  <c r="P486" i="1"/>
  <c r="V485" i="1"/>
  <c r="T485" i="1"/>
  <c r="R485" i="1"/>
  <c r="S485" i="1" s="1"/>
  <c r="Q485" i="1"/>
  <c r="P485" i="1"/>
  <c r="R484" i="1"/>
  <c r="S484" i="1" s="1"/>
  <c r="Q484" i="1"/>
  <c r="P484" i="1"/>
  <c r="U483" i="1"/>
  <c r="T483" i="1"/>
  <c r="R483" i="1"/>
  <c r="S483" i="1" s="1"/>
  <c r="Q483" i="1"/>
  <c r="P483" i="1"/>
  <c r="R482" i="1"/>
  <c r="S482" i="1" s="1"/>
  <c r="Q482" i="1"/>
  <c r="P482" i="1"/>
  <c r="T481" i="1"/>
  <c r="S481" i="1"/>
  <c r="R481" i="1"/>
  <c r="Q481" i="1"/>
  <c r="P481" i="1"/>
  <c r="R480" i="1"/>
  <c r="S480" i="1" s="1"/>
  <c r="Q480" i="1"/>
  <c r="P480" i="1"/>
  <c r="R479" i="1"/>
  <c r="S479" i="1" s="1"/>
  <c r="Q479" i="1"/>
  <c r="P479" i="1"/>
  <c r="S478" i="1"/>
  <c r="R478" i="1"/>
  <c r="Q478" i="1"/>
  <c r="P478" i="1"/>
  <c r="R477" i="1"/>
  <c r="S477" i="1" s="1"/>
  <c r="Q477" i="1"/>
  <c r="P477" i="1"/>
  <c r="U476" i="1"/>
  <c r="S476" i="1"/>
  <c r="T476" i="1" s="1"/>
  <c r="R476" i="1"/>
  <c r="Q476" i="1"/>
  <c r="P476" i="1"/>
  <c r="X475" i="1"/>
  <c r="Y475" i="1" s="1"/>
  <c r="Z475" i="1" s="1"/>
  <c r="V475" i="1"/>
  <c r="U475" i="1"/>
  <c r="T475" i="1"/>
  <c r="R475" i="1"/>
  <c r="S475" i="1" s="1"/>
  <c r="W475" i="1" s="1"/>
  <c r="Q475" i="1"/>
  <c r="P475" i="1"/>
  <c r="S474" i="1"/>
  <c r="V474" i="1" s="1"/>
  <c r="R474" i="1"/>
  <c r="Q474" i="1"/>
  <c r="P474" i="1"/>
  <c r="X473" i="1"/>
  <c r="Y473" i="1" s="1"/>
  <c r="Z473" i="1" s="1"/>
  <c r="W473" i="1"/>
  <c r="T473" i="1"/>
  <c r="S473" i="1"/>
  <c r="U473" i="1" s="1"/>
  <c r="R473" i="1"/>
  <c r="Q473" i="1"/>
  <c r="P473" i="1"/>
  <c r="R472" i="1"/>
  <c r="S472" i="1" s="1"/>
  <c r="Q472" i="1"/>
  <c r="P472" i="1"/>
  <c r="V471" i="1"/>
  <c r="R471" i="1"/>
  <c r="S471" i="1" s="1"/>
  <c r="Q471" i="1"/>
  <c r="P471" i="1"/>
  <c r="S470" i="1"/>
  <c r="R470" i="1"/>
  <c r="Q470" i="1"/>
  <c r="P470" i="1"/>
  <c r="S469" i="1"/>
  <c r="R469" i="1"/>
  <c r="Q469" i="1"/>
  <c r="P469" i="1"/>
  <c r="S468" i="1"/>
  <c r="R468" i="1"/>
  <c r="Q468" i="1"/>
  <c r="P468" i="1"/>
  <c r="Z467" i="1"/>
  <c r="Y467" i="1"/>
  <c r="V467" i="1"/>
  <c r="R467" i="1"/>
  <c r="S467" i="1" s="1"/>
  <c r="W467" i="1" s="1"/>
  <c r="X467" i="1" s="1"/>
  <c r="Q467" i="1"/>
  <c r="P467" i="1"/>
  <c r="U466" i="1"/>
  <c r="T466" i="1"/>
  <c r="S466" i="1"/>
  <c r="W466" i="1" s="1"/>
  <c r="X466" i="1" s="1"/>
  <c r="Y466" i="1" s="1"/>
  <c r="Z466" i="1" s="1"/>
  <c r="R466" i="1"/>
  <c r="Q466" i="1"/>
  <c r="P466" i="1"/>
  <c r="R465" i="1"/>
  <c r="S465" i="1" s="1"/>
  <c r="Q465" i="1"/>
  <c r="P465" i="1"/>
  <c r="R464" i="1"/>
  <c r="S464" i="1" s="1"/>
  <c r="Q464" i="1"/>
  <c r="P464" i="1"/>
  <c r="U463" i="1"/>
  <c r="R463" i="1"/>
  <c r="S463" i="1" s="1"/>
  <c r="Q463" i="1"/>
  <c r="P463" i="1"/>
  <c r="W462" i="1"/>
  <c r="X462" i="1" s="1"/>
  <c r="Y462" i="1" s="1"/>
  <c r="Z462" i="1" s="1"/>
  <c r="V462" i="1"/>
  <c r="U462" i="1"/>
  <c r="T462" i="1"/>
  <c r="S462" i="1"/>
  <c r="R462" i="1"/>
  <c r="Q462" i="1"/>
  <c r="P462" i="1"/>
  <c r="T461" i="1"/>
  <c r="S461" i="1"/>
  <c r="W461" i="1" s="1"/>
  <c r="X461" i="1" s="1"/>
  <c r="Y461" i="1" s="1"/>
  <c r="Z461" i="1" s="1"/>
  <c r="R461" i="1"/>
  <c r="Q461" i="1"/>
  <c r="P461" i="1"/>
  <c r="R460" i="1"/>
  <c r="S460" i="1" s="1"/>
  <c r="Q460" i="1"/>
  <c r="P460" i="1"/>
  <c r="R459" i="1"/>
  <c r="S459" i="1" s="1"/>
  <c r="Q459" i="1"/>
  <c r="P459" i="1"/>
  <c r="U458" i="1"/>
  <c r="T458" i="1"/>
  <c r="S458" i="1"/>
  <c r="R458" i="1"/>
  <c r="Q458" i="1"/>
  <c r="P458" i="1"/>
  <c r="R457" i="1"/>
  <c r="S457" i="1" s="1"/>
  <c r="Q457" i="1"/>
  <c r="P457" i="1"/>
  <c r="V456" i="1"/>
  <c r="S456" i="1"/>
  <c r="T456" i="1" s="1"/>
  <c r="R456" i="1"/>
  <c r="Q456" i="1"/>
  <c r="P456" i="1"/>
  <c r="U455" i="1"/>
  <c r="T455" i="1"/>
  <c r="R455" i="1"/>
  <c r="S455" i="1" s="1"/>
  <c r="W455" i="1" s="1"/>
  <c r="X455" i="1" s="1"/>
  <c r="Y455" i="1" s="1"/>
  <c r="Z455" i="1" s="1"/>
  <c r="Q455" i="1"/>
  <c r="P455" i="1"/>
  <c r="W454" i="1"/>
  <c r="X454" i="1" s="1"/>
  <c r="Y454" i="1" s="1"/>
  <c r="Z454" i="1" s="1"/>
  <c r="T454" i="1"/>
  <c r="R454" i="1"/>
  <c r="S454" i="1" s="1"/>
  <c r="Q454" i="1"/>
  <c r="P454" i="1"/>
  <c r="T453" i="1"/>
  <c r="S453" i="1"/>
  <c r="R453" i="1"/>
  <c r="Q453" i="1"/>
  <c r="P453" i="1"/>
  <c r="Z452" i="1"/>
  <c r="W452" i="1"/>
  <c r="X452" i="1" s="1"/>
  <c r="Y452" i="1" s="1"/>
  <c r="R452" i="1"/>
  <c r="S452" i="1" s="1"/>
  <c r="U452" i="1" s="1"/>
  <c r="Q452" i="1"/>
  <c r="P452" i="1"/>
  <c r="R451" i="1"/>
  <c r="S451" i="1" s="1"/>
  <c r="Q451" i="1"/>
  <c r="P451" i="1"/>
  <c r="U450" i="1"/>
  <c r="T450" i="1"/>
  <c r="R450" i="1"/>
  <c r="S450" i="1" s="1"/>
  <c r="W450" i="1" s="1"/>
  <c r="X450" i="1" s="1"/>
  <c r="Y450" i="1" s="1"/>
  <c r="Z450" i="1" s="1"/>
  <c r="Q450" i="1"/>
  <c r="P450" i="1"/>
  <c r="S449" i="1"/>
  <c r="R449" i="1"/>
  <c r="Q449" i="1"/>
  <c r="P449" i="1"/>
  <c r="X448" i="1"/>
  <c r="Y448" i="1" s="1"/>
  <c r="Z448" i="1" s="1"/>
  <c r="W448" i="1"/>
  <c r="U448" i="1"/>
  <c r="T448" i="1"/>
  <c r="R448" i="1"/>
  <c r="S448" i="1" s="1"/>
  <c r="V448" i="1" s="1"/>
  <c r="Q448" i="1"/>
  <c r="P448" i="1"/>
  <c r="R447" i="1"/>
  <c r="S447" i="1" s="1"/>
  <c r="Q447" i="1"/>
  <c r="P447" i="1"/>
  <c r="S446" i="1"/>
  <c r="R446" i="1"/>
  <c r="Q446" i="1"/>
  <c r="P446" i="1"/>
  <c r="T445" i="1"/>
  <c r="S445" i="1"/>
  <c r="R445" i="1"/>
  <c r="Q445" i="1"/>
  <c r="P445" i="1"/>
  <c r="R444" i="1"/>
  <c r="S444" i="1" s="1"/>
  <c r="Q444" i="1"/>
  <c r="P444" i="1"/>
  <c r="U443" i="1"/>
  <c r="T443" i="1"/>
  <c r="R443" i="1"/>
  <c r="S443" i="1" s="1"/>
  <c r="Q443" i="1"/>
  <c r="P443" i="1"/>
  <c r="W442" i="1"/>
  <c r="X442" i="1" s="1"/>
  <c r="Y442" i="1" s="1"/>
  <c r="Z442" i="1" s="1"/>
  <c r="V442" i="1"/>
  <c r="U442" i="1"/>
  <c r="R442" i="1"/>
  <c r="S442" i="1" s="1"/>
  <c r="T442" i="1" s="1"/>
  <c r="Q442" i="1"/>
  <c r="P442" i="1"/>
  <c r="R441" i="1"/>
  <c r="S441" i="1" s="1"/>
  <c r="Q441" i="1"/>
  <c r="P441" i="1"/>
  <c r="W440" i="1"/>
  <c r="X440" i="1" s="1"/>
  <c r="Y440" i="1" s="1"/>
  <c r="Z440" i="1" s="1"/>
  <c r="V440" i="1"/>
  <c r="R440" i="1"/>
  <c r="S440" i="1" s="1"/>
  <c r="Q440" i="1"/>
  <c r="P440" i="1"/>
  <c r="U439" i="1"/>
  <c r="R439" i="1"/>
  <c r="S439" i="1" s="1"/>
  <c r="Q439" i="1"/>
  <c r="P439" i="1"/>
  <c r="S438" i="1"/>
  <c r="R438" i="1"/>
  <c r="Q438" i="1"/>
  <c r="P438" i="1"/>
  <c r="R437" i="1"/>
  <c r="S437" i="1" s="1"/>
  <c r="Q437" i="1"/>
  <c r="P437" i="1"/>
  <c r="S436" i="1"/>
  <c r="T436" i="1" s="1"/>
  <c r="R436" i="1"/>
  <c r="Q436" i="1"/>
  <c r="P436" i="1"/>
  <c r="S435" i="1"/>
  <c r="R435" i="1"/>
  <c r="Q435" i="1"/>
  <c r="P435" i="1"/>
  <c r="R434" i="1"/>
  <c r="S434" i="1" s="1"/>
  <c r="Q434" i="1"/>
  <c r="P434" i="1"/>
  <c r="T433" i="1"/>
  <c r="S433" i="1"/>
  <c r="R433" i="1"/>
  <c r="Q433" i="1"/>
  <c r="P433" i="1"/>
  <c r="R432" i="1"/>
  <c r="S432" i="1" s="1"/>
  <c r="Q432" i="1"/>
  <c r="P432" i="1"/>
  <c r="U431" i="1"/>
  <c r="R431" i="1"/>
  <c r="S431" i="1" s="1"/>
  <c r="Q431" i="1"/>
  <c r="P431" i="1"/>
  <c r="S430" i="1"/>
  <c r="R430" i="1"/>
  <c r="Q430" i="1"/>
  <c r="P430" i="1"/>
  <c r="R429" i="1"/>
  <c r="S429" i="1" s="1"/>
  <c r="Q429" i="1"/>
  <c r="P429" i="1"/>
  <c r="X428" i="1"/>
  <c r="Y428" i="1" s="1"/>
  <c r="Z428" i="1" s="1"/>
  <c r="V428" i="1"/>
  <c r="U428" i="1"/>
  <c r="T428" i="1"/>
  <c r="S428" i="1"/>
  <c r="W428" i="1" s="1"/>
  <c r="R428" i="1"/>
  <c r="Q428" i="1"/>
  <c r="P428" i="1"/>
  <c r="Y427" i="1"/>
  <c r="Z427" i="1" s="1"/>
  <c r="V427" i="1"/>
  <c r="U427" i="1"/>
  <c r="T427" i="1"/>
  <c r="R427" i="1"/>
  <c r="S427" i="1" s="1"/>
  <c r="W427" i="1" s="1"/>
  <c r="X427" i="1" s="1"/>
  <c r="Q427" i="1"/>
  <c r="P427" i="1"/>
  <c r="W426" i="1"/>
  <c r="X426" i="1" s="1"/>
  <c r="Y426" i="1" s="1"/>
  <c r="Z426" i="1" s="1"/>
  <c r="U426" i="1"/>
  <c r="R426" i="1"/>
  <c r="S426" i="1" s="1"/>
  <c r="Q426" i="1"/>
  <c r="P426" i="1"/>
  <c r="V425" i="1"/>
  <c r="S425" i="1"/>
  <c r="U425" i="1" s="1"/>
  <c r="R425" i="1"/>
  <c r="Q425" i="1"/>
  <c r="P425" i="1"/>
  <c r="W424" i="1"/>
  <c r="X424" i="1" s="1"/>
  <c r="Y424" i="1" s="1"/>
  <c r="Z424" i="1" s="1"/>
  <c r="S424" i="1"/>
  <c r="R424" i="1"/>
  <c r="Q424" i="1"/>
  <c r="P424" i="1"/>
  <c r="V423" i="1"/>
  <c r="U423" i="1"/>
  <c r="T423" i="1"/>
  <c r="S423" i="1"/>
  <c r="W423" i="1" s="1"/>
  <c r="X423" i="1" s="1"/>
  <c r="Y423" i="1" s="1"/>
  <c r="Z423" i="1" s="1"/>
  <c r="R423" i="1"/>
  <c r="Q423" i="1"/>
  <c r="P423" i="1"/>
  <c r="W422" i="1"/>
  <c r="X422" i="1" s="1"/>
  <c r="Y422" i="1" s="1"/>
  <c r="Z422" i="1" s="1"/>
  <c r="V422" i="1"/>
  <c r="R422" i="1"/>
  <c r="S422" i="1" s="1"/>
  <c r="Q422" i="1"/>
  <c r="P422" i="1"/>
  <c r="V421" i="1"/>
  <c r="U421" i="1"/>
  <c r="T421" i="1"/>
  <c r="S421" i="1"/>
  <c r="W421" i="1" s="1"/>
  <c r="X421" i="1" s="1"/>
  <c r="Y421" i="1" s="1"/>
  <c r="Z421" i="1" s="1"/>
  <c r="R421" i="1"/>
  <c r="Q421" i="1"/>
  <c r="P421" i="1"/>
  <c r="S420" i="1"/>
  <c r="R420" i="1"/>
  <c r="Q420" i="1"/>
  <c r="P420" i="1"/>
  <c r="Y419" i="1"/>
  <c r="Z419" i="1" s="1"/>
  <c r="X419" i="1"/>
  <c r="V419" i="1"/>
  <c r="U419" i="1"/>
  <c r="T419" i="1"/>
  <c r="S419" i="1"/>
  <c r="W419" i="1" s="1"/>
  <c r="R419" i="1"/>
  <c r="Q419" i="1"/>
  <c r="P419" i="1"/>
  <c r="T418" i="1"/>
  <c r="S418" i="1"/>
  <c r="R418" i="1"/>
  <c r="Q418" i="1"/>
  <c r="P418" i="1"/>
  <c r="X417" i="1"/>
  <c r="Y417" i="1" s="1"/>
  <c r="Z417" i="1" s="1"/>
  <c r="V417" i="1"/>
  <c r="U417" i="1"/>
  <c r="T417" i="1"/>
  <c r="S417" i="1"/>
  <c r="W417" i="1" s="1"/>
  <c r="R417" i="1"/>
  <c r="Q417" i="1"/>
  <c r="P417" i="1"/>
  <c r="S416" i="1"/>
  <c r="T416" i="1" s="1"/>
  <c r="R416" i="1"/>
  <c r="Q416" i="1"/>
  <c r="P416" i="1"/>
  <c r="X415" i="1"/>
  <c r="Y415" i="1" s="1"/>
  <c r="Z415" i="1" s="1"/>
  <c r="W415" i="1"/>
  <c r="U415" i="1"/>
  <c r="S415" i="1"/>
  <c r="V415" i="1" s="1"/>
  <c r="R415" i="1"/>
  <c r="Q415" i="1"/>
  <c r="P415" i="1"/>
  <c r="W414" i="1"/>
  <c r="X414" i="1" s="1"/>
  <c r="Y414" i="1" s="1"/>
  <c r="Z414" i="1" s="1"/>
  <c r="U414" i="1"/>
  <c r="T414" i="1"/>
  <c r="S414" i="1"/>
  <c r="V414" i="1" s="1"/>
  <c r="R414" i="1"/>
  <c r="Q414" i="1"/>
  <c r="P414" i="1"/>
  <c r="Y413" i="1"/>
  <c r="Z413" i="1" s="1"/>
  <c r="X413" i="1"/>
  <c r="W413" i="1"/>
  <c r="U413" i="1"/>
  <c r="S413" i="1"/>
  <c r="V413" i="1" s="1"/>
  <c r="R413" i="1"/>
  <c r="Q413" i="1"/>
  <c r="P413" i="1"/>
  <c r="V412" i="1"/>
  <c r="R412" i="1"/>
  <c r="S412" i="1" s="1"/>
  <c r="Q412" i="1"/>
  <c r="P412" i="1"/>
  <c r="V411" i="1"/>
  <c r="R411" i="1"/>
  <c r="S411" i="1" s="1"/>
  <c r="T411" i="1" s="1"/>
  <c r="Q411" i="1"/>
  <c r="P411" i="1"/>
  <c r="R410" i="1"/>
  <c r="S410" i="1" s="1"/>
  <c r="Q410" i="1"/>
  <c r="P410" i="1"/>
  <c r="S409" i="1"/>
  <c r="R409" i="1"/>
  <c r="Q409" i="1"/>
  <c r="P409" i="1"/>
  <c r="V408" i="1"/>
  <c r="R408" i="1"/>
  <c r="S408" i="1" s="1"/>
  <c r="Q408" i="1"/>
  <c r="P408" i="1"/>
  <c r="R407" i="1"/>
  <c r="S407" i="1" s="1"/>
  <c r="Q407" i="1"/>
  <c r="P407" i="1"/>
  <c r="T406" i="1"/>
  <c r="S406" i="1"/>
  <c r="V406" i="1" s="1"/>
  <c r="R406" i="1"/>
  <c r="Q406" i="1"/>
  <c r="P406" i="1"/>
  <c r="V405" i="1"/>
  <c r="T405" i="1"/>
  <c r="S405" i="1"/>
  <c r="U405" i="1" s="1"/>
  <c r="R405" i="1"/>
  <c r="Q405" i="1"/>
  <c r="P405" i="1"/>
  <c r="R404" i="1"/>
  <c r="S404" i="1" s="1"/>
  <c r="Q404" i="1"/>
  <c r="P404" i="1"/>
  <c r="V403" i="1"/>
  <c r="U403" i="1"/>
  <c r="R403" i="1"/>
  <c r="S403" i="1" s="1"/>
  <c r="W403" i="1" s="1"/>
  <c r="X403" i="1" s="1"/>
  <c r="Y403" i="1" s="1"/>
  <c r="Z403" i="1" s="1"/>
  <c r="Q403" i="1"/>
  <c r="P403" i="1"/>
  <c r="W402" i="1"/>
  <c r="X402" i="1" s="1"/>
  <c r="Y402" i="1" s="1"/>
  <c r="Z402" i="1" s="1"/>
  <c r="R402" i="1"/>
  <c r="S402" i="1" s="1"/>
  <c r="V402" i="1" s="1"/>
  <c r="Q402" i="1"/>
  <c r="P402" i="1"/>
  <c r="W401" i="1"/>
  <c r="X401" i="1" s="1"/>
  <c r="Y401" i="1" s="1"/>
  <c r="Z401" i="1" s="1"/>
  <c r="U401" i="1"/>
  <c r="T401" i="1"/>
  <c r="R401" i="1"/>
  <c r="S401" i="1" s="1"/>
  <c r="V401" i="1" s="1"/>
  <c r="Q401" i="1"/>
  <c r="P401" i="1"/>
  <c r="R400" i="1"/>
  <c r="S400" i="1" s="1"/>
  <c r="Q400" i="1"/>
  <c r="P400" i="1"/>
  <c r="R399" i="1"/>
  <c r="S399" i="1" s="1"/>
  <c r="W399" i="1" s="1"/>
  <c r="X399" i="1" s="1"/>
  <c r="Y399" i="1" s="1"/>
  <c r="Z399" i="1" s="1"/>
  <c r="Q399" i="1"/>
  <c r="P399" i="1"/>
  <c r="S398" i="1"/>
  <c r="R398" i="1"/>
  <c r="Q398" i="1"/>
  <c r="P398" i="1"/>
  <c r="W397" i="1"/>
  <c r="X397" i="1" s="1"/>
  <c r="Y397" i="1" s="1"/>
  <c r="Z397" i="1" s="1"/>
  <c r="R397" i="1"/>
  <c r="S397" i="1" s="1"/>
  <c r="V397" i="1" s="1"/>
  <c r="Q397" i="1"/>
  <c r="P397" i="1"/>
  <c r="V396" i="1"/>
  <c r="U396" i="1"/>
  <c r="R396" i="1"/>
  <c r="S396" i="1" s="1"/>
  <c r="Q396" i="1"/>
  <c r="P396" i="1"/>
  <c r="U395" i="1"/>
  <c r="T395" i="1"/>
  <c r="S395" i="1"/>
  <c r="W395" i="1" s="1"/>
  <c r="X395" i="1" s="1"/>
  <c r="Y395" i="1" s="1"/>
  <c r="Z395" i="1" s="1"/>
  <c r="R395" i="1"/>
  <c r="Q395" i="1"/>
  <c r="P395" i="1"/>
  <c r="U394" i="1"/>
  <c r="T394" i="1"/>
  <c r="R394" i="1"/>
  <c r="S394" i="1" s="1"/>
  <c r="Q394" i="1"/>
  <c r="P394" i="1"/>
  <c r="X393" i="1"/>
  <c r="Y393" i="1" s="1"/>
  <c r="Z393" i="1" s="1"/>
  <c r="W393" i="1"/>
  <c r="U393" i="1"/>
  <c r="T393" i="1"/>
  <c r="S393" i="1"/>
  <c r="V393" i="1" s="1"/>
  <c r="R393" i="1"/>
  <c r="Q393" i="1"/>
  <c r="P393" i="1"/>
  <c r="U392" i="1"/>
  <c r="R392" i="1"/>
  <c r="S392" i="1" s="1"/>
  <c r="Q392" i="1"/>
  <c r="P392" i="1"/>
  <c r="U391" i="1"/>
  <c r="R391" i="1"/>
  <c r="S391" i="1" s="1"/>
  <c r="T391" i="1" s="1"/>
  <c r="Q391" i="1"/>
  <c r="P391" i="1"/>
  <c r="U390" i="1"/>
  <c r="R390" i="1"/>
  <c r="S390" i="1" s="1"/>
  <c r="Q390" i="1"/>
  <c r="P390" i="1"/>
  <c r="S389" i="1"/>
  <c r="R389" i="1"/>
  <c r="Q389" i="1"/>
  <c r="P389" i="1"/>
  <c r="T388" i="1"/>
  <c r="R388" i="1"/>
  <c r="S388" i="1" s="1"/>
  <c r="Q388" i="1"/>
  <c r="P388" i="1"/>
  <c r="U387" i="1"/>
  <c r="T387" i="1"/>
  <c r="R387" i="1"/>
  <c r="S387" i="1" s="1"/>
  <c r="W387" i="1" s="1"/>
  <c r="X387" i="1" s="1"/>
  <c r="Y387" i="1" s="1"/>
  <c r="Z387" i="1" s="1"/>
  <c r="Q387" i="1"/>
  <c r="P387" i="1"/>
  <c r="S386" i="1"/>
  <c r="R386" i="1"/>
  <c r="Q386" i="1"/>
  <c r="P386" i="1"/>
  <c r="V385" i="1"/>
  <c r="R385" i="1"/>
  <c r="S385" i="1" s="1"/>
  <c r="Q385" i="1"/>
  <c r="P385" i="1"/>
  <c r="S384" i="1"/>
  <c r="R384" i="1"/>
  <c r="Q384" i="1"/>
  <c r="P384" i="1"/>
  <c r="S383" i="1"/>
  <c r="W383" i="1" s="1"/>
  <c r="X383" i="1" s="1"/>
  <c r="Y383" i="1" s="1"/>
  <c r="Z383" i="1" s="1"/>
  <c r="R383" i="1"/>
  <c r="Q383" i="1"/>
  <c r="P383" i="1"/>
  <c r="R382" i="1"/>
  <c r="S382" i="1" s="1"/>
  <c r="Q382" i="1"/>
  <c r="P382" i="1"/>
  <c r="R381" i="1"/>
  <c r="S381" i="1" s="1"/>
  <c r="Q381" i="1"/>
  <c r="P381" i="1"/>
  <c r="R380" i="1"/>
  <c r="S380" i="1" s="1"/>
  <c r="Q380" i="1"/>
  <c r="P380" i="1"/>
  <c r="W379" i="1"/>
  <c r="X379" i="1" s="1"/>
  <c r="Y379" i="1" s="1"/>
  <c r="Z379" i="1" s="1"/>
  <c r="S379" i="1"/>
  <c r="R379" i="1"/>
  <c r="Q379" i="1"/>
  <c r="P379" i="1"/>
  <c r="U378" i="1"/>
  <c r="T378" i="1"/>
  <c r="S378" i="1"/>
  <c r="R378" i="1"/>
  <c r="Q378" i="1"/>
  <c r="P378" i="1"/>
  <c r="V377" i="1"/>
  <c r="U377" i="1"/>
  <c r="R377" i="1"/>
  <c r="S377" i="1" s="1"/>
  <c r="Q377" i="1"/>
  <c r="P377" i="1"/>
  <c r="W376" i="1"/>
  <c r="X376" i="1" s="1"/>
  <c r="Y376" i="1" s="1"/>
  <c r="Z376" i="1" s="1"/>
  <c r="V376" i="1"/>
  <c r="U376" i="1"/>
  <c r="S376" i="1"/>
  <c r="T376" i="1" s="1"/>
  <c r="R376" i="1"/>
  <c r="Q376" i="1"/>
  <c r="P376" i="1"/>
  <c r="R375" i="1"/>
  <c r="S375" i="1" s="1"/>
  <c r="Q375" i="1"/>
  <c r="P375" i="1"/>
  <c r="Y374" i="1"/>
  <c r="Z374" i="1" s="1"/>
  <c r="W374" i="1"/>
  <c r="X374" i="1" s="1"/>
  <c r="U374" i="1"/>
  <c r="T374" i="1"/>
  <c r="S374" i="1"/>
  <c r="V374" i="1" s="1"/>
  <c r="R374" i="1"/>
  <c r="Q374" i="1"/>
  <c r="P374" i="1"/>
  <c r="T373" i="1"/>
  <c r="S373" i="1"/>
  <c r="W373" i="1" s="1"/>
  <c r="X373" i="1" s="1"/>
  <c r="Y373" i="1" s="1"/>
  <c r="Z373" i="1" s="1"/>
  <c r="R373" i="1"/>
  <c r="Q373" i="1"/>
  <c r="P373" i="1"/>
  <c r="R372" i="1"/>
  <c r="S372" i="1" s="1"/>
  <c r="Q372" i="1"/>
  <c r="P372" i="1"/>
  <c r="W371" i="1"/>
  <c r="X371" i="1" s="1"/>
  <c r="Y371" i="1" s="1"/>
  <c r="Z371" i="1" s="1"/>
  <c r="V371" i="1"/>
  <c r="U371" i="1"/>
  <c r="R371" i="1"/>
  <c r="S371" i="1" s="1"/>
  <c r="T371" i="1" s="1"/>
  <c r="Q371" i="1"/>
  <c r="P371" i="1"/>
  <c r="X370" i="1"/>
  <c r="Y370" i="1" s="1"/>
  <c r="Z370" i="1" s="1"/>
  <c r="V370" i="1"/>
  <c r="U370" i="1"/>
  <c r="T370" i="1"/>
  <c r="S370" i="1"/>
  <c r="W370" i="1" s="1"/>
  <c r="R370" i="1"/>
  <c r="Q370" i="1"/>
  <c r="P370" i="1"/>
  <c r="W369" i="1"/>
  <c r="X369" i="1" s="1"/>
  <c r="Y369" i="1" s="1"/>
  <c r="Z369" i="1" s="1"/>
  <c r="R369" i="1"/>
  <c r="S369" i="1" s="1"/>
  <c r="Q369" i="1"/>
  <c r="P369" i="1"/>
  <c r="X368" i="1"/>
  <c r="Y368" i="1" s="1"/>
  <c r="Z368" i="1" s="1"/>
  <c r="V368" i="1"/>
  <c r="U368" i="1"/>
  <c r="T368" i="1"/>
  <c r="S368" i="1"/>
  <c r="W368" i="1" s="1"/>
  <c r="R368" i="1"/>
  <c r="Q368" i="1"/>
  <c r="P368" i="1"/>
  <c r="R367" i="1"/>
  <c r="S367" i="1" s="1"/>
  <c r="Q367" i="1"/>
  <c r="P367" i="1"/>
  <c r="Y366" i="1"/>
  <c r="Z366" i="1" s="1"/>
  <c r="X366" i="1"/>
  <c r="W366" i="1"/>
  <c r="U366" i="1"/>
  <c r="S366" i="1"/>
  <c r="V366" i="1" s="1"/>
  <c r="R366" i="1"/>
  <c r="Q366" i="1"/>
  <c r="P366" i="1"/>
  <c r="R365" i="1"/>
  <c r="S365" i="1" s="1"/>
  <c r="Q365" i="1"/>
  <c r="P365" i="1"/>
  <c r="W364" i="1"/>
  <c r="X364" i="1" s="1"/>
  <c r="Y364" i="1" s="1"/>
  <c r="Z364" i="1" s="1"/>
  <c r="V364" i="1"/>
  <c r="T364" i="1"/>
  <c r="R364" i="1"/>
  <c r="S364" i="1" s="1"/>
  <c r="U364" i="1" s="1"/>
  <c r="Q364" i="1"/>
  <c r="P364" i="1"/>
  <c r="S363" i="1"/>
  <c r="R363" i="1"/>
  <c r="Q363" i="1"/>
  <c r="P363" i="1"/>
  <c r="W362" i="1"/>
  <c r="X362" i="1" s="1"/>
  <c r="Y362" i="1" s="1"/>
  <c r="Z362" i="1" s="1"/>
  <c r="U362" i="1"/>
  <c r="R362" i="1"/>
  <c r="S362" i="1" s="1"/>
  <c r="V362" i="1" s="1"/>
  <c r="Q362" i="1"/>
  <c r="P362" i="1"/>
  <c r="S361" i="1"/>
  <c r="R361" i="1"/>
  <c r="Q361" i="1"/>
  <c r="P361" i="1"/>
  <c r="S360" i="1"/>
  <c r="R360" i="1"/>
  <c r="Q360" i="1"/>
  <c r="P360" i="1"/>
  <c r="R359" i="1"/>
  <c r="S359" i="1" s="1"/>
  <c r="Q359" i="1"/>
  <c r="P359" i="1"/>
  <c r="U358" i="1"/>
  <c r="S358" i="1"/>
  <c r="R358" i="1"/>
  <c r="Q358" i="1"/>
  <c r="P358" i="1"/>
  <c r="X357" i="1"/>
  <c r="Y357" i="1" s="1"/>
  <c r="Z357" i="1" s="1"/>
  <c r="S357" i="1"/>
  <c r="W357" i="1" s="1"/>
  <c r="R357" i="1"/>
  <c r="Q357" i="1"/>
  <c r="P357" i="1"/>
  <c r="V356" i="1"/>
  <c r="U356" i="1"/>
  <c r="R356" i="1"/>
  <c r="S356" i="1" s="1"/>
  <c r="T356" i="1" s="1"/>
  <c r="Q356" i="1"/>
  <c r="P356" i="1"/>
  <c r="R355" i="1"/>
  <c r="S355" i="1" s="1"/>
  <c r="Q355" i="1"/>
  <c r="P355" i="1"/>
  <c r="R354" i="1"/>
  <c r="S354" i="1" s="1"/>
  <c r="V354" i="1" s="1"/>
  <c r="Q354" i="1"/>
  <c r="P354" i="1"/>
  <c r="U353" i="1"/>
  <c r="T353" i="1"/>
  <c r="S353" i="1"/>
  <c r="V353" i="1" s="1"/>
  <c r="R353" i="1"/>
  <c r="Q353" i="1"/>
  <c r="P353" i="1"/>
  <c r="S352" i="1"/>
  <c r="T352" i="1" s="1"/>
  <c r="R352" i="1"/>
  <c r="Q352" i="1"/>
  <c r="P352" i="1"/>
  <c r="V351" i="1"/>
  <c r="R351" i="1"/>
  <c r="S351" i="1" s="1"/>
  <c r="Q351" i="1"/>
  <c r="P351" i="1"/>
  <c r="W350" i="1"/>
  <c r="X350" i="1" s="1"/>
  <c r="Y350" i="1" s="1"/>
  <c r="Z350" i="1" s="1"/>
  <c r="V350" i="1"/>
  <c r="U350" i="1"/>
  <c r="T350" i="1"/>
  <c r="R350" i="1"/>
  <c r="S350" i="1" s="1"/>
  <c r="Q350" i="1"/>
  <c r="P350" i="1"/>
  <c r="R349" i="1"/>
  <c r="S349" i="1" s="1"/>
  <c r="Q349" i="1"/>
  <c r="P349" i="1"/>
  <c r="R348" i="1"/>
  <c r="S348" i="1" s="1"/>
  <c r="Q348" i="1"/>
  <c r="P348" i="1"/>
  <c r="V347" i="1"/>
  <c r="R347" i="1"/>
  <c r="S347" i="1" s="1"/>
  <c r="Q347" i="1"/>
  <c r="P347" i="1"/>
  <c r="U346" i="1"/>
  <c r="S346" i="1"/>
  <c r="W346" i="1" s="1"/>
  <c r="X346" i="1" s="1"/>
  <c r="Y346" i="1" s="1"/>
  <c r="Z346" i="1" s="1"/>
  <c r="R346" i="1"/>
  <c r="Q346" i="1"/>
  <c r="P346" i="1"/>
  <c r="S345" i="1"/>
  <c r="R345" i="1"/>
  <c r="Q345" i="1"/>
  <c r="P345" i="1"/>
  <c r="S344" i="1"/>
  <c r="W344" i="1" s="1"/>
  <c r="X344" i="1" s="1"/>
  <c r="Y344" i="1" s="1"/>
  <c r="Z344" i="1" s="1"/>
  <c r="R344" i="1"/>
  <c r="Q344" i="1"/>
  <c r="P344" i="1"/>
  <c r="R343" i="1"/>
  <c r="S343" i="1" s="1"/>
  <c r="Q343" i="1"/>
  <c r="P343" i="1"/>
  <c r="W342" i="1"/>
  <c r="X342" i="1" s="1"/>
  <c r="Y342" i="1" s="1"/>
  <c r="Z342" i="1" s="1"/>
  <c r="R342" i="1"/>
  <c r="S342" i="1" s="1"/>
  <c r="V342" i="1" s="1"/>
  <c r="Q342" i="1"/>
  <c r="P342" i="1"/>
  <c r="U341" i="1"/>
  <c r="T341" i="1"/>
  <c r="R341" i="1"/>
  <c r="S341" i="1" s="1"/>
  <c r="Q341" i="1"/>
  <c r="P341" i="1"/>
  <c r="S340" i="1"/>
  <c r="R340" i="1"/>
  <c r="Q340" i="1"/>
  <c r="P340" i="1"/>
  <c r="R339" i="1"/>
  <c r="S339" i="1" s="1"/>
  <c r="Q339" i="1"/>
  <c r="P339" i="1"/>
  <c r="U338" i="1"/>
  <c r="S338" i="1"/>
  <c r="R338" i="1"/>
  <c r="Q338" i="1"/>
  <c r="P338" i="1"/>
  <c r="U337" i="1"/>
  <c r="T337" i="1"/>
  <c r="R337" i="1"/>
  <c r="S337" i="1" s="1"/>
  <c r="Q337" i="1"/>
  <c r="P337" i="1"/>
  <c r="R336" i="1"/>
  <c r="S336" i="1" s="1"/>
  <c r="Q336" i="1"/>
  <c r="P336" i="1"/>
  <c r="S335" i="1"/>
  <c r="R335" i="1"/>
  <c r="Q335" i="1"/>
  <c r="P335" i="1"/>
  <c r="W334" i="1"/>
  <c r="X334" i="1" s="1"/>
  <c r="Y334" i="1" s="1"/>
  <c r="Z334" i="1" s="1"/>
  <c r="T334" i="1"/>
  <c r="R334" i="1"/>
  <c r="S334" i="1" s="1"/>
  <c r="Q334" i="1"/>
  <c r="P334" i="1"/>
  <c r="S333" i="1"/>
  <c r="R333" i="1"/>
  <c r="Q333" i="1"/>
  <c r="P333" i="1"/>
  <c r="V332" i="1"/>
  <c r="S332" i="1"/>
  <c r="R332" i="1"/>
  <c r="Q332" i="1"/>
  <c r="P332" i="1"/>
  <c r="R331" i="1"/>
  <c r="S331" i="1" s="1"/>
  <c r="Q331" i="1"/>
  <c r="P331" i="1"/>
  <c r="U330" i="1"/>
  <c r="R330" i="1"/>
  <c r="S330" i="1" s="1"/>
  <c r="Q330" i="1"/>
  <c r="P330" i="1"/>
  <c r="R329" i="1"/>
  <c r="S329" i="1" s="1"/>
  <c r="Q329" i="1"/>
  <c r="P329" i="1"/>
  <c r="R328" i="1"/>
  <c r="S328" i="1" s="1"/>
  <c r="Q328" i="1"/>
  <c r="P328" i="1"/>
  <c r="Y327" i="1"/>
  <c r="Z327" i="1" s="1"/>
  <c r="V327" i="1"/>
  <c r="U327" i="1"/>
  <c r="T327" i="1"/>
  <c r="R327" i="1"/>
  <c r="S327" i="1" s="1"/>
  <c r="W327" i="1" s="1"/>
  <c r="X327" i="1" s="1"/>
  <c r="Q327" i="1"/>
  <c r="P327" i="1"/>
  <c r="W326" i="1"/>
  <c r="X326" i="1" s="1"/>
  <c r="Y326" i="1" s="1"/>
  <c r="Z326" i="1" s="1"/>
  <c r="S326" i="1"/>
  <c r="V326" i="1" s="1"/>
  <c r="R326" i="1"/>
  <c r="Q326" i="1"/>
  <c r="P326" i="1"/>
  <c r="V325" i="1"/>
  <c r="S325" i="1"/>
  <c r="U325" i="1" s="1"/>
  <c r="R325" i="1"/>
  <c r="Q325" i="1"/>
  <c r="P325" i="1"/>
  <c r="S324" i="1"/>
  <c r="R324" i="1"/>
  <c r="Q324" i="1"/>
  <c r="P324" i="1"/>
  <c r="V323" i="1"/>
  <c r="U323" i="1"/>
  <c r="T323" i="1"/>
  <c r="S323" i="1"/>
  <c r="W323" i="1" s="1"/>
  <c r="X323" i="1" s="1"/>
  <c r="Y323" i="1" s="1"/>
  <c r="Z323" i="1" s="1"/>
  <c r="R323" i="1"/>
  <c r="Q323" i="1"/>
  <c r="P323" i="1"/>
  <c r="U322" i="1"/>
  <c r="T322" i="1"/>
  <c r="R322" i="1"/>
  <c r="S322" i="1" s="1"/>
  <c r="W322" i="1" s="1"/>
  <c r="X322" i="1" s="1"/>
  <c r="Y322" i="1" s="1"/>
  <c r="Z322" i="1" s="1"/>
  <c r="Q322" i="1"/>
  <c r="P322" i="1"/>
  <c r="V321" i="1"/>
  <c r="U321" i="1"/>
  <c r="T321" i="1"/>
  <c r="S321" i="1"/>
  <c r="W321" i="1" s="1"/>
  <c r="X321" i="1" s="1"/>
  <c r="Y321" i="1" s="1"/>
  <c r="Z321" i="1" s="1"/>
  <c r="R321" i="1"/>
  <c r="Q321" i="1"/>
  <c r="P321" i="1"/>
  <c r="R320" i="1"/>
  <c r="S320" i="1" s="1"/>
  <c r="Q320" i="1"/>
  <c r="P320" i="1"/>
  <c r="Y319" i="1"/>
  <c r="Z319" i="1" s="1"/>
  <c r="V319" i="1"/>
  <c r="U319" i="1"/>
  <c r="T319" i="1"/>
  <c r="S319" i="1"/>
  <c r="W319" i="1" s="1"/>
  <c r="X319" i="1" s="1"/>
  <c r="R319" i="1"/>
  <c r="Q319" i="1"/>
  <c r="P319" i="1"/>
  <c r="S318" i="1"/>
  <c r="R318" i="1"/>
  <c r="Q318" i="1"/>
  <c r="P318" i="1"/>
  <c r="Y317" i="1"/>
  <c r="Z317" i="1" s="1"/>
  <c r="X317" i="1"/>
  <c r="V317" i="1"/>
  <c r="U317" i="1"/>
  <c r="T317" i="1"/>
  <c r="S317" i="1"/>
  <c r="W317" i="1" s="1"/>
  <c r="R317" i="1"/>
  <c r="Q317" i="1"/>
  <c r="P317" i="1"/>
  <c r="S316" i="1"/>
  <c r="R316" i="1"/>
  <c r="Q316" i="1"/>
  <c r="P316" i="1"/>
  <c r="W315" i="1"/>
  <c r="X315" i="1" s="1"/>
  <c r="Y315" i="1" s="1"/>
  <c r="Z315" i="1" s="1"/>
  <c r="U315" i="1"/>
  <c r="S315" i="1"/>
  <c r="V315" i="1" s="1"/>
  <c r="R315" i="1"/>
  <c r="Q315" i="1"/>
  <c r="P315" i="1"/>
  <c r="R314" i="1"/>
  <c r="S314" i="1" s="1"/>
  <c r="Q314" i="1"/>
  <c r="P314" i="1"/>
  <c r="W313" i="1"/>
  <c r="X313" i="1" s="1"/>
  <c r="Y313" i="1" s="1"/>
  <c r="Z313" i="1" s="1"/>
  <c r="U313" i="1"/>
  <c r="S313" i="1"/>
  <c r="V313" i="1" s="1"/>
  <c r="R313" i="1"/>
  <c r="Q313" i="1"/>
  <c r="P313" i="1"/>
  <c r="V312" i="1"/>
  <c r="U312" i="1"/>
  <c r="T312" i="1"/>
  <c r="S312" i="1"/>
  <c r="W312" i="1" s="1"/>
  <c r="X312" i="1" s="1"/>
  <c r="Y312" i="1" s="1"/>
  <c r="Z312" i="1" s="1"/>
  <c r="R312" i="1"/>
  <c r="Q312" i="1"/>
  <c r="P312" i="1"/>
  <c r="V311" i="1"/>
  <c r="R311" i="1"/>
  <c r="S311" i="1" s="1"/>
  <c r="T311" i="1" s="1"/>
  <c r="Q311" i="1"/>
  <c r="P311" i="1"/>
  <c r="V310" i="1"/>
  <c r="R310" i="1"/>
  <c r="S310" i="1" s="1"/>
  <c r="Q310" i="1"/>
  <c r="P310" i="1"/>
  <c r="W309" i="1"/>
  <c r="X309" i="1" s="1"/>
  <c r="Y309" i="1" s="1"/>
  <c r="Z309" i="1" s="1"/>
  <c r="S309" i="1"/>
  <c r="R309" i="1"/>
  <c r="Q309" i="1"/>
  <c r="P309" i="1"/>
  <c r="T308" i="1"/>
  <c r="S308" i="1"/>
  <c r="R308" i="1"/>
  <c r="Q308" i="1"/>
  <c r="P308" i="1"/>
  <c r="V307" i="1"/>
  <c r="U307" i="1"/>
  <c r="R307" i="1"/>
  <c r="S307" i="1" s="1"/>
  <c r="Q307" i="1"/>
  <c r="P307" i="1"/>
  <c r="S306" i="1"/>
  <c r="R306" i="1"/>
  <c r="Q306" i="1"/>
  <c r="P306" i="1"/>
  <c r="X305" i="1"/>
  <c r="Y305" i="1" s="1"/>
  <c r="Z305" i="1" s="1"/>
  <c r="W305" i="1"/>
  <c r="V305" i="1"/>
  <c r="T305" i="1"/>
  <c r="S305" i="1"/>
  <c r="U305" i="1" s="1"/>
  <c r="R305" i="1"/>
  <c r="Q305" i="1"/>
  <c r="P305" i="1"/>
  <c r="S304" i="1"/>
  <c r="U304" i="1" s="1"/>
  <c r="R304" i="1"/>
  <c r="Q304" i="1"/>
  <c r="P304" i="1"/>
  <c r="R303" i="1"/>
  <c r="S303" i="1" s="1"/>
  <c r="Q303" i="1"/>
  <c r="P303" i="1"/>
  <c r="W302" i="1"/>
  <c r="X302" i="1" s="1"/>
  <c r="Y302" i="1" s="1"/>
  <c r="Z302" i="1" s="1"/>
  <c r="U302" i="1"/>
  <c r="T302" i="1"/>
  <c r="R302" i="1"/>
  <c r="S302" i="1" s="1"/>
  <c r="V302" i="1" s="1"/>
  <c r="Q302" i="1"/>
  <c r="P302" i="1"/>
  <c r="T301" i="1"/>
  <c r="R301" i="1"/>
  <c r="S301" i="1" s="1"/>
  <c r="Q301" i="1"/>
  <c r="P301" i="1"/>
  <c r="X300" i="1"/>
  <c r="Y300" i="1" s="1"/>
  <c r="Z300" i="1" s="1"/>
  <c r="W300" i="1"/>
  <c r="R300" i="1"/>
  <c r="S300" i="1" s="1"/>
  <c r="Q300" i="1"/>
  <c r="P300" i="1"/>
  <c r="R299" i="1"/>
  <c r="S299" i="1" s="1"/>
  <c r="Q299" i="1"/>
  <c r="P299" i="1"/>
  <c r="U298" i="1"/>
  <c r="S298" i="1"/>
  <c r="R298" i="1"/>
  <c r="Q298" i="1"/>
  <c r="P298" i="1"/>
  <c r="Y297" i="1"/>
  <c r="Z297" i="1" s="1"/>
  <c r="W297" i="1"/>
  <c r="X297" i="1" s="1"/>
  <c r="V297" i="1"/>
  <c r="U297" i="1"/>
  <c r="T297" i="1"/>
  <c r="R297" i="1"/>
  <c r="S297" i="1" s="1"/>
  <c r="Q297" i="1"/>
  <c r="P297" i="1"/>
  <c r="U296" i="1"/>
  <c r="R296" i="1"/>
  <c r="S296" i="1" s="1"/>
  <c r="Q296" i="1"/>
  <c r="P296" i="1"/>
  <c r="W295" i="1"/>
  <c r="X295" i="1" s="1"/>
  <c r="Y295" i="1" s="1"/>
  <c r="Z295" i="1" s="1"/>
  <c r="V295" i="1"/>
  <c r="U295" i="1"/>
  <c r="T295" i="1"/>
  <c r="S295" i="1"/>
  <c r="R295" i="1"/>
  <c r="Q295" i="1"/>
  <c r="P295" i="1"/>
  <c r="R294" i="1"/>
  <c r="S294" i="1" s="1"/>
  <c r="Q294" i="1"/>
  <c r="P294" i="1"/>
  <c r="W293" i="1"/>
  <c r="X293" i="1" s="1"/>
  <c r="Y293" i="1" s="1"/>
  <c r="Z293" i="1" s="1"/>
  <c r="V293" i="1"/>
  <c r="S293" i="1"/>
  <c r="R293" i="1"/>
  <c r="Q293" i="1"/>
  <c r="P293" i="1"/>
  <c r="R292" i="1"/>
  <c r="S292" i="1" s="1"/>
  <c r="Q292" i="1"/>
  <c r="P292" i="1"/>
  <c r="R291" i="1"/>
  <c r="S291" i="1" s="1"/>
  <c r="Q291" i="1"/>
  <c r="P291" i="1"/>
  <c r="R290" i="1"/>
  <c r="S290" i="1" s="1"/>
  <c r="Q290" i="1"/>
  <c r="P290" i="1"/>
  <c r="R289" i="1"/>
  <c r="S289" i="1" s="1"/>
  <c r="Q289" i="1"/>
  <c r="P289" i="1"/>
  <c r="R288" i="1"/>
  <c r="S288" i="1" s="1"/>
  <c r="Q288" i="1"/>
  <c r="P288" i="1"/>
  <c r="Y287" i="1"/>
  <c r="Z287" i="1" s="1"/>
  <c r="V287" i="1"/>
  <c r="U287" i="1"/>
  <c r="T287" i="1"/>
  <c r="R287" i="1"/>
  <c r="S287" i="1" s="1"/>
  <c r="W287" i="1" s="1"/>
  <c r="X287" i="1" s="1"/>
  <c r="Q287" i="1"/>
  <c r="P287" i="1"/>
  <c r="T286" i="1"/>
  <c r="S286" i="1"/>
  <c r="R286" i="1"/>
  <c r="Q286" i="1"/>
  <c r="P286" i="1"/>
  <c r="T285" i="1"/>
  <c r="S285" i="1"/>
  <c r="R285" i="1"/>
  <c r="Q285" i="1"/>
  <c r="P285" i="1"/>
  <c r="S284" i="1"/>
  <c r="R284" i="1"/>
  <c r="Q284" i="1"/>
  <c r="P284" i="1"/>
  <c r="S283" i="1"/>
  <c r="R283" i="1"/>
  <c r="Q283" i="1"/>
  <c r="P283" i="1"/>
  <c r="R282" i="1"/>
  <c r="S282" i="1" s="1"/>
  <c r="Q282" i="1"/>
  <c r="P282" i="1"/>
  <c r="V281" i="1"/>
  <c r="U281" i="1"/>
  <c r="T281" i="1"/>
  <c r="S281" i="1"/>
  <c r="W281" i="1" s="1"/>
  <c r="X281" i="1" s="1"/>
  <c r="Y281" i="1" s="1"/>
  <c r="Z281" i="1" s="1"/>
  <c r="R281" i="1"/>
  <c r="Q281" i="1"/>
  <c r="P281" i="1"/>
  <c r="R280" i="1"/>
  <c r="S280" i="1" s="1"/>
  <c r="Q280" i="1"/>
  <c r="P280" i="1"/>
  <c r="S279" i="1"/>
  <c r="R279" i="1"/>
  <c r="Q279" i="1"/>
  <c r="P279" i="1"/>
  <c r="U278" i="1"/>
  <c r="T278" i="1"/>
  <c r="S278" i="1"/>
  <c r="R278" i="1"/>
  <c r="Q278" i="1"/>
  <c r="P278" i="1"/>
  <c r="W277" i="1"/>
  <c r="X277" i="1" s="1"/>
  <c r="Y277" i="1" s="1"/>
  <c r="Z277" i="1" s="1"/>
  <c r="T277" i="1"/>
  <c r="S277" i="1"/>
  <c r="R277" i="1"/>
  <c r="Q277" i="1"/>
  <c r="P277" i="1"/>
  <c r="W276" i="1"/>
  <c r="X276" i="1" s="1"/>
  <c r="Y276" i="1" s="1"/>
  <c r="Z276" i="1" s="1"/>
  <c r="V276" i="1"/>
  <c r="U276" i="1"/>
  <c r="S276" i="1"/>
  <c r="T276" i="1" s="1"/>
  <c r="R276" i="1"/>
  <c r="Q276" i="1"/>
  <c r="P276" i="1"/>
  <c r="R275" i="1"/>
  <c r="S275" i="1" s="1"/>
  <c r="Q275" i="1"/>
  <c r="P275" i="1"/>
  <c r="W274" i="1"/>
  <c r="X274" i="1" s="1"/>
  <c r="Y274" i="1" s="1"/>
  <c r="Z274" i="1" s="1"/>
  <c r="U274" i="1"/>
  <c r="T274" i="1"/>
  <c r="S274" i="1"/>
  <c r="V274" i="1" s="1"/>
  <c r="R274" i="1"/>
  <c r="Q274" i="1"/>
  <c r="P274" i="1"/>
  <c r="S273" i="1"/>
  <c r="R273" i="1"/>
  <c r="Q273" i="1"/>
  <c r="P273" i="1"/>
  <c r="Z272" i="1"/>
  <c r="W272" i="1"/>
  <c r="X272" i="1" s="1"/>
  <c r="Y272" i="1" s="1"/>
  <c r="R272" i="1"/>
  <c r="S272" i="1" s="1"/>
  <c r="Q272" i="1"/>
  <c r="P272" i="1"/>
  <c r="R271" i="1"/>
  <c r="S271" i="1" s="1"/>
  <c r="T271" i="1" s="1"/>
  <c r="Q271" i="1"/>
  <c r="P271" i="1"/>
  <c r="X270" i="1"/>
  <c r="Y270" i="1" s="1"/>
  <c r="Z270" i="1" s="1"/>
  <c r="V270" i="1"/>
  <c r="U270" i="1"/>
  <c r="T270" i="1"/>
  <c r="S270" i="1"/>
  <c r="W270" i="1" s="1"/>
  <c r="R270" i="1"/>
  <c r="Q270" i="1"/>
  <c r="P270" i="1"/>
  <c r="S269" i="1"/>
  <c r="R269" i="1"/>
  <c r="Q269" i="1"/>
  <c r="P269" i="1"/>
  <c r="V268" i="1"/>
  <c r="U268" i="1"/>
  <c r="T268" i="1"/>
  <c r="S268" i="1"/>
  <c r="W268" i="1" s="1"/>
  <c r="X268" i="1" s="1"/>
  <c r="Y268" i="1" s="1"/>
  <c r="Z268" i="1" s="1"/>
  <c r="R268" i="1"/>
  <c r="Q268" i="1"/>
  <c r="P268" i="1"/>
  <c r="Y267" i="1"/>
  <c r="Z267" i="1" s="1"/>
  <c r="V267" i="1"/>
  <c r="U267" i="1"/>
  <c r="R267" i="1"/>
  <c r="S267" i="1" s="1"/>
  <c r="W267" i="1" s="1"/>
  <c r="X267" i="1" s="1"/>
  <c r="Q267" i="1"/>
  <c r="P267" i="1"/>
  <c r="W266" i="1"/>
  <c r="X266" i="1" s="1"/>
  <c r="Y266" i="1" s="1"/>
  <c r="Z266" i="1" s="1"/>
  <c r="U266" i="1"/>
  <c r="S266" i="1"/>
  <c r="V266" i="1" s="1"/>
  <c r="R266" i="1"/>
  <c r="Q266" i="1"/>
  <c r="P266" i="1"/>
  <c r="R265" i="1"/>
  <c r="S265" i="1" s="1"/>
  <c r="Q265" i="1"/>
  <c r="P265" i="1"/>
  <c r="R264" i="1"/>
  <c r="S264" i="1" s="1"/>
  <c r="U264" i="1" s="1"/>
  <c r="Q264" i="1"/>
  <c r="P264" i="1"/>
  <c r="R263" i="1"/>
  <c r="S263" i="1" s="1"/>
  <c r="Q263" i="1"/>
  <c r="P263" i="1"/>
  <c r="W262" i="1"/>
  <c r="X262" i="1" s="1"/>
  <c r="Y262" i="1" s="1"/>
  <c r="Z262" i="1" s="1"/>
  <c r="U262" i="1"/>
  <c r="R262" i="1"/>
  <c r="S262" i="1" s="1"/>
  <c r="V262" i="1" s="1"/>
  <c r="Q262" i="1"/>
  <c r="P262" i="1"/>
  <c r="R261" i="1"/>
  <c r="S261" i="1" s="1"/>
  <c r="Q261" i="1"/>
  <c r="P261" i="1"/>
  <c r="S260" i="1"/>
  <c r="R260" i="1"/>
  <c r="Q260" i="1"/>
  <c r="P260" i="1"/>
  <c r="R259" i="1"/>
  <c r="S259" i="1" s="1"/>
  <c r="Q259" i="1"/>
  <c r="P259" i="1"/>
  <c r="S258" i="1"/>
  <c r="R258" i="1"/>
  <c r="Q258" i="1"/>
  <c r="P258" i="1"/>
  <c r="R257" i="1"/>
  <c r="S257" i="1" s="1"/>
  <c r="Q257" i="1"/>
  <c r="P257" i="1"/>
  <c r="U256" i="1"/>
  <c r="R256" i="1"/>
  <c r="S256" i="1" s="1"/>
  <c r="Q256" i="1"/>
  <c r="P256" i="1"/>
  <c r="R255" i="1"/>
  <c r="S255" i="1" s="1"/>
  <c r="Q255" i="1"/>
  <c r="P255" i="1"/>
  <c r="S254" i="1"/>
  <c r="R254" i="1"/>
  <c r="Q254" i="1"/>
  <c r="P254" i="1"/>
  <c r="U253" i="1"/>
  <c r="T253" i="1"/>
  <c r="S253" i="1"/>
  <c r="W253" i="1" s="1"/>
  <c r="X253" i="1" s="1"/>
  <c r="Y253" i="1" s="1"/>
  <c r="Z253" i="1" s="1"/>
  <c r="R253" i="1"/>
  <c r="Q253" i="1"/>
  <c r="P253" i="1"/>
  <c r="Y252" i="1"/>
  <c r="Z252" i="1" s="1"/>
  <c r="X252" i="1"/>
  <c r="W252" i="1"/>
  <c r="U252" i="1"/>
  <c r="S252" i="1"/>
  <c r="V252" i="1" s="1"/>
  <c r="R252" i="1"/>
  <c r="Q252" i="1"/>
  <c r="P252" i="1"/>
  <c r="S251" i="1"/>
  <c r="R251" i="1"/>
  <c r="Q251" i="1"/>
  <c r="P251" i="1"/>
  <c r="W250" i="1"/>
  <c r="X250" i="1" s="1"/>
  <c r="Y250" i="1" s="1"/>
  <c r="Z250" i="1" s="1"/>
  <c r="R250" i="1"/>
  <c r="S250" i="1" s="1"/>
  <c r="Q250" i="1"/>
  <c r="P250" i="1"/>
  <c r="X249" i="1"/>
  <c r="Y249" i="1" s="1"/>
  <c r="Z249" i="1" s="1"/>
  <c r="V249" i="1"/>
  <c r="U249" i="1"/>
  <c r="T249" i="1"/>
  <c r="R249" i="1"/>
  <c r="S249" i="1" s="1"/>
  <c r="W249" i="1" s="1"/>
  <c r="Q249" i="1"/>
  <c r="P249" i="1"/>
  <c r="T248" i="1"/>
  <c r="S248" i="1"/>
  <c r="R248" i="1"/>
  <c r="Q248" i="1"/>
  <c r="P248" i="1"/>
  <c r="R247" i="1"/>
  <c r="S247" i="1" s="1"/>
  <c r="Q247" i="1"/>
  <c r="P247" i="1"/>
  <c r="U246" i="1"/>
  <c r="S246" i="1"/>
  <c r="R246" i="1"/>
  <c r="Q246" i="1"/>
  <c r="P246" i="1"/>
  <c r="U245" i="1"/>
  <c r="T245" i="1"/>
  <c r="R245" i="1"/>
  <c r="S245" i="1" s="1"/>
  <c r="W245" i="1" s="1"/>
  <c r="X245" i="1" s="1"/>
  <c r="Y245" i="1" s="1"/>
  <c r="Z245" i="1" s="1"/>
  <c r="Q245" i="1"/>
  <c r="P245" i="1"/>
  <c r="R244" i="1"/>
  <c r="S244" i="1" s="1"/>
  <c r="Q244" i="1"/>
  <c r="P244" i="1"/>
  <c r="W243" i="1"/>
  <c r="X243" i="1" s="1"/>
  <c r="Y243" i="1" s="1"/>
  <c r="Z243" i="1" s="1"/>
  <c r="V243" i="1"/>
  <c r="T243" i="1"/>
  <c r="R243" i="1"/>
  <c r="S243" i="1" s="1"/>
  <c r="U243" i="1" s="1"/>
  <c r="Q243" i="1"/>
  <c r="P243" i="1"/>
  <c r="Y242" i="1"/>
  <c r="Z242" i="1" s="1"/>
  <c r="V242" i="1"/>
  <c r="U242" i="1"/>
  <c r="T242" i="1"/>
  <c r="R242" i="1"/>
  <c r="S242" i="1" s="1"/>
  <c r="W242" i="1" s="1"/>
  <c r="X242" i="1" s="1"/>
  <c r="Q242" i="1"/>
  <c r="P242" i="1"/>
  <c r="Y241" i="1"/>
  <c r="Z241" i="1" s="1"/>
  <c r="V241" i="1"/>
  <c r="U241" i="1"/>
  <c r="T241" i="1"/>
  <c r="S241" i="1"/>
  <c r="W241" i="1" s="1"/>
  <c r="X241" i="1" s="1"/>
  <c r="R241" i="1"/>
  <c r="Q241" i="1"/>
  <c r="P241" i="1"/>
  <c r="R240" i="1"/>
  <c r="S240" i="1" s="1"/>
  <c r="W240" i="1" s="1"/>
  <c r="X240" i="1" s="1"/>
  <c r="Y240" i="1" s="1"/>
  <c r="Z240" i="1" s="1"/>
  <c r="Q240" i="1"/>
  <c r="P240" i="1"/>
  <c r="R239" i="1"/>
  <c r="S239" i="1" s="1"/>
  <c r="Q239" i="1"/>
  <c r="P239" i="1"/>
  <c r="S238" i="1"/>
  <c r="R238" i="1"/>
  <c r="Q238" i="1"/>
  <c r="P238" i="1"/>
  <c r="T237" i="1"/>
  <c r="U237" i="1" s="1"/>
  <c r="R237" i="1"/>
  <c r="S237" i="1" s="1"/>
  <c r="Q237" i="1"/>
  <c r="P237" i="1"/>
  <c r="T236" i="1"/>
  <c r="U236" i="1" s="1"/>
  <c r="S236" i="1"/>
  <c r="R236" i="1"/>
  <c r="Q236" i="1"/>
  <c r="P236" i="1"/>
  <c r="R235" i="1"/>
  <c r="S235" i="1" s="1"/>
  <c r="Q235" i="1"/>
  <c r="P235" i="1"/>
  <c r="S234" i="1"/>
  <c r="T234" i="1" s="1"/>
  <c r="R234" i="1"/>
  <c r="Q234" i="1"/>
  <c r="P234" i="1"/>
  <c r="T233" i="1"/>
  <c r="R233" i="1"/>
  <c r="S233" i="1" s="1"/>
  <c r="Q233" i="1"/>
  <c r="P233" i="1"/>
  <c r="S232" i="1"/>
  <c r="R232" i="1"/>
  <c r="Q232" i="1"/>
  <c r="P232" i="1"/>
  <c r="S231" i="1"/>
  <c r="R231" i="1"/>
  <c r="Q231" i="1"/>
  <c r="P231" i="1"/>
  <c r="R230" i="1"/>
  <c r="S230" i="1" s="1"/>
  <c r="Q230" i="1"/>
  <c r="P230" i="1"/>
  <c r="T229" i="1"/>
  <c r="R229" i="1"/>
  <c r="S229" i="1" s="1"/>
  <c r="Q229" i="1"/>
  <c r="P229" i="1"/>
  <c r="S228" i="1"/>
  <c r="R228" i="1"/>
  <c r="Q228" i="1"/>
  <c r="P228" i="1"/>
  <c r="S227" i="1"/>
  <c r="R227" i="1"/>
  <c r="Q227" i="1"/>
  <c r="P227" i="1"/>
  <c r="S226" i="1"/>
  <c r="R226" i="1"/>
  <c r="Q226" i="1"/>
  <c r="P226" i="1"/>
  <c r="T225" i="1"/>
  <c r="U225" i="1" s="1"/>
  <c r="V225" i="1" s="1"/>
  <c r="R225" i="1"/>
  <c r="S225" i="1" s="1"/>
  <c r="Q225" i="1"/>
  <c r="P225" i="1"/>
  <c r="S224" i="1"/>
  <c r="R224" i="1"/>
  <c r="Q224" i="1"/>
  <c r="P224" i="1"/>
  <c r="R223" i="1"/>
  <c r="S223" i="1" s="1"/>
  <c r="Q223" i="1"/>
  <c r="P223" i="1"/>
  <c r="T222" i="1"/>
  <c r="R222" i="1"/>
  <c r="S222" i="1" s="1"/>
  <c r="Q222" i="1"/>
  <c r="P222" i="1"/>
  <c r="V221" i="1"/>
  <c r="T221" i="1"/>
  <c r="U221" i="1" s="1"/>
  <c r="S221" i="1"/>
  <c r="R221" i="1"/>
  <c r="Q221" i="1"/>
  <c r="P221" i="1"/>
  <c r="S220" i="1"/>
  <c r="R220" i="1"/>
  <c r="Q220" i="1"/>
  <c r="P220" i="1"/>
  <c r="S219" i="1"/>
  <c r="R219" i="1"/>
  <c r="Q219" i="1"/>
  <c r="P219" i="1"/>
  <c r="S218" i="1"/>
  <c r="R218" i="1"/>
  <c r="Q218" i="1"/>
  <c r="P218" i="1"/>
  <c r="R217" i="1"/>
  <c r="S217" i="1" s="1"/>
  <c r="Q217" i="1"/>
  <c r="P217" i="1"/>
  <c r="T216" i="1"/>
  <c r="S216" i="1"/>
  <c r="R216" i="1"/>
  <c r="Q216" i="1"/>
  <c r="P216" i="1"/>
  <c r="S215" i="1"/>
  <c r="R215" i="1"/>
  <c r="Q215" i="1"/>
  <c r="P215" i="1"/>
  <c r="S214" i="1"/>
  <c r="T214" i="1" s="1"/>
  <c r="R214" i="1"/>
  <c r="Q214" i="1"/>
  <c r="P214" i="1"/>
  <c r="R213" i="1"/>
  <c r="S213" i="1" s="1"/>
  <c r="Q213" i="1"/>
  <c r="P213" i="1"/>
  <c r="S212" i="1"/>
  <c r="R212" i="1"/>
  <c r="Q212" i="1"/>
  <c r="P212" i="1"/>
  <c r="R211" i="1"/>
  <c r="S211" i="1" s="1"/>
  <c r="Q211" i="1"/>
  <c r="P211" i="1"/>
  <c r="R210" i="1"/>
  <c r="S210" i="1" s="1"/>
  <c r="Q210" i="1"/>
  <c r="P210" i="1"/>
  <c r="S209" i="1"/>
  <c r="R209" i="1"/>
  <c r="Q209" i="1"/>
  <c r="P209" i="1"/>
  <c r="S208" i="1"/>
  <c r="R208" i="1"/>
  <c r="Q208" i="1"/>
  <c r="P208" i="1"/>
  <c r="S207" i="1"/>
  <c r="R207" i="1"/>
  <c r="Q207" i="1"/>
  <c r="P207" i="1"/>
  <c r="R206" i="1"/>
  <c r="S206" i="1" s="1"/>
  <c r="Q206" i="1"/>
  <c r="P206" i="1"/>
  <c r="T205" i="1"/>
  <c r="R205" i="1"/>
  <c r="S205" i="1" s="1"/>
  <c r="Q205" i="1"/>
  <c r="P205" i="1"/>
  <c r="T204" i="1"/>
  <c r="S204" i="1"/>
  <c r="R204" i="1"/>
  <c r="Q204" i="1"/>
  <c r="P204" i="1"/>
  <c r="R203" i="1"/>
  <c r="S203" i="1" s="1"/>
  <c r="Q203" i="1"/>
  <c r="P203" i="1"/>
  <c r="R202" i="1"/>
  <c r="S202" i="1" s="1"/>
  <c r="Q202" i="1"/>
  <c r="P202" i="1"/>
  <c r="V201" i="1"/>
  <c r="T201" i="1"/>
  <c r="U201" i="1" s="1"/>
  <c r="S201" i="1"/>
  <c r="R201" i="1"/>
  <c r="Q201" i="1"/>
  <c r="P201" i="1"/>
  <c r="T200" i="1"/>
  <c r="R200" i="1"/>
  <c r="S200" i="1" s="1"/>
  <c r="Q200" i="1"/>
  <c r="P200" i="1"/>
  <c r="R199" i="1"/>
  <c r="S199" i="1" s="1"/>
  <c r="Q199" i="1"/>
  <c r="P199" i="1"/>
  <c r="T198" i="1"/>
  <c r="R198" i="1"/>
  <c r="S198" i="1" s="1"/>
  <c r="Q198" i="1"/>
  <c r="P198" i="1"/>
  <c r="T197" i="1"/>
  <c r="R197" i="1"/>
  <c r="S197" i="1" s="1"/>
  <c r="Q197" i="1"/>
  <c r="P197" i="1"/>
  <c r="S196" i="1"/>
  <c r="R196" i="1"/>
  <c r="Q196" i="1"/>
  <c r="P196" i="1"/>
  <c r="R195" i="1"/>
  <c r="S195" i="1" s="1"/>
  <c r="Q195" i="1"/>
  <c r="P195" i="1"/>
  <c r="S194" i="1"/>
  <c r="T194" i="1" s="1"/>
  <c r="R194" i="1"/>
  <c r="Q194" i="1"/>
  <c r="P194" i="1"/>
  <c r="R193" i="1"/>
  <c r="S193" i="1" s="1"/>
  <c r="Q193" i="1"/>
  <c r="P193" i="1"/>
  <c r="S192" i="1"/>
  <c r="R192" i="1"/>
  <c r="Q192" i="1"/>
  <c r="P192" i="1"/>
  <c r="R191" i="1"/>
  <c r="S191" i="1" s="1"/>
  <c r="Q191" i="1"/>
  <c r="P191" i="1"/>
  <c r="R190" i="1"/>
  <c r="S190" i="1" s="1"/>
  <c r="Q190" i="1"/>
  <c r="P190" i="1"/>
  <c r="T189" i="1"/>
  <c r="R189" i="1"/>
  <c r="S189" i="1" s="1"/>
  <c r="Q189" i="1"/>
  <c r="P189" i="1"/>
  <c r="T188" i="1"/>
  <c r="S188" i="1"/>
  <c r="R188" i="1"/>
  <c r="Q188" i="1"/>
  <c r="P188" i="1"/>
  <c r="R187" i="1"/>
  <c r="S187" i="1" s="1"/>
  <c r="Q187" i="1"/>
  <c r="P187" i="1"/>
  <c r="S186" i="1"/>
  <c r="R186" i="1"/>
  <c r="Q186" i="1"/>
  <c r="P186" i="1"/>
  <c r="R185" i="1"/>
  <c r="S185" i="1" s="1"/>
  <c r="Q185" i="1"/>
  <c r="P185" i="1"/>
  <c r="S184" i="1"/>
  <c r="R184" i="1"/>
  <c r="Q184" i="1"/>
  <c r="P184" i="1"/>
  <c r="R183" i="1"/>
  <c r="S183" i="1" s="1"/>
  <c r="Q183" i="1"/>
  <c r="P183" i="1"/>
  <c r="R182" i="1"/>
  <c r="S182" i="1" s="1"/>
  <c r="Q182" i="1"/>
  <c r="P182" i="1"/>
  <c r="R181" i="1"/>
  <c r="S181" i="1" s="1"/>
  <c r="Q181" i="1"/>
  <c r="P181" i="1"/>
  <c r="R180" i="1"/>
  <c r="S180" i="1" s="1"/>
  <c r="Q180" i="1"/>
  <c r="P180" i="1"/>
  <c r="R179" i="1"/>
  <c r="S179" i="1" s="1"/>
  <c r="Q179" i="1"/>
  <c r="P179" i="1"/>
  <c r="T178" i="1"/>
  <c r="R178" i="1"/>
  <c r="S178" i="1" s="1"/>
  <c r="Q178" i="1"/>
  <c r="P178" i="1"/>
  <c r="R177" i="1"/>
  <c r="S177" i="1" s="1"/>
  <c r="Q177" i="1"/>
  <c r="P177" i="1"/>
  <c r="S176" i="1"/>
  <c r="R176" i="1"/>
  <c r="Q176" i="1"/>
  <c r="P176" i="1"/>
  <c r="S175" i="1"/>
  <c r="R175" i="1"/>
  <c r="Q175" i="1"/>
  <c r="P175" i="1"/>
  <c r="S174" i="1"/>
  <c r="T174" i="1" s="1"/>
  <c r="R174" i="1"/>
  <c r="Q174" i="1"/>
  <c r="P174" i="1"/>
  <c r="R173" i="1"/>
  <c r="S173" i="1" s="1"/>
  <c r="Q173" i="1"/>
  <c r="P173" i="1"/>
  <c r="S172" i="1"/>
  <c r="R172" i="1"/>
  <c r="Q172" i="1"/>
  <c r="P172" i="1"/>
  <c r="R171" i="1"/>
  <c r="S171" i="1" s="1"/>
  <c r="Q171" i="1"/>
  <c r="P171" i="1"/>
  <c r="R170" i="1"/>
  <c r="S170" i="1" s="1"/>
  <c r="Q170" i="1"/>
  <c r="P170" i="1"/>
  <c r="R169" i="1"/>
  <c r="S169" i="1" s="1"/>
  <c r="Q169" i="1"/>
  <c r="P169" i="1"/>
  <c r="S168" i="1"/>
  <c r="R168" i="1"/>
  <c r="Q168" i="1"/>
  <c r="P168" i="1"/>
  <c r="S167" i="1"/>
  <c r="R167" i="1"/>
  <c r="Q167" i="1"/>
  <c r="P167" i="1"/>
  <c r="R166" i="1"/>
  <c r="S166" i="1" s="1"/>
  <c r="Q166" i="1"/>
  <c r="P166" i="1"/>
  <c r="T165" i="1"/>
  <c r="U165" i="1" s="1"/>
  <c r="R165" i="1"/>
  <c r="S165" i="1" s="1"/>
  <c r="Q165" i="1"/>
  <c r="P165" i="1"/>
  <c r="R164" i="1"/>
  <c r="S164" i="1" s="1"/>
  <c r="Q164" i="1"/>
  <c r="P164" i="1"/>
  <c r="R163" i="1"/>
  <c r="S163" i="1" s="1"/>
  <c r="Q163" i="1"/>
  <c r="P163" i="1"/>
  <c r="R162" i="1"/>
  <c r="S162" i="1" s="1"/>
  <c r="Q162" i="1"/>
  <c r="P162" i="1"/>
  <c r="T161" i="1"/>
  <c r="S161" i="1"/>
  <c r="R161" i="1"/>
  <c r="Q161" i="1"/>
  <c r="P161" i="1"/>
  <c r="T160" i="1"/>
  <c r="U160" i="1" s="1"/>
  <c r="V160" i="1" s="1"/>
  <c r="S160" i="1"/>
  <c r="R160" i="1"/>
  <c r="Q160" i="1"/>
  <c r="P160" i="1"/>
  <c r="S159" i="1"/>
  <c r="R159" i="1"/>
  <c r="Q159" i="1"/>
  <c r="P159" i="1"/>
  <c r="S158" i="1"/>
  <c r="R158" i="1"/>
  <c r="Q158" i="1"/>
  <c r="P158" i="1"/>
  <c r="R157" i="1"/>
  <c r="S157" i="1" s="1"/>
  <c r="Q157" i="1"/>
  <c r="P157" i="1"/>
  <c r="S156" i="1"/>
  <c r="R156" i="1"/>
  <c r="Q156" i="1"/>
  <c r="P156" i="1"/>
  <c r="R155" i="1"/>
  <c r="S155" i="1" s="1"/>
  <c r="Q155" i="1"/>
  <c r="P155" i="1"/>
  <c r="R154" i="1"/>
  <c r="S154" i="1" s="1"/>
  <c r="Q154" i="1"/>
  <c r="P154" i="1"/>
  <c r="R153" i="1"/>
  <c r="S153" i="1" s="1"/>
  <c r="Q153" i="1"/>
  <c r="P153" i="1"/>
  <c r="S152" i="1"/>
  <c r="R152" i="1"/>
  <c r="Q152" i="1"/>
  <c r="P152" i="1"/>
  <c r="T151" i="1"/>
  <c r="U151" i="1" s="1"/>
  <c r="V151" i="1" s="1"/>
  <c r="R151" i="1"/>
  <c r="S151" i="1" s="1"/>
  <c r="Q151" i="1"/>
  <c r="P151" i="1"/>
  <c r="R150" i="1"/>
  <c r="S150" i="1" s="1"/>
  <c r="Q150" i="1"/>
  <c r="P150" i="1"/>
  <c r="T149" i="1"/>
  <c r="U149" i="1" s="1"/>
  <c r="S149" i="1"/>
  <c r="R149" i="1"/>
  <c r="Q149" i="1"/>
  <c r="P149" i="1"/>
  <c r="T148" i="1"/>
  <c r="S148" i="1"/>
  <c r="R148" i="1"/>
  <c r="Q148" i="1"/>
  <c r="P148" i="1"/>
  <c r="T147" i="1"/>
  <c r="U147" i="1" s="1"/>
  <c r="V147" i="1" s="1"/>
  <c r="S147" i="1"/>
  <c r="R147" i="1"/>
  <c r="Q147" i="1"/>
  <c r="P147" i="1"/>
  <c r="R146" i="1"/>
  <c r="S146" i="1" s="1"/>
  <c r="Q146" i="1"/>
  <c r="P146" i="1"/>
  <c r="R145" i="1"/>
  <c r="S145" i="1" s="1"/>
  <c r="Q145" i="1"/>
  <c r="P145" i="1"/>
  <c r="T144" i="1"/>
  <c r="U144" i="1" s="1"/>
  <c r="S144" i="1"/>
  <c r="R144" i="1"/>
  <c r="Q144" i="1"/>
  <c r="P144" i="1"/>
  <c r="S143" i="1"/>
  <c r="R143" i="1"/>
  <c r="Q143" i="1"/>
  <c r="P143" i="1"/>
  <c r="T142" i="1"/>
  <c r="U142" i="1" s="1"/>
  <c r="V142" i="1" s="1"/>
  <c r="S142" i="1"/>
  <c r="R142" i="1"/>
  <c r="Q142" i="1"/>
  <c r="P142" i="1"/>
  <c r="T141" i="1"/>
  <c r="U141" i="1" s="1"/>
  <c r="R141" i="1"/>
  <c r="S141" i="1" s="1"/>
  <c r="Q141" i="1"/>
  <c r="P141" i="1"/>
  <c r="S140" i="1"/>
  <c r="R140" i="1"/>
  <c r="Q140" i="1"/>
  <c r="P140" i="1"/>
  <c r="R139" i="1"/>
  <c r="S139" i="1" s="1"/>
  <c r="Q139" i="1"/>
  <c r="P139" i="1"/>
  <c r="R138" i="1"/>
  <c r="S138" i="1" s="1"/>
  <c r="Q138" i="1"/>
  <c r="P138" i="1"/>
  <c r="R137" i="1"/>
  <c r="S137" i="1" s="1"/>
  <c r="Q137" i="1"/>
  <c r="P137" i="1"/>
  <c r="S136" i="1"/>
  <c r="T136" i="1" s="1"/>
  <c r="U136" i="1" s="1"/>
  <c r="V136" i="1" s="1"/>
  <c r="R136" i="1"/>
  <c r="Q136" i="1"/>
  <c r="P136" i="1"/>
  <c r="S135" i="1"/>
  <c r="R135" i="1"/>
  <c r="Q135" i="1"/>
  <c r="P135" i="1"/>
  <c r="S134" i="1"/>
  <c r="T134" i="1" s="1"/>
  <c r="R134" i="1"/>
  <c r="Q134" i="1"/>
  <c r="P134" i="1"/>
  <c r="T133" i="1"/>
  <c r="R133" i="1"/>
  <c r="S133" i="1" s="1"/>
  <c r="Q133" i="1"/>
  <c r="P133" i="1"/>
  <c r="S132" i="1"/>
  <c r="R132" i="1"/>
  <c r="Q132" i="1"/>
  <c r="P132" i="1"/>
  <c r="R131" i="1"/>
  <c r="S131" i="1" s="1"/>
  <c r="Q131" i="1"/>
  <c r="P131" i="1"/>
  <c r="U130" i="1"/>
  <c r="V130" i="1" s="1"/>
  <c r="R130" i="1"/>
  <c r="S130" i="1" s="1"/>
  <c r="T130" i="1" s="1"/>
  <c r="Q130" i="1"/>
  <c r="P130" i="1"/>
  <c r="S129" i="1"/>
  <c r="R129" i="1"/>
  <c r="Q129" i="1"/>
  <c r="P129" i="1"/>
  <c r="S128" i="1"/>
  <c r="R128" i="1"/>
  <c r="Q128" i="1"/>
  <c r="P128" i="1"/>
  <c r="R127" i="1"/>
  <c r="S127" i="1" s="1"/>
  <c r="Q127" i="1"/>
  <c r="P127" i="1"/>
  <c r="R126" i="1"/>
  <c r="S126" i="1" s="1"/>
  <c r="Q126" i="1"/>
  <c r="P126" i="1"/>
  <c r="T125" i="1"/>
  <c r="R125" i="1"/>
  <c r="S125" i="1" s="1"/>
  <c r="Q125" i="1"/>
  <c r="P125" i="1"/>
  <c r="R124" i="1"/>
  <c r="S124" i="1" s="1"/>
  <c r="Q124" i="1"/>
  <c r="P124" i="1"/>
  <c r="R123" i="1"/>
  <c r="S123" i="1" s="1"/>
  <c r="Q123" i="1"/>
  <c r="P123" i="1"/>
  <c r="R122" i="1"/>
  <c r="S122" i="1" s="1"/>
  <c r="Q122" i="1"/>
  <c r="P122" i="1"/>
  <c r="R121" i="1"/>
  <c r="S121" i="1" s="1"/>
  <c r="Q121" i="1"/>
  <c r="P121" i="1"/>
  <c r="T120" i="1"/>
  <c r="S120" i="1"/>
  <c r="R120" i="1"/>
  <c r="Q120" i="1"/>
  <c r="P120" i="1"/>
  <c r="S119" i="1"/>
  <c r="R119" i="1"/>
  <c r="Q119" i="1"/>
  <c r="P119" i="1"/>
  <c r="R118" i="1"/>
  <c r="S118" i="1" s="1"/>
  <c r="Q118" i="1"/>
  <c r="P118" i="1"/>
  <c r="T117" i="1"/>
  <c r="U117" i="1" s="1"/>
  <c r="R117" i="1"/>
  <c r="S117" i="1" s="1"/>
  <c r="Q117" i="1"/>
  <c r="P117" i="1"/>
  <c r="S116" i="1"/>
  <c r="R116" i="1"/>
  <c r="Q116" i="1"/>
  <c r="P116" i="1"/>
  <c r="S115" i="1"/>
  <c r="R115" i="1"/>
  <c r="Q115" i="1"/>
  <c r="P115" i="1"/>
  <c r="S114" i="1"/>
  <c r="R114" i="1"/>
  <c r="Q114" i="1"/>
  <c r="P114" i="1"/>
  <c r="R113" i="1"/>
  <c r="S113" i="1" s="1"/>
  <c r="Q113" i="1"/>
  <c r="P113" i="1"/>
  <c r="S112" i="1"/>
  <c r="R112" i="1"/>
  <c r="Q112" i="1"/>
  <c r="P112" i="1"/>
  <c r="R111" i="1"/>
  <c r="S111" i="1" s="1"/>
  <c r="Q111" i="1"/>
  <c r="P111" i="1"/>
  <c r="R110" i="1"/>
  <c r="S110" i="1" s="1"/>
  <c r="T110" i="1" s="1"/>
  <c r="Q110" i="1"/>
  <c r="P110" i="1"/>
  <c r="R109" i="1"/>
  <c r="S109" i="1" s="1"/>
  <c r="Q109" i="1"/>
  <c r="P109" i="1"/>
  <c r="S108" i="1"/>
  <c r="R108" i="1"/>
  <c r="Q108" i="1"/>
  <c r="P108" i="1"/>
  <c r="R107" i="1"/>
  <c r="S107" i="1" s="1"/>
  <c r="Q107" i="1"/>
  <c r="P107" i="1"/>
  <c r="R106" i="1"/>
  <c r="S106" i="1" s="1"/>
  <c r="Q106" i="1"/>
  <c r="P106" i="1"/>
  <c r="T105" i="1"/>
  <c r="R105" i="1"/>
  <c r="S105" i="1" s="1"/>
  <c r="Q105" i="1"/>
  <c r="P105" i="1"/>
  <c r="T104" i="1"/>
  <c r="R104" i="1"/>
  <c r="S104" i="1" s="1"/>
  <c r="Q104" i="1"/>
  <c r="P104" i="1"/>
  <c r="R103" i="1"/>
  <c r="S103" i="1" s="1"/>
  <c r="Q103" i="1"/>
  <c r="P103" i="1"/>
  <c r="T102" i="1"/>
  <c r="U102" i="1" s="1"/>
  <c r="V102" i="1" s="1"/>
  <c r="R102" i="1"/>
  <c r="S102" i="1" s="1"/>
  <c r="Q102" i="1"/>
  <c r="P102" i="1"/>
  <c r="R101" i="1"/>
  <c r="S101" i="1" s="1"/>
  <c r="Q101" i="1"/>
  <c r="P101" i="1"/>
  <c r="S100" i="1"/>
  <c r="R100" i="1"/>
  <c r="Q100" i="1"/>
  <c r="P100" i="1"/>
  <c r="S99" i="1"/>
  <c r="R99" i="1"/>
  <c r="Q99" i="1"/>
  <c r="P99" i="1"/>
  <c r="R98" i="1"/>
  <c r="S98" i="1" s="1"/>
  <c r="Q98" i="1"/>
  <c r="P98" i="1"/>
  <c r="R97" i="1"/>
  <c r="S97" i="1" s="1"/>
  <c r="Q97" i="1"/>
  <c r="P97" i="1"/>
  <c r="S96" i="1"/>
  <c r="R96" i="1"/>
  <c r="Q96" i="1"/>
  <c r="P96" i="1"/>
  <c r="R95" i="1"/>
  <c r="S95" i="1" s="1"/>
  <c r="Q95" i="1"/>
  <c r="P95" i="1"/>
  <c r="S94" i="1"/>
  <c r="T94" i="1" s="1"/>
  <c r="R94" i="1"/>
  <c r="Q94" i="1"/>
  <c r="P94" i="1"/>
  <c r="T93" i="1"/>
  <c r="U93" i="1" s="1"/>
  <c r="V93" i="1" s="1"/>
  <c r="S93" i="1"/>
  <c r="R93" i="1"/>
  <c r="Q93" i="1"/>
  <c r="P93" i="1"/>
  <c r="U92" i="1"/>
  <c r="T92" i="1"/>
  <c r="S92" i="1"/>
  <c r="R92" i="1"/>
  <c r="Q92" i="1"/>
  <c r="P92" i="1"/>
  <c r="T91" i="1"/>
  <c r="U91" i="1" s="1"/>
  <c r="V91" i="1" s="1"/>
  <c r="S91" i="1"/>
  <c r="R91" i="1"/>
  <c r="Q91" i="1"/>
  <c r="P91" i="1"/>
  <c r="U90" i="1"/>
  <c r="R90" i="1"/>
  <c r="S90" i="1" s="1"/>
  <c r="T90" i="1" s="1"/>
  <c r="Q90" i="1"/>
  <c r="P90" i="1"/>
  <c r="S89" i="1"/>
  <c r="R89" i="1"/>
  <c r="Q89" i="1"/>
  <c r="P89" i="1"/>
  <c r="S88" i="1"/>
  <c r="R88" i="1"/>
  <c r="Q88" i="1"/>
  <c r="P88" i="1"/>
  <c r="R87" i="1"/>
  <c r="S87" i="1" s="1"/>
  <c r="Q87" i="1"/>
  <c r="P87" i="1"/>
  <c r="R86" i="1"/>
  <c r="S86" i="1" s="1"/>
  <c r="Q86" i="1"/>
  <c r="P86" i="1"/>
  <c r="R85" i="1"/>
  <c r="S85" i="1" s="1"/>
  <c r="T85" i="1" s="1"/>
  <c r="U85" i="1" s="1"/>
  <c r="V85" i="1" s="1"/>
  <c r="Q85" i="1"/>
  <c r="P85" i="1"/>
  <c r="T84" i="1"/>
  <c r="U84" i="1" s="1"/>
  <c r="R84" i="1"/>
  <c r="S84" i="1" s="1"/>
  <c r="Q84" i="1"/>
  <c r="P84" i="1"/>
  <c r="R83" i="1"/>
  <c r="S83" i="1" s="1"/>
  <c r="Q83" i="1"/>
  <c r="P83" i="1"/>
  <c r="R82" i="1"/>
  <c r="S82" i="1" s="1"/>
  <c r="Q82" i="1"/>
  <c r="P82" i="1"/>
  <c r="T81" i="1"/>
  <c r="R81" i="1"/>
  <c r="S81" i="1" s="1"/>
  <c r="Q81" i="1"/>
  <c r="P81" i="1"/>
  <c r="S80" i="1"/>
  <c r="R80" i="1"/>
  <c r="Q80" i="1"/>
  <c r="P80" i="1"/>
  <c r="S79" i="1"/>
  <c r="R79" i="1"/>
  <c r="Q79" i="1"/>
  <c r="P79" i="1"/>
  <c r="R78" i="1"/>
  <c r="S78" i="1" s="1"/>
  <c r="Q78" i="1"/>
  <c r="P78" i="1"/>
  <c r="R77" i="1"/>
  <c r="S77" i="1" s="1"/>
  <c r="Q77" i="1"/>
  <c r="P77" i="1"/>
  <c r="T76" i="1"/>
  <c r="S76" i="1"/>
  <c r="R76" i="1"/>
  <c r="Q76" i="1"/>
  <c r="P76" i="1"/>
  <c r="R75" i="1"/>
  <c r="S75" i="1" s="1"/>
  <c r="Q75" i="1"/>
  <c r="P75" i="1"/>
  <c r="S74" i="1"/>
  <c r="T74" i="1" s="1"/>
  <c r="R74" i="1"/>
  <c r="Q74" i="1"/>
  <c r="P74" i="1"/>
  <c r="S73" i="1"/>
  <c r="R73" i="1"/>
  <c r="Q73" i="1"/>
  <c r="P73" i="1"/>
  <c r="S72" i="1"/>
  <c r="R72" i="1"/>
  <c r="Q72" i="1"/>
  <c r="P72" i="1"/>
  <c r="T71" i="1"/>
  <c r="S71" i="1"/>
  <c r="R71" i="1"/>
  <c r="Q71" i="1"/>
  <c r="P71" i="1"/>
  <c r="R70" i="1"/>
  <c r="S70" i="1" s="1"/>
  <c r="T70" i="1" s="1"/>
  <c r="Q70" i="1"/>
  <c r="P70" i="1"/>
  <c r="R69" i="1"/>
  <c r="S69" i="1" s="1"/>
  <c r="Q69" i="1"/>
  <c r="P69" i="1"/>
  <c r="S68" i="1"/>
  <c r="R68" i="1"/>
  <c r="Q68" i="1"/>
  <c r="P68" i="1"/>
  <c r="S67" i="1"/>
  <c r="R67" i="1"/>
  <c r="Q67" i="1"/>
  <c r="P67" i="1"/>
  <c r="R66" i="1"/>
  <c r="S66" i="1" s="1"/>
  <c r="Q66" i="1"/>
  <c r="P66" i="1"/>
  <c r="R65" i="1"/>
  <c r="S65" i="1" s="1"/>
  <c r="Q65" i="1"/>
  <c r="P65" i="1"/>
  <c r="R64" i="1"/>
  <c r="S64" i="1" s="1"/>
  <c r="Q64" i="1"/>
  <c r="P64" i="1"/>
  <c r="R63" i="1"/>
  <c r="S63" i="1" s="1"/>
  <c r="Q63" i="1"/>
  <c r="P63" i="1"/>
  <c r="R62" i="1"/>
  <c r="S62" i="1" s="1"/>
  <c r="Q62" i="1"/>
  <c r="P62" i="1"/>
  <c r="R61" i="1"/>
  <c r="S61" i="1" s="1"/>
  <c r="Q61" i="1"/>
  <c r="P61" i="1"/>
  <c r="R60" i="1"/>
  <c r="S60" i="1" s="1"/>
  <c r="Q60" i="1"/>
  <c r="P60" i="1"/>
  <c r="S59" i="1"/>
  <c r="R59" i="1"/>
  <c r="Q59" i="1"/>
  <c r="P59" i="1"/>
  <c r="R58" i="1"/>
  <c r="S58" i="1" s="1"/>
  <c r="Q58" i="1"/>
  <c r="P58" i="1"/>
  <c r="R57" i="1"/>
  <c r="S57" i="1" s="1"/>
  <c r="Q57" i="1"/>
  <c r="P57" i="1"/>
  <c r="T56" i="1"/>
  <c r="S56" i="1"/>
  <c r="R56" i="1"/>
  <c r="Q56" i="1"/>
  <c r="P56" i="1"/>
  <c r="R55" i="1"/>
  <c r="S55" i="1" s="1"/>
  <c r="Q55" i="1"/>
  <c r="P55" i="1"/>
  <c r="T54" i="1"/>
  <c r="U54" i="1" s="1"/>
  <c r="S54" i="1"/>
  <c r="R54" i="1"/>
  <c r="Q54" i="1"/>
  <c r="P54" i="1"/>
  <c r="C54" i="1"/>
  <c r="R53" i="1"/>
  <c r="S53" i="1" s="1"/>
  <c r="Q53" i="1"/>
  <c r="P53" i="1"/>
  <c r="S52" i="1"/>
  <c r="R52" i="1"/>
  <c r="Q52" i="1"/>
  <c r="P52" i="1"/>
  <c r="R51" i="1"/>
  <c r="S51" i="1" s="1"/>
  <c r="Q51" i="1"/>
  <c r="P51" i="1"/>
  <c r="S50" i="1"/>
  <c r="R50" i="1"/>
  <c r="Q50" i="1"/>
  <c r="P50" i="1"/>
  <c r="T49" i="1"/>
  <c r="U49" i="1" s="1"/>
  <c r="R49" i="1"/>
  <c r="S49" i="1" s="1"/>
  <c r="Q49" i="1"/>
  <c r="P49" i="1"/>
  <c r="S48" i="1"/>
  <c r="T48" i="1" s="1"/>
  <c r="R48" i="1"/>
  <c r="Q48" i="1"/>
  <c r="P48" i="1"/>
  <c r="T47" i="1"/>
  <c r="R47" i="1"/>
  <c r="S47" i="1" s="1"/>
  <c r="Q47" i="1"/>
  <c r="P47" i="1"/>
  <c r="S46" i="1"/>
  <c r="R46" i="1"/>
  <c r="Q46" i="1"/>
  <c r="P46" i="1"/>
  <c r="T45" i="1"/>
  <c r="R45" i="1"/>
  <c r="S45" i="1" s="1"/>
  <c r="Q45" i="1"/>
  <c r="P45" i="1"/>
  <c r="B45" i="1"/>
  <c r="S44" i="1"/>
  <c r="R44" i="1"/>
  <c r="Q44" i="1"/>
  <c r="P44" i="1"/>
  <c r="B44" i="1"/>
  <c r="B54" i="1" s="1"/>
  <c r="R43" i="1"/>
  <c r="S43" i="1" s="1"/>
  <c r="Q43" i="1"/>
  <c r="P43" i="1"/>
  <c r="B43" i="1"/>
  <c r="U42" i="1"/>
  <c r="T42" i="1"/>
  <c r="R42" i="1"/>
  <c r="S42" i="1" s="1"/>
  <c r="Q42" i="1"/>
  <c r="P42" i="1"/>
  <c r="B42" i="1"/>
  <c r="U41" i="1"/>
  <c r="V41" i="1" s="1"/>
  <c r="T41" i="1"/>
  <c r="S41" i="1"/>
  <c r="R41" i="1"/>
  <c r="Q41" i="1"/>
  <c r="P41" i="1"/>
  <c r="U40" i="1"/>
  <c r="R40" i="1"/>
  <c r="S40" i="1" s="1"/>
  <c r="T40" i="1" s="1"/>
  <c r="Q40" i="1"/>
  <c r="P40" i="1"/>
  <c r="T39" i="1"/>
  <c r="S39" i="1"/>
  <c r="R39" i="1"/>
  <c r="Q39" i="1"/>
  <c r="P39" i="1"/>
  <c r="S38" i="1"/>
  <c r="R38" i="1"/>
  <c r="Q38" i="1"/>
  <c r="P38" i="1"/>
  <c r="B38" i="1"/>
  <c r="B39" i="1" s="1"/>
  <c r="R37" i="1"/>
  <c r="S37" i="1" s="1"/>
  <c r="Q37" i="1"/>
  <c r="P37" i="1"/>
  <c r="S36" i="1"/>
  <c r="R36" i="1"/>
  <c r="Q36" i="1"/>
  <c r="P36" i="1"/>
  <c r="B36" i="1"/>
  <c r="B37" i="1" s="1"/>
  <c r="R35" i="1"/>
  <c r="S35" i="1" s="1"/>
  <c r="Q35" i="1"/>
  <c r="P35" i="1"/>
  <c r="S34" i="1"/>
  <c r="R34" i="1"/>
  <c r="Q34" i="1"/>
  <c r="P34" i="1"/>
  <c r="B34" i="1"/>
  <c r="B35" i="1" s="1"/>
  <c r="S33" i="1"/>
  <c r="R33" i="1"/>
  <c r="Q33" i="1"/>
  <c r="P33" i="1"/>
  <c r="B33" i="1"/>
  <c r="S32" i="1"/>
  <c r="R32" i="1"/>
  <c r="Q32" i="1"/>
  <c r="P32" i="1"/>
  <c r="B32" i="1"/>
  <c r="T31" i="1"/>
  <c r="S31" i="1"/>
  <c r="R31" i="1"/>
  <c r="Q31" i="1"/>
  <c r="P31" i="1"/>
  <c r="B31" i="1"/>
  <c r="R30" i="1"/>
  <c r="S30" i="1" s="1"/>
  <c r="Q30" i="1"/>
  <c r="P30" i="1"/>
  <c r="B30" i="1"/>
  <c r="S29" i="1"/>
  <c r="R29" i="1"/>
  <c r="Q29" i="1"/>
  <c r="P29" i="1"/>
  <c r="S28" i="1"/>
  <c r="R28" i="1"/>
  <c r="Q28" i="1"/>
  <c r="P28" i="1"/>
  <c r="C28" i="1"/>
  <c r="R27" i="1"/>
  <c r="S27" i="1" s="1"/>
  <c r="Q27" i="1"/>
  <c r="P27" i="1"/>
  <c r="B27" i="1"/>
  <c r="B28" i="1" s="1"/>
  <c r="T26" i="1"/>
  <c r="U26" i="1" s="1"/>
  <c r="V26" i="1" s="1"/>
  <c r="S26" i="1"/>
  <c r="R26" i="1"/>
  <c r="Q26" i="1"/>
  <c r="P26" i="1"/>
  <c r="B26" i="1"/>
  <c r="S25" i="1"/>
  <c r="R25" i="1"/>
  <c r="Q25" i="1"/>
  <c r="P25" i="1"/>
  <c r="U24" i="1"/>
  <c r="T24" i="1"/>
  <c r="R24" i="1"/>
  <c r="S24" i="1" s="1"/>
  <c r="Q24" i="1"/>
  <c r="P24" i="1"/>
  <c r="B24" i="1"/>
  <c r="B50" i="1" s="1"/>
  <c r="C50" i="1" s="1"/>
  <c r="T23" i="1"/>
  <c r="R23" i="1"/>
  <c r="S23" i="1" s="1"/>
  <c r="Q23" i="1"/>
  <c r="P23" i="1"/>
  <c r="T22" i="1"/>
  <c r="S22" i="1"/>
  <c r="R22" i="1"/>
  <c r="Q22" i="1"/>
  <c r="P22" i="1"/>
  <c r="B22" i="1"/>
  <c r="C22" i="1" s="1"/>
  <c r="D22" i="1" s="1"/>
  <c r="R21" i="1"/>
  <c r="S21" i="1" s="1"/>
  <c r="Q21" i="1"/>
  <c r="P21" i="1"/>
  <c r="R20" i="1"/>
  <c r="S20" i="1" s="1"/>
  <c r="Q20" i="1"/>
  <c r="P20" i="1"/>
  <c r="B20" i="1"/>
  <c r="B21" i="1" s="1"/>
  <c r="T19" i="1"/>
  <c r="S19" i="1"/>
  <c r="R19" i="1"/>
  <c r="Q19" i="1"/>
  <c r="P19" i="1"/>
  <c r="B19" i="1"/>
  <c r="U234" i="1" s="1"/>
  <c r="V234" i="1" s="1"/>
  <c r="S18" i="1"/>
  <c r="R18" i="1"/>
  <c r="Q18" i="1"/>
  <c r="P18" i="1"/>
  <c r="R17" i="1"/>
  <c r="S17" i="1" s="1"/>
  <c r="Q17" i="1"/>
  <c r="P17" i="1"/>
  <c r="T16" i="1"/>
  <c r="U16" i="1" s="1"/>
  <c r="V16" i="1" s="1"/>
  <c r="S16" i="1"/>
  <c r="R16" i="1"/>
  <c r="Q16" i="1"/>
  <c r="P16" i="1"/>
  <c r="U15" i="1"/>
  <c r="V15" i="1" s="1"/>
  <c r="T15" i="1"/>
  <c r="R15" i="1"/>
  <c r="S15" i="1" s="1"/>
  <c r="Q15" i="1"/>
  <c r="P15" i="1"/>
  <c r="R14" i="1"/>
  <c r="S14" i="1" s="1"/>
  <c r="Q14" i="1"/>
  <c r="P14" i="1"/>
  <c r="T13" i="1"/>
  <c r="S13" i="1"/>
  <c r="R13" i="1"/>
  <c r="Q13" i="1"/>
  <c r="P13" i="1"/>
  <c r="U12" i="1"/>
  <c r="T12" i="1"/>
  <c r="R12" i="1"/>
  <c r="S12" i="1" s="1"/>
  <c r="Q12" i="1"/>
  <c r="P12" i="1"/>
  <c r="S11" i="1"/>
  <c r="R11" i="1"/>
  <c r="Q11" i="1"/>
  <c r="P11" i="1"/>
  <c r="S10" i="1"/>
  <c r="R10" i="1"/>
  <c r="Q10" i="1"/>
  <c r="P10" i="1"/>
  <c r="S9" i="1"/>
  <c r="T9" i="1" s="1"/>
  <c r="R9" i="1"/>
  <c r="Q9" i="1"/>
  <c r="P9" i="1"/>
  <c r="R8" i="1"/>
  <c r="S8" i="1" s="1"/>
  <c r="Q8" i="1"/>
  <c r="P8" i="1"/>
  <c r="B8" i="1"/>
  <c r="T7" i="1"/>
  <c r="U7" i="1" s="1"/>
  <c r="V7" i="1" s="1"/>
  <c r="S7" i="1"/>
  <c r="R7" i="1"/>
  <c r="Q7" i="1"/>
  <c r="P7" i="1"/>
  <c r="R6" i="1"/>
  <c r="S6" i="1" s="1"/>
  <c r="Q6" i="1"/>
  <c r="P6" i="1"/>
  <c r="D6" i="1"/>
  <c r="S5" i="1"/>
  <c r="R5" i="1"/>
  <c r="Q5" i="1"/>
  <c r="P5" i="1"/>
  <c r="R4" i="1"/>
  <c r="S4" i="1" s="1"/>
  <c r="Q4" i="1"/>
  <c r="P4" i="1"/>
  <c r="C4" i="1"/>
  <c r="B4" i="1"/>
  <c r="B49" i="1" s="1"/>
  <c r="S3" i="1"/>
  <c r="R3" i="1"/>
  <c r="Q3" i="1"/>
  <c r="P3" i="1"/>
  <c r="C3" i="1"/>
  <c r="B3" i="1"/>
  <c r="T2" i="1"/>
  <c r="U2" i="1" s="1"/>
  <c r="V2" i="1" s="1"/>
  <c r="S2" i="1"/>
  <c r="R2" i="1"/>
  <c r="Q2" i="1"/>
  <c r="P2" i="1"/>
  <c r="C49" i="1" l="1"/>
  <c r="T64" i="1"/>
  <c r="U64" i="1" s="1"/>
  <c r="V64" i="1" s="1"/>
  <c r="W64" i="1" s="1"/>
  <c r="X64" i="1" s="1"/>
  <c r="Y64" i="1" s="1"/>
  <c r="Z64" i="1" s="1"/>
  <c r="T75" i="1"/>
  <c r="U75" i="1" s="1"/>
  <c r="V75" i="1" s="1"/>
  <c r="W75" i="1" s="1"/>
  <c r="X75" i="1" s="1"/>
  <c r="Y75" i="1" s="1"/>
  <c r="Z75" i="1" s="1"/>
  <c r="T58" i="1"/>
  <c r="U58" i="1" s="1"/>
  <c r="V58" i="1" s="1"/>
  <c r="W58" i="1" s="1"/>
  <c r="X58" i="1" s="1"/>
  <c r="Y58" i="1" s="1"/>
  <c r="Z58" i="1" s="1"/>
  <c r="T146" i="1"/>
  <c r="U146" i="1" s="1"/>
  <c r="V146" i="1" s="1"/>
  <c r="W146" i="1" s="1"/>
  <c r="X146" i="1" s="1"/>
  <c r="Y146" i="1" s="1"/>
  <c r="Z146" i="1" s="1"/>
  <c r="T173" i="1"/>
  <c r="U173" i="1" s="1"/>
  <c r="V173" i="1" s="1"/>
  <c r="W173" i="1" s="1"/>
  <c r="X173" i="1" s="1"/>
  <c r="Y173" i="1" s="1"/>
  <c r="Z173" i="1" s="1"/>
  <c r="V489" i="1"/>
  <c r="U489" i="1"/>
  <c r="W489" i="1"/>
  <c r="X489" i="1" s="1"/>
  <c r="Y489" i="1" s="1"/>
  <c r="Z489" i="1" s="1"/>
  <c r="T489" i="1"/>
  <c r="U400" i="1"/>
  <c r="T400" i="1"/>
  <c r="V400" i="1"/>
  <c r="W400" i="1"/>
  <c r="X400" i="1" s="1"/>
  <c r="Y400" i="1" s="1"/>
  <c r="Z400" i="1" s="1"/>
  <c r="T35" i="1"/>
  <c r="U35" i="1" s="1"/>
  <c r="V35" i="1" s="1"/>
  <c r="W35" i="1" s="1"/>
  <c r="X35" i="1" s="1"/>
  <c r="Y35" i="1" s="1"/>
  <c r="Z35" i="1" s="1"/>
  <c r="T179" i="1"/>
  <c r="U179" i="1" s="1"/>
  <c r="V179" i="1" s="1"/>
  <c r="W179" i="1" s="1"/>
  <c r="X179" i="1" s="1"/>
  <c r="Y179" i="1" s="1"/>
  <c r="Z179" i="1" s="1"/>
  <c r="T4" i="1"/>
  <c r="U4" i="1" s="1"/>
  <c r="V4" i="1" s="1"/>
  <c r="W4" i="1" s="1"/>
  <c r="X4" i="1" s="1"/>
  <c r="Y4" i="1" s="1"/>
  <c r="Z4" i="1" s="1"/>
  <c r="U162" i="1"/>
  <c r="V162" i="1" s="1"/>
  <c r="W162" i="1" s="1"/>
  <c r="X162" i="1" s="1"/>
  <c r="Y162" i="1" s="1"/>
  <c r="Z162" i="1" s="1"/>
  <c r="T162" i="1"/>
  <c r="U191" i="1"/>
  <c r="V191" i="1" s="1"/>
  <c r="W191" i="1" s="1"/>
  <c r="X191" i="1" s="1"/>
  <c r="Y191" i="1" s="1"/>
  <c r="Z191" i="1" s="1"/>
  <c r="T191" i="1"/>
  <c r="U103" i="1"/>
  <c r="V103" i="1" s="1"/>
  <c r="W103" i="1" s="1"/>
  <c r="X103" i="1" s="1"/>
  <c r="Y103" i="1" s="1"/>
  <c r="Z103" i="1" s="1"/>
  <c r="T103" i="1"/>
  <c r="U265" i="1"/>
  <c r="W265" i="1"/>
  <c r="X265" i="1" s="1"/>
  <c r="Y265" i="1" s="1"/>
  <c r="Z265" i="1" s="1"/>
  <c r="V265" i="1"/>
  <c r="T265" i="1"/>
  <c r="T27" i="1"/>
  <c r="U27" i="1" s="1"/>
  <c r="V27" i="1" s="1"/>
  <c r="W27" i="1" s="1"/>
  <c r="X27" i="1" s="1"/>
  <c r="Y27" i="1" s="1"/>
  <c r="Z27" i="1" s="1"/>
  <c r="T66" i="1"/>
  <c r="U66" i="1" s="1"/>
  <c r="V66" i="1" s="1"/>
  <c r="W66" i="1" s="1"/>
  <c r="X66" i="1" s="1"/>
  <c r="Y66" i="1" s="1"/>
  <c r="Z66" i="1" s="1"/>
  <c r="T109" i="1"/>
  <c r="U109" i="1" s="1"/>
  <c r="V109" i="1" s="1"/>
  <c r="W109" i="1" s="1"/>
  <c r="X109" i="1" s="1"/>
  <c r="Y109" i="1" s="1"/>
  <c r="Z109" i="1" s="1"/>
  <c r="T126" i="1"/>
  <c r="U126" i="1" s="1"/>
  <c r="V126" i="1" s="1"/>
  <c r="W126" i="1" s="1"/>
  <c r="X126" i="1" s="1"/>
  <c r="Y126" i="1" s="1"/>
  <c r="Z126" i="1" s="1"/>
  <c r="T202" i="1"/>
  <c r="U202" i="1" s="1"/>
  <c r="V202" i="1" s="1"/>
  <c r="W202" i="1" s="1"/>
  <c r="X202" i="1" s="1"/>
  <c r="Y202" i="1" s="1"/>
  <c r="Z202" i="1" s="1"/>
  <c r="U213" i="1"/>
  <c r="V213" i="1" s="1"/>
  <c r="W213" i="1" s="1"/>
  <c r="X213" i="1" s="1"/>
  <c r="Y213" i="1" s="1"/>
  <c r="Z213" i="1" s="1"/>
  <c r="T213" i="1"/>
  <c r="T98" i="1"/>
  <c r="U98" i="1" s="1"/>
  <c r="V98" i="1" s="1"/>
  <c r="W98" i="1" s="1"/>
  <c r="X98" i="1" s="1"/>
  <c r="Y98" i="1" s="1"/>
  <c r="Z98" i="1" s="1"/>
  <c r="U60" i="1"/>
  <c r="V60" i="1" s="1"/>
  <c r="W60" i="1" s="1"/>
  <c r="X60" i="1" s="1"/>
  <c r="Y60" i="1" s="1"/>
  <c r="Z60" i="1" s="1"/>
  <c r="T60" i="1"/>
  <c r="T169" i="1"/>
  <c r="U169" i="1" s="1"/>
  <c r="V169" i="1" s="1"/>
  <c r="W169" i="1" s="1"/>
  <c r="X169" i="1" s="1"/>
  <c r="Y169" i="1" s="1"/>
  <c r="Z169" i="1" s="1"/>
  <c r="T83" i="1"/>
  <c r="U83" i="1" s="1"/>
  <c r="V83" i="1" s="1"/>
  <c r="W83" i="1" s="1"/>
  <c r="X83" i="1" s="1"/>
  <c r="Y83" i="1" s="1"/>
  <c r="Z83" i="1" s="1"/>
  <c r="T127" i="1"/>
  <c r="U127" i="1" s="1"/>
  <c r="V127" i="1" s="1"/>
  <c r="W127" i="1" s="1"/>
  <c r="X127" i="1" s="1"/>
  <c r="Y127" i="1" s="1"/>
  <c r="Z127" i="1" s="1"/>
  <c r="W247" i="1"/>
  <c r="X247" i="1" s="1"/>
  <c r="Y247" i="1" s="1"/>
  <c r="Z247" i="1" s="1"/>
  <c r="V247" i="1"/>
  <c r="T247" i="1"/>
  <c r="U247" i="1"/>
  <c r="U164" i="1"/>
  <c r="V164" i="1" s="1"/>
  <c r="W164" i="1" s="1"/>
  <c r="X164" i="1" s="1"/>
  <c r="Y164" i="1" s="1"/>
  <c r="Z164" i="1" s="1"/>
  <c r="T164" i="1"/>
  <c r="U37" i="1"/>
  <c r="V37" i="1" s="1"/>
  <c r="W37" i="1" s="1"/>
  <c r="X37" i="1" s="1"/>
  <c r="Y37" i="1" s="1"/>
  <c r="Z37" i="1" s="1"/>
  <c r="T37" i="1"/>
  <c r="V78" i="1"/>
  <c r="W78" i="1" s="1"/>
  <c r="X78" i="1" s="1"/>
  <c r="Y78" i="1" s="1"/>
  <c r="Z78" i="1" s="1"/>
  <c r="U78" i="1"/>
  <c r="T78" i="1"/>
  <c r="V193" i="1"/>
  <c r="W193" i="1" s="1"/>
  <c r="X193" i="1" s="1"/>
  <c r="Y193" i="1" s="1"/>
  <c r="Z193" i="1" s="1"/>
  <c r="U193" i="1"/>
  <c r="T193" i="1"/>
  <c r="W375" i="1"/>
  <c r="X375" i="1" s="1"/>
  <c r="Y375" i="1" s="1"/>
  <c r="Z375" i="1" s="1"/>
  <c r="U375" i="1"/>
  <c r="T375" i="1"/>
  <c r="V375" i="1"/>
  <c r="U465" i="1"/>
  <c r="V465" i="1"/>
  <c r="T465" i="1"/>
  <c r="W465" i="1"/>
  <c r="X465" i="1" s="1"/>
  <c r="Y465" i="1" s="1"/>
  <c r="Z465" i="1" s="1"/>
  <c r="T6" i="1"/>
  <c r="U6" i="1" s="1"/>
  <c r="V6" i="1" s="1"/>
  <c r="W6" i="1" s="1"/>
  <c r="X6" i="1" s="1"/>
  <c r="Y6" i="1" s="1"/>
  <c r="Z6" i="1" s="1"/>
  <c r="T111" i="1"/>
  <c r="U111" i="1" s="1"/>
  <c r="V111" i="1" s="1"/>
  <c r="W111" i="1" s="1"/>
  <c r="X111" i="1" s="1"/>
  <c r="Y111" i="1" s="1"/>
  <c r="Z111" i="1" s="1"/>
  <c r="T182" i="1"/>
  <c r="U182" i="1" s="1"/>
  <c r="V182" i="1" s="1"/>
  <c r="W182" i="1" s="1"/>
  <c r="X182" i="1" s="1"/>
  <c r="Y182" i="1" s="1"/>
  <c r="Z182" i="1" s="1"/>
  <c r="U20" i="1"/>
  <c r="V20" i="1"/>
  <c r="W20" i="1" s="1"/>
  <c r="X20" i="1" s="1"/>
  <c r="Y20" i="1" s="1"/>
  <c r="Z20" i="1" s="1"/>
  <c r="T20" i="1"/>
  <c r="T122" i="1"/>
  <c r="U122" i="1"/>
  <c r="V122" i="1" s="1"/>
  <c r="W122" i="1" s="1"/>
  <c r="X122" i="1" s="1"/>
  <c r="Y122" i="1" s="1"/>
  <c r="Z122" i="1" s="1"/>
  <c r="T139" i="1"/>
  <c r="U139" i="1" s="1"/>
  <c r="V139" i="1" s="1"/>
  <c r="W139" i="1" s="1"/>
  <c r="X139" i="1" s="1"/>
  <c r="Y139" i="1" s="1"/>
  <c r="Z139" i="1" s="1"/>
  <c r="T154" i="1"/>
  <c r="U154" i="1"/>
  <c r="V154" i="1" s="1"/>
  <c r="W154" i="1" s="1"/>
  <c r="X154" i="1" s="1"/>
  <c r="Y154" i="1" s="1"/>
  <c r="Z154" i="1" s="1"/>
  <c r="T199" i="1"/>
  <c r="U199" i="1" s="1"/>
  <c r="V199" i="1" s="1"/>
  <c r="W199" i="1" s="1"/>
  <c r="X199" i="1" s="1"/>
  <c r="Y199" i="1" s="1"/>
  <c r="Z199" i="1" s="1"/>
  <c r="U51" i="1"/>
  <c r="V51" i="1"/>
  <c r="W51" i="1" s="1"/>
  <c r="X51" i="1" s="1"/>
  <c r="Y51" i="1" s="1"/>
  <c r="Z51" i="1" s="1"/>
  <c r="T51" i="1"/>
  <c r="T62" i="1"/>
  <c r="V62" i="1"/>
  <c r="W62" i="1" s="1"/>
  <c r="X62" i="1" s="1"/>
  <c r="Y62" i="1" s="1"/>
  <c r="Z62" i="1" s="1"/>
  <c r="U62" i="1"/>
  <c r="U171" i="1"/>
  <c r="V171" i="1" s="1"/>
  <c r="W171" i="1" s="1"/>
  <c r="X171" i="1" s="1"/>
  <c r="Y171" i="1" s="1"/>
  <c r="Z171" i="1" s="1"/>
  <c r="T171" i="1"/>
  <c r="V514" i="1"/>
  <c r="T514" i="1"/>
  <c r="W514" i="1"/>
  <c r="X514" i="1" s="1"/>
  <c r="Y514" i="1" s="1"/>
  <c r="Z514" i="1" s="1"/>
  <c r="U514" i="1"/>
  <c r="U100" i="1"/>
  <c r="V100" i="1" s="1"/>
  <c r="T21" i="1"/>
  <c r="U21" i="1" s="1"/>
  <c r="V21" i="1" s="1"/>
  <c r="W21" i="1" s="1"/>
  <c r="X21" i="1" s="1"/>
  <c r="Y21" i="1" s="1"/>
  <c r="Z21" i="1" s="1"/>
  <c r="W663" i="1"/>
  <c r="X663" i="1" s="1"/>
  <c r="Y663" i="1" s="1"/>
  <c r="Z663" i="1" s="1"/>
  <c r="U663" i="1"/>
  <c r="T663" i="1"/>
  <c r="V663" i="1"/>
  <c r="U63" i="1"/>
  <c r="V63" i="1" s="1"/>
  <c r="W63" i="1" s="1"/>
  <c r="X63" i="1" s="1"/>
  <c r="Y63" i="1" s="1"/>
  <c r="Z63" i="1" s="1"/>
  <c r="T63" i="1"/>
  <c r="T69" i="1"/>
  <c r="U69" i="1" s="1"/>
  <c r="V69" i="1" s="1"/>
  <c r="W69" i="1" s="1"/>
  <c r="X69" i="1" s="1"/>
  <c r="Y69" i="1" s="1"/>
  <c r="Z69" i="1" s="1"/>
  <c r="T166" i="1"/>
  <c r="U166" i="1"/>
  <c r="V166" i="1" s="1"/>
  <c r="W166" i="1" s="1"/>
  <c r="X166" i="1" s="1"/>
  <c r="Y166" i="1" s="1"/>
  <c r="Z166" i="1" s="1"/>
  <c r="T118" i="1"/>
  <c r="U118" i="1" s="1"/>
  <c r="V118" i="1" s="1"/>
  <c r="W118" i="1" s="1"/>
  <c r="X118" i="1" s="1"/>
  <c r="Y118" i="1" s="1"/>
  <c r="Z118" i="1" s="1"/>
  <c r="T195" i="1"/>
  <c r="U195" i="1" s="1"/>
  <c r="V195" i="1" s="1"/>
  <c r="W195" i="1" s="1"/>
  <c r="X195" i="1" s="1"/>
  <c r="Y195" i="1" s="1"/>
  <c r="Z195" i="1" s="1"/>
  <c r="W497" i="1"/>
  <c r="X497" i="1" s="1"/>
  <c r="Y497" i="1" s="1"/>
  <c r="Z497" i="1" s="1"/>
  <c r="U497" i="1"/>
  <c r="T497" i="1"/>
  <c r="V497" i="1"/>
  <c r="T86" i="1"/>
  <c r="U86" i="1" s="1"/>
  <c r="V86" i="1" s="1"/>
  <c r="W86" i="1" s="1"/>
  <c r="X86" i="1" s="1"/>
  <c r="Y86" i="1" s="1"/>
  <c r="Z86" i="1" s="1"/>
  <c r="V107" i="1"/>
  <c r="W107" i="1" s="1"/>
  <c r="X107" i="1" s="1"/>
  <c r="Y107" i="1" s="1"/>
  <c r="Z107" i="1" s="1"/>
  <c r="U107" i="1"/>
  <c r="T107" i="1"/>
  <c r="U113" i="1"/>
  <c r="V113" i="1" s="1"/>
  <c r="W113" i="1" s="1"/>
  <c r="X113" i="1" s="1"/>
  <c r="Y113" i="1" s="1"/>
  <c r="Z113" i="1" s="1"/>
  <c r="T113" i="1"/>
  <c r="U124" i="1"/>
  <c r="V124" i="1" s="1"/>
  <c r="W124" i="1" s="1"/>
  <c r="X124" i="1" s="1"/>
  <c r="Y124" i="1" s="1"/>
  <c r="Z124" i="1" s="1"/>
  <c r="T124" i="1"/>
  <c r="T211" i="1"/>
  <c r="U211" i="1" s="1"/>
  <c r="V211" i="1" s="1"/>
  <c r="W211" i="1" s="1"/>
  <c r="X211" i="1" s="1"/>
  <c r="Y211" i="1" s="1"/>
  <c r="Z211" i="1" s="1"/>
  <c r="T44" i="1"/>
  <c r="U44" i="1" s="1"/>
  <c r="V44" i="1" s="1"/>
  <c r="W44" i="1" s="1"/>
  <c r="X44" i="1" s="1"/>
  <c r="Y44" i="1" s="1"/>
  <c r="Z44" i="1" s="1"/>
  <c r="U68" i="1"/>
  <c r="V68" i="1" s="1"/>
  <c r="W68" i="1" s="1"/>
  <c r="X68" i="1" s="1"/>
  <c r="Y68" i="1" s="1"/>
  <c r="Z68" i="1" s="1"/>
  <c r="U87" i="1"/>
  <c r="V87" i="1" s="1"/>
  <c r="W87" i="1" s="1"/>
  <c r="X87" i="1" s="1"/>
  <c r="Y87" i="1" s="1"/>
  <c r="Z87" i="1" s="1"/>
  <c r="T87" i="1"/>
  <c r="T224" i="1"/>
  <c r="U235" i="1"/>
  <c r="V235" i="1" s="1"/>
  <c r="W235" i="1" s="1"/>
  <c r="X235" i="1" s="1"/>
  <c r="Y235" i="1" s="1"/>
  <c r="Z235" i="1" s="1"/>
  <c r="T235" i="1"/>
  <c r="W239" i="1"/>
  <c r="X239" i="1" s="1"/>
  <c r="Y239" i="1" s="1"/>
  <c r="Z239" i="1" s="1"/>
  <c r="V239" i="1"/>
  <c r="U239" i="1"/>
  <c r="T239" i="1"/>
  <c r="W288" i="1"/>
  <c r="X288" i="1" s="1"/>
  <c r="Y288" i="1" s="1"/>
  <c r="Z288" i="1" s="1"/>
  <c r="V288" i="1"/>
  <c r="U288" i="1"/>
  <c r="T288" i="1"/>
  <c r="V314" i="1"/>
  <c r="W314" i="1"/>
  <c r="X314" i="1" s="1"/>
  <c r="Y314" i="1" s="1"/>
  <c r="Z314" i="1" s="1"/>
  <c r="U314" i="1"/>
  <c r="T314" i="1"/>
  <c r="U340" i="1"/>
  <c r="T340" i="1"/>
  <c r="W340" i="1"/>
  <c r="X340" i="1" s="1"/>
  <c r="Y340" i="1" s="1"/>
  <c r="Z340" i="1" s="1"/>
  <c r="V340" i="1"/>
  <c r="U381" i="1"/>
  <c r="T381" i="1"/>
  <c r="W381" i="1"/>
  <c r="X381" i="1" s="1"/>
  <c r="Y381" i="1" s="1"/>
  <c r="Z381" i="1" s="1"/>
  <c r="W410" i="1"/>
  <c r="X410" i="1" s="1"/>
  <c r="Y410" i="1" s="1"/>
  <c r="Z410" i="1" s="1"/>
  <c r="V410" i="1"/>
  <c r="W468" i="1"/>
  <c r="X468" i="1" s="1"/>
  <c r="Y468" i="1" s="1"/>
  <c r="Z468" i="1" s="1"/>
  <c r="T468" i="1"/>
  <c r="V468" i="1"/>
  <c r="W561" i="1"/>
  <c r="X561" i="1" s="1"/>
  <c r="Y561" i="1" s="1"/>
  <c r="Z561" i="1" s="1"/>
  <c r="V561" i="1"/>
  <c r="U561" i="1"/>
  <c r="T561" i="1"/>
  <c r="W608" i="1"/>
  <c r="X608" i="1" s="1"/>
  <c r="Y608" i="1" s="1"/>
  <c r="Z608" i="1" s="1"/>
  <c r="U608" i="1"/>
  <c r="T608" i="1"/>
  <c r="V608" i="1"/>
  <c r="W727" i="1"/>
  <c r="X727" i="1" s="1"/>
  <c r="Y727" i="1" s="1"/>
  <c r="Z727" i="1" s="1"/>
  <c r="V727" i="1"/>
  <c r="U727" i="1"/>
  <c r="T727" i="1"/>
  <c r="W843" i="1"/>
  <c r="X843" i="1" s="1"/>
  <c r="Y843" i="1" s="1"/>
  <c r="Z843" i="1" s="1"/>
  <c r="V843" i="1"/>
  <c r="T843" i="1"/>
  <c r="U843" i="1"/>
  <c r="T25" i="1"/>
  <c r="T68" i="1"/>
  <c r="T73" i="1"/>
  <c r="U73" i="1" s="1"/>
  <c r="V73" i="1" s="1"/>
  <c r="W73" i="1" s="1"/>
  <c r="X73" i="1" s="1"/>
  <c r="Y73" i="1" s="1"/>
  <c r="Z73" i="1" s="1"/>
  <c r="T114" i="1"/>
  <c r="U114" i="1" s="1"/>
  <c r="V114" i="1" s="1"/>
  <c r="W114" i="1" s="1"/>
  <c r="X114" i="1" s="1"/>
  <c r="Y114" i="1" s="1"/>
  <c r="Z114" i="1" s="1"/>
  <c r="T128" i="1"/>
  <c r="U128" i="1" s="1"/>
  <c r="V128" i="1" s="1"/>
  <c r="W128" i="1" s="1"/>
  <c r="X128" i="1" s="1"/>
  <c r="Y128" i="1" s="1"/>
  <c r="Z128" i="1" s="1"/>
  <c r="T131" i="1"/>
  <c r="U131" i="1" s="1"/>
  <c r="V131" i="1" s="1"/>
  <c r="W131" i="1" s="1"/>
  <c r="X131" i="1" s="1"/>
  <c r="Y131" i="1" s="1"/>
  <c r="Z131" i="1" s="1"/>
  <c r="T152" i="1"/>
  <c r="U152" i="1" s="1"/>
  <c r="V152" i="1" s="1"/>
  <c r="W152" i="1" s="1"/>
  <c r="X152" i="1" s="1"/>
  <c r="Y152" i="1" s="1"/>
  <c r="Z152" i="1" s="1"/>
  <c r="T184" i="1"/>
  <c r="U207" i="1"/>
  <c r="V207" i="1" s="1"/>
  <c r="W207" i="1" s="1"/>
  <c r="X207" i="1" s="1"/>
  <c r="Y207" i="1" s="1"/>
  <c r="Z207" i="1" s="1"/>
  <c r="T207" i="1"/>
  <c r="U224" i="1"/>
  <c r="V224" i="1" s="1"/>
  <c r="W224" i="1" s="1"/>
  <c r="X224" i="1" s="1"/>
  <c r="Y224" i="1" s="1"/>
  <c r="Z224" i="1" s="1"/>
  <c r="V381" i="1"/>
  <c r="T410" i="1"/>
  <c r="U457" i="1"/>
  <c r="T457" i="1"/>
  <c r="W457" i="1"/>
  <c r="X457" i="1" s="1"/>
  <c r="Y457" i="1" s="1"/>
  <c r="Z457" i="1" s="1"/>
  <c r="U468" i="1"/>
  <c r="U25" i="1"/>
  <c r="V25" i="1" s="1"/>
  <c r="W25" i="1" s="1"/>
  <c r="X25" i="1" s="1"/>
  <c r="Y25" i="1" s="1"/>
  <c r="Z25" i="1" s="1"/>
  <c r="T30" i="1"/>
  <c r="U30" i="1" s="1"/>
  <c r="V30" i="1" s="1"/>
  <c r="W30" i="1" s="1"/>
  <c r="X30" i="1" s="1"/>
  <c r="Y30" i="1" s="1"/>
  <c r="Z30" i="1" s="1"/>
  <c r="U95" i="1"/>
  <c r="V95" i="1" s="1"/>
  <c r="W95" i="1" s="1"/>
  <c r="X95" i="1" s="1"/>
  <c r="Y95" i="1" s="1"/>
  <c r="Z95" i="1" s="1"/>
  <c r="T95" i="1"/>
  <c r="U134" i="1"/>
  <c r="V134" i="1" s="1"/>
  <c r="W134" i="1" s="1"/>
  <c r="X134" i="1" s="1"/>
  <c r="Y134" i="1" s="1"/>
  <c r="Z134" i="1" s="1"/>
  <c r="T155" i="1"/>
  <c r="U155" i="1" s="1"/>
  <c r="V155" i="1" s="1"/>
  <c r="W155" i="1" s="1"/>
  <c r="X155" i="1" s="1"/>
  <c r="Y155" i="1" s="1"/>
  <c r="Z155" i="1" s="1"/>
  <c r="U184" i="1"/>
  <c r="V184" i="1" s="1"/>
  <c r="W184" i="1" s="1"/>
  <c r="X184" i="1" s="1"/>
  <c r="Y184" i="1" s="1"/>
  <c r="Z184" i="1" s="1"/>
  <c r="V188" i="1"/>
  <c r="U188" i="1"/>
  <c r="T228" i="1"/>
  <c r="U228" i="1" s="1"/>
  <c r="V228" i="1" s="1"/>
  <c r="W228" i="1" s="1"/>
  <c r="X228" i="1" s="1"/>
  <c r="Y228" i="1" s="1"/>
  <c r="Z228" i="1" s="1"/>
  <c r="U260" i="1"/>
  <c r="T260" i="1"/>
  <c r="V260" i="1"/>
  <c r="W260" i="1"/>
  <c r="X260" i="1" s="1"/>
  <c r="Y260" i="1" s="1"/>
  <c r="Z260" i="1" s="1"/>
  <c r="W361" i="1"/>
  <c r="X361" i="1" s="1"/>
  <c r="Y361" i="1" s="1"/>
  <c r="Z361" i="1" s="1"/>
  <c r="V361" i="1"/>
  <c r="U361" i="1"/>
  <c r="T361" i="1"/>
  <c r="U410" i="1"/>
  <c r="T426" i="1"/>
  <c r="V426" i="1"/>
  <c r="W437" i="1"/>
  <c r="X437" i="1" s="1"/>
  <c r="Y437" i="1" s="1"/>
  <c r="Z437" i="1" s="1"/>
  <c r="V437" i="1"/>
  <c r="U437" i="1"/>
  <c r="T437" i="1"/>
  <c r="V457" i="1"/>
  <c r="W747" i="1"/>
  <c r="X747" i="1" s="1"/>
  <c r="Y747" i="1" s="1"/>
  <c r="Z747" i="1" s="1"/>
  <c r="V747" i="1"/>
  <c r="U747" i="1"/>
  <c r="T747" i="1"/>
  <c r="W827" i="1"/>
  <c r="X827" i="1" s="1"/>
  <c r="Y827" i="1" s="1"/>
  <c r="Z827" i="1" s="1"/>
  <c r="V827" i="1"/>
  <c r="U827" i="1"/>
  <c r="T827" i="1"/>
  <c r="T10" i="1"/>
  <c r="U10" i="1" s="1"/>
  <c r="V10" i="1" s="1"/>
  <c r="W10" i="1" s="1"/>
  <c r="X10" i="1" s="1"/>
  <c r="Y10" i="1" s="1"/>
  <c r="Z10" i="1" s="1"/>
  <c r="V47" i="1"/>
  <c r="W47" i="1" s="1"/>
  <c r="X47" i="1" s="1"/>
  <c r="Y47" i="1" s="1"/>
  <c r="Z47" i="1" s="1"/>
  <c r="U79" i="1"/>
  <c r="V79" i="1" s="1"/>
  <c r="W79" i="1" s="1"/>
  <c r="X79" i="1" s="1"/>
  <c r="Y79" i="1" s="1"/>
  <c r="Z79" i="1" s="1"/>
  <c r="T79" i="1"/>
  <c r="U178" i="1"/>
  <c r="V178" i="1" s="1"/>
  <c r="W178" i="1" s="1"/>
  <c r="X178" i="1" s="1"/>
  <c r="Y178" i="1" s="1"/>
  <c r="Z178" i="1" s="1"/>
  <c r="U204" i="1"/>
  <c r="V204" i="1" s="1"/>
  <c r="W204" i="1" s="1"/>
  <c r="X204" i="1" s="1"/>
  <c r="Y204" i="1" s="1"/>
  <c r="Z204" i="1" s="1"/>
  <c r="T256" i="1"/>
  <c r="W256" i="1"/>
  <c r="X256" i="1" s="1"/>
  <c r="Y256" i="1" s="1"/>
  <c r="Z256" i="1" s="1"/>
  <c r="U285" i="1"/>
  <c r="W285" i="1"/>
  <c r="X285" i="1" s="1"/>
  <c r="Y285" i="1" s="1"/>
  <c r="Z285" i="1" s="1"/>
  <c r="V285" i="1"/>
  <c r="V301" i="1"/>
  <c r="U301" i="1"/>
  <c r="W308" i="1"/>
  <c r="X308" i="1" s="1"/>
  <c r="Y308" i="1" s="1"/>
  <c r="Z308" i="1" s="1"/>
  <c r="V308" i="1"/>
  <c r="U308" i="1"/>
  <c r="U332" i="1"/>
  <c r="T332" i="1"/>
  <c r="T336" i="1"/>
  <c r="W336" i="1"/>
  <c r="X336" i="1" s="1"/>
  <c r="Y336" i="1" s="1"/>
  <c r="Z336" i="1" s="1"/>
  <c r="V336" i="1"/>
  <c r="U336" i="1"/>
  <c r="V349" i="1"/>
  <c r="U349" i="1"/>
  <c r="T349" i="1"/>
  <c r="W349" i="1"/>
  <c r="X349" i="1" s="1"/>
  <c r="Y349" i="1" s="1"/>
  <c r="Z349" i="1" s="1"/>
  <c r="V562" i="1"/>
  <c r="T562" i="1"/>
  <c r="U562" i="1"/>
  <c r="W562" i="1"/>
  <c r="X562" i="1" s="1"/>
  <c r="Y562" i="1" s="1"/>
  <c r="Z562" i="1" s="1"/>
  <c r="V2434" i="1"/>
  <c r="U2434" i="1"/>
  <c r="W2434" i="1"/>
  <c r="X2434" i="1" s="1"/>
  <c r="Y2434" i="1" s="1"/>
  <c r="Z2434" i="1" s="1"/>
  <c r="T2434" i="1"/>
  <c r="U18" i="1"/>
  <c r="V18" i="1"/>
  <c r="W18" i="1" s="1"/>
  <c r="X18" i="1" s="1"/>
  <c r="Y18" i="1" s="1"/>
  <c r="Z18" i="1" s="1"/>
  <c r="E44" i="1"/>
  <c r="T52" i="1"/>
  <c r="U52" i="1" s="1"/>
  <c r="V52" i="1" s="1"/>
  <c r="W52" i="1" s="1"/>
  <c r="X52" i="1" s="1"/>
  <c r="Y52" i="1" s="1"/>
  <c r="Z52" i="1" s="1"/>
  <c r="T106" i="1"/>
  <c r="U106" i="1" s="1"/>
  <c r="V106" i="1" s="1"/>
  <c r="W106" i="1" s="1"/>
  <c r="X106" i="1" s="1"/>
  <c r="Y106" i="1" s="1"/>
  <c r="Z106" i="1" s="1"/>
  <c r="T163" i="1"/>
  <c r="U163" i="1" s="1"/>
  <c r="V163" i="1" s="1"/>
  <c r="W163" i="1" s="1"/>
  <c r="X163" i="1" s="1"/>
  <c r="Y163" i="1" s="1"/>
  <c r="Z163" i="1" s="1"/>
  <c r="W275" i="1"/>
  <c r="X275" i="1" s="1"/>
  <c r="Y275" i="1" s="1"/>
  <c r="Z275" i="1" s="1"/>
  <c r="V275" i="1"/>
  <c r="V289" i="1"/>
  <c r="U289" i="1"/>
  <c r="W289" i="1"/>
  <c r="X289" i="1" s="1"/>
  <c r="Y289" i="1" s="1"/>
  <c r="Z289" i="1" s="1"/>
  <c r="T289" i="1"/>
  <c r="W324" i="1"/>
  <c r="X324" i="1" s="1"/>
  <c r="Y324" i="1" s="1"/>
  <c r="Z324" i="1" s="1"/>
  <c r="T324" i="1"/>
  <c r="U365" i="1"/>
  <c r="W365" i="1"/>
  <c r="X365" i="1" s="1"/>
  <c r="Y365" i="1" s="1"/>
  <c r="Z365" i="1" s="1"/>
  <c r="T496" i="1"/>
  <c r="W496" i="1"/>
  <c r="X496" i="1" s="1"/>
  <c r="Y496" i="1" s="1"/>
  <c r="Z496" i="1" s="1"/>
  <c r="V496" i="1"/>
  <c r="U496" i="1"/>
  <c r="W538" i="1"/>
  <c r="X538" i="1" s="1"/>
  <c r="Y538" i="1" s="1"/>
  <c r="Z538" i="1" s="1"/>
  <c r="V538" i="1"/>
  <c r="U538" i="1"/>
  <c r="T596" i="1"/>
  <c r="U596" i="1"/>
  <c r="W596" i="1"/>
  <c r="X596" i="1" s="1"/>
  <c r="Y596" i="1" s="1"/>
  <c r="Z596" i="1" s="1"/>
  <c r="V596" i="1"/>
  <c r="W647" i="1"/>
  <c r="X647" i="1" s="1"/>
  <c r="Y647" i="1" s="1"/>
  <c r="Z647" i="1" s="1"/>
  <c r="V647" i="1"/>
  <c r="U647" i="1"/>
  <c r="T647" i="1"/>
  <c r="W760" i="1"/>
  <c r="X760" i="1" s="1"/>
  <c r="Y760" i="1" s="1"/>
  <c r="Z760" i="1" s="1"/>
  <c r="T760" i="1"/>
  <c r="V760" i="1"/>
  <c r="U760" i="1"/>
  <c r="W1135" i="1"/>
  <c r="X1135" i="1" s="1"/>
  <c r="Y1135" i="1" s="1"/>
  <c r="Z1135" i="1" s="1"/>
  <c r="V1135" i="1"/>
  <c r="U1135" i="1"/>
  <c r="T1135" i="1"/>
  <c r="U13" i="1"/>
  <c r="V13" i="1" s="1"/>
  <c r="W13" i="1" s="1"/>
  <c r="X13" i="1" s="1"/>
  <c r="Y13" i="1" s="1"/>
  <c r="Z13" i="1" s="1"/>
  <c r="T18" i="1"/>
  <c r="U23" i="1"/>
  <c r="T33" i="1"/>
  <c r="V42" i="1"/>
  <c r="U47" i="1"/>
  <c r="U71" i="1"/>
  <c r="V71" i="1" s="1"/>
  <c r="W71" i="1" s="1"/>
  <c r="X71" i="1" s="1"/>
  <c r="Y71" i="1" s="1"/>
  <c r="Z71" i="1" s="1"/>
  <c r="T82" i="1"/>
  <c r="U82" i="1" s="1"/>
  <c r="V82" i="1" s="1"/>
  <c r="W82" i="1" s="1"/>
  <c r="X82" i="1" s="1"/>
  <c r="Y82" i="1" s="1"/>
  <c r="Z82" i="1" s="1"/>
  <c r="V90" i="1"/>
  <c r="W90" i="1" s="1"/>
  <c r="X90" i="1" s="1"/>
  <c r="Y90" i="1" s="1"/>
  <c r="Z90" i="1" s="1"/>
  <c r="U120" i="1"/>
  <c r="V120" i="1" s="1"/>
  <c r="W120" i="1" s="1"/>
  <c r="X120" i="1" s="1"/>
  <c r="Y120" i="1" s="1"/>
  <c r="Z120" i="1" s="1"/>
  <c r="T145" i="1"/>
  <c r="T150" i="1"/>
  <c r="U150" i="1"/>
  <c r="V150" i="1" s="1"/>
  <c r="T158" i="1"/>
  <c r="U158" i="1" s="1"/>
  <c r="V158" i="1" s="1"/>
  <c r="W158" i="1" s="1"/>
  <c r="X158" i="1" s="1"/>
  <c r="Y158" i="1" s="1"/>
  <c r="Z158" i="1" s="1"/>
  <c r="T175" i="1"/>
  <c r="U175" i="1" s="1"/>
  <c r="V175" i="1" s="1"/>
  <c r="W175" i="1" s="1"/>
  <c r="X175" i="1" s="1"/>
  <c r="Y175" i="1" s="1"/>
  <c r="Z175" i="1" s="1"/>
  <c r="V198" i="1"/>
  <c r="W198" i="1" s="1"/>
  <c r="X198" i="1" s="1"/>
  <c r="Y198" i="1" s="1"/>
  <c r="Z198" i="1" s="1"/>
  <c r="U198" i="1"/>
  <c r="T208" i="1"/>
  <c r="U208" i="1" s="1"/>
  <c r="V208" i="1" s="1"/>
  <c r="W208" i="1" s="1"/>
  <c r="X208" i="1" s="1"/>
  <c r="Y208" i="1" s="1"/>
  <c r="Z208" i="1" s="1"/>
  <c r="U229" i="1"/>
  <c r="V229" i="1" s="1"/>
  <c r="W229" i="1" s="1"/>
  <c r="X229" i="1" s="1"/>
  <c r="Y229" i="1" s="1"/>
  <c r="Z229" i="1" s="1"/>
  <c r="T240" i="1"/>
  <c r="W246" i="1"/>
  <c r="X246" i="1" s="1"/>
  <c r="Y246" i="1" s="1"/>
  <c r="Z246" i="1" s="1"/>
  <c r="T246" i="1"/>
  <c r="V246" i="1"/>
  <c r="V256" i="1"/>
  <c r="T275" i="1"/>
  <c r="W301" i="1"/>
  <c r="X301" i="1" s="1"/>
  <c r="Y301" i="1" s="1"/>
  <c r="Z301" i="1" s="1"/>
  <c r="W318" i="1"/>
  <c r="X318" i="1" s="1"/>
  <c r="Y318" i="1" s="1"/>
  <c r="Z318" i="1" s="1"/>
  <c r="V318" i="1"/>
  <c r="U318" i="1"/>
  <c r="T318" i="1"/>
  <c r="U324" i="1"/>
  <c r="W332" i="1"/>
  <c r="X332" i="1" s="1"/>
  <c r="Y332" i="1" s="1"/>
  <c r="Z332" i="1" s="1"/>
  <c r="U345" i="1"/>
  <c r="W345" i="1"/>
  <c r="X345" i="1" s="1"/>
  <c r="Y345" i="1" s="1"/>
  <c r="Z345" i="1" s="1"/>
  <c r="V345" i="1"/>
  <c r="T345" i="1"/>
  <c r="T365" i="1"/>
  <c r="W446" i="1"/>
  <c r="X446" i="1" s="1"/>
  <c r="Y446" i="1" s="1"/>
  <c r="Z446" i="1" s="1"/>
  <c r="V446" i="1"/>
  <c r="U446" i="1"/>
  <c r="T446" i="1"/>
  <c r="W523" i="1"/>
  <c r="X523" i="1" s="1"/>
  <c r="Y523" i="1" s="1"/>
  <c r="Z523" i="1" s="1"/>
  <c r="T523" i="1"/>
  <c r="V523" i="1"/>
  <c r="T538" i="1"/>
  <c r="W703" i="1"/>
  <c r="X703" i="1" s="1"/>
  <c r="Y703" i="1" s="1"/>
  <c r="Z703" i="1" s="1"/>
  <c r="T703" i="1"/>
  <c r="V703" i="1"/>
  <c r="U5" i="1"/>
  <c r="V5" i="1" s="1"/>
  <c r="W5" i="1" s="1"/>
  <c r="X5" i="1" s="1"/>
  <c r="Y5" i="1" s="1"/>
  <c r="Z5" i="1" s="1"/>
  <c r="V23" i="1"/>
  <c r="U33" i="1"/>
  <c r="U115" i="1"/>
  <c r="V115" i="1" s="1"/>
  <c r="W115" i="1" s="1"/>
  <c r="X115" i="1" s="1"/>
  <c r="Y115" i="1" s="1"/>
  <c r="Z115" i="1" s="1"/>
  <c r="U123" i="1"/>
  <c r="V123" i="1" s="1"/>
  <c r="W123" i="1" s="1"/>
  <c r="X123" i="1" s="1"/>
  <c r="Y123" i="1" s="1"/>
  <c r="Z123" i="1" s="1"/>
  <c r="T123" i="1"/>
  <c r="U145" i="1"/>
  <c r="V145" i="1" s="1"/>
  <c r="W145" i="1" s="1"/>
  <c r="X145" i="1" s="1"/>
  <c r="Y145" i="1" s="1"/>
  <c r="Z145" i="1" s="1"/>
  <c r="U240" i="1"/>
  <c r="U275" i="1"/>
  <c r="V324" i="1"/>
  <c r="V365" i="1"/>
  <c r="W382" i="1"/>
  <c r="X382" i="1" s="1"/>
  <c r="Y382" i="1" s="1"/>
  <c r="Z382" i="1" s="1"/>
  <c r="V382" i="1"/>
  <c r="U382" i="1"/>
  <c r="U420" i="1"/>
  <c r="T420" i="1"/>
  <c r="W420" i="1"/>
  <c r="X420" i="1" s="1"/>
  <c r="Y420" i="1" s="1"/>
  <c r="Z420" i="1" s="1"/>
  <c r="V420" i="1"/>
  <c r="W569" i="1"/>
  <c r="X569" i="1" s="1"/>
  <c r="Y569" i="1" s="1"/>
  <c r="Z569" i="1" s="1"/>
  <c r="V569" i="1"/>
  <c r="U569" i="1"/>
  <c r="T569" i="1"/>
  <c r="V699" i="1"/>
  <c r="U699" i="1"/>
  <c r="T699" i="1"/>
  <c r="U809" i="1"/>
  <c r="T809" i="1"/>
  <c r="W809" i="1"/>
  <c r="X809" i="1" s="1"/>
  <c r="Y809" i="1" s="1"/>
  <c r="Z809" i="1" s="1"/>
  <c r="V809" i="1"/>
  <c r="W1105" i="1"/>
  <c r="X1105" i="1" s="1"/>
  <c r="Y1105" i="1" s="1"/>
  <c r="Z1105" i="1" s="1"/>
  <c r="V1105" i="1"/>
  <c r="U1105" i="1"/>
  <c r="T1105" i="1"/>
  <c r="U1127" i="1"/>
  <c r="T1127" i="1"/>
  <c r="W1127" i="1"/>
  <c r="X1127" i="1" s="1"/>
  <c r="Y1127" i="1" s="1"/>
  <c r="Z1127" i="1" s="1"/>
  <c r="V1127" i="1"/>
  <c r="T5" i="1"/>
  <c r="V33" i="1"/>
  <c r="W33" i="1" s="1"/>
  <c r="X33" i="1" s="1"/>
  <c r="Y33" i="1" s="1"/>
  <c r="Z33" i="1" s="1"/>
  <c r="V40" i="1"/>
  <c r="T50" i="1"/>
  <c r="T96" i="1"/>
  <c r="U96" i="1" s="1"/>
  <c r="V96" i="1" s="1"/>
  <c r="W96" i="1" s="1"/>
  <c r="X96" i="1" s="1"/>
  <c r="Y96" i="1" s="1"/>
  <c r="Z96" i="1" s="1"/>
  <c r="T101" i="1"/>
  <c r="U101" i="1" s="1"/>
  <c r="V101" i="1" s="1"/>
  <c r="W101" i="1" s="1"/>
  <c r="X101" i="1" s="1"/>
  <c r="Y101" i="1" s="1"/>
  <c r="Z101" i="1" s="1"/>
  <c r="T115" i="1"/>
  <c r="T132" i="1"/>
  <c r="T137" i="1"/>
  <c r="U137" i="1" s="1"/>
  <c r="V137" i="1" s="1"/>
  <c r="W137" i="1" s="1"/>
  <c r="X137" i="1" s="1"/>
  <c r="Y137" i="1" s="1"/>
  <c r="Z137" i="1" s="1"/>
  <c r="T153" i="1"/>
  <c r="V240" i="1"/>
  <c r="W261" i="1"/>
  <c r="X261" i="1" s="1"/>
  <c r="Y261" i="1" s="1"/>
  <c r="Z261" i="1" s="1"/>
  <c r="V261" i="1"/>
  <c r="T261" i="1"/>
  <c r="W290" i="1"/>
  <c r="X290" i="1" s="1"/>
  <c r="Y290" i="1" s="1"/>
  <c r="Z290" i="1" s="1"/>
  <c r="V290" i="1"/>
  <c r="U290" i="1"/>
  <c r="T382" i="1"/>
  <c r="W398" i="1"/>
  <c r="X398" i="1" s="1"/>
  <c r="Y398" i="1" s="1"/>
  <c r="Z398" i="1" s="1"/>
  <c r="V398" i="1"/>
  <c r="T398" i="1"/>
  <c r="U398" i="1"/>
  <c r="V434" i="1"/>
  <c r="W434" i="1"/>
  <c r="X434" i="1" s="1"/>
  <c r="Y434" i="1" s="1"/>
  <c r="Z434" i="1" s="1"/>
  <c r="W438" i="1"/>
  <c r="X438" i="1" s="1"/>
  <c r="Y438" i="1" s="1"/>
  <c r="Z438" i="1" s="1"/>
  <c r="V438" i="1"/>
  <c r="U438" i="1"/>
  <c r="T438" i="1"/>
  <c r="T516" i="1"/>
  <c r="V516" i="1"/>
  <c r="U516" i="1"/>
  <c r="W589" i="1"/>
  <c r="X589" i="1" s="1"/>
  <c r="Y589" i="1" s="1"/>
  <c r="Z589" i="1" s="1"/>
  <c r="V589" i="1"/>
  <c r="U589" i="1"/>
  <c r="T589" i="1"/>
  <c r="V614" i="1"/>
  <c r="T614" i="1"/>
  <c r="W614" i="1"/>
  <c r="X614" i="1" s="1"/>
  <c r="Y614" i="1" s="1"/>
  <c r="Z614" i="1" s="1"/>
  <c r="U614" i="1"/>
  <c r="W699" i="1"/>
  <c r="X699" i="1" s="1"/>
  <c r="Y699" i="1" s="1"/>
  <c r="Z699" i="1" s="1"/>
  <c r="T11" i="1"/>
  <c r="U28" i="1"/>
  <c r="V28" i="1" s="1"/>
  <c r="W28" i="1" s="1"/>
  <c r="X28" i="1" s="1"/>
  <c r="Y28" i="1" s="1"/>
  <c r="Z28" i="1" s="1"/>
  <c r="T28" i="1"/>
  <c r="V45" i="1"/>
  <c r="W45" i="1" s="1"/>
  <c r="X45" i="1" s="1"/>
  <c r="Y45" i="1" s="1"/>
  <c r="Z45" i="1" s="1"/>
  <c r="U50" i="1"/>
  <c r="V50" i="1" s="1"/>
  <c r="W50" i="1" s="1"/>
  <c r="X50" i="1" s="1"/>
  <c r="Y50" i="1" s="1"/>
  <c r="Z50" i="1" s="1"/>
  <c r="U55" i="1"/>
  <c r="V55" i="1" s="1"/>
  <c r="W55" i="1" s="1"/>
  <c r="X55" i="1" s="1"/>
  <c r="Y55" i="1" s="1"/>
  <c r="Z55" i="1" s="1"/>
  <c r="T55" i="1"/>
  <c r="V112" i="1"/>
  <c r="W112" i="1" s="1"/>
  <c r="X112" i="1" s="1"/>
  <c r="Y112" i="1" s="1"/>
  <c r="Z112" i="1" s="1"/>
  <c r="U112" i="1"/>
  <c r="T112" i="1"/>
  <c r="U132" i="1"/>
  <c r="V132" i="1" s="1"/>
  <c r="W132" i="1" s="1"/>
  <c r="X132" i="1" s="1"/>
  <c r="Y132" i="1" s="1"/>
  <c r="Z132" i="1" s="1"/>
  <c r="U153" i="1"/>
  <c r="U189" i="1"/>
  <c r="V189" i="1" s="1"/>
  <c r="W189" i="1" s="1"/>
  <c r="X189" i="1" s="1"/>
  <c r="Y189" i="1" s="1"/>
  <c r="Z189" i="1" s="1"/>
  <c r="U222" i="1"/>
  <c r="V222" i="1" s="1"/>
  <c r="W222" i="1" s="1"/>
  <c r="X222" i="1" s="1"/>
  <c r="Y222" i="1" s="1"/>
  <c r="Z222" i="1" s="1"/>
  <c r="U261" i="1"/>
  <c r="T290" i="1"/>
  <c r="W328" i="1"/>
  <c r="X328" i="1" s="1"/>
  <c r="Y328" i="1" s="1"/>
  <c r="Z328" i="1" s="1"/>
  <c r="V328" i="1"/>
  <c r="U328" i="1"/>
  <c r="T328" i="1"/>
  <c r="T434" i="1"/>
  <c r="W447" i="1"/>
  <c r="X447" i="1" s="1"/>
  <c r="Y447" i="1" s="1"/>
  <c r="Z447" i="1" s="1"/>
  <c r="T447" i="1"/>
  <c r="U447" i="1"/>
  <c r="V482" i="1"/>
  <c r="W482" i="1"/>
  <c r="X482" i="1" s="1"/>
  <c r="Y482" i="1" s="1"/>
  <c r="Z482" i="1" s="1"/>
  <c r="U482" i="1"/>
  <c r="T482" i="1"/>
  <c r="U508" i="1"/>
  <c r="W508" i="1"/>
  <c r="X508" i="1" s="1"/>
  <c r="Y508" i="1" s="1"/>
  <c r="Z508" i="1" s="1"/>
  <c r="V508" i="1"/>
  <c r="T512" i="1"/>
  <c r="W512" i="1"/>
  <c r="X512" i="1" s="1"/>
  <c r="Y512" i="1" s="1"/>
  <c r="Z512" i="1" s="1"/>
  <c r="V512" i="1"/>
  <c r="U512" i="1"/>
  <c r="W516" i="1"/>
  <c r="X516" i="1" s="1"/>
  <c r="Y516" i="1" s="1"/>
  <c r="Z516" i="1" s="1"/>
  <c r="U585" i="1"/>
  <c r="V585" i="1"/>
  <c r="T585" i="1"/>
  <c r="W585" i="1"/>
  <c r="X585" i="1" s="1"/>
  <c r="Y585" i="1" s="1"/>
  <c r="Z585" i="1" s="1"/>
  <c r="W610" i="1"/>
  <c r="X610" i="1" s="1"/>
  <c r="Y610" i="1" s="1"/>
  <c r="Z610" i="1" s="1"/>
  <c r="T610" i="1"/>
  <c r="V610" i="1"/>
  <c r="U610" i="1"/>
  <c r="U665" i="1"/>
  <c r="V665" i="1"/>
  <c r="T665" i="1"/>
  <c r="W665" i="1"/>
  <c r="X665" i="1" s="1"/>
  <c r="Y665" i="1" s="1"/>
  <c r="Z665" i="1" s="1"/>
  <c r="T8" i="1"/>
  <c r="U8" i="1" s="1"/>
  <c r="V8" i="1" s="1"/>
  <c r="W8" i="1" s="1"/>
  <c r="X8" i="1" s="1"/>
  <c r="Y8" i="1" s="1"/>
  <c r="Z8" i="1" s="1"/>
  <c r="U11" i="1"/>
  <c r="V11" i="1" s="1"/>
  <c r="W11" i="1" s="1"/>
  <c r="X11" i="1" s="1"/>
  <c r="Y11" i="1" s="1"/>
  <c r="Z11" i="1" s="1"/>
  <c r="V77" i="1"/>
  <c r="W77" i="1" s="1"/>
  <c r="X77" i="1" s="1"/>
  <c r="Y77" i="1" s="1"/>
  <c r="Z77" i="1" s="1"/>
  <c r="U88" i="1"/>
  <c r="V88" i="1" s="1"/>
  <c r="W88" i="1" s="1"/>
  <c r="X88" i="1" s="1"/>
  <c r="Y88" i="1" s="1"/>
  <c r="Z88" i="1" s="1"/>
  <c r="T129" i="1"/>
  <c r="U129" i="1" s="1"/>
  <c r="V129" i="1" s="1"/>
  <c r="W129" i="1" s="1"/>
  <c r="X129" i="1" s="1"/>
  <c r="Y129" i="1" s="1"/>
  <c r="Z129" i="1" s="1"/>
  <c r="V153" i="1"/>
  <c r="T167" i="1"/>
  <c r="U167" i="1" s="1"/>
  <c r="V167" i="1" s="1"/>
  <c r="W167" i="1" s="1"/>
  <c r="X167" i="1" s="1"/>
  <c r="Y167" i="1" s="1"/>
  <c r="Z167" i="1" s="1"/>
  <c r="W257" i="1"/>
  <c r="X257" i="1" s="1"/>
  <c r="Y257" i="1" s="1"/>
  <c r="Z257" i="1" s="1"/>
  <c r="V257" i="1"/>
  <c r="U257" i="1"/>
  <c r="T257" i="1"/>
  <c r="W430" i="1"/>
  <c r="X430" i="1" s="1"/>
  <c r="Y430" i="1" s="1"/>
  <c r="Z430" i="1" s="1"/>
  <c r="V430" i="1"/>
  <c r="U430" i="1"/>
  <c r="T430" i="1"/>
  <c r="U434" i="1"/>
  <c r="V447" i="1"/>
  <c r="U470" i="1"/>
  <c r="T470" i="1"/>
  <c r="T508" i="1"/>
  <c r="W810" i="1"/>
  <c r="X810" i="1" s="1"/>
  <c r="Y810" i="1" s="1"/>
  <c r="Z810" i="1" s="1"/>
  <c r="V810" i="1"/>
  <c r="U810" i="1"/>
  <c r="T810" i="1"/>
  <c r="W829" i="1"/>
  <c r="X829" i="1" s="1"/>
  <c r="Y829" i="1" s="1"/>
  <c r="Z829" i="1" s="1"/>
  <c r="U829" i="1"/>
  <c r="T829" i="1"/>
  <c r="V829" i="1"/>
  <c r="U31" i="1"/>
  <c r="V31" i="1" s="1"/>
  <c r="W31" i="1" s="1"/>
  <c r="X31" i="1" s="1"/>
  <c r="Y31" i="1" s="1"/>
  <c r="Z31" i="1" s="1"/>
  <c r="U45" i="1"/>
  <c r="U48" i="1"/>
  <c r="V48" i="1" s="1"/>
  <c r="T77" i="1"/>
  <c r="U77" i="1" s="1"/>
  <c r="T88" i="1"/>
  <c r="U104" i="1"/>
  <c r="V104" i="1" s="1"/>
  <c r="W104" i="1" s="1"/>
  <c r="X104" i="1" s="1"/>
  <c r="Y104" i="1" s="1"/>
  <c r="Z104" i="1" s="1"/>
  <c r="U148" i="1"/>
  <c r="V148" i="1" s="1"/>
  <c r="W148" i="1" s="1"/>
  <c r="X148" i="1" s="1"/>
  <c r="Y148" i="1" s="1"/>
  <c r="Z148" i="1" s="1"/>
  <c r="T156" i="1"/>
  <c r="U156" i="1" s="1"/>
  <c r="T209" i="1"/>
  <c r="U209" i="1" s="1"/>
  <c r="V209" i="1" s="1"/>
  <c r="W209" i="1" s="1"/>
  <c r="X209" i="1" s="1"/>
  <c r="Y209" i="1" s="1"/>
  <c r="Z209" i="1" s="1"/>
  <c r="T215" i="1"/>
  <c r="U215" i="1" s="1"/>
  <c r="V215" i="1" s="1"/>
  <c r="W215" i="1" s="1"/>
  <c r="X215" i="1" s="1"/>
  <c r="Y215" i="1" s="1"/>
  <c r="Z215" i="1" s="1"/>
  <c r="U233" i="1"/>
  <c r="V233" i="1" s="1"/>
  <c r="W233" i="1" s="1"/>
  <c r="X233" i="1" s="1"/>
  <c r="Y233" i="1" s="1"/>
  <c r="Z233" i="1" s="1"/>
  <c r="V369" i="1"/>
  <c r="U369" i="1"/>
  <c r="T369" i="1"/>
  <c r="V372" i="1"/>
  <c r="U372" i="1"/>
  <c r="T372" i="1"/>
  <c r="W372" i="1"/>
  <c r="X372" i="1" s="1"/>
  <c r="Y372" i="1" s="1"/>
  <c r="Z372" i="1" s="1"/>
  <c r="W392" i="1"/>
  <c r="X392" i="1" s="1"/>
  <c r="Y392" i="1" s="1"/>
  <c r="Z392" i="1" s="1"/>
  <c r="T392" i="1"/>
  <c r="V392" i="1"/>
  <c r="U412" i="1"/>
  <c r="T412" i="1"/>
  <c r="W412" i="1"/>
  <c r="X412" i="1" s="1"/>
  <c r="Y412" i="1" s="1"/>
  <c r="Z412" i="1" s="1"/>
  <c r="W451" i="1"/>
  <c r="X451" i="1" s="1"/>
  <c r="Y451" i="1" s="1"/>
  <c r="Z451" i="1" s="1"/>
  <c r="T451" i="1"/>
  <c r="V451" i="1"/>
  <c r="U451" i="1"/>
  <c r="V470" i="1"/>
  <c r="W478" i="1"/>
  <c r="X478" i="1" s="1"/>
  <c r="Y478" i="1" s="1"/>
  <c r="Z478" i="1" s="1"/>
  <c r="V478" i="1"/>
  <c r="U478" i="1"/>
  <c r="T478" i="1"/>
  <c r="W669" i="1"/>
  <c r="X669" i="1" s="1"/>
  <c r="Y669" i="1" s="1"/>
  <c r="Z669" i="1" s="1"/>
  <c r="V669" i="1"/>
  <c r="U669" i="1"/>
  <c r="T669" i="1"/>
  <c r="U733" i="1"/>
  <c r="T733" i="1"/>
  <c r="W733" i="1"/>
  <c r="X733" i="1" s="1"/>
  <c r="Y733" i="1" s="1"/>
  <c r="Z733" i="1" s="1"/>
  <c r="V733" i="1"/>
  <c r="T135" i="1"/>
  <c r="U135" i="1" s="1"/>
  <c r="V135" i="1" s="1"/>
  <c r="W135" i="1" s="1"/>
  <c r="X135" i="1" s="1"/>
  <c r="Y135" i="1" s="1"/>
  <c r="Z135" i="1" s="1"/>
  <c r="U143" i="1"/>
  <c r="V143" i="1" s="1"/>
  <c r="W143" i="1" s="1"/>
  <c r="X143" i="1" s="1"/>
  <c r="Y143" i="1" s="1"/>
  <c r="Z143" i="1" s="1"/>
  <c r="T186" i="1"/>
  <c r="U186" i="1" s="1"/>
  <c r="V186" i="1" s="1"/>
  <c r="W186" i="1" s="1"/>
  <c r="X186" i="1" s="1"/>
  <c r="Y186" i="1" s="1"/>
  <c r="Z186" i="1" s="1"/>
  <c r="V251" i="1"/>
  <c r="U251" i="1"/>
  <c r="W279" i="1"/>
  <c r="X279" i="1" s="1"/>
  <c r="Y279" i="1" s="1"/>
  <c r="Z279" i="1" s="1"/>
  <c r="T279" i="1"/>
  <c r="T291" i="1"/>
  <c r="V291" i="1"/>
  <c r="U291" i="1"/>
  <c r="T316" i="1"/>
  <c r="W316" i="1"/>
  <c r="X316" i="1" s="1"/>
  <c r="Y316" i="1" s="1"/>
  <c r="Z316" i="1" s="1"/>
  <c r="V316" i="1"/>
  <c r="U316" i="1"/>
  <c r="V355" i="1"/>
  <c r="W355" i="1"/>
  <c r="X355" i="1" s="1"/>
  <c r="Y355" i="1" s="1"/>
  <c r="Z355" i="1" s="1"/>
  <c r="V379" i="1"/>
  <c r="U379" i="1"/>
  <c r="W408" i="1"/>
  <c r="X408" i="1" s="1"/>
  <c r="Y408" i="1" s="1"/>
  <c r="Z408" i="1" s="1"/>
  <c r="T408" i="1"/>
  <c r="V424" i="1"/>
  <c r="U424" i="1"/>
  <c r="W470" i="1"/>
  <c r="X470" i="1" s="1"/>
  <c r="Y470" i="1" s="1"/>
  <c r="Z470" i="1" s="1"/>
  <c r="W548" i="1"/>
  <c r="X548" i="1" s="1"/>
  <c r="Y548" i="1" s="1"/>
  <c r="Z548" i="1" s="1"/>
  <c r="V548" i="1"/>
  <c r="U548" i="1"/>
  <c r="T548" i="1"/>
  <c r="W740" i="1"/>
  <c r="X740" i="1" s="1"/>
  <c r="Y740" i="1" s="1"/>
  <c r="Z740" i="1" s="1"/>
  <c r="T740" i="1"/>
  <c r="V740" i="1"/>
  <c r="U740" i="1"/>
  <c r="W1085" i="1"/>
  <c r="X1085" i="1" s="1"/>
  <c r="Y1085" i="1" s="1"/>
  <c r="Z1085" i="1" s="1"/>
  <c r="V1085" i="1"/>
  <c r="U1085" i="1"/>
  <c r="T1085" i="1"/>
  <c r="T3" i="1"/>
  <c r="U19" i="1"/>
  <c r="T43" i="1"/>
  <c r="U43" i="1" s="1"/>
  <c r="V43" i="1" s="1"/>
  <c r="W43" i="1" s="1"/>
  <c r="X43" i="1" s="1"/>
  <c r="Y43" i="1" s="1"/>
  <c r="Z43" i="1" s="1"/>
  <c r="V53" i="1"/>
  <c r="W53" i="1" s="1"/>
  <c r="X53" i="1" s="1"/>
  <c r="Y53" i="1" s="1"/>
  <c r="Z53" i="1" s="1"/>
  <c r="U53" i="1"/>
  <c r="T53" i="1"/>
  <c r="T80" i="1"/>
  <c r="U80" i="1" s="1"/>
  <c r="V80" i="1" s="1"/>
  <c r="W80" i="1" s="1"/>
  <c r="X80" i="1" s="1"/>
  <c r="Y80" i="1" s="1"/>
  <c r="Z80" i="1" s="1"/>
  <c r="T99" i="1"/>
  <c r="U99" i="1" s="1"/>
  <c r="V99" i="1" s="1"/>
  <c r="W99" i="1" s="1"/>
  <c r="X99" i="1" s="1"/>
  <c r="Y99" i="1" s="1"/>
  <c r="Z99" i="1" s="1"/>
  <c r="T143" i="1"/>
  <c r="V156" i="1"/>
  <c r="W156" i="1" s="1"/>
  <c r="X156" i="1" s="1"/>
  <c r="Y156" i="1" s="1"/>
  <c r="Z156" i="1" s="1"/>
  <c r="T226" i="1"/>
  <c r="U226" i="1" s="1"/>
  <c r="V226" i="1" s="1"/>
  <c r="W226" i="1" s="1"/>
  <c r="X226" i="1" s="1"/>
  <c r="Y226" i="1" s="1"/>
  <c r="Z226" i="1" s="1"/>
  <c r="T251" i="1"/>
  <c r="U279" i="1"/>
  <c r="W291" i="1"/>
  <c r="X291" i="1" s="1"/>
  <c r="Y291" i="1" s="1"/>
  <c r="Z291" i="1" s="1"/>
  <c r="V329" i="1"/>
  <c r="U329" i="1"/>
  <c r="W329" i="1"/>
  <c r="X329" i="1" s="1"/>
  <c r="Y329" i="1" s="1"/>
  <c r="Z329" i="1" s="1"/>
  <c r="T329" i="1"/>
  <c r="V334" i="1"/>
  <c r="U334" i="1"/>
  <c r="T355" i="1"/>
  <c r="W359" i="1"/>
  <c r="X359" i="1" s="1"/>
  <c r="Y359" i="1" s="1"/>
  <c r="Z359" i="1" s="1"/>
  <c r="V359" i="1"/>
  <c r="U359" i="1"/>
  <c r="T359" i="1"/>
  <c r="T379" i="1"/>
  <c r="U408" i="1"/>
  <c r="T424" i="1"/>
  <c r="V540" i="1"/>
  <c r="U540" i="1"/>
  <c r="T540" i="1"/>
  <c r="W540" i="1"/>
  <c r="X540" i="1" s="1"/>
  <c r="Y540" i="1" s="1"/>
  <c r="Z540" i="1" s="1"/>
  <c r="W830" i="1"/>
  <c r="X830" i="1" s="1"/>
  <c r="Y830" i="1" s="1"/>
  <c r="Z830" i="1" s="1"/>
  <c r="V830" i="1"/>
  <c r="U830" i="1"/>
  <c r="T830" i="1"/>
  <c r="W952" i="1"/>
  <c r="X952" i="1" s="1"/>
  <c r="Y952" i="1" s="1"/>
  <c r="Z952" i="1" s="1"/>
  <c r="V952" i="1"/>
  <c r="U952" i="1"/>
  <c r="W969" i="1"/>
  <c r="X969" i="1" s="1"/>
  <c r="Y969" i="1" s="1"/>
  <c r="Z969" i="1" s="1"/>
  <c r="U969" i="1"/>
  <c r="T969" i="1"/>
  <c r="V969" i="1"/>
  <c r="W1065" i="1"/>
  <c r="X1065" i="1" s="1"/>
  <c r="Y1065" i="1" s="1"/>
  <c r="Z1065" i="1" s="1"/>
  <c r="V1065" i="1"/>
  <c r="U1065" i="1"/>
  <c r="T1065" i="1"/>
  <c r="U3" i="1"/>
  <c r="V3" i="1" s="1"/>
  <c r="W3" i="1" s="1"/>
  <c r="X3" i="1" s="1"/>
  <c r="Y3" i="1" s="1"/>
  <c r="Z3" i="1" s="1"/>
  <c r="U14" i="1"/>
  <c r="T14" i="1"/>
  <c r="U138" i="1"/>
  <c r="V138" i="1" s="1"/>
  <c r="T138" i="1"/>
  <c r="U219" i="1"/>
  <c r="V219" i="1" s="1"/>
  <c r="W219" i="1" s="1"/>
  <c r="X219" i="1" s="1"/>
  <c r="Y219" i="1" s="1"/>
  <c r="Z219" i="1" s="1"/>
  <c r="T219" i="1"/>
  <c r="V244" i="1"/>
  <c r="T244" i="1"/>
  <c r="W251" i="1"/>
  <c r="X251" i="1" s="1"/>
  <c r="Y251" i="1" s="1"/>
  <c r="Z251" i="1" s="1"/>
  <c r="W258" i="1"/>
  <c r="X258" i="1" s="1"/>
  <c r="Y258" i="1" s="1"/>
  <c r="Z258" i="1" s="1"/>
  <c r="V258" i="1"/>
  <c r="T258" i="1"/>
  <c r="U258" i="1"/>
  <c r="W273" i="1"/>
  <c r="X273" i="1" s="1"/>
  <c r="Y273" i="1" s="1"/>
  <c r="Z273" i="1" s="1"/>
  <c r="U273" i="1"/>
  <c r="T273" i="1"/>
  <c r="V279" i="1"/>
  <c r="V306" i="1"/>
  <c r="U306" i="1"/>
  <c r="T306" i="1"/>
  <c r="U355" i="1"/>
  <c r="W363" i="1"/>
  <c r="X363" i="1" s="1"/>
  <c r="Y363" i="1" s="1"/>
  <c r="Z363" i="1" s="1"/>
  <c r="U363" i="1"/>
  <c r="T363" i="1"/>
  <c r="U404" i="1"/>
  <c r="W404" i="1"/>
  <c r="X404" i="1" s="1"/>
  <c r="Y404" i="1" s="1"/>
  <c r="Z404" i="1" s="1"/>
  <c r="V404" i="1"/>
  <c r="T404" i="1"/>
  <c r="W517" i="1"/>
  <c r="X517" i="1" s="1"/>
  <c r="Y517" i="1" s="1"/>
  <c r="Z517" i="1" s="1"/>
  <c r="V517" i="1"/>
  <c r="T517" i="1"/>
  <c r="U517" i="1"/>
  <c r="W528" i="1"/>
  <c r="X528" i="1" s="1"/>
  <c r="Y528" i="1" s="1"/>
  <c r="Z528" i="1" s="1"/>
  <c r="V528" i="1"/>
  <c r="U528" i="1"/>
  <c r="T528" i="1"/>
  <c r="U9" i="1"/>
  <c r="V14" i="1"/>
  <c r="W14" i="1" s="1"/>
  <c r="X14" i="1" s="1"/>
  <c r="Y14" i="1" s="1"/>
  <c r="Z14" i="1" s="1"/>
  <c r="V19" i="1"/>
  <c r="U29" i="1"/>
  <c r="V29" i="1" s="1"/>
  <c r="W29" i="1" s="1"/>
  <c r="X29" i="1" s="1"/>
  <c r="Y29" i="1" s="1"/>
  <c r="Z29" i="1" s="1"/>
  <c r="B40" i="1"/>
  <c r="V46" i="1"/>
  <c r="V61" i="1"/>
  <c r="W61" i="1" s="1"/>
  <c r="X61" i="1" s="1"/>
  <c r="Y61" i="1" s="1"/>
  <c r="Z61" i="1" s="1"/>
  <c r="U61" i="1"/>
  <c r="T61" i="1"/>
  <c r="T67" i="1"/>
  <c r="U67" i="1" s="1"/>
  <c r="V67" i="1" s="1"/>
  <c r="W67" i="1" s="1"/>
  <c r="X67" i="1" s="1"/>
  <c r="Y67" i="1" s="1"/>
  <c r="Z67" i="1" s="1"/>
  <c r="U94" i="1"/>
  <c r="V94" i="1" s="1"/>
  <c r="W94" i="1" s="1"/>
  <c r="X94" i="1" s="1"/>
  <c r="Y94" i="1" s="1"/>
  <c r="Z94" i="1" s="1"/>
  <c r="T116" i="1"/>
  <c r="U116" i="1" s="1"/>
  <c r="V116" i="1" s="1"/>
  <c r="W116" i="1" s="1"/>
  <c r="X116" i="1" s="1"/>
  <c r="Y116" i="1" s="1"/>
  <c r="Z116" i="1" s="1"/>
  <c r="U180" i="1"/>
  <c r="V180" i="1" s="1"/>
  <c r="W180" i="1" s="1"/>
  <c r="X180" i="1" s="1"/>
  <c r="Y180" i="1" s="1"/>
  <c r="Z180" i="1" s="1"/>
  <c r="T206" i="1"/>
  <c r="U206" i="1" s="1"/>
  <c r="V206" i="1" s="1"/>
  <c r="W206" i="1" s="1"/>
  <c r="X206" i="1" s="1"/>
  <c r="Y206" i="1" s="1"/>
  <c r="Z206" i="1" s="1"/>
  <c r="T210" i="1"/>
  <c r="U210" i="1" s="1"/>
  <c r="V210" i="1" s="1"/>
  <c r="W210" i="1" s="1"/>
  <c r="X210" i="1" s="1"/>
  <c r="Y210" i="1" s="1"/>
  <c r="Z210" i="1" s="1"/>
  <c r="U244" i="1"/>
  <c r="V254" i="1"/>
  <c r="T254" i="1"/>
  <c r="W254" i="1"/>
  <c r="X254" i="1" s="1"/>
  <c r="Y254" i="1" s="1"/>
  <c r="Z254" i="1" s="1"/>
  <c r="U254" i="1"/>
  <c r="V273" i="1"/>
  <c r="W283" i="1"/>
  <c r="X283" i="1" s="1"/>
  <c r="Y283" i="1" s="1"/>
  <c r="Z283" i="1" s="1"/>
  <c r="V283" i="1"/>
  <c r="U283" i="1"/>
  <c r="T283" i="1"/>
  <c r="W303" i="1"/>
  <c r="X303" i="1" s="1"/>
  <c r="Y303" i="1" s="1"/>
  <c r="Z303" i="1" s="1"/>
  <c r="V303" i="1"/>
  <c r="U303" i="1"/>
  <c r="W306" i="1"/>
  <c r="X306" i="1" s="1"/>
  <c r="Y306" i="1" s="1"/>
  <c r="Z306" i="1" s="1"/>
  <c r="W310" i="1"/>
  <c r="X310" i="1" s="1"/>
  <c r="Y310" i="1" s="1"/>
  <c r="Z310" i="1" s="1"/>
  <c r="U310" i="1"/>
  <c r="V363" i="1"/>
  <c r="W435" i="1"/>
  <c r="X435" i="1" s="1"/>
  <c r="Y435" i="1" s="1"/>
  <c r="Z435" i="1" s="1"/>
  <c r="V435" i="1"/>
  <c r="U435" i="1"/>
  <c r="T435" i="1"/>
  <c r="U440" i="1"/>
  <c r="T440" i="1"/>
  <c r="W459" i="1"/>
  <c r="X459" i="1" s="1"/>
  <c r="Y459" i="1" s="1"/>
  <c r="Z459" i="1" s="1"/>
  <c r="V459" i="1"/>
  <c r="U459" i="1"/>
  <c r="T459" i="1"/>
  <c r="W463" i="1"/>
  <c r="X463" i="1" s="1"/>
  <c r="Y463" i="1" s="1"/>
  <c r="Z463" i="1" s="1"/>
  <c r="V463" i="1"/>
  <c r="T463" i="1"/>
  <c r="W471" i="1"/>
  <c r="X471" i="1" s="1"/>
  <c r="Y471" i="1" s="1"/>
  <c r="Z471" i="1" s="1"/>
  <c r="T471" i="1"/>
  <c r="U471" i="1"/>
  <c r="V737" i="1"/>
  <c r="U737" i="1"/>
  <c r="T737" i="1"/>
  <c r="W737" i="1"/>
  <c r="X737" i="1" s="1"/>
  <c r="Y737" i="1" s="1"/>
  <c r="Z737" i="1" s="1"/>
  <c r="U773" i="1"/>
  <c r="T773" i="1"/>
  <c r="W773" i="1"/>
  <c r="X773" i="1" s="1"/>
  <c r="Y773" i="1" s="1"/>
  <c r="Z773" i="1" s="1"/>
  <c r="V773" i="1"/>
  <c r="W890" i="1"/>
  <c r="X890" i="1" s="1"/>
  <c r="Y890" i="1" s="1"/>
  <c r="Z890" i="1" s="1"/>
  <c r="V890" i="1"/>
  <c r="T890" i="1"/>
  <c r="U890" i="1"/>
  <c r="V9" i="1"/>
  <c r="T17" i="1"/>
  <c r="U17" i="1" s="1"/>
  <c r="T29" i="1"/>
  <c r="T46" i="1"/>
  <c r="U46" i="1" s="1"/>
  <c r="U119" i="1"/>
  <c r="V119" i="1" s="1"/>
  <c r="W119" i="1" s="1"/>
  <c r="X119" i="1" s="1"/>
  <c r="Y119" i="1" s="1"/>
  <c r="Z119" i="1" s="1"/>
  <c r="T119" i="1"/>
  <c r="W138" i="1"/>
  <c r="X138" i="1" s="1"/>
  <c r="Y138" i="1" s="1"/>
  <c r="Z138" i="1" s="1"/>
  <c r="T168" i="1"/>
  <c r="U168" i="1" s="1"/>
  <c r="V168" i="1" s="1"/>
  <c r="W168" i="1" s="1"/>
  <c r="X168" i="1" s="1"/>
  <c r="Y168" i="1" s="1"/>
  <c r="Z168" i="1" s="1"/>
  <c r="T180" i="1"/>
  <c r="U200" i="1"/>
  <c r="V200" i="1" s="1"/>
  <c r="W244" i="1"/>
  <c r="X244" i="1" s="1"/>
  <c r="Y244" i="1" s="1"/>
  <c r="Z244" i="1" s="1"/>
  <c r="W292" i="1"/>
  <c r="X292" i="1" s="1"/>
  <c r="Y292" i="1" s="1"/>
  <c r="Z292" i="1" s="1"/>
  <c r="T292" i="1"/>
  <c r="V292" i="1"/>
  <c r="U292" i="1"/>
  <c r="W299" i="1"/>
  <c r="X299" i="1" s="1"/>
  <c r="Y299" i="1" s="1"/>
  <c r="Z299" i="1" s="1"/>
  <c r="V299" i="1"/>
  <c r="U299" i="1"/>
  <c r="T299" i="1"/>
  <c r="T303" i="1"/>
  <c r="T310" i="1"/>
  <c r="W330" i="1"/>
  <c r="X330" i="1" s="1"/>
  <c r="Y330" i="1" s="1"/>
  <c r="Z330" i="1" s="1"/>
  <c r="V330" i="1"/>
  <c r="T330" i="1"/>
  <c r="W384" i="1"/>
  <c r="X384" i="1" s="1"/>
  <c r="Y384" i="1" s="1"/>
  <c r="Z384" i="1" s="1"/>
  <c r="V384" i="1"/>
  <c r="U384" i="1"/>
  <c r="T384" i="1"/>
  <c r="W444" i="1"/>
  <c r="X444" i="1" s="1"/>
  <c r="Y444" i="1" s="1"/>
  <c r="Z444" i="1" s="1"/>
  <c r="V444" i="1"/>
  <c r="U444" i="1"/>
  <c r="T444" i="1"/>
  <c r="W479" i="1"/>
  <c r="X479" i="1" s="1"/>
  <c r="Y479" i="1" s="1"/>
  <c r="Z479" i="1" s="1"/>
  <c r="V479" i="1"/>
  <c r="U479" i="1"/>
  <c r="T479" i="1"/>
  <c r="T536" i="1"/>
  <c r="U536" i="1"/>
  <c r="W536" i="1"/>
  <c r="X536" i="1" s="1"/>
  <c r="Y536" i="1" s="1"/>
  <c r="Z536" i="1" s="1"/>
  <c r="V536" i="1"/>
  <c r="W567" i="1"/>
  <c r="X567" i="1" s="1"/>
  <c r="Y567" i="1" s="1"/>
  <c r="Z567" i="1" s="1"/>
  <c r="U567" i="1"/>
  <c r="T567" i="1"/>
  <c r="V567" i="1"/>
  <c r="W599" i="1"/>
  <c r="X599" i="1" s="1"/>
  <c r="Y599" i="1" s="1"/>
  <c r="Z599" i="1" s="1"/>
  <c r="V599" i="1"/>
  <c r="T599" i="1"/>
  <c r="U599" i="1"/>
  <c r="W696" i="1"/>
  <c r="X696" i="1" s="1"/>
  <c r="Y696" i="1" s="1"/>
  <c r="Z696" i="1" s="1"/>
  <c r="T696" i="1"/>
  <c r="V696" i="1"/>
  <c r="U696" i="1"/>
  <c r="W741" i="1"/>
  <c r="X741" i="1" s="1"/>
  <c r="Y741" i="1" s="1"/>
  <c r="Z741" i="1" s="1"/>
  <c r="V741" i="1"/>
  <c r="U741" i="1"/>
  <c r="T741" i="1"/>
  <c r="W745" i="1"/>
  <c r="X745" i="1" s="1"/>
  <c r="Y745" i="1" s="1"/>
  <c r="Z745" i="1" s="1"/>
  <c r="V745" i="1"/>
  <c r="U745" i="1"/>
  <c r="T745" i="1"/>
  <c r="T238" i="1"/>
  <c r="W343" i="1"/>
  <c r="X343" i="1" s="1"/>
  <c r="Y343" i="1" s="1"/>
  <c r="Z343" i="1" s="1"/>
  <c r="V343" i="1"/>
  <c r="U343" i="1"/>
  <c r="U360" i="1"/>
  <c r="T360" i="1"/>
  <c r="V360" i="1"/>
  <c r="W432" i="1"/>
  <c r="X432" i="1" s="1"/>
  <c r="Y432" i="1" s="1"/>
  <c r="Z432" i="1" s="1"/>
  <c r="V432" i="1"/>
  <c r="T484" i="1"/>
  <c r="W484" i="1"/>
  <c r="X484" i="1" s="1"/>
  <c r="Y484" i="1" s="1"/>
  <c r="Z484" i="1" s="1"/>
  <c r="W541" i="1"/>
  <c r="X541" i="1" s="1"/>
  <c r="Y541" i="1" s="1"/>
  <c r="Z541" i="1" s="1"/>
  <c r="V541" i="1"/>
  <c r="T541" i="1"/>
  <c r="U541" i="1"/>
  <c r="U545" i="1"/>
  <c r="W545" i="1"/>
  <c r="X545" i="1" s="1"/>
  <c r="Y545" i="1" s="1"/>
  <c r="Z545" i="1" s="1"/>
  <c r="V545" i="1"/>
  <c r="T545" i="1"/>
  <c r="W783" i="1"/>
  <c r="X783" i="1" s="1"/>
  <c r="Y783" i="1" s="1"/>
  <c r="Z783" i="1" s="1"/>
  <c r="V783" i="1"/>
  <c r="U783" i="1"/>
  <c r="T783" i="1"/>
  <c r="V17" i="1"/>
  <c r="W17" i="1" s="1"/>
  <c r="X17" i="1" s="1"/>
  <c r="Y17" i="1" s="1"/>
  <c r="Z17" i="1" s="1"/>
  <c r="U56" i="1"/>
  <c r="U81" i="1"/>
  <c r="T97" i="1"/>
  <c r="U97" i="1" s="1"/>
  <c r="V97" i="1" s="1"/>
  <c r="W97" i="1" s="1"/>
  <c r="X97" i="1" s="1"/>
  <c r="Y97" i="1" s="1"/>
  <c r="Z97" i="1" s="1"/>
  <c r="U105" i="1"/>
  <c r="V105" i="1" s="1"/>
  <c r="W105" i="1" s="1"/>
  <c r="X105" i="1" s="1"/>
  <c r="Y105" i="1" s="1"/>
  <c r="Z105" i="1" s="1"/>
  <c r="U133" i="1"/>
  <c r="V133" i="1" s="1"/>
  <c r="W133" i="1" s="1"/>
  <c r="X133" i="1" s="1"/>
  <c r="Y133" i="1" s="1"/>
  <c r="Z133" i="1" s="1"/>
  <c r="T177" i="1"/>
  <c r="U177" i="1" s="1"/>
  <c r="V177" i="1" s="1"/>
  <c r="W177" i="1" s="1"/>
  <c r="X177" i="1" s="1"/>
  <c r="Y177" i="1" s="1"/>
  <c r="Z177" i="1" s="1"/>
  <c r="T231" i="1"/>
  <c r="U238" i="1"/>
  <c r="V238" i="1" s="1"/>
  <c r="W238" i="1" s="1"/>
  <c r="X238" i="1" s="1"/>
  <c r="Y238" i="1" s="1"/>
  <c r="Z238" i="1" s="1"/>
  <c r="V255" i="1"/>
  <c r="U255" i="1"/>
  <c r="W263" i="1"/>
  <c r="X263" i="1" s="1"/>
  <c r="Y263" i="1" s="1"/>
  <c r="Z263" i="1" s="1"/>
  <c r="V263" i="1"/>
  <c r="U320" i="1"/>
  <c r="T320" i="1"/>
  <c r="T343" i="1"/>
  <c r="U348" i="1"/>
  <c r="T348" i="1"/>
  <c r="W360" i="1"/>
  <c r="X360" i="1" s="1"/>
  <c r="Y360" i="1" s="1"/>
  <c r="Z360" i="1" s="1"/>
  <c r="W367" i="1"/>
  <c r="X367" i="1" s="1"/>
  <c r="Y367" i="1" s="1"/>
  <c r="Z367" i="1" s="1"/>
  <c r="T367" i="1"/>
  <c r="T432" i="1"/>
  <c r="U484" i="1"/>
  <c r="W487" i="1"/>
  <c r="X487" i="1" s="1"/>
  <c r="Y487" i="1" s="1"/>
  <c r="Z487" i="1" s="1"/>
  <c r="U487" i="1"/>
  <c r="V487" i="1"/>
  <c r="T487" i="1"/>
  <c r="W499" i="1"/>
  <c r="X499" i="1" s="1"/>
  <c r="Y499" i="1" s="1"/>
  <c r="Z499" i="1" s="1"/>
  <c r="V499" i="1"/>
  <c r="V510" i="1"/>
  <c r="T510" i="1"/>
  <c r="U525" i="1"/>
  <c r="T525" i="1"/>
  <c r="W525" i="1"/>
  <c r="X525" i="1" s="1"/>
  <c r="Y525" i="1" s="1"/>
  <c r="Z525" i="1" s="1"/>
  <c r="W583" i="1"/>
  <c r="X583" i="1" s="1"/>
  <c r="Y583" i="1" s="1"/>
  <c r="Z583" i="1" s="1"/>
  <c r="U583" i="1"/>
  <c r="T583" i="1"/>
  <c r="V583" i="1"/>
  <c r="V628" i="1"/>
  <c r="U628" i="1"/>
  <c r="W628" i="1"/>
  <c r="X628" i="1" s="1"/>
  <c r="Y628" i="1" s="1"/>
  <c r="Z628" i="1" s="1"/>
  <c r="W726" i="1"/>
  <c r="X726" i="1" s="1"/>
  <c r="Y726" i="1" s="1"/>
  <c r="Z726" i="1" s="1"/>
  <c r="V726" i="1"/>
  <c r="U726" i="1"/>
  <c r="T726" i="1"/>
  <c r="U779" i="1"/>
  <c r="V779" i="1"/>
  <c r="T779" i="1"/>
  <c r="W779" i="1"/>
  <c r="X779" i="1" s="1"/>
  <c r="Y779" i="1" s="1"/>
  <c r="Z779" i="1" s="1"/>
  <c r="W1013" i="1"/>
  <c r="X1013" i="1" s="1"/>
  <c r="Y1013" i="1" s="1"/>
  <c r="Z1013" i="1" s="1"/>
  <c r="V1013" i="1"/>
  <c r="U1013" i="1"/>
  <c r="T1013" i="1"/>
  <c r="V56" i="1"/>
  <c r="W56" i="1" s="1"/>
  <c r="X56" i="1" s="1"/>
  <c r="Y56" i="1" s="1"/>
  <c r="Z56" i="1" s="1"/>
  <c r="V81" i="1"/>
  <c r="W81" i="1" s="1"/>
  <c r="X81" i="1" s="1"/>
  <c r="Y81" i="1" s="1"/>
  <c r="Z81" i="1" s="1"/>
  <c r="V92" i="1"/>
  <c r="T100" i="1"/>
  <c r="V141" i="1"/>
  <c r="V149" i="1"/>
  <c r="W149" i="1" s="1"/>
  <c r="X149" i="1" s="1"/>
  <c r="Y149" i="1" s="1"/>
  <c r="Z149" i="1" s="1"/>
  <c r="T187" i="1"/>
  <c r="U187" i="1" s="1"/>
  <c r="V187" i="1" s="1"/>
  <c r="W187" i="1" s="1"/>
  <c r="X187" i="1" s="1"/>
  <c r="Y187" i="1" s="1"/>
  <c r="Z187" i="1" s="1"/>
  <c r="V220" i="1"/>
  <c r="W220" i="1" s="1"/>
  <c r="X220" i="1" s="1"/>
  <c r="Y220" i="1" s="1"/>
  <c r="Z220" i="1" s="1"/>
  <c r="U220" i="1"/>
  <c r="T220" i="1"/>
  <c r="U231" i="1"/>
  <c r="V231" i="1" s="1"/>
  <c r="W231" i="1" s="1"/>
  <c r="X231" i="1" s="1"/>
  <c r="Y231" i="1" s="1"/>
  <c r="Z231" i="1" s="1"/>
  <c r="T255" i="1"/>
  <c r="W259" i="1"/>
  <c r="X259" i="1" s="1"/>
  <c r="Y259" i="1" s="1"/>
  <c r="Z259" i="1" s="1"/>
  <c r="V259" i="1"/>
  <c r="U259" i="1"/>
  <c r="T259" i="1"/>
  <c r="T263" i="1"/>
  <c r="V277" i="1"/>
  <c r="U277" i="1"/>
  <c r="U280" i="1"/>
  <c r="T280" i="1"/>
  <c r="W280" i="1"/>
  <c r="X280" i="1" s="1"/>
  <c r="Y280" i="1" s="1"/>
  <c r="Z280" i="1" s="1"/>
  <c r="V280" i="1"/>
  <c r="W284" i="1"/>
  <c r="X284" i="1" s="1"/>
  <c r="Y284" i="1" s="1"/>
  <c r="Z284" i="1" s="1"/>
  <c r="V284" i="1"/>
  <c r="U284" i="1"/>
  <c r="T284" i="1"/>
  <c r="U300" i="1"/>
  <c r="T300" i="1"/>
  <c r="V300" i="1"/>
  <c r="V320" i="1"/>
  <c r="V348" i="1"/>
  <c r="U367" i="1"/>
  <c r="W377" i="1"/>
  <c r="X377" i="1" s="1"/>
  <c r="Y377" i="1" s="1"/>
  <c r="Z377" i="1" s="1"/>
  <c r="T377" i="1"/>
  <c r="U422" i="1"/>
  <c r="T422" i="1"/>
  <c r="U432" i="1"/>
  <c r="T464" i="1"/>
  <c r="W464" i="1"/>
  <c r="X464" i="1" s="1"/>
  <c r="Y464" i="1" s="1"/>
  <c r="Z464" i="1" s="1"/>
  <c r="V464" i="1"/>
  <c r="U464" i="1"/>
  <c r="U480" i="1"/>
  <c r="T480" i="1"/>
  <c r="W480" i="1"/>
  <c r="X480" i="1" s="1"/>
  <c r="Y480" i="1" s="1"/>
  <c r="Z480" i="1" s="1"/>
  <c r="V480" i="1"/>
  <c r="V484" i="1"/>
  <c r="T499" i="1"/>
  <c r="U510" i="1"/>
  <c r="V525" i="1"/>
  <c r="W600" i="1"/>
  <c r="X600" i="1" s="1"/>
  <c r="Y600" i="1" s="1"/>
  <c r="Z600" i="1" s="1"/>
  <c r="V600" i="1"/>
  <c r="U600" i="1"/>
  <c r="T600" i="1"/>
  <c r="T628" i="1"/>
  <c r="V774" i="1"/>
  <c r="U774" i="1"/>
  <c r="T774" i="1"/>
  <c r="W774" i="1"/>
  <c r="X774" i="1" s="1"/>
  <c r="Y774" i="1" s="1"/>
  <c r="Z774" i="1" s="1"/>
  <c r="U22" i="1"/>
  <c r="V22" i="1" s="1"/>
  <c r="W22" i="1" s="1"/>
  <c r="X22" i="1" s="1"/>
  <c r="Y22" i="1" s="1"/>
  <c r="Z22" i="1" s="1"/>
  <c r="U39" i="1"/>
  <c r="V39" i="1" s="1"/>
  <c r="W39" i="1" s="1"/>
  <c r="X39" i="1" s="1"/>
  <c r="Y39" i="1" s="1"/>
  <c r="Z39" i="1" s="1"/>
  <c r="V54" i="1"/>
  <c r="W54" i="1" s="1"/>
  <c r="X54" i="1" s="1"/>
  <c r="Y54" i="1" s="1"/>
  <c r="Z54" i="1" s="1"/>
  <c r="T65" i="1"/>
  <c r="U65" i="1" s="1"/>
  <c r="V65" i="1" s="1"/>
  <c r="V84" i="1"/>
  <c r="V117" i="1"/>
  <c r="U197" i="1"/>
  <c r="V197" i="1" s="1"/>
  <c r="W197" i="1" s="1"/>
  <c r="X197" i="1" s="1"/>
  <c r="Y197" i="1" s="1"/>
  <c r="Z197" i="1" s="1"/>
  <c r="W255" i="1"/>
  <c r="X255" i="1" s="1"/>
  <c r="Y255" i="1" s="1"/>
  <c r="Z255" i="1" s="1"/>
  <c r="U263" i="1"/>
  <c r="U293" i="1"/>
  <c r="T293" i="1"/>
  <c r="W320" i="1"/>
  <c r="X320" i="1" s="1"/>
  <c r="Y320" i="1" s="1"/>
  <c r="Z320" i="1" s="1"/>
  <c r="W348" i="1"/>
  <c r="X348" i="1" s="1"/>
  <c r="Y348" i="1" s="1"/>
  <c r="Z348" i="1" s="1"/>
  <c r="V367" i="1"/>
  <c r="U385" i="1"/>
  <c r="W385" i="1"/>
  <c r="X385" i="1" s="1"/>
  <c r="Y385" i="1" s="1"/>
  <c r="Z385" i="1" s="1"/>
  <c r="T385" i="1"/>
  <c r="U453" i="1"/>
  <c r="W453" i="1"/>
  <c r="X453" i="1" s="1"/>
  <c r="Y453" i="1" s="1"/>
  <c r="Z453" i="1" s="1"/>
  <c r="V453" i="1"/>
  <c r="W472" i="1"/>
  <c r="X472" i="1" s="1"/>
  <c r="Y472" i="1" s="1"/>
  <c r="Z472" i="1" s="1"/>
  <c r="V472" i="1"/>
  <c r="U472" i="1"/>
  <c r="T472" i="1"/>
  <c r="U499" i="1"/>
  <c r="W510" i="1"/>
  <c r="X510" i="1" s="1"/>
  <c r="Y510" i="1" s="1"/>
  <c r="Z510" i="1" s="1"/>
  <c r="U635" i="1"/>
  <c r="T635" i="1"/>
  <c r="W635" i="1"/>
  <c r="X635" i="1" s="1"/>
  <c r="Y635" i="1" s="1"/>
  <c r="Z635" i="1" s="1"/>
  <c r="V635" i="1"/>
  <c r="V237" i="1"/>
  <c r="W237" i="1" s="1"/>
  <c r="X237" i="1" s="1"/>
  <c r="Y237" i="1" s="1"/>
  <c r="Z237" i="1" s="1"/>
  <c r="V272" i="1"/>
  <c r="U272" i="1"/>
  <c r="T272" i="1"/>
  <c r="W337" i="1"/>
  <c r="X337" i="1" s="1"/>
  <c r="Y337" i="1" s="1"/>
  <c r="Z337" i="1" s="1"/>
  <c r="V337" i="1"/>
  <c r="W491" i="1"/>
  <c r="X491" i="1" s="1"/>
  <c r="Y491" i="1" s="1"/>
  <c r="Z491" i="1" s="1"/>
  <c r="T491" i="1"/>
  <c r="W547" i="1"/>
  <c r="X547" i="1" s="1"/>
  <c r="Y547" i="1" s="1"/>
  <c r="Z547" i="1" s="1"/>
  <c r="V547" i="1"/>
  <c r="U547" i="1"/>
  <c r="W570" i="1"/>
  <c r="X570" i="1" s="1"/>
  <c r="Y570" i="1" s="1"/>
  <c r="Z570" i="1" s="1"/>
  <c r="V570" i="1"/>
  <c r="U570" i="1"/>
  <c r="T570" i="1"/>
  <c r="W620" i="1"/>
  <c r="X620" i="1" s="1"/>
  <c r="Y620" i="1" s="1"/>
  <c r="Z620" i="1" s="1"/>
  <c r="V620" i="1"/>
  <c r="U620" i="1"/>
  <c r="T620" i="1"/>
  <c r="W658" i="1"/>
  <c r="X658" i="1" s="1"/>
  <c r="Y658" i="1" s="1"/>
  <c r="Z658" i="1" s="1"/>
  <c r="V658" i="1"/>
  <c r="U658" i="1"/>
  <c r="T658" i="1"/>
  <c r="T714" i="1"/>
  <c r="W714" i="1"/>
  <c r="X714" i="1" s="1"/>
  <c r="Y714" i="1" s="1"/>
  <c r="Z714" i="1" s="1"/>
  <c r="V714" i="1"/>
  <c r="U769" i="1"/>
  <c r="T769" i="1"/>
  <c r="W769" i="1"/>
  <c r="X769" i="1" s="1"/>
  <c r="Y769" i="1" s="1"/>
  <c r="Z769" i="1" s="1"/>
  <c r="V769" i="1"/>
  <c r="W882" i="1"/>
  <c r="X882" i="1" s="1"/>
  <c r="Y882" i="1" s="1"/>
  <c r="Z882" i="1" s="1"/>
  <c r="V882" i="1"/>
  <c r="T882" i="1"/>
  <c r="U882" i="1"/>
  <c r="T1011" i="1"/>
  <c r="U1011" i="1"/>
  <c r="V1011" i="1"/>
  <c r="W1051" i="1"/>
  <c r="X1051" i="1" s="1"/>
  <c r="Y1051" i="1" s="1"/>
  <c r="Z1051" i="1" s="1"/>
  <c r="V1051" i="1"/>
  <c r="U1051" i="1"/>
  <c r="T1051" i="1"/>
  <c r="V253" i="1"/>
  <c r="W282" i="1"/>
  <c r="X282" i="1" s="1"/>
  <c r="Y282" i="1" s="1"/>
  <c r="Z282" i="1" s="1"/>
  <c r="V282" i="1"/>
  <c r="U282" i="1"/>
  <c r="V322" i="1"/>
  <c r="V387" i="1"/>
  <c r="W390" i="1"/>
  <c r="X390" i="1" s="1"/>
  <c r="Y390" i="1" s="1"/>
  <c r="Z390" i="1" s="1"/>
  <c r="V390" i="1"/>
  <c r="V395" i="1"/>
  <c r="W405" i="1"/>
  <c r="X405" i="1" s="1"/>
  <c r="Y405" i="1" s="1"/>
  <c r="Z405" i="1" s="1"/>
  <c r="V450" i="1"/>
  <c r="V455" i="1"/>
  <c r="U460" i="1"/>
  <c r="T460" i="1"/>
  <c r="W460" i="1"/>
  <c r="X460" i="1" s="1"/>
  <c r="Y460" i="1" s="1"/>
  <c r="Z460" i="1" s="1"/>
  <c r="V460" i="1"/>
  <c r="V502" i="1"/>
  <c r="U502" i="1"/>
  <c r="W571" i="1"/>
  <c r="X571" i="1" s="1"/>
  <c r="Y571" i="1" s="1"/>
  <c r="Z571" i="1" s="1"/>
  <c r="U571" i="1"/>
  <c r="T571" i="1"/>
  <c r="W581" i="1"/>
  <c r="X581" i="1" s="1"/>
  <c r="Y581" i="1" s="1"/>
  <c r="Z581" i="1" s="1"/>
  <c r="V581" i="1"/>
  <c r="U581" i="1"/>
  <c r="T581" i="1"/>
  <c r="W603" i="1"/>
  <c r="X603" i="1" s="1"/>
  <c r="Y603" i="1" s="1"/>
  <c r="Z603" i="1" s="1"/>
  <c r="V603" i="1"/>
  <c r="U603" i="1"/>
  <c r="V617" i="1"/>
  <c r="U617" i="1"/>
  <c r="W652" i="1"/>
  <c r="X652" i="1" s="1"/>
  <c r="Y652" i="1" s="1"/>
  <c r="Z652" i="1" s="1"/>
  <c r="V652" i="1"/>
  <c r="U652" i="1"/>
  <c r="T652" i="1"/>
  <c r="W659" i="1"/>
  <c r="X659" i="1" s="1"/>
  <c r="Y659" i="1" s="1"/>
  <c r="Z659" i="1" s="1"/>
  <c r="V659" i="1"/>
  <c r="U659" i="1"/>
  <c r="T659" i="1"/>
  <c r="W677" i="1"/>
  <c r="X677" i="1" s="1"/>
  <c r="Y677" i="1" s="1"/>
  <c r="Z677" i="1" s="1"/>
  <c r="V677" i="1"/>
  <c r="U677" i="1"/>
  <c r="T677" i="1"/>
  <c r="T217" i="1"/>
  <c r="U217" i="1" s="1"/>
  <c r="V217" i="1" s="1"/>
  <c r="W217" i="1" s="1"/>
  <c r="X217" i="1" s="1"/>
  <c r="Y217" i="1" s="1"/>
  <c r="Z217" i="1" s="1"/>
  <c r="T282" i="1"/>
  <c r="W298" i="1"/>
  <c r="X298" i="1" s="1"/>
  <c r="Y298" i="1" s="1"/>
  <c r="Z298" i="1" s="1"/>
  <c r="V298" i="1"/>
  <c r="T298" i="1"/>
  <c r="W358" i="1"/>
  <c r="X358" i="1" s="1"/>
  <c r="Y358" i="1" s="1"/>
  <c r="Z358" i="1" s="1"/>
  <c r="V358" i="1"/>
  <c r="T358" i="1"/>
  <c r="T390" i="1"/>
  <c r="T403" i="1"/>
  <c r="V429" i="1"/>
  <c r="U429" i="1"/>
  <c r="W429" i="1"/>
  <c r="X429" i="1" s="1"/>
  <c r="Y429" i="1" s="1"/>
  <c r="Z429" i="1" s="1"/>
  <c r="T429" i="1"/>
  <c r="U445" i="1"/>
  <c r="W445" i="1"/>
  <c r="X445" i="1" s="1"/>
  <c r="Y445" i="1" s="1"/>
  <c r="Z445" i="1" s="1"/>
  <c r="V445" i="1"/>
  <c r="W481" i="1"/>
  <c r="X481" i="1" s="1"/>
  <c r="Y481" i="1" s="1"/>
  <c r="Z481" i="1" s="1"/>
  <c r="V481" i="1"/>
  <c r="U481" i="1"/>
  <c r="T502" i="1"/>
  <c r="T505" i="1"/>
  <c r="U520" i="1"/>
  <c r="T520" i="1"/>
  <c r="T532" i="1"/>
  <c r="V574" i="1"/>
  <c r="W574" i="1"/>
  <c r="X574" i="1" s="1"/>
  <c r="Y574" i="1" s="1"/>
  <c r="Z574" i="1" s="1"/>
  <c r="T574" i="1"/>
  <c r="T603" i="1"/>
  <c r="W606" i="1"/>
  <c r="X606" i="1" s="1"/>
  <c r="Y606" i="1" s="1"/>
  <c r="Z606" i="1" s="1"/>
  <c r="V606" i="1"/>
  <c r="U606" i="1"/>
  <c r="T606" i="1"/>
  <c r="T617" i="1"/>
  <c r="W621" i="1"/>
  <c r="X621" i="1" s="1"/>
  <c r="Y621" i="1" s="1"/>
  <c r="Z621" i="1" s="1"/>
  <c r="T621" i="1"/>
  <c r="U648" i="1"/>
  <c r="T648" i="1"/>
  <c r="W648" i="1"/>
  <c r="X648" i="1" s="1"/>
  <c r="Y648" i="1" s="1"/>
  <c r="Z648" i="1" s="1"/>
  <c r="V722" i="1"/>
  <c r="U722" i="1"/>
  <c r="W722" i="1"/>
  <c r="X722" i="1" s="1"/>
  <c r="Y722" i="1" s="1"/>
  <c r="Z722" i="1" s="1"/>
  <c r="V730" i="1"/>
  <c r="U730" i="1"/>
  <c r="W1024" i="1"/>
  <c r="X1024" i="1" s="1"/>
  <c r="Y1024" i="1" s="1"/>
  <c r="Z1024" i="1" s="1"/>
  <c r="V1024" i="1"/>
  <c r="U1024" i="1"/>
  <c r="T1024" i="1"/>
  <c r="W335" i="1"/>
  <c r="X335" i="1" s="1"/>
  <c r="Y335" i="1" s="1"/>
  <c r="Z335" i="1" s="1"/>
  <c r="V335" i="1"/>
  <c r="U335" i="1"/>
  <c r="W338" i="1"/>
  <c r="X338" i="1" s="1"/>
  <c r="Y338" i="1" s="1"/>
  <c r="Z338" i="1" s="1"/>
  <c r="V338" i="1"/>
  <c r="T351" i="1"/>
  <c r="W351" i="1"/>
  <c r="X351" i="1" s="1"/>
  <c r="Y351" i="1" s="1"/>
  <c r="Z351" i="1" s="1"/>
  <c r="W353" i="1"/>
  <c r="X353" i="1" s="1"/>
  <c r="Y353" i="1" s="1"/>
  <c r="Z353" i="1" s="1"/>
  <c r="W443" i="1"/>
  <c r="X443" i="1" s="1"/>
  <c r="Y443" i="1" s="1"/>
  <c r="Z443" i="1" s="1"/>
  <c r="V443" i="1"/>
  <c r="W529" i="1"/>
  <c r="X529" i="1" s="1"/>
  <c r="Y529" i="1" s="1"/>
  <c r="Z529" i="1" s="1"/>
  <c r="V529" i="1"/>
  <c r="U529" i="1"/>
  <c r="W607" i="1"/>
  <c r="X607" i="1" s="1"/>
  <c r="Y607" i="1" s="1"/>
  <c r="Z607" i="1" s="1"/>
  <c r="T607" i="1"/>
  <c r="U625" i="1"/>
  <c r="V625" i="1"/>
  <c r="T625" i="1"/>
  <c r="W660" i="1"/>
  <c r="X660" i="1" s="1"/>
  <c r="Y660" i="1" s="1"/>
  <c r="Z660" i="1" s="1"/>
  <c r="V660" i="1"/>
  <c r="U660" i="1"/>
  <c r="T660" i="1"/>
  <c r="V678" i="1"/>
  <c r="W678" i="1"/>
  <c r="X678" i="1" s="1"/>
  <c r="Y678" i="1" s="1"/>
  <c r="Z678" i="1" s="1"/>
  <c r="U678" i="1"/>
  <c r="W707" i="1"/>
  <c r="X707" i="1" s="1"/>
  <c r="Y707" i="1" s="1"/>
  <c r="Z707" i="1" s="1"/>
  <c r="V707" i="1"/>
  <c r="U707" i="1"/>
  <c r="T707" i="1"/>
  <c r="W752" i="1"/>
  <c r="X752" i="1" s="1"/>
  <c r="Y752" i="1" s="1"/>
  <c r="Z752" i="1" s="1"/>
  <c r="U752" i="1"/>
  <c r="T752" i="1"/>
  <c r="V752" i="1"/>
  <c r="W870" i="1"/>
  <c r="X870" i="1" s="1"/>
  <c r="Y870" i="1" s="1"/>
  <c r="Z870" i="1" s="1"/>
  <c r="V870" i="1"/>
  <c r="U870" i="1"/>
  <c r="V914" i="1"/>
  <c r="U914" i="1"/>
  <c r="W914" i="1"/>
  <c r="X914" i="1" s="1"/>
  <c r="Y914" i="1" s="1"/>
  <c r="Z914" i="1" s="1"/>
  <c r="T914" i="1"/>
  <c r="W1008" i="1"/>
  <c r="X1008" i="1" s="1"/>
  <c r="Y1008" i="1" s="1"/>
  <c r="Z1008" i="1" s="1"/>
  <c r="U1008" i="1"/>
  <c r="V1008" i="1"/>
  <c r="T1008" i="1"/>
  <c r="W1025" i="1"/>
  <c r="X1025" i="1" s="1"/>
  <c r="Y1025" i="1" s="1"/>
  <c r="Z1025" i="1" s="1"/>
  <c r="V1025" i="1"/>
  <c r="U1025" i="1"/>
  <c r="T1025" i="1"/>
  <c r="W1413" i="1"/>
  <c r="X1413" i="1" s="1"/>
  <c r="Y1413" i="1" s="1"/>
  <c r="Z1413" i="1" s="1"/>
  <c r="V1413" i="1"/>
  <c r="U1413" i="1"/>
  <c r="T1413" i="1"/>
  <c r="T296" i="1"/>
  <c r="W296" i="1"/>
  <c r="X296" i="1" s="1"/>
  <c r="Y296" i="1" s="1"/>
  <c r="Z296" i="1" s="1"/>
  <c r="T335" i="1"/>
  <c r="T338" i="1"/>
  <c r="T346" i="1"/>
  <c r="U351" i="1"/>
  <c r="W388" i="1"/>
  <c r="X388" i="1" s="1"/>
  <c r="Y388" i="1" s="1"/>
  <c r="Z388" i="1" s="1"/>
  <c r="V388" i="1"/>
  <c r="W418" i="1"/>
  <c r="X418" i="1" s="1"/>
  <c r="Y418" i="1" s="1"/>
  <c r="Z418" i="1" s="1"/>
  <c r="V418" i="1"/>
  <c r="W558" i="1"/>
  <c r="X558" i="1" s="1"/>
  <c r="Y558" i="1" s="1"/>
  <c r="Z558" i="1" s="1"/>
  <c r="V558" i="1"/>
  <c r="U558" i="1"/>
  <c r="W756" i="1"/>
  <c r="X756" i="1" s="1"/>
  <c r="Y756" i="1" s="1"/>
  <c r="Z756" i="1" s="1"/>
  <c r="V756" i="1"/>
  <c r="U756" i="1"/>
  <c r="T756" i="1"/>
  <c r="W845" i="1"/>
  <c r="X845" i="1" s="1"/>
  <c r="Y845" i="1" s="1"/>
  <c r="Z845" i="1" s="1"/>
  <c r="V845" i="1"/>
  <c r="U845" i="1"/>
  <c r="T845" i="1"/>
  <c r="V12" i="1"/>
  <c r="W12" i="1" s="1"/>
  <c r="X12" i="1" s="1"/>
  <c r="Y12" i="1" s="1"/>
  <c r="Z12" i="1" s="1"/>
  <c r="V24" i="1"/>
  <c r="W24" i="1" s="1"/>
  <c r="X24" i="1" s="1"/>
  <c r="Y24" i="1" s="1"/>
  <c r="Z24" i="1" s="1"/>
  <c r="V49" i="1"/>
  <c r="V296" i="1"/>
  <c r="V309" i="1"/>
  <c r="U309" i="1"/>
  <c r="T309" i="1"/>
  <c r="W341" i="1"/>
  <c r="X341" i="1" s="1"/>
  <c r="Y341" i="1" s="1"/>
  <c r="Z341" i="1" s="1"/>
  <c r="V341" i="1"/>
  <c r="V346" i="1"/>
  <c r="W356" i="1"/>
  <c r="X356" i="1" s="1"/>
  <c r="Y356" i="1" s="1"/>
  <c r="Z356" i="1" s="1"/>
  <c r="U373" i="1"/>
  <c r="U388" i="1"/>
  <c r="V391" i="1"/>
  <c r="T396" i="1"/>
  <c r="W396" i="1"/>
  <c r="X396" i="1" s="1"/>
  <c r="Y396" i="1" s="1"/>
  <c r="Z396" i="1" s="1"/>
  <c r="U406" i="1"/>
  <c r="U418" i="1"/>
  <c r="U461" i="1"/>
  <c r="V476" i="1"/>
  <c r="U500" i="1"/>
  <c r="T500" i="1"/>
  <c r="W500" i="1"/>
  <c r="X500" i="1" s="1"/>
  <c r="Y500" i="1" s="1"/>
  <c r="Z500" i="1" s="1"/>
  <c r="V500" i="1"/>
  <c r="U503" i="1"/>
  <c r="W549" i="1"/>
  <c r="X549" i="1" s="1"/>
  <c r="Y549" i="1" s="1"/>
  <c r="Z549" i="1" s="1"/>
  <c r="V549" i="1"/>
  <c r="U549" i="1"/>
  <c r="W572" i="1"/>
  <c r="X572" i="1" s="1"/>
  <c r="Y572" i="1" s="1"/>
  <c r="Z572" i="1" s="1"/>
  <c r="V572" i="1"/>
  <c r="T572" i="1"/>
  <c r="W578" i="1"/>
  <c r="X578" i="1" s="1"/>
  <c r="Y578" i="1" s="1"/>
  <c r="Z578" i="1" s="1"/>
  <c r="V578" i="1"/>
  <c r="U578" i="1"/>
  <c r="T578" i="1"/>
  <c r="W649" i="1"/>
  <c r="X649" i="1" s="1"/>
  <c r="Y649" i="1" s="1"/>
  <c r="Z649" i="1" s="1"/>
  <c r="V649" i="1"/>
  <c r="U649" i="1"/>
  <c r="T649" i="1"/>
  <c r="W708" i="1"/>
  <c r="X708" i="1" s="1"/>
  <c r="Y708" i="1" s="1"/>
  <c r="Z708" i="1" s="1"/>
  <c r="V708" i="1"/>
  <c r="U708" i="1"/>
  <c r="W723" i="1"/>
  <c r="X723" i="1" s="1"/>
  <c r="Y723" i="1" s="1"/>
  <c r="Z723" i="1" s="1"/>
  <c r="V723" i="1"/>
  <c r="U723" i="1"/>
  <c r="T723" i="1"/>
  <c r="W837" i="1"/>
  <c r="X837" i="1" s="1"/>
  <c r="Y837" i="1" s="1"/>
  <c r="Z837" i="1" s="1"/>
  <c r="T837" i="1"/>
  <c r="V837" i="1"/>
  <c r="U837" i="1"/>
  <c r="W862" i="1"/>
  <c r="X862" i="1" s="1"/>
  <c r="Y862" i="1" s="1"/>
  <c r="Z862" i="1" s="1"/>
  <c r="V862" i="1"/>
  <c r="T862" i="1"/>
  <c r="U862" i="1"/>
  <c r="U1153" i="1"/>
  <c r="T1153" i="1"/>
  <c r="W1153" i="1"/>
  <c r="X1153" i="1" s="1"/>
  <c r="Y1153" i="1" s="1"/>
  <c r="Z1153" i="1" s="1"/>
  <c r="U1435" i="1"/>
  <c r="V1435" i="1"/>
  <c r="T1435" i="1"/>
  <c r="W1435" i="1"/>
  <c r="X1435" i="1" s="1"/>
  <c r="Y1435" i="1" s="1"/>
  <c r="Z1435" i="1" s="1"/>
  <c r="V373" i="1"/>
  <c r="U380" i="1"/>
  <c r="T380" i="1"/>
  <c r="W380" i="1"/>
  <c r="X380" i="1" s="1"/>
  <c r="Y380" i="1" s="1"/>
  <c r="Z380" i="1" s="1"/>
  <c r="V380" i="1"/>
  <c r="W391" i="1"/>
  <c r="X391" i="1" s="1"/>
  <c r="Y391" i="1" s="1"/>
  <c r="Z391" i="1" s="1"/>
  <c r="W406" i="1"/>
  <c r="X406" i="1" s="1"/>
  <c r="Y406" i="1" s="1"/>
  <c r="Z406" i="1" s="1"/>
  <c r="V461" i="1"/>
  <c r="V469" i="1"/>
  <c r="U469" i="1"/>
  <c r="W476" i="1"/>
  <c r="X476" i="1" s="1"/>
  <c r="Y476" i="1" s="1"/>
  <c r="Z476" i="1" s="1"/>
  <c r="W506" i="1"/>
  <c r="X506" i="1" s="1"/>
  <c r="Y506" i="1" s="1"/>
  <c r="Z506" i="1" s="1"/>
  <c r="T506" i="1"/>
  <c r="W518" i="1"/>
  <c r="X518" i="1" s="1"/>
  <c r="Y518" i="1" s="1"/>
  <c r="Z518" i="1" s="1"/>
  <c r="V518" i="1"/>
  <c r="W539" i="1"/>
  <c r="X539" i="1" s="1"/>
  <c r="Y539" i="1" s="1"/>
  <c r="Z539" i="1" s="1"/>
  <c r="V539" i="1"/>
  <c r="U539" i="1"/>
  <c r="T539" i="1"/>
  <c r="W629" i="1"/>
  <c r="X629" i="1" s="1"/>
  <c r="Y629" i="1" s="1"/>
  <c r="Z629" i="1" s="1"/>
  <c r="V629" i="1"/>
  <c r="U629" i="1"/>
  <c r="T629" i="1"/>
  <c r="W692" i="1"/>
  <c r="X692" i="1" s="1"/>
  <c r="Y692" i="1" s="1"/>
  <c r="Z692" i="1" s="1"/>
  <c r="V692" i="1"/>
  <c r="U692" i="1"/>
  <c r="T692" i="1"/>
  <c r="U1216" i="1"/>
  <c r="T1216" i="1"/>
  <c r="W1216" i="1"/>
  <c r="X1216" i="1" s="1"/>
  <c r="Y1216" i="1" s="1"/>
  <c r="Z1216" i="1" s="1"/>
  <c r="V1216" i="1"/>
  <c r="W1244" i="1"/>
  <c r="X1244" i="1" s="1"/>
  <c r="Y1244" i="1" s="1"/>
  <c r="Z1244" i="1" s="1"/>
  <c r="T1244" i="1"/>
  <c r="V1244" i="1"/>
  <c r="U1244" i="1"/>
  <c r="T218" i="1"/>
  <c r="U218" i="1" s="1"/>
  <c r="V218" i="1" s="1"/>
  <c r="W218" i="1" s="1"/>
  <c r="X218" i="1" s="1"/>
  <c r="Y218" i="1" s="1"/>
  <c r="Z218" i="1" s="1"/>
  <c r="T227" i="1"/>
  <c r="U271" i="1"/>
  <c r="V294" i="1"/>
  <c r="W294" i="1"/>
  <c r="X294" i="1" s="1"/>
  <c r="Y294" i="1" s="1"/>
  <c r="Z294" i="1" s="1"/>
  <c r="T304" i="1"/>
  <c r="W333" i="1"/>
  <c r="X333" i="1" s="1"/>
  <c r="Y333" i="1" s="1"/>
  <c r="Z333" i="1" s="1"/>
  <c r="V333" i="1"/>
  <c r="U333" i="1"/>
  <c r="T344" i="1"/>
  <c r="T354" i="1"/>
  <c r="T383" i="1"/>
  <c r="T399" i="1"/>
  <c r="V409" i="1"/>
  <c r="U409" i="1"/>
  <c r="T409" i="1"/>
  <c r="U416" i="1"/>
  <c r="W441" i="1"/>
  <c r="X441" i="1" s="1"/>
  <c r="Y441" i="1" s="1"/>
  <c r="Z441" i="1" s="1"/>
  <c r="V441" i="1"/>
  <c r="T469" i="1"/>
  <c r="T474" i="1"/>
  <c r="U506" i="1"/>
  <c r="V509" i="1"/>
  <c r="U509" i="1"/>
  <c r="W509" i="1"/>
  <c r="X509" i="1" s="1"/>
  <c r="Y509" i="1" s="1"/>
  <c r="Z509" i="1" s="1"/>
  <c r="T518" i="1"/>
  <c r="W559" i="1"/>
  <c r="X559" i="1" s="1"/>
  <c r="Y559" i="1" s="1"/>
  <c r="Z559" i="1" s="1"/>
  <c r="V559" i="1"/>
  <c r="U559" i="1"/>
  <c r="T559" i="1"/>
  <c r="W612" i="1"/>
  <c r="X612" i="1" s="1"/>
  <c r="Y612" i="1" s="1"/>
  <c r="Z612" i="1" s="1"/>
  <c r="T612" i="1"/>
  <c r="W661" i="1"/>
  <c r="X661" i="1" s="1"/>
  <c r="Y661" i="1" s="1"/>
  <c r="Z661" i="1" s="1"/>
  <c r="V661" i="1"/>
  <c r="U661" i="1"/>
  <c r="T661" i="1"/>
  <c r="T712" i="1"/>
  <c r="W712" i="1"/>
  <c r="X712" i="1" s="1"/>
  <c r="Y712" i="1" s="1"/>
  <c r="Z712" i="1" s="1"/>
  <c r="V712" i="1"/>
  <c r="W799" i="1"/>
  <c r="X799" i="1" s="1"/>
  <c r="Y799" i="1" s="1"/>
  <c r="Z799" i="1" s="1"/>
  <c r="V799" i="1"/>
  <c r="T799" i="1"/>
  <c r="V803" i="1"/>
  <c r="U803" i="1"/>
  <c r="W803" i="1"/>
  <c r="X803" i="1" s="1"/>
  <c r="Y803" i="1" s="1"/>
  <c r="Z803" i="1" s="1"/>
  <c r="W945" i="1"/>
  <c r="X945" i="1" s="1"/>
  <c r="Y945" i="1" s="1"/>
  <c r="Z945" i="1" s="1"/>
  <c r="V945" i="1"/>
  <c r="U945" i="1"/>
  <c r="T945" i="1"/>
  <c r="V165" i="1"/>
  <c r="W165" i="1" s="1"/>
  <c r="X165" i="1" s="1"/>
  <c r="Y165" i="1" s="1"/>
  <c r="Z165" i="1" s="1"/>
  <c r="T176" i="1"/>
  <c r="T185" i="1"/>
  <c r="T196" i="1"/>
  <c r="U227" i="1"/>
  <c r="V227" i="1" s="1"/>
  <c r="W227" i="1" s="1"/>
  <c r="X227" i="1" s="1"/>
  <c r="Y227" i="1" s="1"/>
  <c r="Z227" i="1" s="1"/>
  <c r="V236" i="1"/>
  <c r="W236" i="1" s="1"/>
  <c r="X236" i="1" s="1"/>
  <c r="Y236" i="1" s="1"/>
  <c r="Z236" i="1" s="1"/>
  <c r="V245" i="1"/>
  <c r="T264" i="1"/>
  <c r="V271" i="1"/>
  <c r="W286" i="1"/>
  <c r="X286" i="1" s="1"/>
  <c r="Y286" i="1" s="1"/>
  <c r="Z286" i="1" s="1"/>
  <c r="V286" i="1"/>
  <c r="U286" i="1"/>
  <c r="T294" i="1"/>
  <c r="V304" i="1"/>
  <c r="W307" i="1"/>
  <c r="X307" i="1" s="1"/>
  <c r="Y307" i="1" s="1"/>
  <c r="Z307" i="1" s="1"/>
  <c r="T307" i="1"/>
  <c r="T333" i="1"/>
  <c r="U344" i="1"/>
  <c r="U354" i="1"/>
  <c r="U383" i="1"/>
  <c r="U399" i="1"/>
  <c r="W409" i="1"/>
  <c r="X409" i="1" s="1"/>
  <c r="Y409" i="1" s="1"/>
  <c r="Z409" i="1" s="1"/>
  <c r="V416" i="1"/>
  <c r="T441" i="1"/>
  <c r="V454" i="1"/>
  <c r="U454" i="1"/>
  <c r="W469" i="1"/>
  <c r="X469" i="1" s="1"/>
  <c r="Y469" i="1" s="1"/>
  <c r="Z469" i="1" s="1"/>
  <c r="U474" i="1"/>
  <c r="U485" i="1"/>
  <c r="W485" i="1"/>
  <c r="X485" i="1" s="1"/>
  <c r="Y485" i="1" s="1"/>
  <c r="Z485" i="1" s="1"/>
  <c r="T490" i="1"/>
  <c r="T495" i="1"/>
  <c r="V506" i="1"/>
  <c r="T509" i="1"/>
  <c r="U518" i="1"/>
  <c r="W521" i="1"/>
  <c r="X521" i="1" s="1"/>
  <c r="Y521" i="1" s="1"/>
  <c r="Z521" i="1" s="1"/>
  <c r="W530" i="1"/>
  <c r="X530" i="1" s="1"/>
  <c r="Y530" i="1" s="1"/>
  <c r="Z530" i="1" s="1"/>
  <c r="V530" i="1"/>
  <c r="U530" i="1"/>
  <c r="W543" i="1"/>
  <c r="X543" i="1" s="1"/>
  <c r="Y543" i="1" s="1"/>
  <c r="Z543" i="1" s="1"/>
  <c r="V543" i="1"/>
  <c r="W579" i="1"/>
  <c r="X579" i="1" s="1"/>
  <c r="Y579" i="1" s="1"/>
  <c r="Z579" i="1" s="1"/>
  <c r="V579" i="1"/>
  <c r="U579" i="1"/>
  <c r="T579" i="1"/>
  <c r="U612" i="1"/>
  <c r="V701" i="1"/>
  <c r="U701" i="1"/>
  <c r="U712" i="1"/>
  <c r="V742" i="1"/>
  <c r="U742" i="1"/>
  <c r="W742" i="1"/>
  <c r="X742" i="1" s="1"/>
  <c r="Y742" i="1" s="1"/>
  <c r="Z742" i="1" s="1"/>
  <c r="T742" i="1"/>
  <c r="W750" i="1"/>
  <c r="X750" i="1" s="1"/>
  <c r="Y750" i="1" s="1"/>
  <c r="Z750" i="1" s="1"/>
  <c r="U750" i="1"/>
  <c r="V750" i="1"/>
  <c r="U799" i="1"/>
  <c r="T803" i="1"/>
  <c r="V980" i="1"/>
  <c r="U980" i="1"/>
  <c r="T980" i="1"/>
  <c r="W980" i="1"/>
  <c r="X980" i="1" s="1"/>
  <c r="Y980" i="1" s="1"/>
  <c r="Z980" i="1" s="1"/>
  <c r="U110" i="1"/>
  <c r="V110" i="1" s="1"/>
  <c r="V144" i="1"/>
  <c r="U176" i="1"/>
  <c r="U185" i="1"/>
  <c r="V185" i="1" s="1"/>
  <c r="W185" i="1" s="1"/>
  <c r="X185" i="1" s="1"/>
  <c r="Y185" i="1" s="1"/>
  <c r="Z185" i="1" s="1"/>
  <c r="U196" i="1"/>
  <c r="V196" i="1" s="1"/>
  <c r="W196" i="1" s="1"/>
  <c r="X196" i="1" s="1"/>
  <c r="Y196" i="1" s="1"/>
  <c r="Z196" i="1" s="1"/>
  <c r="V250" i="1"/>
  <c r="U250" i="1"/>
  <c r="T250" i="1"/>
  <c r="V264" i="1"/>
  <c r="W271" i="1"/>
  <c r="X271" i="1" s="1"/>
  <c r="Y271" i="1" s="1"/>
  <c r="Z271" i="1" s="1"/>
  <c r="U294" i="1"/>
  <c r="W304" i="1"/>
  <c r="X304" i="1" s="1"/>
  <c r="Y304" i="1" s="1"/>
  <c r="Z304" i="1" s="1"/>
  <c r="V344" i="1"/>
  <c r="W354" i="1"/>
  <c r="X354" i="1" s="1"/>
  <c r="Y354" i="1" s="1"/>
  <c r="Z354" i="1" s="1"/>
  <c r="V383" i="1"/>
  <c r="V394" i="1"/>
  <c r="W394" i="1"/>
  <c r="X394" i="1" s="1"/>
  <c r="Y394" i="1" s="1"/>
  <c r="Z394" i="1" s="1"/>
  <c r="V399" i="1"/>
  <c r="W416" i="1"/>
  <c r="X416" i="1" s="1"/>
  <c r="Y416" i="1" s="1"/>
  <c r="Z416" i="1" s="1"/>
  <c r="W433" i="1"/>
  <c r="X433" i="1" s="1"/>
  <c r="Y433" i="1" s="1"/>
  <c r="Z433" i="1" s="1"/>
  <c r="V433" i="1"/>
  <c r="U433" i="1"/>
  <c r="U441" i="1"/>
  <c r="W474" i="1"/>
  <c r="X474" i="1" s="1"/>
  <c r="Y474" i="1" s="1"/>
  <c r="Z474" i="1" s="1"/>
  <c r="V490" i="1"/>
  <c r="U495" i="1"/>
  <c r="T556" i="1"/>
  <c r="W556" i="1"/>
  <c r="X556" i="1" s="1"/>
  <c r="Y556" i="1" s="1"/>
  <c r="Z556" i="1" s="1"/>
  <c r="U556" i="1"/>
  <c r="W597" i="1"/>
  <c r="X597" i="1" s="1"/>
  <c r="Y597" i="1" s="1"/>
  <c r="Z597" i="1" s="1"/>
  <c r="V597" i="1"/>
  <c r="U597" i="1"/>
  <c r="T597" i="1"/>
  <c r="V612" i="1"/>
  <c r="U619" i="1"/>
  <c r="T619" i="1"/>
  <c r="W623" i="1"/>
  <c r="X623" i="1" s="1"/>
  <c r="Y623" i="1" s="1"/>
  <c r="Z623" i="1" s="1"/>
  <c r="U623" i="1"/>
  <c r="T623" i="1"/>
  <c r="W646" i="1"/>
  <c r="X646" i="1" s="1"/>
  <c r="Y646" i="1" s="1"/>
  <c r="Z646" i="1" s="1"/>
  <c r="T646" i="1"/>
  <c r="W650" i="1"/>
  <c r="X650" i="1" s="1"/>
  <c r="Y650" i="1" s="1"/>
  <c r="Z650" i="1" s="1"/>
  <c r="V650" i="1"/>
  <c r="U650" i="1"/>
  <c r="T650" i="1"/>
  <c r="T697" i="1"/>
  <c r="W697" i="1"/>
  <c r="X697" i="1" s="1"/>
  <c r="Y697" i="1" s="1"/>
  <c r="Z697" i="1" s="1"/>
  <c r="V697" i="1"/>
  <c r="U697" i="1"/>
  <c r="T701" i="1"/>
  <c r="V728" i="1"/>
  <c r="U728" i="1"/>
  <c r="W776" i="1"/>
  <c r="X776" i="1" s="1"/>
  <c r="Y776" i="1" s="1"/>
  <c r="Z776" i="1" s="1"/>
  <c r="V776" i="1"/>
  <c r="U776" i="1"/>
  <c r="T776" i="1"/>
  <c r="W788" i="1"/>
  <c r="X788" i="1" s="1"/>
  <c r="Y788" i="1" s="1"/>
  <c r="Z788" i="1" s="1"/>
  <c r="U788" i="1"/>
  <c r="T788" i="1"/>
  <c r="B25" i="1"/>
  <c r="B51" i="1" s="1"/>
  <c r="C51" i="1" s="1"/>
  <c r="W15" i="1" s="1"/>
  <c r="X15" i="1" s="1"/>
  <c r="Y15" i="1" s="1"/>
  <c r="Z15" i="1" s="1"/>
  <c r="B23" i="1"/>
  <c r="B52" i="1" s="1"/>
  <c r="C52" i="1" s="1"/>
  <c r="V32" i="1"/>
  <c r="W32" i="1" s="1"/>
  <c r="X32" i="1" s="1"/>
  <c r="Y32" i="1" s="1"/>
  <c r="Z32" i="1" s="1"/>
  <c r="U59" i="1"/>
  <c r="T59" i="1"/>
  <c r="U76" i="1"/>
  <c r="V76" i="1" s="1"/>
  <c r="U108" i="1"/>
  <c r="V108" i="1" s="1"/>
  <c r="W108" i="1" s="1"/>
  <c r="X108" i="1" s="1"/>
  <c r="Y108" i="1" s="1"/>
  <c r="Z108" i="1" s="1"/>
  <c r="U125" i="1"/>
  <c r="V125" i="1" s="1"/>
  <c r="U159" i="1"/>
  <c r="T159" i="1"/>
  <c r="U161" i="1"/>
  <c r="V161" i="1" s="1"/>
  <c r="W161" i="1" s="1"/>
  <c r="X161" i="1" s="1"/>
  <c r="Y161" i="1" s="1"/>
  <c r="Z161" i="1" s="1"/>
  <c r="U174" i="1"/>
  <c r="V174" i="1" s="1"/>
  <c r="V176" i="1"/>
  <c r="W176" i="1" s="1"/>
  <c r="X176" i="1" s="1"/>
  <c r="Y176" i="1" s="1"/>
  <c r="Z176" i="1" s="1"/>
  <c r="U194" i="1"/>
  <c r="V194" i="1" s="1"/>
  <c r="W194" i="1" s="1"/>
  <c r="X194" i="1" s="1"/>
  <c r="Y194" i="1" s="1"/>
  <c r="Z194" i="1" s="1"/>
  <c r="U205" i="1"/>
  <c r="V205" i="1" s="1"/>
  <c r="U216" i="1"/>
  <c r="V216" i="1" s="1"/>
  <c r="V232" i="1"/>
  <c r="W232" i="1" s="1"/>
  <c r="X232" i="1" s="1"/>
  <c r="Y232" i="1" s="1"/>
  <c r="Z232" i="1" s="1"/>
  <c r="W264" i="1"/>
  <c r="X264" i="1" s="1"/>
  <c r="Y264" i="1" s="1"/>
  <c r="Z264" i="1" s="1"/>
  <c r="V269" i="1"/>
  <c r="U269" i="1"/>
  <c r="W339" i="1"/>
  <c r="X339" i="1" s="1"/>
  <c r="Y339" i="1" s="1"/>
  <c r="Z339" i="1" s="1"/>
  <c r="V339" i="1"/>
  <c r="W386" i="1"/>
  <c r="X386" i="1" s="1"/>
  <c r="Y386" i="1" s="1"/>
  <c r="Z386" i="1" s="1"/>
  <c r="V386" i="1"/>
  <c r="U386" i="1"/>
  <c r="V389" i="1"/>
  <c r="U389" i="1"/>
  <c r="W407" i="1"/>
  <c r="X407" i="1" s="1"/>
  <c r="Y407" i="1" s="1"/>
  <c r="Z407" i="1" s="1"/>
  <c r="T407" i="1"/>
  <c r="V449" i="1"/>
  <c r="U449" i="1"/>
  <c r="T449" i="1"/>
  <c r="V477" i="1"/>
  <c r="U477" i="1"/>
  <c r="T477" i="1"/>
  <c r="W490" i="1"/>
  <c r="X490" i="1" s="1"/>
  <c r="Y490" i="1" s="1"/>
  <c r="Z490" i="1" s="1"/>
  <c r="V495" i="1"/>
  <c r="T636" i="1"/>
  <c r="W636" i="1"/>
  <c r="X636" i="1" s="1"/>
  <c r="Y636" i="1" s="1"/>
  <c r="Z636" i="1" s="1"/>
  <c r="V636" i="1"/>
  <c r="U636" i="1"/>
  <c r="V654" i="1"/>
  <c r="W654" i="1"/>
  <c r="X654" i="1" s="1"/>
  <c r="Y654" i="1" s="1"/>
  <c r="Z654" i="1" s="1"/>
  <c r="U654" i="1"/>
  <c r="T654" i="1"/>
  <c r="U693" i="1"/>
  <c r="T693" i="1"/>
  <c r="W693" i="1"/>
  <c r="X693" i="1" s="1"/>
  <c r="Y693" i="1" s="1"/>
  <c r="Z693" i="1" s="1"/>
  <c r="V693" i="1"/>
  <c r="W795" i="1"/>
  <c r="X795" i="1" s="1"/>
  <c r="Y795" i="1" s="1"/>
  <c r="Z795" i="1" s="1"/>
  <c r="V795" i="1"/>
  <c r="U795" i="1"/>
  <c r="T795" i="1"/>
  <c r="V850" i="1"/>
  <c r="U850" i="1"/>
  <c r="W850" i="1"/>
  <c r="X850" i="1" s="1"/>
  <c r="Y850" i="1" s="1"/>
  <c r="Z850" i="1" s="1"/>
  <c r="T850" i="1"/>
  <c r="W881" i="1"/>
  <c r="X881" i="1" s="1"/>
  <c r="Y881" i="1" s="1"/>
  <c r="Z881" i="1" s="1"/>
  <c r="V881" i="1"/>
  <c r="U881" i="1"/>
  <c r="T881" i="1"/>
  <c r="W885" i="1"/>
  <c r="X885" i="1" s="1"/>
  <c r="Y885" i="1" s="1"/>
  <c r="Z885" i="1" s="1"/>
  <c r="V885" i="1"/>
  <c r="U885" i="1"/>
  <c r="T885" i="1"/>
  <c r="T1041" i="1"/>
  <c r="U1041" i="1"/>
  <c r="W1041" i="1"/>
  <c r="X1041" i="1" s="1"/>
  <c r="Y1041" i="1" s="1"/>
  <c r="Z1041" i="1" s="1"/>
  <c r="V1041" i="1"/>
  <c r="T32" i="1"/>
  <c r="C44" i="1"/>
  <c r="T57" i="1"/>
  <c r="U57" i="1" s="1"/>
  <c r="V57" i="1" s="1"/>
  <c r="W57" i="1" s="1"/>
  <c r="X57" i="1" s="1"/>
  <c r="Y57" i="1" s="1"/>
  <c r="Z57" i="1" s="1"/>
  <c r="V59" i="1"/>
  <c r="W59" i="1" s="1"/>
  <c r="X59" i="1" s="1"/>
  <c r="Y59" i="1" s="1"/>
  <c r="Z59" i="1" s="1"/>
  <c r="V72" i="1"/>
  <c r="W72" i="1" s="1"/>
  <c r="X72" i="1" s="1"/>
  <c r="Y72" i="1" s="1"/>
  <c r="Z72" i="1" s="1"/>
  <c r="U74" i="1"/>
  <c r="V74" i="1" s="1"/>
  <c r="W74" i="1" s="1"/>
  <c r="X74" i="1" s="1"/>
  <c r="Y74" i="1" s="1"/>
  <c r="Z74" i="1" s="1"/>
  <c r="T89" i="1"/>
  <c r="U89" i="1" s="1"/>
  <c r="V89" i="1" s="1"/>
  <c r="W89" i="1" s="1"/>
  <c r="X89" i="1" s="1"/>
  <c r="Y89" i="1" s="1"/>
  <c r="Z89" i="1" s="1"/>
  <c r="T108" i="1"/>
  <c r="T140" i="1"/>
  <c r="U140" i="1" s="1"/>
  <c r="V140" i="1" s="1"/>
  <c r="W140" i="1" s="1"/>
  <c r="X140" i="1" s="1"/>
  <c r="Y140" i="1" s="1"/>
  <c r="Z140" i="1" s="1"/>
  <c r="T157" i="1"/>
  <c r="V159" i="1"/>
  <c r="W159" i="1" s="1"/>
  <c r="X159" i="1" s="1"/>
  <c r="Y159" i="1" s="1"/>
  <c r="Z159" i="1" s="1"/>
  <c r="T172" i="1"/>
  <c r="T183" i="1"/>
  <c r="U183" i="1" s="1"/>
  <c r="V183" i="1" s="1"/>
  <c r="W183" i="1" s="1"/>
  <c r="X183" i="1" s="1"/>
  <c r="Y183" i="1" s="1"/>
  <c r="Z183" i="1" s="1"/>
  <c r="V192" i="1"/>
  <c r="W192" i="1" s="1"/>
  <c r="X192" i="1" s="1"/>
  <c r="Y192" i="1" s="1"/>
  <c r="Z192" i="1" s="1"/>
  <c r="T192" i="1"/>
  <c r="U203" i="1"/>
  <c r="V203" i="1" s="1"/>
  <c r="W203" i="1" s="1"/>
  <c r="X203" i="1" s="1"/>
  <c r="Y203" i="1" s="1"/>
  <c r="Z203" i="1" s="1"/>
  <c r="U214" i="1"/>
  <c r="T269" i="1"/>
  <c r="T326" i="1"/>
  <c r="T331" i="1"/>
  <c r="W331" i="1"/>
  <c r="X331" i="1" s="1"/>
  <c r="Y331" i="1" s="1"/>
  <c r="Z331" i="1" s="1"/>
  <c r="V331" i="1"/>
  <c r="T339" i="1"/>
  <c r="T342" i="1"/>
  <c r="U352" i="1"/>
  <c r="T357" i="1"/>
  <c r="T386" i="1"/>
  <c r="T389" i="1"/>
  <c r="T397" i="1"/>
  <c r="U407" i="1"/>
  <c r="U436" i="1"/>
  <c r="W449" i="1"/>
  <c r="X449" i="1" s="1"/>
  <c r="Y449" i="1" s="1"/>
  <c r="Z449" i="1" s="1"/>
  <c r="W477" i="1"/>
  <c r="X477" i="1" s="1"/>
  <c r="Y477" i="1" s="1"/>
  <c r="Z477" i="1" s="1"/>
  <c r="W527" i="1"/>
  <c r="X527" i="1" s="1"/>
  <c r="Y527" i="1" s="1"/>
  <c r="Z527" i="1" s="1"/>
  <c r="V527" i="1"/>
  <c r="W550" i="1"/>
  <c r="X550" i="1" s="1"/>
  <c r="Y550" i="1" s="1"/>
  <c r="Z550" i="1" s="1"/>
  <c r="V550" i="1"/>
  <c r="U550" i="1"/>
  <c r="T550" i="1"/>
  <c r="V560" i="1"/>
  <c r="U560" i="1"/>
  <c r="T560" i="1"/>
  <c r="U713" i="1"/>
  <c r="T713" i="1"/>
  <c r="W713" i="1"/>
  <c r="X713" i="1" s="1"/>
  <c r="Y713" i="1" s="1"/>
  <c r="Z713" i="1" s="1"/>
  <c r="V713" i="1"/>
  <c r="T746" i="1"/>
  <c r="W746" i="1"/>
  <c r="X746" i="1" s="1"/>
  <c r="Y746" i="1" s="1"/>
  <c r="Z746" i="1" s="1"/>
  <c r="V746" i="1"/>
  <c r="U746" i="1"/>
  <c r="V758" i="1"/>
  <c r="U758" i="1"/>
  <c r="W758" i="1"/>
  <c r="X758" i="1" s="1"/>
  <c r="Y758" i="1" s="1"/>
  <c r="Z758" i="1" s="1"/>
  <c r="T758" i="1"/>
  <c r="W781" i="1"/>
  <c r="X781" i="1" s="1"/>
  <c r="Y781" i="1" s="1"/>
  <c r="Z781" i="1" s="1"/>
  <c r="V781" i="1"/>
  <c r="U781" i="1"/>
  <c r="T781" i="1"/>
  <c r="W842" i="1"/>
  <c r="X842" i="1" s="1"/>
  <c r="Y842" i="1" s="1"/>
  <c r="Z842" i="1" s="1"/>
  <c r="V842" i="1"/>
  <c r="T842" i="1"/>
  <c r="U842" i="1"/>
  <c r="W1134" i="1"/>
  <c r="X1134" i="1" s="1"/>
  <c r="Y1134" i="1" s="1"/>
  <c r="Z1134" i="1" s="1"/>
  <c r="V1134" i="1"/>
  <c r="U1134" i="1"/>
  <c r="T1134" i="1"/>
  <c r="U32" i="1"/>
  <c r="T34" i="1"/>
  <c r="U34" i="1" s="1"/>
  <c r="V34" i="1" s="1"/>
  <c r="W34" i="1" s="1"/>
  <c r="X34" i="1" s="1"/>
  <c r="Y34" i="1" s="1"/>
  <c r="Z34" i="1" s="1"/>
  <c r="T36" i="1"/>
  <c r="T38" i="1"/>
  <c r="U38" i="1" s="1"/>
  <c r="V38" i="1" s="1"/>
  <c r="W38" i="1" s="1"/>
  <c r="X38" i="1" s="1"/>
  <c r="Y38" i="1" s="1"/>
  <c r="Z38" i="1" s="1"/>
  <c r="T72" i="1"/>
  <c r="T121" i="1"/>
  <c r="U157" i="1"/>
  <c r="V157" i="1" s="1"/>
  <c r="W157" i="1" s="1"/>
  <c r="X157" i="1" s="1"/>
  <c r="Y157" i="1" s="1"/>
  <c r="Z157" i="1" s="1"/>
  <c r="U172" i="1"/>
  <c r="V172" i="1" s="1"/>
  <c r="W172" i="1" s="1"/>
  <c r="X172" i="1" s="1"/>
  <c r="Y172" i="1" s="1"/>
  <c r="Z172" i="1" s="1"/>
  <c r="U181" i="1"/>
  <c r="V181" i="1" s="1"/>
  <c r="W181" i="1" s="1"/>
  <c r="X181" i="1" s="1"/>
  <c r="Y181" i="1" s="1"/>
  <c r="Z181" i="1" s="1"/>
  <c r="U192" i="1"/>
  <c r="T203" i="1"/>
  <c r="T212" i="1"/>
  <c r="U212" i="1" s="1"/>
  <c r="V212" i="1" s="1"/>
  <c r="W212" i="1" s="1"/>
  <c r="X212" i="1" s="1"/>
  <c r="Y212" i="1" s="1"/>
  <c r="Z212" i="1" s="1"/>
  <c r="V214" i="1"/>
  <c r="W214" i="1" s="1"/>
  <c r="X214" i="1" s="1"/>
  <c r="Y214" i="1" s="1"/>
  <c r="Z214" i="1" s="1"/>
  <c r="U223" i="1"/>
  <c r="V223" i="1" s="1"/>
  <c r="W269" i="1"/>
  <c r="X269" i="1" s="1"/>
  <c r="Y269" i="1" s="1"/>
  <c r="Z269" i="1" s="1"/>
  <c r="U326" i="1"/>
  <c r="U331" i="1"/>
  <c r="U339" i="1"/>
  <c r="U342" i="1"/>
  <c r="W347" i="1"/>
  <c r="X347" i="1" s="1"/>
  <c r="Y347" i="1" s="1"/>
  <c r="Z347" i="1" s="1"/>
  <c r="T347" i="1"/>
  <c r="V352" i="1"/>
  <c r="U357" i="1"/>
  <c r="W389" i="1"/>
  <c r="X389" i="1" s="1"/>
  <c r="Y389" i="1" s="1"/>
  <c r="Z389" i="1" s="1"/>
  <c r="U397" i="1"/>
  <c r="T402" i="1"/>
  <c r="V407" i="1"/>
  <c r="V436" i="1"/>
  <c r="W439" i="1"/>
  <c r="X439" i="1" s="1"/>
  <c r="Y439" i="1" s="1"/>
  <c r="Z439" i="1" s="1"/>
  <c r="V439" i="1"/>
  <c r="T452" i="1"/>
  <c r="T467" i="1"/>
  <c r="U488" i="1"/>
  <c r="U493" i="1"/>
  <c r="W493" i="1"/>
  <c r="X493" i="1" s="1"/>
  <c r="Y493" i="1" s="1"/>
  <c r="Z493" i="1" s="1"/>
  <c r="T527" i="1"/>
  <c r="W531" i="1"/>
  <c r="X531" i="1" s="1"/>
  <c r="Y531" i="1" s="1"/>
  <c r="Z531" i="1" s="1"/>
  <c r="U531" i="1"/>
  <c r="T531" i="1"/>
  <c r="W560" i="1"/>
  <c r="X560" i="1" s="1"/>
  <c r="Y560" i="1" s="1"/>
  <c r="Z560" i="1" s="1"/>
  <c r="W580" i="1"/>
  <c r="X580" i="1" s="1"/>
  <c r="Y580" i="1" s="1"/>
  <c r="Z580" i="1" s="1"/>
  <c r="V580" i="1"/>
  <c r="U580" i="1"/>
  <c r="T580" i="1"/>
  <c r="T616" i="1"/>
  <c r="V616" i="1"/>
  <c r="W754" i="1"/>
  <c r="X754" i="1" s="1"/>
  <c r="Y754" i="1" s="1"/>
  <c r="Z754" i="1" s="1"/>
  <c r="U754" i="1"/>
  <c r="T754" i="1"/>
  <c r="V754" i="1"/>
  <c r="W785" i="1"/>
  <c r="X785" i="1" s="1"/>
  <c r="Y785" i="1" s="1"/>
  <c r="Z785" i="1" s="1"/>
  <c r="T785" i="1"/>
  <c r="W911" i="1"/>
  <c r="X911" i="1" s="1"/>
  <c r="Y911" i="1" s="1"/>
  <c r="Z911" i="1" s="1"/>
  <c r="U911" i="1"/>
  <c r="V911" i="1"/>
  <c r="T911" i="1"/>
  <c r="W959" i="1"/>
  <c r="X959" i="1" s="1"/>
  <c r="Y959" i="1" s="1"/>
  <c r="Z959" i="1" s="1"/>
  <c r="U959" i="1"/>
  <c r="T959" i="1"/>
  <c r="V959" i="1"/>
  <c r="U36" i="1"/>
  <c r="V36" i="1" s="1"/>
  <c r="W36" i="1" s="1"/>
  <c r="X36" i="1" s="1"/>
  <c r="Y36" i="1" s="1"/>
  <c r="Z36" i="1" s="1"/>
  <c r="U70" i="1"/>
  <c r="V70" i="1" s="1"/>
  <c r="U72" i="1"/>
  <c r="U121" i="1"/>
  <c r="V121" i="1" s="1"/>
  <c r="W121" i="1" s="1"/>
  <c r="X121" i="1" s="1"/>
  <c r="Y121" i="1" s="1"/>
  <c r="Z121" i="1" s="1"/>
  <c r="V170" i="1"/>
  <c r="T170" i="1"/>
  <c r="U170" i="1" s="1"/>
  <c r="T181" i="1"/>
  <c r="V190" i="1"/>
  <c r="T190" i="1"/>
  <c r="U190" i="1" s="1"/>
  <c r="T223" i="1"/>
  <c r="T230" i="1"/>
  <c r="U230" i="1" s="1"/>
  <c r="V230" i="1" s="1"/>
  <c r="W230" i="1" s="1"/>
  <c r="X230" i="1" s="1"/>
  <c r="Y230" i="1" s="1"/>
  <c r="Z230" i="1" s="1"/>
  <c r="W248" i="1"/>
  <c r="X248" i="1" s="1"/>
  <c r="Y248" i="1" s="1"/>
  <c r="Z248" i="1" s="1"/>
  <c r="V248" i="1"/>
  <c r="U248" i="1"/>
  <c r="T267" i="1"/>
  <c r="U347" i="1"/>
  <c r="W352" i="1"/>
  <c r="X352" i="1" s="1"/>
  <c r="Y352" i="1" s="1"/>
  <c r="Z352" i="1" s="1"/>
  <c r="V357" i="1"/>
  <c r="U402" i="1"/>
  <c r="T431" i="1"/>
  <c r="W431" i="1"/>
  <c r="X431" i="1" s="1"/>
  <c r="Y431" i="1" s="1"/>
  <c r="Z431" i="1" s="1"/>
  <c r="V431" i="1"/>
  <c r="W436" i="1"/>
  <c r="X436" i="1" s="1"/>
  <c r="Y436" i="1" s="1"/>
  <c r="Z436" i="1" s="1"/>
  <c r="T439" i="1"/>
  <c r="V452" i="1"/>
  <c r="U467" i="1"/>
  <c r="W483" i="1"/>
  <c r="X483" i="1" s="1"/>
  <c r="Y483" i="1" s="1"/>
  <c r="Z483" i="1" s="1"/>
  <c r="V483" i="1"/>
  <c r="V488" i="1"/>
  <c r="T493" i="1"/>
  <c r="T504" i="1"/>
  <c r="V504" i="1"/>
  <c r="W519" i="1"/>
  <c r="X519" i="1" s="1"/>
  <c r="Y519" i="1" s="1"/>
  <c r="Z519" i="1" s="1"/>
  <c r="U519" i="1"/>
  <c r="U527" i="1"/>
  <c r="V531" i="1"/>
  <c r="V534" i="1"/>
  <c r="W534" i="1"/>
  <c r="X534" i="1" s="1"/>
  <c r="Y534" i="1" s="1"/>
  <c r="Z534" i="1" s="1"/>
  <c r="V537" i="1"/>
  <c r="U537" i="1"/>
  <c r="T537" i="1"/>
  <c r="W598" i="1"/>
  <c r="X598" i="1" s="1"/>
  <c r="Y598" i="1" s="1"/>
  <c r="Z598" i="1" s="1"/>
  <c r="V598" i="1"/>
  <c r="U598" i="1"/>
  <c r="U605" i="1"/>
  <c r="W605" i="1"/>
  <c r="X605" i="1" s="1"/>
  <c r="Y605" i="1" s="1"/>
  <c r="Z605" i="1" s="1"/>
  <c r="V605" i="1"/>
  <c r="U616" i="1"/>
  <c r="W637" i="1"/>
  <c r="X637" i="1" s="1"/>
  <c r="Y637" i="1" s="1"/>
  <c r="Z637" i="1" s="1"/>
  <c r="V637" i="1"/>
  <c r="W651" i="1"/>
  <c r="X651" i="1" s="1"/>
  <c r="Y651" i="1" s="1"/>
  <c r="Z651" i="1" s="1"/>
  <c r="V651" i="1"/>
  <c r="U651" i="1"/>
  <c r="T651" i="1"/>
  <c r="T676" i="1"/>
  <c r="U676" i="1"/>
  <c r="V698" i="1"/>
  <c r="U698" i="1"/>
  <c r="T698" i="1"/>
  <c r="W777" i="1"/>
  <c r="X777" i="1" s="1"/>
  <c r="Y777" i="1" s="1"/>
  <c r="Z777" i="1" s="1"/>
  <c r="V777" i="1"/>
  <c r="U777" i="1"/>
  <c r="U785" i="1"/>
  <c r="U813" i="1"/>
  <c r="T813" i="1"/>
  <c r="V813" i="1"/>
  <c r="V894" i="1"/>
  <c r="U894" i="1"/>
  <c r="W894" i="1"/>
  <c r="X894" i="1" s="1"/>
  <c r="Y894" i="1" s="1"/>
  <c r="Z894" i="1" s="1"/>
  <c r="T894" i="1"/>
  <c r="W902" i="1"/>
  <c r="X902" i="1" s="1"/>
  <c r="Y902" i="1" s="1"/>
  <c r="Z902" i="1" s="1"/>
  <c r="V902" i="1"/>
  <c r="T902" i="1"/>
  <c r="U902" i="1"/>
  <c r="W544" i="1"/>
  <c r="X544" i="1" s="1"/>
  <c r="Y544" i="1" s="1"/>
  <c r="Z544" i="1" s="1"/>
  <c r="W551" i="1"/>
  <c r="X551" i="1" s="1"/>
  <c r="Y551" i="1" s="1"/>
  <c r="Z551" i="1" s="1"/>
  <c r="U551" i="1"/>
  <c r="T551" i="1"/>
  <c r="V575" i="1"/>
  <c r="V719" i="1"/>
  <c r="U719" i="1"/>
  <c r="T719" i="1"/>
  <c r="V798" i="1"/>
  <c r="U798" i="1"/>
  <c r="T798" i="1"/>
  <c r="V802" i="1"/>
  <c r="U802" i="1"/>
  <c r="T802" i="1"/>
  <c r="W889" i="1"/>
  <c r="X889" i="1" s="1"/>
  <c r="Y889" i="1" s="1"/>
  <c r="Z889" i="1" s="1"/>
  <c r="U889" i="1"/>
  <c r="T889" i="1"/>
  <c r="W956" i="1"/>
  <c r="X956" i="1" s="1"/>
  <c r="Y956" i="1" s="1"/>
  <c r="Z956" i="1" s="1"/>
  <c r="V956" i="1"/>
  <c r="T956" i="1"/>
  <c r="W1046" i="1"/>
  <c r="X1046" i="1" s="1"/>
  <c r="Y1046" i="1" s="1"/>
  <c r="Z1046" i="1" s="1"/>
  <c r="V1046" i="1"/>
  <c r="U1046" i="1"/>
  <c r="T1046" i="1"/>
  <c r="W1184" i="1"/>
  <c r="X1184" i="1" s="1"/>
  <c r="Y1184" i="1" s="1"/>
  <c r="Z1184" i="1" s="1"/>
  <c r="V1184" i="1"/>
  <c r="U1184" i="1"/>
  <c r="T1184" i="1"/>
  <c r="V642" i="1"/>
  <c r="U642" i="1"/>
  <c r="T642" i="1"/>
  <c r="V762" i="1"/>
  <c r="U762" i="1"/>
  <c r="V770" i="1"/>
  <c r="U770" i="1"/>
  <c r="T770" i="1"/>
  <c r="V863" i="1"/>
  <c r="U863" i="1"/>
  <c r="W863" i="1"/>
  <c r="X863" i="1" s="1"/>
  <c r="Y863" i="1" s="1"/>
  <c r="Z863" i="1" s="1"/>
  <c r="T863" i="1"/>
  <c r="U1047" i="1"/>
  <c r="T1047" i="1"/>
  <c r="W1047" i="1"/>
  <c r="X1047" i="1" s="1"/>
  <c r="Y1047" i="1" s="1"/>
  <c r="Z1047" i="1" s="1"/>
  <c r="V1047" i="1"/>
  <c r="W1173" i="1"/>
  <c r="X1173" i="1" s="1"/>
  <c r="Y1173" i="1" s="1"/>
  <c r="Z1173" i="1" s="1"/>
  <c r="V1173" i="1"/>
  <c r="U1173" i="1"/>
  <c r="T1173" i="1"/>
  <c r="W706" i="1"/>
  <c r="X706" i="1" s="1"/>
  <c r="Y706" i="1" s="1"/>
  <c r="Z706" i="1" s="1"/>
  <c r="V706" i="1"/>
  <c r="U706" i="1"/>
  <c r="T706" i="1"/>
  <c r="U709" i="1"/>
  <c r="T709" i="1"/>
  <c r="W725" i="1"/>
  <c r="X725" i="1" s="1"/>
  <c r="Y725" i="1" s="1"/>
  <c r="Z725" i="1" s="1"/>
  <c r="V725" i="1"/>
  <c r="U725" i="1"/>
  <c r="W759" i="1"/>
  <c r="X759" i="1" s="1"/>
  <c r="Y759" i="1" s="1"/>
  <c r="Z759" i="1" s="1"/>
  <c r="V759" i="1"/>
  <c r="U759" i="1"/>
  <c r="W767" i="1"/>
  <c r="X767" i="1" s="1"/>
  <c r="Y767" i="1" s="1"/>
  <c r="Z767" i="1" s="1"/>
  <c r="V767" i="1"/>
  <c r="U767" i="1"/>
  <c r="T767" i="1"/>
  <c r="W817" i="1"/>
  <c r="X817" i="1" s="1"/>
  <c r="Y817" i="1" s="1"/>
  <c r="Z817" i="1" s="1"/>
  <c r="V817" i="1"/>
  <c r="W851" i="1"/>
  <c r="X851" i="1" s="1"/>
  <c r="Y851" i="1" s="1"/>
  <c r="Z851" i="1" s="1"/>
  <c r="U851" i="1"/>
  <c r="V851" i="1"/>
  <c r="T851" i="1"/>
  <c r="W867" i="1"/>
  <c r="X867" i="1" s="1"/>
  <c r="Y867" i="1" s="1"/>
  <c r="Z867" i="1" s="1"/>
  <c r="V867" i="1"/>
  <c r="V897" i="1"/>
  <c r="U897" i="1"/>
  <c r="W897" i="1"/>
  <c r="X897" i="1" s="1"/>
  <c r="Y897" i="1" s="1"/>
  <c r="Z897" i="1" s="1"/>
  <c r="T897" i="1"/>
  <c r="V940" i="1"/>
  <c r="U940" i="1"/>
  <c r="W940" i="1"/>
  <c r="X940" i="1" s="1"/>
  <c r="Y940" i="1" s="1"/>
  <c r="Z940" i="1" s="1"/>
  <c r="T940" i="1"/>
  <c r="V960" i="1"/>
  <c r="W960" i="1"/>
  <c r="X960" i="1" s="1"/>
  <c r="Y960" i="1" s="1"/>
  <c r="Z960" i="1" s="1"/>
  <c r="U960" i="1"/>
  <c r="T960" i="1"/>
  <c r="W997" i="1"/>
  <c r="X997" i="1" s="1"/>
  <c r="Y997" i="1" s="1"/>
  <c r="Z997" i="1" s="1"/>
  <c r="T997" i="1"/>
  <c r="U1042" i="1"/>
  <c r="T1042" i="1"/>
  <c r="W1042" i="1"/>
  <c r="X1042" i="1" s="1"/>
  <c r="Y1042" i="1" s="1"/>
  <c r="Z1042" i="1" s="1"/>
  <c r="V1042" i="1"/>
  <c r="T1073" i="1"/>
  <c r="V1180" i="1"/>
  <c r="W1180" i="1"/>
  <c r="X1180" i="1" s="1"/>
  <c r="Y1180" i="1" s="1"/>
  <c r="Z1180" i="1" s="1"/>
  <c r="U1180" i="1"/>
  <c r="W1382" i="1"/>
  <c r="X1382" i="1" s="1"/>
  <c r="Y1382" i="1" s="1"/>
  <c r="Z1382" i="1" s="1"/>
  <c r="V1382" i="1"/>
  <c r="U1382" i="1"/>
  <c r="T1382" i="1"/>
  <c r="V587" i="1"/>
  <c r="V592" i="1"/>
  <c r="W594" i="1"/>
  <c r="X594" i="1" s="1"/>
  <c r="Y594" i="1" s="1"/>
  <c r="Z594" i="1" s="1"/>
  <c r="V601" i="1"/>
  <c r="V626" i="1"/>
  <c r="W631" i="1"/>
  <c r="X631" i="1" s="1"/>
  <c r="Y631" i="1" s="1"/>
  <c r="Z631" i="1" s="1"/>
  <c r="V631" i="1"/>
  <c r="U631" i="1"/>
  <c r="T631" i="1"/>
  <c r="V667" i="1"/>
  <c r="V672" i="1"/>
  <c r="W674" i="1"/>
  <c r="X674" i="1" s="1"/>
  <c r="Y674" i="1" s="1"/>
  <c r="Z674" i="1" s="1"/>
  <c r="V688" i="1"/>
  <c r="W691" i="1"/>
  <c r="X691" i="1" s="1"/>
  <c r="Y691" i="1" s="1"/>
  <c r="Z691" i="1" s="1"/>
  <c r="V691" i="1"/>
  <c r="U691" i="1"/>
  <c r="W720" i="1"/>
  <c r="X720" i="1" s="1"/>
  <c r="Y720" i="1" s="1"/>
  <c r="Z720" i="1" s="1"/>
  <c r="T720" i="1"/>
  <c r="V735" i="1"/>
  <c r="V743" i="1"/>
  <c r="U765" i="1"/>
  <c r="T765" i="1"/>
  <c r="W814" i="1"/>
  <c r="X814" i="1" s="1"/>
  <c r="Y814" i="1" s="1"/>
  <c r="Z814" i="1" s="1"/>
  <c r="V814" i="1"/>
  <c r="U814" i="1"/>
  <c r="T814" i="1"/>
  <c r="W898" i="1"/>
  <c r="X898" i="1" s="1"/>
  <c r="Y898" i="1" s="1"/>
  <c r="Z898" i="1" s="1"/>
  <c r="V898" i="1"/>
  <c r="U898" i="1"/>
  <c r="T898" i="1"/>
  <c r="W909" i="1"/>
  <c r="X909" i="1" s="1"/>
  <c r="Y909" i="1" s="1"/>
  <c r="Z909" i="1" s="1"/>
  <c r="V909" i="1"/>
  <c r="U909" i="1"/>
  <c r="U937" i="1"/>
  <c r="T937" i="1"/>
  <c r="V965" i="1"/>
  <c r="U965" i="1"/>
  <c r="W981" i="1"/>
  <c r="X981" i="1" s="1"/>
  <c r="Y981" i="1" s="1"/>
  <c r="Z981" i="1" s="1"/>
  <c r="V981" i="1"/>
  <c r="U981" i="1"/>
  <c r="T981" i="1"/>
  <c r="T985" i="1"/>
  <c r="U985" i="1"/>
  <c r="W1341" i="1"/>
  <c r="X1341" i="1" s="1"/>
  <c r="Y1341" i="1" s="1"/>
  <c r="Z1341" i="1" s="1"/>
  <c r="T1341" i="1"/>
  <c r="V1341" i="1"/>
  <c r="U1341" i="1"/>
  <c r="V622" i="1"/>
  <c r="U622" i="1"/>
  <c r="T622" i="1"/>
  <c r="W640" i="1"/>
  <c r="X640" i="1" s="1"/>
  <c r="Y640" i="1" s="1"/>
  <c r="Z640" i="1" s="1"/>
  <c r="V640" i="1"/>
  <c r="U640" i="1"/>
  <c r="T640" i="1"/>
  <c r="W852" i="1"/>
  <c r="X852" i="1" s="1"/>
  <c r="Y852" i="1" s="1"/>
  <c r="Z852" i="1" s="1"/>
  <c r="T852" i="1"/>
  <c r="T909" i="1"/>
  <c r="W918" i="1"/>
  <c r="X918" i="1" s="1"/>
  <c r="Y918" i="1" s="1"/>
  <c r="Z918" i="1" s="1"/>
  <c r="V918" i="1"/>
  <c r="U918" i="1"/>
  <c r="T918" i="1"/>
  <c r="W929" i="1"/>
  <c r="X929" i="1" s="1"/>
  <c r="Y929" i="1" s="1"/>
  <c r="Z929" i="1" s="1"/>
  <c r="V929" i="1"/>
  <c r="U929" i="1"/>
  <c r="V937" i="1"/>
  <c r="W941" i="1"/>
  <c r="X941" i="1" s="1"/>
  <c r="Y941" i="1" s="1"/>
  <c r="Z941" i="1" s="1"/>
  <c r="V941" i="1"/>
  <c r="U941" i="1"/>
  <c r="T941" i="1"/>
  <c r="W949" i="1"/>
  <c r="X949" i="1" s="1"/>
  <c r="Y949" i="1" s="1"/>
  <c r="Z949" i="1" s="1"/>
  <c r="U949" i="1"/>
  <c r="T965" i="1"/>
  <c r="W973" i="1"/>
  <c r="X973" i="1" s="1"/>
  <c r="Y973" i="1" s="1"/>
  <c r="Z973" i="1" s="1"/>
  <c r="V973" i="1"/>
  <c r="U973" i="1"/>
  <c r="T973" i="1"/>
  <c r="V985" i="1"/>
  <c r="W992" i="1"/>
  <c r="X992" i="1" s="1"/>
  <c r="Y992" i="1" s="1"/>
  <c r="Z992" i="1" s="1"/>
  <c r="V992" i="1"/>
  <c r="U992" i="1"/>
  <c r="T992" i="1"/>
  <c r="W1093" i="1"/>
  <c r="X1093" i="1" s="1"/>
  <c r="Y1093" i="1" s="1"/>
  <c r="Z1093" i="1" s="1"/>
  <c r="V1093" i="1"/>
  <c r="U1093" i="1"/>
  <c r="T1093" i="1"/>
  <c r="U1124" i="1"/>
  <c r="T1124" i="1"/>
  <c r="V1191" i="1"/>
  <c r="U1191" i="1"/>
  <c r="T1191" i="1"/>
  <c r="W1191" i="1"/>
  <c r="X1191" i="1" s="1"/>
  <c r="Y1191" i="1" s="1"/>
  <c r="Z1191" i="1" s="1"/>
  <c r="U552" i="1"/>
  <c r="U554" i="1"/>
  <c r="U563" i="1"/>
  <c r="V565" i="1"/>
  <c r="V576" i="1"/>
  <c r="U590" i="1"/>
  <c r="V656" i="1"/>
  <c r="U670" i="1"/>
  <c r="U694" i="1"/>
  <c r="W796" i="1"/>
  <c r="X796" i="1" s="1"/>
  <c r="Y796" i="1" s="1"/>
  <c r="Z796" i="1" s="1"/>
  <c r="T796" i="1"/>
  <c r="V852" i="1"/>
  <c r="U875" i="1"/>
  <c r="T875" i="1"/>
  <c r="W875" i="1"/>
  <c r="X875" i="1" s="1"/>
  <c r="Y875" i="1" s="1"/>
  <c r="Z875" i="1" s="1"/>
  <c r="V875" i="1"/>
  <c r="V879" i="1"/>
  <c r="V949" i="1"/>
  <c r="V954" i="1"/>
  <c r="U954" i="1"/>
  <c r="T954" i="1"/>
  <c r="U1067" i="1"/>
  <c r="T1067" i="1"/>
  <c r="W1067" i="1"/>
  <c r="X1067" i="1" s="1"/>
  <c r="Y1067" i="1" s="1"/>
  <c r="Z1067" i="1" s="1"/>
  <c r="V1067" i="1"/>
  <c r="W1124" i="1"/>
  <c r="X1124" i="1" s="1"/>
  <c r="Y1124" i="1" s="1"/>
  <c r="Z1124" i="1" s="1"/>
  <c r="W638" i="1"/>
  <c r="X638" i="1" s="1"/>
  <c r="Y638" i="1" s="1"/>
  <c r="Z638" i="1" s="1"/>
  <c r="V638" i="1"/>
  <c r="W731" i="1"/>
  <c r="X731" i="1" s="1"/>
  <c r="Y731" i="1" s="1"/>
  <c r="Z731" i="1" s="1"/>
  <c r="V731" i="1"/>
  <c r="U731" i="1"/>
  <c r="U749" i="1"/>
  <c r="T749" i="1"/>
  <c r="W807" i="1"/>
  <c r="X807" i="1" s="1"/>
  <c r="Y807" i="1" s="1"/>
  <c r="Z807" i="1" s="1"/>
  <c r="V807" i="1"/>
  <c r="T807" i="1"/>
  <c r="T872" i="1"/>
  <c r="W872" i="1"/>
  <c r="X872" i="1" s="1"/>
  <c r="Y872" i="1" s="1"/>
  <c r="Z872" i="1" s="1"/>
  <c r="V872" i="1"/>
  <c r="W879" i="1"/>
  <c r="X879" i="1" s="1"/>
  <c r="Y879" i="1" s="1"/>
  <c r="Z879" i="1" s="1"/>
  <c r="V899" i="1"/>
  <c r="U899" i="1"/>
  <c r="W899" i="1"/>
  <c r="X899" i="1" s="1"/>
  <c r="Y899" i="1" s="1"/>
  <c r="Z899" i="1" s="1"/>
  <c r="T899" i="1"/>
  <c r="W922" i="1"/>
  <c r="X922" i="1" s="1"/>
  <c r="Y922" i="1" s="1"/>
  <c r="Z922" i="1" s="1"/>
  <c r="V922" i="1"/>
  <c r="T922" i="1"/>
  <c r="T934" i="1"/>
  <c r="U934" i="1"/>
  <c r="W974" i="1"/>
  <c r="X974" i="1" s="1"/>
  <c r="Y974" i="1" s="1"/>
  <c r="Z974" i="1" s="1"/>
  <c r="U974" i="1"/>
  <c r="T974" i="1"/>
  <c r="V974" i="1"/>
  <c r="V1100" i="1"/>
  <c r="U1100" i="1"/>
  <c r="U1300" i="1"/>
  <c r="T1300" i="1"/>
  <c r="W1300" i="1"/>
  <c r="X1300" i="1" s="1"/>
  <c r="Y1300" i="1" s="1"/>
  <c r="Z1300" i="1" s="1"/>
  <c r="V1300" i="1"/>
  <c r="W498" i="1"/>
  <c r="X498" i="1" s="1"/>
  <c r="Y498" i="1" s="1"/>
  <c r="Z498" i="1" s="1"/>
  <c r="V498" i="1"/>
  <c r="T588" i="1"/>
  <c r="W611" i="1"/>
  <c r="X611" i="1" s="1"/>
  <c r="Y611" i="1" s="1"/>
  <c r="Z611" i="1" s="1"/>
  <c r="V611" i="1"/>
  <c r="U611" i="1"/>
  <c r="T611" i="1"/>
  <c r="T638" i="1"/>
  <c r="T643" i="1"/>
  <c r="T645" i="1"/>
  <c r="T668" i="1"/>
  <c r="T731" i="1"/>
  <c r="V749" i="1"/>
  <c r="W757" i="1"/>
  <c r="X757" i="1" s="1"/>
  <c r="Y757" i="1" s="1"/>
  <c r="Z757" i="1" s="1"/>
  <c r="V757" i="1"/>
  <c r="U757" i="1"/>
  <c r="T757" i="1"/>
  <c r="T763" i="1"/>
  <c r="V778" i="1"/>
  <c r="U778" i="1"/>
  <c r="W778" i="1"/>
  <c r="X778" i="1" s="1"/>
  <c r="Y778" i="1" s="1"/>
  <c r="Z778" i="1" s="1"/>
  <c r="T778" i="1"/>
  <c r="V860" i="1"/>
  <c r="W860" i="1"/>
  <c r="X860" i="1" s="1"/>
  <c r="Y860" i="1" s="1"/>
  <c r="Z860" i="1" s="1"/>
  <c r="U860" i="1"/>
  <c r="T860" i="1"/>
  <c r="U872" i="1"/>
  <c r="T919" i="1"/>
  <c r="W919" i="1"/>
  <c r="X919" i="1" s="1"/>
  <c r="Y919" i="1" s="1"/>
  <c r="Z919" i="1" s="1"/>
  <c r="V919" i="1"/>
  <c r="W930" i="1"/>
  <c r="X930" i="1" s="1"/>
  <c r="Y930" i="1" s="1"/>
  <c r="Z930" i="1" s="1"/>
  <c r="V930" i="1"/>
  <c r="U930" i="1"/>
  <c r="T930" i="1"/>
  <c r="V934" i="1"/>
  <c r="W942" i="1"/>
  <c r="X942" i="1" s="1"/>
  <c r="Y942" i="1" s="1"/>
  <c r="Z942" i="1" s="1"/>
  <c r="V942" i="1"/>
  <c r="T942" i="1"/>
  <c r="U942" i="1"/>
  <c r="W962" i="1"/>
  <c r="X962" i="1" s="1"/>
  <c r="Y962" i="1" s="1"/>
  <c r="Z962" i="1" s="1"/>
  <c r="V962" i="1"/>
  <c r="T962" i="1"/>
  <c r="U962" i="1"/>
  <c r="W993" i="1"/>
  <c r="X993" i="1" s="1"/>
  <c r="Y993" i="1" s="1"/>
  <c r="Z993" i="1" s="1"/>
  <c r="U993" i="1"/>
  <c r="V993" i="1"/>
  <c r="T993" i="1"/>
  <c r="W1014" i="1"/>
  <c r="X1014" i="1" s="1"/>
  <c r="Y1014" i="1" s="1"/>
  <c r="Z1014" i="1" s="1"/>
  <c r="V1014" i="1"/>
  <c r="U1014" i="1"/>
  <c r="W1182" i="1"/>
  <c r="X1182" i="1" s="1"/>
  <c r="Y1182" i="1" s="1"/>
  <c r="Z1182" i="1" s="1"/>
  <c r="V1182" i="1"/>
  <c r="U1182" i="1"/>
  <c r="T1182" i="1"/>
  <c r="W1203" i="1"/>
  <c r="X1203" i="1" s="1"/>
  <c r="Y1203" i="1" s="1"/>
  <c r="Z1203" i="1" s="1"/>
  <c r="T1203" i="1"/>
  <c r="V1203" i="1"/>
  <c r="V1379" i="1"/>
  <c r="W1379" i="1"/>
  <c r="X1379" i="1" s="1"/>
  <c r="Y1379" i="1" s="1"/>
  <c r="Z1379" i="1" s="1"/>
  <c r="U1379" i="1"/>
  <c r="T1379" i="1"/>
  <c r="W278" i="1"/>
  <c r="X278" i="1" s="1"/>
  <c r="Y278" i="1" s="1"/>
  <c r="Z278" i="1" s="1"/>
  <c r="V278" i="1"/>
  <c r="W378" i="1"/>
  <c r="X378" i="1" s="1"/>
  <c r="Y378" i="1" s="1"/>
  <c r="Z378" i="1" s="1"/>
  <c r="V378" i="1"/>
  <c r="V466" i="1"/>
  <c r="T498" i="1"/>
  <c r="W511" i="1"/>
  <c r="X511" i="1" s="1"/>
  <c r="Y511" i="1" s="1"/>
  <c r="Z511" i="1" s="1"/>
  <c r="T511" i="1"/>
  <c r="T513" i="1"/>
  <c r="V515" i="1"/>
  <c r="U588" i="1"/>
  <c r="T595" i="1"/>
  <c r="V602" i="1"/>
  <c r="U602" i="1"/>
  <c r="T602" i="1"/>
  <c r="U638" i="1"/>
  <c r="U643" i="1"/>
  <c r="V645" i="1"/>
  <c r="U668" i="1"/>
  <c r="T675" i="1"/>
  <c r="W684" i="1"/>
  <c r="X684" i="1" s="1"/>
  <c r="Y684" i="1" s="1"/>
  <c r="Z684" i="1" s="1"/>
  <c r="U689" i="1"/>
  <c r="T689" i="1"/>
  <c r="W689" i="1"/>
  <c r="X689" i="1" s="1"/>
  <c r="Y689" i="1" s="1"/>
  <c r="Z689" i="1" s="1"/>
  <c r="V689" i="1"/>
  <c r="V710" i="1"/>
  <c r="W749" i="1"/>
  <c r="X749" i="1" s="1"/>
  <c r="Y749" i="1" s="1"/>
  <c r="Z749" i="1" s="1"/>
  <c r="U763" i="1"/>
  <c r="W787" i="1"/>
  <c r="X787" i="1" s="1"/>
  <c r="Y787" i="1" s="1"/>
  <c r="Z787" i="1" s="1"/>
  <c r="V787" i="1"/>
  <c r="T824" i="1"/>
  <c r="W824" i="1"/>
  <c r="X824" i="1" s="1"/>
  <c r="Y824" i="1" s="1"/>
  <c r="Z824" i="1" s="1"/>
  <c r="V824" i="1"/>
  <c r="W828" i="1"/>
  <c r="X828" i="1" s="1"/>
  <c r="Y828" i="1" s="1"/>
  <c r="Z828" i="1" s="1"/>
  <c r="T828" i="1"/>
  <c r="W865" i="1"/>
  <c r="X865" i="1" s="1"/>
  <c r="Y865" i="1" s="1"/>
  <c r="Z865" i="1" s="1"/>
  <c r="V865" i="1"/>
  <c r="T865" i="1"/>
  <c r="U919" i="1"/>
  <c r="W934" i="1"/>
  <c r="X934" i="1" s="1"/>
  <c r="Y934" i="1" s="1"/>
  <c r="Z934" i="1" s="1"/>
  <c r="T1014" i="1"/>
  <c r="U1026" i="1"/>
  <c r="T1026" i="1"/>
  <c r="V1044" i="1"/>
  <c r="W1100" i="1"/>
  <c r="X1100" i="1" s="1"/>
  <c r="Y1100" i="1" s="1"/>
  <c r="Z1100" i="1" s="1"/>
  <c r="V1156" i="1"/>
  <c r="U1156" i="1"/>
  <c r="T1156" i="1"/>
  <c r="W1156" i="1"/>
  <c r="X1156" i="1" s="1"/>
  <c r="Y1156" i="1" s="1"/>
  <c r="Z1156" i="1" s="1"/>
  <c r="U1203" i="1"/>
  <c r="W1346" i="1"/>
  <c r="X1346" i="1" s="1"/>
  <c r="Y1346" i="1" s="1"/>
  <c r="Z1346" i="1" s="1"/>
  <c r="V1346" i="1"/>
  <c r="U1346" i="1"/>
  <c r="T1346" i="1"/>
  <c r="W458" i="1"/>
  <c r="X458" i="1" s="1"/>
  <c r="Y458" i="1" s="1"/>
  <c r="Z458" i="1" s="1"/>
  <c r="V458" i="1"/>
  <c r="U498" i="1"/>
  <c r="V513" i="1"/>
  <c r="V588" i="1"/>
  <c r="U595" i="1"/>
  <c r="V643" i="1"/>
  <c r="W645" i="1"/>
  <c r="X645" i="1" s="1"/>
  <c r="Y645" i="1" s="1"/>
  <c r="Z645" i="1" s="1"/>
  <c r="V668" i="1"/>
  <c r="U675" i="1"/>
  <c r="V682" i="1"/>
  <c r="U682" i="1"/>
  <c r="W682" i="1"/>
  <c r="X682" i="1" s="1"/>
  <c r="Y682" i="1" s="1"/>
  <c r="Z682" i="1" s="1"/>
  <c r="V763" i="1"/>
  <c r="T787" i="1"/>
  <c r="V801" i="1"/>
  <c r="U801" i="1"/>
  <c r="U824" i="1"/>
  <c r="U828" i="1"/>
  <c r="U865" i="1"/>
  <c r="W903" i="1"/>
  <c r="X903" i="1" s="1"/>
  <c r="Y903" i="1" s="1"/>
  <c r="Z903" i="1" s="1"/>
  <c r="V903" i="1"/>
  <c r="U903" i="1"/>
  <c r="T903" i="1"/>
  <c r="W1005" i="1"/>
  <c r="X1005" i="1" s="1"/>
  <c r="Y1005" i="1" s="1"/>
  <c r="Z1005" i="1" s="1"/>
  <c r="V1005" i="1"/>
  <c r="U1005" i="1"/>
  <c r="T1005" i="1"/>
  <c r="V1026" i="1"/>
  <c r="W1035" i="1"/>
  <c r="X1035" i="1" s="1"/>
  <c r="Y1035" i="1" s="1"/>
  <c r="Z1035" i="1" s="1"/>
  <c r="V1035" i="1"/>
  <c r="U1035" i="1"/>
  <c r="W1044" i="1"/>
  <c r="X1044" i="1" s="1"/>
  <c r="Y1044" i="1" s="1"/>
  <c r="Z1044" i="1" s="1"/>
  <c r="W1164" i="1"/>
  <c r="X1164" i="1" s="1"/>
  <c r="Y1164" i="1" s="1"/>
  <c r="Z1164" i="1" s="1"/>
  <c r="V1164" i="1"/>
  <c r="U1164" i="1"/>
  <c r="T1164" i="1"/>
  <c r="W1188" i="1"/>
  <c r="X1188" i="1" s="1"/>
  <c r="Y1188" i="1" s="1"/>
  <c r="Z1188" i="1" s="1"/>
  <c r="V1188" i="1"/>
  <c r="T1188" i="1"/>
  <c r="W1279" i="1"/>
  <c r="X1279" i="1" s="1"/>
  <c r="Y1279" i="1" s="1"/>
  <c r="Z1279" i="1" s="1"/>
  <c r="V1279" i="1"/>
  <c r="U1279" i="1"/>
  <c r="T1279" i="1"/>
  <c r="W1329" i="1"/>
  <c r="X1329" i="1" s="1"/>
  <c r="Y1329" i="1" s="1"/>
  <c r="Z1329" i="1" s="1"/>
  <c r="T1329" i="1"/>
  <c r="V1329" i="1"/>
  <c r="W513" i="1"/>
  <c r="X513" i="1" s="1"/>
  <c r="Y513" i="1" s="1"/>
  <c r="Z513" i="1" s="1"/>
  <c r="V595" i="1"/>
  <c r="V675" i="1"/>
  <c r="V718" i="1"/>
  <c r="U718" i="1"/>
  <c r="W718" i="1"/>
  <c r="X718" i="1" s="1"/>
  <c r="Y718" i="1" s="1"/>
  <c r="Z718" i="1" s="1"/>
  <c r="W721" i="1"/>
  <c r="X721" i="1" s="1"/>
  <c r="Y721" i="1" s="1"/>
  <c r="Z721" i="1" s="1"/>
  <c r="V721" i="1"/>
  <c r="U721" i="1"/>
  <c r="T721" i="1"/>
  <c r="U793" i="1"/>
  <c r="T793" i="1"/>
  <c r="W793" i="1"/>
  <c r="X793" i="1" s="1"/>
  <c r="Y793" i="1" s="1"/>
  <c r="Z793" i="1" s="1"/>
  <c r="V793" i="1"/>
  <c r="V808" i="1"/>
  <c r="U808" i="1"/>
  <c r="T808" i="1"/>
  <c r="W907" i="1"/>
  <c r="X907" i="1" s="1"/>
  <c r="Y907" i="1" s="1"/>
  <c r="Z907" i="1" s="1"/>
  <c r="V907" i="1"/>
  <c r="U907" i="1"/>
  <c r="T907" i="1"/>
  <c r="V943" i="1"/>
  <c r="U943" i="1"/>
  <c r="T943" i="1"/>
  <c r="V950" i="1"/>
  <c r="U950" i="1"/>
  <c r="W950" i="1"/>
  <c r="X950" i="1" s="1"/>
  <c r="Y950" i="1" s="1"/>
  <c r="Z950" i="1" s="1"/>
  <c r="T950" i="1"/>
  <c r="W978" i="1"/>
  <c r="X978" i="1" s="1"/>
  <c r="Y978" i="1" s="1"/>
  <c r="Z978" i="1" s="1"/>
  <c r="U978" i="1"/>
  <c r="T978" i="1"/>
  <c r="V978" i="1"/>
  <c r="W994" i="1"/>
  <c r="X994" i="1" s="1"/>
  <c r="Y994" i="1" s="1"/>
  <c r="Z994" i="1" s="1"/>
  <c r="V994" i="1"/>
  <c r="U994" i="1"/>
  <c r="T994" i="1"/>
  <c r="V1064" i="1"/>
  <c r="U1064" i="1"/>
  <c r="T1064" i="1"/>
  <c r="V1071" i="1"/>
  <c r="U1071" i="1"/>
  <c r="W1071" i="1"/>
  <c r="X1071" i="1" s="1"/>
  <c r="Y1071" i="1" s="1"/>
  <c r="Z1071" i="1" s="1"/>
  <c r="T1071" i="1"/>
  <c r="T232" i="1"/>
  <c r="U232" i="1" s="1"/>
  <c r="T252" i="1"/>
  <c r="T262" i="1"/>
  <c r="T266" i="1"/>
  <c r="U311" i="1"/>
  <c r="T313" i="1"/>
  <c r="T315" i="1"/>
  <c r="T325" i="1"/>
  <c r="T362" i="1"/>
  <c r="T366" i="1"/>
  <c r="U411" i="1"/>
  <c r="T413" i="1"/>
  <c r="T415" i="1"/>
  <c r="T425" i="1"/>
  <c r="U456" i="1"/>
  <c r="T535" i="1"/>
  <c r="T546" i="1"/>
  <c r="T577" i="1"/>
  <c r="W618" i="1"/>
  <c r="X618" i="1" s="1"/>
  <c r="Y618" i="1" s="1"/>
  <c r="Z618" i="1" s="1"/>
  <c r="V618" i="1"/>
  <c r="T657" i="1"/>
  <c r="T705" i="1"/>
  <c r="W711" i="1"/>
  <c r="X711" i="1" s="1"/>
  <c r="Y711" i="1" s="1"/>
  <c r="Z711" i="1" s="1"/>
  <c r="V711" i="1"/>
  <c r="T718" i="1"/>
  <c r="U729" i="1"/>
  <c r="T729" i="1"/>
  <c r="W797" i="1"/>
  <c r="X797" i="1" s="1"/>
  <c r="Y797" i="1" s="1"/>
  <c r="Z797" i="1" s="1"/>
  <c r="V797" i="1"/>
  <c r="U797" i="1"/>
  <c r="T797" i="1"/>
  <c r="W808" i="1"/>
  <c r="X808" i="1" s="1"/>
  <c r="Y808" i="1" s="1"/>
  <c r="Z808" i="1" s="1"/>
  <c r="W869" i="1"/>
  <c r="X869" i="1" s="1"/>
  <c r="Y869" i="1" s="1"/>
  <c r="Z869" i="1" s="1"/>
  <c r="V869" i="1"/>
  <c r="U869" i="1"/>
  <c r="T869" i="1"/>
  <c r="W892" i="1"/>
  <c r="X892" i="1" s="1"/>
  <c r="Y892" i="1" s="1"/>
  <c r="Z892" i="1" s="1"/>
  <c r="V892" i="1"/>
  <c r="U892" i="1"/>
  <c r="V923" i="1"/>
  <c r="U923" i="1"/>
  <c r="W923" i="1"/>
  <c r="X923" i="1" s="1"/>
  <c r="Y923" i="1" s="1"/>
  <c r="Z923" i="1" s="1"/>
  <c r="T923" i="1"/>
  <c r="W943" i="1"/>
  <c r="X943" i="1" s="1"/>
  <c r="Y943" i="1" s="1"/>
  <c r="Z943" i="1" s="1"/>
  <c r="W999" i="1"/>
  <c r="X999" i="1" s="1"/>
  <c r="Y999" i="1" s="1"/>
  <c r="Z999" i="1" s="1"/>
  <c r="T999" i="1"/>
  <c r="W1064" i="1"/>
  <c r="X1064" i="1" s="1"/>
  <c r="Y1064" i="1" s="1"/>
  <c r="Z1064" i="1" s="1"/>
  <c r="V1079" i="1"/>
  <c r="T1079" i="1"/>
  <c r="W1079" i="1"/>
  <c r="X1079" i="1" s="1"/>
  <c r="Y1079" i="1" s="1"/>
  <c r="Z1079" i="1" s="1"/>
  <c r="U1079" i="1"/>
  <c r="W1140" i="1"/>
  <c r="X1140" i="1" s="1"/>
  <c r="Y1140" i="1" s="1"/>
  <c r="Z1140" i="1" s="1"/>
  <c r="V1140" i="1"/>
  <c r="U1140" i="1"/>
  <c r="W591" i="1"/>
  <c r="X591" i="1" s="1"/>
  <c r="Y591" i="1" s="1"/>
  <c r="Z591" i="1" s="1"/>
  <c r="V591" i="1"/>
  <c r="U591" i="1"/>
  <c r="T591" i="1"/>
  <c r="W609" i="1"/>
  <c r="X609" i="1" s="1"/>
  <c r="Y609" i="1" s="1"/>
  <c r="Z609" i="1" s="1"/>
  <c r="V609" i="1"/>
  <c r="U609" i="1"/>
  <c r="W671" i="1"/>
  <c r="X671" i="1" s="1"/>
  <c r="Y671" i="1" s="1"/>
  <c r="Z671" i="1" s="1"/>
  <c r="V671" i="1"/>
  <c r="U671" i="1"/>
  <c r="T671" i="1"/>
  <c r="W680" i="1"/>
  <c r="X680" i="1" s="1"/>
  <c r="Y680" i="1" s="1"/>
  <c r="Z680" i="1" s="1"/>
  <c r="T680" i="1"/>
  <c r="U680" i="1"/>
  <c r="W716" i="1"/>
  <c r="X716" i="1" s="1"/>
  <c r="Y716" i="1" s="1"/>
  <c r="Z716" i="1" s="1"/>
  <c r="U716" i="1"/>
  <c r="V772" i="1"/>
  <c r="U772" i="1"/>
  <c r="T772" i="1"/>
  <c r="W805" i="1"/>
  <c r="X805" i="1" s="1"/>
  <c r="Y805" i="1" s="1"/>
  <c r="Z805" i="1" s="1"/>
  <c r="V805" i="1"/>
  <c r="T805" i="1"/>
  <c r="W812" i="1"/>
  <c r="X812" i="1" s="1"/>
  <c r="Y812" i="1" s="1"/>
  <c r="Z812" i="1" s="1"/>
  <c r="V812" i="1"/>
  <c r="U812" i="1"/>
  <c r="T812" i="1"/>
  <c r="V854" i="1"/>
  <c r="U854" i="1"/>
  <c r="T854" i="1"/>
  <c r="V877" i="1"/>
  <c r="U877" i="1"/>
  <c r="V884" i="1"/>
  <c r="U884" i="1"/>
  <c r="T884" i="1"/>
  <c r="V947" i="1"/>
  <c r="U947" i="1"/>
  <c r="W1045" i="1"/>
  <c r="X1045" i="1" s="1"/>
  <c r="Y1045" i="1" s="1"/>
  <c r="Z1045" i="1" s="1"/>
  <c r="V1045" i="1"/>
  <c r="U1045" i="1"/>
  <c r="T1045" i="1"/>
  <c r="W1053" i="1"/>
  <c r="X1053" i="1" s="1"/>
  <c r="Y1053" i="1" s="1"/>
  <c r="Z1053" i="1" s="1"/>
  <c r="V1053" i="1"/>
  <c r="W1111" i="1"/>
  <c r="X1111" i="1" s="1"/>
  <c r="Y1111" i="1" s="1"/>
  <c r="Z1111" i="1" s="1"/>
  <c r="V1111" i="1"/>
  <c r="U1111" i="1"/>
  <c r="T1111" i="1"/>
  <c r="W1115" i="1"/>
  <c r="X1115" i="1" s="1"/>
  <c r="Y1115" i="1" s="1"/>
  <c r="Z1115" i="1" s="1"/>
  <c r="V1115" i="1"/>
  <c r="U1115" i="1"/>
  <c r="W311" i="1"/>
  <c r="X311" i="1" s="1"/>
  <c r="Y311" i="1" s="1"/>
  <c r="Z311" i="1" s="1"/>
  <c r="W325" i="1"/>
  <c r="X325" i="1" s="1"/>
  <c r="Y325" i="1" s="1"/>
  <c r="Z325" i="1" s="1"/>
  <c r="W411" i="1"/>
  <c r="X411" i="1" s="1"/>
  <c r="Y411" i="1" s="1"/>
  <c r="Z411" i="1" s="1"/>
  <c r="W425" i="1"/>
  <c r="X425" i="1" s="1"/>
  <c r="Y425" i="1" s="1"/>
  <c r="Z425" i="1" s="1"/>
  <c r="W456" i="1"/>
  <c r="X456" i="1" s="1"/>
  <c r="Y456" i="1" s="1"/>
  <c r="Z456" i="1" s="1"/>
  <c r="V473" i="1"/>
  <c r="U507" i="1"/>
  <c r="U522" i="1"/>
  <c r="V524" i="1"/>
  <c r="V542" i="1"/>
  <c r="T542" i="1"/>
  <c r="U544" i="1"/>
  <c r="V582" i="1"/>
  <c r="U582" i="1"/>
  <c r="T582" i="1"/>
  <c r="T609" i="1"/>
  <c r="U618" i="1"/>
  <c r="V662" i="1"/>
  <c r="U662" i="1"/>
  <c r="T662" i="1"/>
  <c r="V680" i="1"/>
  <c r="V695" i="1"/>
  <c r="U711" i="1"/>
  <c r="T716" i="1"/>
  <c r="W729" i="1"/>
  <c r="X729" i="1" s="1"/>
  <c r="Y729" i="1" s="1"/>
  <c r="Z729" i="1" s="1"/>
  <c r="U761" i="1"/>
  <c r="U764" i="1"/>
  <c r="W772" i="1"/>
  <c r="X772" i="1" s="1"/>
  <c r="Y772" i="1" s="1"/>
  <c r="Z772" i="1" s="1"/>
  <c r="U805" i="1"/>
  <c r="T819" i="1"/>
  <c r="V825" i="1"/>
  <c r="U825" i="1"/>
  <c r="T825" i="1"/>
  <c r="W847" i="1"/>
  <c r="X847" i="1" s="1"/>
  <c r="Y847" i="1" s="1"/>
  <c r="Z847" i="1" s="1"/>
  <c r="V847" i="1"/>
  <c r="W854" i="1"/>
  <c r="X854" i="1" s="1"/>
  <c r="Y854" i="1" s="1"/>
  <c r="Z854" i="1" s="1"/>
  <c r="T877" i="1"/>
  <c r="W884" i="1"/>
  <c r="X884" i="1" s="1"/>
  <c r="Y884" i="1" s="1"/>
  <c r="Z884" i="1" s="1"/>
  <c r="T947" i="1"/>
  <c r="W951" i="1"/>
  <c r="X951" i="1" s="1"/>
  <c r="Y951" i="1" s="1"/>
  <c r="Z951" i="1" s="1"/>
  <c r="U951" i="1"/>
  <c r="V951" i="1"/>
  <c r="T951" i="1"/>
  <c r="V967" i="1"/>
  <c r="U967" i="1"/>
  <c r="W971" i="1"/>
  <c r="X971" i="1" s="1"/>
  <c r="Y971" i="1" s="1"/>
  <c r="Z971" i="1" s="1"/>
  <c r="U971" i="1"/>
  <c r="V971" i="1"/>
  <c r="T971" i="1"/>
  <c r="W990" i="1"/>
  <c r="X990" i="1" s="1"/>
  <c r="Y990" i="1" s="1"/>
  <c r="Z990" i="1" s="1"/>
  <c r="V990" i="1"/>
  <c r="W995" i="1"/>
  <c r="X995" i="1" s="1"/>
  <c r="Y995" i="1" s="1"/>
  <c r="Z995" i="1" s="1"/>
  <c r="V995" i="1"/>
  <c r="U995" i="1"/>
  <c r="T995" i="1"/>
  <c r="V999" i="1"/>
  <c r="W1022" i="1"/>
  <c r="X1022" i="1" s="1"/>
  <c r="Y1022" i="1" s="1"/>
  <c r="Z1022" i="1" s="1"/>
  <c r="V1022" i="1"/>
  <c r="U1022" i="1"/>
  <c r="T1022" i="1"/>
  <c r="V1036" i="1"/>
  <c r="U1036" i="1"/>
  <c r="T1036" i="1"/>
  <c r="W1036" i="1"/>
  <c r="X1036" i="1" s="1"/>
  <c r="Y1036" i="1" s="1"/>
  <c r="Z1036" i="1" s="1"/>
  <c r="T1053" i="1"/>
  <c r="T1115" i="1"/>
  <c r="W1122" i="1"/>
  <c r="X1122" i="1" s="1"/>
  <c r="Y1122" i="1" s="1"/>
  <c r="Z1122" i="1" s="1"/>
  <c r="V1122" i="1"/>
  <c r="U1122" i="1"/>
  <c r="T1122" i="1"/>
  <c r="W800" i="1"/>
  <c r="X800" i="1" s="1"/>
  <c r="Y800" i="1" s="1"/>
  <c r="Z800" i="1" s="1"/>
  <c r="T800" i="1"/>
  <c r="V857" i="1"/>
  <c r="U857" i="1"/>
  <c r="V924" i="1"/>
  <c r="U924" i="1"/>
  <c r="T924" i="1"/>
  <c r="U975" i="1"/>
  <c r="T975" i="1"/>
  <c r="U1017" i="1"/>
  <c r="T1017" i="1"/>
  <c r="V1082" i="1"/>
  <c r="U1082" i="1"/>
  <c r="T1082" i="1"/>
  <c r="W1145" i="1"/>
  <c r="X1145" i="1" s="1"/>
  <c r="Y1145" i="1" s="1"/>
  <c r="Z1145" i="1" s="1"/>
  <c r="V1145" i="1"/>
  <c r="U1145" i="1"/>
  <c r="T1145" i="1"/>
  <c r="W811" i="1"/>
  <c r="X811" i="1" s="1"/>
  <c r="Y811" i="1" s="1"/>
  <c r="Z811" i="1" s="1"/>
  <c r="V811" i="1"/>
  <c r="W927" i="1"/>
  <c r="X927" i="1" s="1"/>
  <c r="Y927" i="1" s="1"/>
  <c r="Z927" i="1" s="1"/>
  <c r="V927" i="1"/>
  <c r="T1002" i="1"/>
  <c r="W1002" i="1"/>
  <c r="X1002" i="1" s="1"/>
  <c r="Y1002" i="1" s="1"/>
  <c r="Z1002" i="1" s="1"/>
  <c r="V1002" i="1"/>
  <c r="V1056" i="1"/>
  <c r="U1056" i="1"/>
  <c r="T1056" i="1"/>
  <c r="T1061" i="1"/>
  <c r="U1061" i="1"/>
  <c r="V1095" i="1"/>
  <c r="W1133" i="1"/>
  <c r="X1133" i="1" s="1"/>
  <c r="Y1133" i="1" s="1"/>
  <c r="Z1133" i="1" s="1"/>
  <c r="V1133" i="1"/>
  <c r="U1133" i="1"/>
  <c r="T1133" i="1"/>
  <c r="T1252" i="1"/>
  <c r="W1252" i="1"/>
  <c r="X1252" i="1" s="1"/>
  <c r="Y1252" i="1" s="1"/>
  <c r="Z1252" i="1" s="1"/>
  <c r="V1252" i="1"/>
  <c r="U1252" i="1"/>
  <c r="T1268" i="1"/>
  <c r="W1268" i="1"/>
  <c r="X1268" i="1" s="1"/>
  <c r="Y1268" i="1" s="1"/>
  <c r="Z1268" i="1" s="1"/>
  <c r="V1268" i="1"/>
  <c r="U1268" i="1"/>
  <c r="W1297" i="1"/>
  <c r="X1297" i="1" s="1"/>
  <c r="Y1297" i="1" s="1"/>
  <c r="Z1297" i="1" s="1"/>
  <c r="V1297" i="1"/>
  <c r="T1297" i="1"/>
  <c r="W1333" i="1"/>
  <c r="X1333" i="1" s="1"/>
  <c r="Y1333" i="1" s="1"/>
  <c r="Z1333" i="1" s="1"/>
  <c r="U1333" i="1"/>
  <c r="T1333" i="1"/>
  <c r="V1333" i="1"/>
  <c r="U1338" i="1"/>
  <c r="T1338" i="1"/>
  <c r="W1338" i="1"/>
  <c r="X1338" i="1" s="1"/>
  <c r="Y1338" i="1" s="1"/>
  <c r="Z1338" i="1" s="1"/>
  <c r="V1338" i="1"/>
  <c r="V1460" i="1"/>
  <c r="T1460" i="1"/>
  <c r="W1460" i="1"/>
  <c r="X1460" i="1" s="1"/>
  <c r="Y1460" i="1" s="1"/>
  <c r="Z1460" i="1" s="1"/>
  <c r="U1460" i="1"/>
  <c r="U835" i="1"/>
  <c r="T835" i="1"/>
  <c r="T887" i="1"/>
  <c r="T927" i="1"/>
  <c r="T970" i="1"/>
  <c r="W988" i="1"/>
  <c r="X988" i="1" s="1"/>
  <c r="Y988" i="1" s="1"/>
  <c r="Z988" i="1" s="1"/>
  <c r="V988" i="1"/>
  <c r="U1002" i="1"/>
  <c r="T1029" i="1"/>
  <c r="W1056" i="1"/>
  <c r="X1056" i="1" s="1"/>
  <c r="Y1056" i="1" s="1"/>
  <c r="Z1056" i="1" s="1"/>
  <c r="V1061" i="1"/>
  <c r="U1086" i="1"/>
  <c r="U1196" i="1"/>
  <c r="W1196" i="1"/>
  <c r="X1196" i="1" s="1"/>
  <c r="Y1196" i="1" s="1"/>
  <c r="Z1196" i="1" s="1"/>
  <c r="V1196" i="1"/>
  <c r="T1196" i="1"/>
  <c r="W1208" i="1"/>
  <c r="X1208" i="1" s="1"/>
  <c r="Y1208" i="1" s="1"/>
  <c r="Z1208" i="1" s="1"/>
  <c r="V1208" i="1"/>
  <c r="U1208" i="1"/>
  <c r="T1257" i="1"/>
  <c r="W1257" i="1"/>
  <c r="X1257" i="1" s="1"/>
  <c r="Y1257" i="1" s="1"/>
  <c r="Z1257" i="1" s="1"/>
  <c r="V1257" i="1"/>
  <c r="V1284" i="1"/>
  <c r="U1284" i="1"/>
  <c r="W1284" i="1"/>
  <c r="X1284" i="1" s="1"/>
  <c r="Y1284" i="1" s="1"/>
  <c r="Z1284" i="1" s="1"/>
  <c r="T1284" i="1"/>
  <c r="U1297" i="1"/>
  <c r="V790" i="1"/>
  <c r="V792" i="1"/>
  <c r="V794" i="1"/>
  <c r="V822" i="1"/>
  <c r="U822" i="1"/>
  <c r="V826" i="1"/>
  <c r="W833" i="1"/>
  <c r="X833" i="1" s="1"/>
  <c r="Y833" i="1" s="1"/>
  <c r="Z833" i="1" s="1"/>
  <c r="U833" i="1"/>
  <c r="W840" i="1"/>
  <c r="X840" i="1" s="1"/>
  <c r="Y840" i="1" s="1"/>
  <c r="Z840" i="1" s="1"/>
  <c r="W853" i="1"/>
  <c r="X853" i="1" s="1"/>
  <c r="Y853" i="1" s="1"/>
  <c r="Z853" i="1" s="1"/>
  <c r="V853" i="1"/>
  <c r="U853" i="1"/>
  <c r="W917" i="1"/>
  <c r="X917" i="1" s="1"/>
  <c r="Y917" i="1" s="1"/>
  <c r="Z917" i="1" s="1"/>
  <c r="W925" i="1"/>
  <c r="X925" i="1" s="1"/>
  <c r="Y925" i="1" s="1"/>
  <c r="Z925" i="1" s="1"/>
  <c r="V925" i="1"/>
  <c r="V1009" i="1"/>
  <c r="V1059" i="1"/>
  <c r="T1059" i="1"/>
  <c r="W1059" i="1"/>
  <c r="X1059" i="1" s="1"/>
  <c r="Y1059" i="1" s="1"/>
  <c r="Z1059" i="1" s="1"/>
  <c r="U1059" i="1"/>
  <c r="V1116" i="1"/>
  <c r="U1116" i="1"/>
  <c r="T1116" i="1"/>
  <c r="W1116" i="1"/>
  <c r="X1116" i="1" s="1"/>
  <c r="Y1116" i="1" s="1"/>
  <c r="Z1116" i="1" s="1"/>
  <c r="W1150" i="1"/>
  <c r="X1150" i="1" s="1"/>
  <c r="Y1150" i="1" s="1"/>
  <c r="Z1150" i="1" s="1"/>
  <c r="V1285" i="1"/>
  <c r="U1285" i="1"/>
  <c r="W1285" i="1"/>
  <c r="X1285" i="1" s="1"/>
  <c r="Y1285" i="1" s="1"/>
  <c r="Z1285" i="1" s="1"/>
  <c r="T1285" i="1"/>
  <c r="W1793" i="1"/>
  <c r="X1793" i="1" s="1"/>
  <c r="Y1793" i="1" s="1"/>
  <c r="Z1793" i="1" s="1"/>
  <c r="V1793" i="1"/>
  <c r="T1793" i="1"/>
  <c r="U1793" i="1"/>
  <c r="T786" i="1"/>
  <c r="W820" i="1"/>
  <c r="X820" i="1" s="1"/>
  <c r="Y820" i="1" s="1"/>
  <c r="Z820" i="1" s="1"/>
  <c r="T820" i="1"/>
  <c r="T822" i="1"/>
  <c r="T833" i="1"/>
  <c r="T838" i="1"/>
  <c r="T853" i="1"/>
  <c r="V880" i="1"/>
  <c r="W880" i="1"/>
  <c r="X880" i="1" s="1"/>
  <c r="Y880" i="1" s="1"/>
  <c r="Z880" i="1" s="1"/>
  <c r="W912" i="1"/>
  <c r="X912" i="1" s="1"/>
  <c r="Y912" i="1" s="1"/>
  <c r="Z912" i="1" s="1"/>
  <c r="T912" i="1"/>
  <c r="U915" i="1"/>
  <c r="T915" i="1"/>
  <c r="T925" i="1"/>
  <c r="U935" i="1"/>
  <c r="T935" i="1"/>
  <c r="W953" i="1"/>
  <c r="X953" i="1" s="1"/>
  <c r="Y953" i="1" s="1"/>
  <c r="Z953" i="1" s="1"/>
  <c r="V953" i="1"/>
  <c r="U953" i="1"/>
  <c r="T953" i="1"/>
  <c r="T968" i="1"/>
  <c r="T986" i="1"/>
  <c r="W986" i="1"/>
  <c r="X986" i="1" s="1"/>
  <c r="Y986" i="1" s="1"/>
  <c r="Z986" i="1" s="1"/>
  <c r="W991" i="1"/>
  <c r="X991" i="1" s="1"/>
  <c r="Y991" i="1" s="1"/>
  <c r="Z991" i="1" s="1"/>
  <c r="U991" i="1"/>
  <c r="T991" i="1"/>
  <c r="T1021" i="1"/>
  <c r="V1021" i="1"/>
  <c r="U1021" i="1"/>
  <c r="T1080" i="1"/>
  <c r="W1083" i="1"/>
  <c r="X1083" i="1" s="1"/>
  <c r="Y1083" i="1" s="1"/>
  <c r="Z1083" i="1" s="1"/>
  <c r="V1083" i="1"/>
  <c r="U1083" i="1"/>
  <c r="T1083" i="1"/>
  <c r="V1310" i="1"/>
  <c r="W1310" i="1"/>
  <c r="X1310" i="1" s="1"/>
  <c r="Y1310" i="1" s="1"/>
  <c r="Z1310" i="1" s="1"/>
  <c r="U1310" i="1"/>
  <c r="T1310" i="1"/>
  <c r="V1359" i="1"/>
  <c r="U1359" i="1"/>
  <c r="T1359" i="1"/>
  <c r="W1368" i="1"/>
  <c r="X1368" i="1" s="1"/>
  <c r="Y1368" i="1" s="1"/>
  <c r="Z1368" i="1" s="1"/>
  <c r="V1368" i="1"/>
  <c r="U1368" i="1"/>
  <c r="U963" i="1"/>
  <c r="T963" i="1"/>
  <c r="V976" i="1"/>
  <c r="U976" i="1"/>
  <c r="W1006" i="1"/>
  <c r="X1006" i="1" s="1"/>
  <c r="Y1006" i="1" s="1"/>
  <c r="Z1006" i="1" s="1"/>
  <c r="V1006" i="1"/>
  <c r="T1006" i="1"/>
  <c r="W1012" i="1"/>
  <c r="X1012" i="1" s="1"/>
  <c r="Y1012" i="1" s="1"/>
  <c r="Z1012" i="1" s="1"/>
  <c r="V1012" i="1"/>
  <c r="T1012" i="1"/>
  <c r="V1033" i="1"/>
  <c r="U1033" i="1"/>
  <c r="T1033" i="1"/>
  <c r="V1039" i="1"/>
  <c r="T1039" i="1"/>
  <c r="W1062" i="1"/>
  <c r="X1062" i="1" s="1"/>
  <c r="Y1062" i="1" s="1"/>
  <c r="Z1062" i="1" s="1"/>
  <c r="V1062" i="1"/>
  <c r="U1062" i="1"/>
  <c r="T1062" i="1"/>
  <c r="V1096" i="1"/>
  <c r="U1096" i="1"/>
  <c r="T1096" i="1"/>
  <c r="U1204" i="1"/>
  <c r="W1204" i="1"/>
  <c r="X1204" i="1" s="1"/>
  <c r="Y1204" i="1" s="1"/>
  <c r="Z1204" i="1" s="1"/>
  <c r="V1204" i="1"/>
  <c r="T1204" i="1"/>
  <c r="V1237" i="1"/>
  <c r="W1237" i="1"/>
  <c r="X1237" i="1" s="1"/>
  <c r="Y1237" i="1" s="1"/>
  <c r="Z1237" i="1" s="1"/>
  <c r="U1237" i="1"/>
  <c r="T1237" i="1"/>
  <c r="V1265" i="1"/>
  <c r="U1265" i="1"/>
  <c r="W1265" i="1"/>
  <c r="X1265" i="1" s="1"/>
  <c r="Y1265" i="1" s="1"/>
  <c r="Z1265" i="1" s="1"/>
  <c r="T1265" i="1"/>
  <c r="V1410" i="1"/>
  <c r="U1410" i="1"/>
  <c r="W1410" i="1"/>
  <c r="X1410" i="1" s="1"/>
  <c r="Y1410" i="1" s="1"/>
  <c r="Z1410" i="1" s="1"/>
  <c r="T1410" i="1"/>
  <c r="W1420" i="1"/>
  <c r="X1420" i="1" s="1"/>
  <c r="Y1420" i="1" s="1"/>
  <c r="Z1420" i="1" s="1"/>
  <c r="V1420" i="1"/>
  <c r="U1420" i="1"/>
  <c r="V782" i="1"/>
  <c r="U782" i="1"/>
  <c r="V784" i="1"/>
  <c r="V820" i="1"/>
  <c r="V838" i="1"/>
  <c r="U848" i="1"/>
  <c r="T848" i="1"/>
  <c r="T858" i="1"/>
  <c r="U868" i="1"/>
  <c r="W873" i="1"/>
  <c r="X873" i="1" s="1"/>
  <c r="Y873" i="1" s="1"/>
  <c r="Z873" i="1" s="1"/>
  <c r="V873" i="1"/>
  <c r="U873" i="1"/>
  <c r="U880" i="1"/>
  <c r="T900" i="1"/>
  <c r="T905" i="1"/>
  <c r="V912" i="1"/>
  <c r="W915" i="1"/>
  <c r="X915" i="1" s="1"/>
  <c r="Y915" i="1" s="1"/>
  <c r="Z915" i="1" s="1"/>
  <c r="W935" i="1"/>
  <c r="X935" i="1" s="1"/>
  <c r="Y935" i="1" s="1"/>
  <c r="Z935" i="1" s="1"/>
  <c r="V963" i="1"/>
  <c r="V968" i="1"/>
  <c r="T976" i="1"/>
  <c r="V986" i="1"/>
  <c r="U1006" i="1"/>
  <c r="U1012" i="1"/>
  <c r="W1033" i="1"/>
  <c r="X1033" i="1" s="1"/>
  <c r="Y1033" i="1" s="1"/>
  <c r="Z1033" i="1" s="1"/>
  <c r="U1039" i="1"/>
  <c r="V1080" i="1"/>
  <c r="W1096" i="1"/>
  <c r="X1096" i="1" s="1"/>
  <c r="Y1096" i="1" s="1"/>
  <c r="Z1096" i="1" s="1"/>
  <c r="U1107" i="1"/>
  <c r="T1107" i="1"/>
  <c r="U1161" i="1"/>
  <c r="W1254" i="1"/>
  <c r="X1254" i="1" s="1"/>
  <c r="Y1254" i="1" s="1"/>
  <c r="Z1254" i="1" s="1"/>
  <c r="V1254" i="1"/>
  <c r="T1254" i="1"/>
  <c r="U1254" i="1"/>
  <c r="T1420" i="1"/>
  <c r="W780" i="1"/>
  <c r="X780" i="1" s="1"/>
  <c r="Y780" i="1" s="1"/>
  <c r="Z780" i="1" s="1"/>
  <c r="T780" i="1"/>
  <c r="V818" i="1"/>
  <c r="U818" i="1"/>
  <c r="W831" i="1"/>
  <c r="X831" i="1" s="1"/>
  <c r="Y831" i="1" s="1"/>
  <c r="Z831" i="1" s="1"/>
  <c r="U831" i="1"/>
  <c r="V831" i="1"/>
  <c r="T831" i="1"/>
  <c r="U858" i="1"/>
  <c r="W878" i="1"/>
  <c r="X878" i="1" s="1"/>
  <c r="Y878" i="1" s="1"/>
  <c r="Z878" i="1" s="1"/>
  <c r="V878" i="1"/>
  <c r="U900" i="1"/>
  <c r="U905" i="1"/>
  <c r="V920" i="1"/>
  <c r="W920" i="1"/>
  <c r="X920" i="1" s="1"/>
  <c r="Y920" i="1" s="1"/>
  <c r="Z920" i="1" s="1"/>
  <c r="U948" i="1"/>
  <c r="T948" i="1"/>
  <c r="W963" i="1"/>
  <c r="X963" i="1" s="1"/>
  <c r="Y963" i="1" s="1"/>
  <c r="Z963" i="1" s="1"/>
  <c r="W976" i="1"/>
  <c r="X976" i="1" s="1"/>
  <c r="Y976" i="1" s="1"/>
  <c r="Z976" i="1" s="1"/>
  <c r="U1027" i="1"/>
  <c r="T1027" i="1"/>
  <c r="W1027" i="1"/>
  <c r="X1027" i="1" s="1"/>
  <c r="Y1027" i="1" s="1"/>
  <c r="Z1027" i="1" s="1"/>
  <c r="W1039" i="1"/>
  <c r="X1039" i="1" s="1"/>
  <c r="Y1039" i="1" s="1"/>
  <c r="Z1039" i="1" s="1"/>
  <c r="V1161" i="1"/>
  <c r="W1175" i="1"/>
  <c r="X1175" i="1" s="1"/>
  <c r="Y1175" i="1" s="1"/>
  <c r="Z1175" i="1" s="1"/>
  <c r="V1175" i="1"/>
  <c r="U1175" i="1"/>
  <c r="W1294" i="1"/>
  <c r="X1294" i="1" s="1"/>
  <c r="Y1294" i="1" s="1"/>
  <c r="Z1294" i="1" s="1"/>
  <c r="V1294" i="1"/>
  <c r="U1294" i="1"/>
  <c r="T1294" i="1"/>
  <c r="W1624" i="1"/>
  <c r="X1624" i="1" s="1"/>
  <c r="Y1624" i="1" s="1"/>
  <c r="Z1624" i="1" s="1"/>
  <c r="U1624" i="1"/>
  <c r="T1624" i="1"/>
  <c r="V1624" i="1"/>
  <c r="W1131" i="1"/>
  <c r="X1131" i="1" s="1"/>
  <c r="Y1131" i="1" s="1"/>
  <c r="Z1131" i="1" s="1"/>
  <c r="V1131" i="1"/>
  <c r="U1131" i="1"/>
  <c r="T1131" i="1"/>
  <c r="W1151" i="1"/>
  <c r="X1151" i="1" s="1"/>
  <c r="Y1151" i="1" s="1"/>
  <c r="Z1151" i="1" s="1"/>
  <c r="V1151" i="1"/>
  <c r="U1151" i="1"/>
  <c r="T1151" i="1"/>
  <c r="W1161" i="1"/>
  <c r="X1161" i="1" s="1"/>
  <c r="Y1161" i="1" s="1"/>
  <c r="Z1161" i="1" s="1"/>
  <c r="V1205" i="1"/>
  <c r="U1205" i="1"/>
  <c r="T1205" i="1"/>
  <c r="W1205" i="1"/>
  <c r="X1205" i="1" s="1"/>
  <c r="Y1205" i="1" s="1"/>
  <c r="Z1205" i="1" s="1"/>
  <c r="W1214" i="1"/>
  <c r="X1214" i="1" s="1"/>
  <c r="Y1214" i="1" s="1"/>
  <c r="Z1214" i="1" s="1"/>
  <c r="V1214" i="1"/>
  <c r="U1214" i="1"/>
  <c r="T1214" i="1"/>
  <c r="T1306" i="1"/>
  <c r="W1306" i="1"/>
  <c r="X1306" i="1" s="1"/>
  <c r="Y1306" i="1" s="1"/>
  <c r="Z1306" i="1" s="1"/>
  <c r="V1306" i="1"/>
  <c r="U1306" i="1"/>
  <c r="W1360" i="1"/>
  <c r="X1360" i="1" s="1"/>
  <c r="Y1360" i="1" s="1"/>
  <c r="Z1360" i="1" s="1"/>
  <c r="V1360" i="1"/>
  <c r="U1360" i="1"/>
  <c r="T1360" i="1"/>
  <c r="W861" i="1"/>
  <c r="X861" i="1" s="1"/>
  <c r="Y861" i="1" s="1"/>
  <c r="Z861" i="1" s="1"/>
  <c r="T861" i="1"/>
  <c r="V910" i="1"/>
  <c r="U910" i="1"/>
  <c r="W933" i="1"/>
  <c r="X933" i="1" s="1"/>
  <c r="Y933" i="1" s="1"/>
  <c r="Z933" i="1" s="1"/>
  <c r="V933" i="1"/>
  <c r="U933" i="1"/>
  <c r="W948" i="1"/>
  <c r="X948" i="1" s="1"/>
  <c r="Y948" i="1" s="1"/>
  <c r="Z948" i="1" s="1"/>
  <c r="U958" i="1"/>
  <c r="U979" i="1"/>
  <c r="V1016" i="1"/>
  <c r="U1016" i="1"/>
  <c r="T1016" i="1"/>
  <c r="T1037" i="1"/>
  <c r="W1037" i="1"/>
  <c r="X1037" i="1" s="1"/>
  <c r="Y1037" i="1" s="1"/>
  <c r="Z1037" i="1" s="1"/>
  <c r="V1144" i="1"/>
  <c r="U1144" i="1"/>
  <c r="T1144" i="1"/>
  <c r="W1433" i="1"/>
  <c r="X1433" i="1" s="1"/>
  <c r="Y1433" i="1" s="1"/>
  <c r="Z1433" i="1" s="1"/>
  <c r="U1433" i="1"/>
  <c r="T1433" i="1"/>
  <c r="V1433" i="1"/>
  <c r="V816" i="1"/>
  <c r="V841" i="1"/>
  <c r="T846" i="1"/>
  <c r="V846" i="1"/>
  <c r="U846" i="1"/>
  <c r="V856" i="1"/>
  <c r="U861" i="1"/>
  <c r="W876" i="1"/>
  <c r="X876" i="1" s="1"/>
  <c r="Y876" i="1" s="1"/>
  <c r="Z876" i="1" s="1"/>
  <c r="V876" i="1"/>
  <c r="T888" i="1"/>
  <c r="T910" i="1"/>
  <c r="W913" i="1"/>
  <c r="X913" i="1" s="1"/>
  <c r="Y913" i="1" s="1"/>
  <c r="Z913" i="1" s="1"/>
  <c r="V913" i="1"/>
  <c r="U913" i="1"/>
  <c r="T933" i="1"/>
  <c r="V958" i="1"/>
  <c r="W961" i="1"/>
  <c r="X961" i="1" s="1"/>
  <c r="Y961" i="1" s="1"/>
  <c r="Z961" i="1" s="1"/>
  <c r="V961" i="1"/>
  <c r="V979" i="1"/>
  <c r="V984" i="1"/>
  <c r="U984" i="1"/>
  <c r="T984" i="1"/>
  <c r="W984" i="1"/>
  <c r="X984" i="1" s="1"/>
  <c r="Y984" i="1" s="1"/>
  <c r="Z984" i="1" s="1"/>
  <c r="W1016" i="1"/>
  <c r="X1016" i="1" s="1"/>
  <c r="Y1016" i="1" s="1"/>
  <c r="Z1016" i="1" s="1"/>
  <c r="U1037" i="1"/>
  <c r="W1043" i="1"/>
  <c r="X1043" i="1" s="1"/>
  <c r="Y1043" i="1" s="1"/>
  <c r="Z1043" i="1" s="1"/>
  <c r="V1043" i="1"/>
  <c r="U1043" i="1"/>
  <c r="T1043" i="1"/>
  <c r="V1066" i="1"/>
  <c r="U1078" i="1"/>
  <c r="U1104" i="1"/>
  <c r="W1144" i="1"/>
  <c r="X1144" i="1" s="1"/>
  <c r="Y1144" i="1" s="1"/>
  <c r="Z1144" i="1" s="1"/>
  <c r="T1148" i="1"/>
  <c r="U1219" i="1"/>
  <c r="W1219" i="1"/>
  <c r="X1219" i="1" s="1"/>
  <c r="Y1219" i="1" s="1"/>
  <c r="Z1219" i="1" s="1"/>
  <c r="V1219" i="1"/>
  <c r="T1219" i="1"/>
  <c r="U704" i="1"/>
  <c r="W846" i="1"/>
  <c r="X846" i="1" s="1"/>
  <c r="Y846" i="1" s="1"/>
  <c r="Z846" i="1" s="1"/>
  <c r="V861" i="1"/>
  <c r="V864" i="1"/>
  <c r="U864" i="1"/>
  <c r="T864" i="1"/>
  <c r="T876" i="1"/>
  <c r="U888" i="1"/>
  <c r="W893" i="1"/>
  <c r="X893" i="1" s="1"/>
  <c r="Y893" i="1" s="1"/>
  <c r="Z893" i="1" s="1"/>
  <c r="V893" i="1"/>
  <c r="U893" i="1"/>
  <c r="W910" i="1"/>
  <c r="X910" i="1" s="1"/>
  <c r="Y910" i="1" s="1"/>
  <c r="Z910" i="1" s="1"/>
  <c r="T913" i="1"/>
  <c r="U926" i="1"/>
  <c r="T936" i="1"/>
  <c r="T946" i="1"/>
  <c r="V946" i="1"/>
  <c r="U946" i="1"/>
  <c r="T961" i="1"/>
  <c r="U1007" i="1"/>
  <c r="T1007" i="1"/>
  <c r="W1010" i="1"/>
  <c r="X1010" i="1" s="1"/>
  <c r="Y1010" i="1" s="1"/>
  <c r="Z1010" i="1" s="1"/>
  <c r="V1010" i="1"/>
  <c r="T1010" i="1"/>
  <c r="V1019" i="1"/>
  <c r="U1019" i="1"/>
  <c r="T1019" i="1"/>
  <c r="V1037" i="1"/>
  <c r="T1049" i="1"/>
  <c r="W1063" i="1"/>
  <c r="X1063" i="1" s="1"/>
  <c r="Y1063" i="1" s="1"/>
  <c r="Z1063" i="1" s="1"/>
  <c r="V1063" i="1"/>
  <c r="U1063" i="1"/>
  <c r="T1063" i="1"/>
  <c r="V1078" i="1"/>
  <c r="V1104" i="1"/>
  <c r="U1148" i="1"/>
  <c r="W1186" i="1"/>
  <c r="X1186" i="1" s="1"/>
  <c r="Y1186" i="1" s="1"/>
  <c r="Z1186" i="1" s="1"/>
  <c r="V1186" i="1"/>
  <c r="U1186" i="1"/>
  <c r="T1186" i="1"/>
  <c r="U1210" i="1"/>
  <c r="T1394" i="1"/>
  <c r="V1394" i="1"/>
  <c r="U1394" i="1"/>
  <c r="W1394" i="1"/>
  <c r="X1394" i="1" s="1"/>
  <c r="Y1394" i="1" s="1"/>
  <c r="Z1394" i="1" s="1"/>
  <c r="W687" i="1"/>
  <c r="X687" i="1" s="1"/>
  <c r="Y687" i="1" s="1"/>
  <c r="Z687" i="1" s="1"/>
  <c r="V687" i="1"/>
  <c r="V702" i="1"/>
  <c r="U702" i="1"/>
  <c r="V738" i="1"/>
  <c r="U738" i="1"/>
  <c r="W871" i="1"/>
  <c r="X871" i="1" s="1"/>
  <c r="Y871" i="1" s="1"/>
  <c r="Z871" i="1" s="1"/>
  <c r="U871" i="1"/>
  <c r="V888" i="1"/>
  <c r="U908" i="1"/>
  <c r="T908" i="1"/>
  <c r="V921" i="1"/>
  <c r="T921" i="1"/>
  <c r="V964" i="1"/>
  <c r="U964" i="1"/>
  <c r="T964" i="1"/>
  <c r="W1078" i="1"/>
  <c r="X1078" i="1" s="1"/>
  <c r="Y1078" i="1" s="1"/>
  <c r="Z1078" i="1" s="1"/>
  <c r="W1104" i="1"/>
  <c r="X1104" i="1" s="1"/>
  <c r="Y1104" i="1" s="1"/>
  <c r="Z1104" i="1" s="1"/>
  <c r="W1120" i="1"/>
  <c r="X1120" i="1" s="1"/>
  <c r="Y1120" i="1" s="1"/>
  <c r="Z1120" i="1" s="1"/>
  <c r="V1120" i="1"/>
  <c r="U1120" i="1"/>
  <c r="V1148" i="1"/>
  <c r="W1543" i="1"/>
  <c r="X1543" i="1" s="1"/>
  <c r="Y1543" i="1" s="1"/>
  <c r="Z1543" i="1" s="1"/>
  <c r="U1543" i="1"/>
  <c r="T1543" i="1"/>
  <c r="W700" i="1"/>
  <c r="X700" i="1" s="1"/>
  <c r="Y700" i="1" s="1"/>
  <c r="Z700" i="1" s="1"/>
  <c r="T700" i="1"/>
  <c r="U753" i="1"/>
  <c r="T753" i="1"/>
  <c r="U789" i="1"/>
  <c r="T789" i="1"/>
  <c r="W916" i="1"/>
  <c r="X916" i="1" s="1"/>
  <c r="Y916" i="1" s="1"/>
  <c r="Z916" i="1" s="1"/>
  <c r="V916" i="1"/>
  <c r="W931" i="1"/>
  <c r="X931" i="1" s="1"/>
  <c r="Y931" i="1" s="1"/>
  <c r="Z931" i="1" s="1"/>
  <c r="U931" i="1"/>
  <c r="W982" i="1"/>
  <c r="X982" i="1" s="1"/>
  <c r="Y982" i="1" s="1"/>
  <c r="Z982" i="1" s="1"/>
  <c r="V982" i="1"/>
  <c r="T982" i="1"/>
  <c r="V1004" i="1"/>
  <c r="U1004" i="1"/>
  <c r="T1004" i="1"/>
  <c r="W1034" i="1"/>
  <c r="X1034" i="1" s="1"/>
  <c r="Y1034" i="1" s="1"/>
  <c r="Z1034" i="1" s="1"/>
  <c r="V1034" i="1"/>
  <c r="U1034" i="1"/>
  <c r="T1034" i="1"/>
  <c r="W1040" i="1"/>
  <c r="X1040" i="1" s="1"/>
  <c r="Y1040" i="1" s="1"/>
  <c r="Z1040" i="1" s="1"/>
  <c r="V1040" i="1"/>
  <c r="U1040" i="1"/>
  <c r="T1040" i="1"/>
  <c r="V1055" i="1"/>
  <c r="U1055" i="1"/>
  <c r="T1055" i="1"/>
  <c r="T1081" i="1"/>
  <c r="U1081" i="1"/>
  <c r="W1081" i="1"/>
  <c r="X1081" i="1" s="1"/>
  <c r="Y1081" i="1" s="1"/>
  <c r="Z1081" i="1" s="1"/>
  <c r="V1081" i="1"/>
  <c r="U1091" i="1"/>
  <c r="T1091" i="1"/>
  <c r="W1114" i="1"/>
  <c r="X1114" i="1" s="1"/>
  <c r="Y1114" i="1" s="1"/>
  <c r="Z1114" i="1" s="1"/>
  <c r="V1114" i="1"/>
  <c r="U1114" i="1"/>
  <c r="T1114" i="1"/>
  <c r="V1159" i="1"/>
  <c r="W1159" i="1"/>
  <c r="X1159" i="1" s="1"/>
  <c r="Y1159" i="1" s="1"/>
  <c r="Z1159" i="1" s="1"/>
  <c r="U1159" i="1"/>
  <c r="T1166" i="1"/>
  <c r="V1553" i="1"/>
  <c r="U1553" i="1"/>
  <c r="W1553" i="1"/>
  <c r="X1553" i="1" s="1"/>
  <c r="Y1553" i="1" s="1"/>
  <c r="Z1553" i="1" s="1"/>
  <c r="T1553" i="1"/>
  <c r="U687" i="1"/>
  <c r="U700" i="1"/>
  <c r="W702" i="1"/>
  <c r="X702" i="1" s="1"/>
  <c r="Y702" i="1" s="1"/>
  <c r="Z702" i="1" s="1"/>
  <c r="U736" i="1"/>
  <c r="W738" i="1"/>
  <c r="X738" i="1" s="1"/>
  <c r="Y738" i="1" s="1"/>
  <c r="Z738" i="1" s="1"/>
  <c r="V753" i="1"/>
  <c r="V789" i="1"/>
  <c r="U804" i="1"/>
  <c r="T849" i="1"/>
  <c r="V859" i="1"/>
  <c r="U859" i="1"/>
  <c r="V871" i="1"/>
  <c r="V874" i="1"/>
  <c r="U874" i="1"/>
  <c r="V886" i="1"/>
  <c r="W891" i="1"/>
  <c r="X891" i="1" s="1"/>
  <c r="Y891" i="1" s="1"/>
  <c r="Z891" i="1" s="1"/>
  <c r="U891" i="1"/>
  <c r="U901" i="1"/>
  <c r="T906" i="1"/>
  <c r="V906" i="1"/>
  <c r="U906" i="1"/>
  <c r="W908" i="1"/>
  <c r="X908" i="1" s="1"/>
  <c r="Y908" i="1" s="1"/>
  <c r="Z908" i="1" s="1"/>
  <c r="T916" i="1"/>
  <c r="W921" i="1"/>
  <c r="X921" i="1" s="1"/>
  <c r="Y921" i="1" s="1"/>
  <c r="Z921" i="1" s="1"/>
  <c r="T931" i="1"/>
  <c r="V972" i="1"/>
  <c r="U972" i="1"/>
  <c r="U982" i="1"/>
  <c r="W1004" i="1"/>
  <c r="X1004" i="1" s="1"/>
  <c r="Y1004" i="1" s="1"/>
  <c r="Z1004" i="1" s="1"/>
  <c r="W1055" i="1"/>
  <c r="X1055" i="1" s="1"/>
  <c r="Y1055" i="1" s="1"/>
  <c r="Z1055" i="1" s="1"/>
  <c r="V1076" i="1"/>
  <c r="U1076" i="1"/>
  <c r="T1076" i="1"/>
  <c r="V1091" i="1"/>
  <c r="T1159" i="1"/>
  <c r="T1169" i="1"/>
  <c r="W1395" i="1"/>
  <c r="X1395" i="1" s="1"/>
  <c r="Y1395" i="1" s="1"/>
  <c r="Z1395" i="1" s="1"/>
  <c r="V1395" i="1"/>
  <c r="U1395" i="1"/>
  <c r="V1507" i="1"/>
  <c r="W1507" i="1"/>
  <c r="X1507" i="1" s="1"/>
  <c r="Y1507" i="1" s="1"/>
  <c r="Z1507" i="1" s="1"/>
  <c r="U1507" i="1"/>
  <c r="T1507" i="1"/>
  <c r="U1200" i="1"/>
  <c r="T1200" i="1"/>
  <c r="W1274" i="1"/>
  <c r="X1274" i="1" s="1"/>
  <c r="Y1274" i="1" s="1"/>
  <c r="Z1274" i="1" s="1"/>
  <c r="V1274" i="1"/>
  <c r="U1274" i="1"/>
  <c r="T1274" i="1"/>
  <c r="W1663" i="1"/>
  <c r="X1663" i="1" s="1"/>
  <c r="Y1663" i="1" s="1"/>
  <c r="Z1663" i="1" s="1"/>
  <c r="V1663" i="1"/>
  <c r="U1663" i="1"/>
  <c r="V1289" i="1"/>
  <c r="U1289" i="1"/>
  <c r="T1289" i="1"/>
  <c r="V1386" i="1"/>
  <c r="U1386" i="1"/>
  <c r="W1386" i="1"/>
  <c r="X1386" i="1" s="1"/>
  <c r="Y1386" i="1" s="1"/>
  <c r="Z1386" i="1" s="1"/>
  <c r="T1414" i="1"/>
  <c r="V1414" i="1"/>
  <c r="U1414" i="1"/>
  <c r="W1414" i="1"/>
  <c r="X1414" i="1" s="1"/>
  <c r="Y1414" i="1" s="1"/>
  <c r="Z1414" i="1" s="1"/>
  <c r="U1427" i="1"/>
  <c r="T1427" i="1"/>
  <c r="W1427" i="1"/>
  <c r="X1427" i="1" s="1"/>
  <c r="Y1427" i="1" s="1"/>
  <c r="Z1427" i="1" s="1"/>
  <c r="V1427" i="1"/>
  <c r="V1556" i="1"/>
  <c r="W1556" i="1"/>
  <c r="X1556" i="1" s="1"/>
  <c r="Y1556" i="1" s="1"/>
  <c r="Z1556" i="1" s="1"/>
  <c r="U1556" i="1"/>
  <c r="T1556" i="1"/>
  <c r="W1736" i="1"/>
  <c r="X1736" i="1" s="1"/>
  <c r="Y1736" i="1" s="1"/>
  <c r="Z1736" i="1" s="1"/>
  <c r="V1736" i="1"/>
  <c r="U1736" i="1"/>
  <c r="T1736" i="1"/>
  <c r="W1303" i="1"/>
  <c r="X1303" i="1" s="1"/>
  <c r="Y1303" i="1" s="1"/>
  <c r="Z1303" i="1" s="1"/>
  <c r="V1303" i="1"/>
  <c r="U1303" i="1"/>
  <c r="T1303" i="1"/>
  <c r="W1439" i="1"/>
  <c r="X1439" i="1" s="1"/>
  <c r="Y1439" i="1" s="1"/>
  <c r="Z1439" i="1" s="1"/>
  <c r="V1439" i="1"/>
  <c r="U1439" i="1"/>
  <c r="T1439" i="1"/>
  <c r="W1447" i="1"/>
  <c r="X1447" i="1" s="1"/>
  <c r="Y1447" i="1" s="1"/>
  <c r="Z1447" i="1" s="1"/>
  <c r="V1447" i="1"/>
  <c r="U1447" i="1"/>
  <c r="T1447" i="1"/>
  <c r="U1560" i="1"/>
  <c r="W1560" i="1"/>
  <c r="X1560" i="1" s="1"/>
  <c r="Y1560" i="1" s="1"/>
  <c r="Z1560" i="1" s="1"/>
  <c r="V1560" i="1"/>
  <c r="W1247" i="1"/>
  <c r="X1247" i="1" s="1"/>
  <c r="Y1247" i="1" s="1"/>
  <c r="Z1247" i="1" s="1"/>
  <c r="T1247" i="1"/>
  <c r="V1247" i="1"/>
  <c r="V1255" i="1"/>
  <c r="W1255" i="1"/>
  <c r="X1255" i="1" s="1"/>
  <c r="Y1255" i="1" s="1"/>
  <c r="Z1255" i="1" s="1"/>
  <c r="W1314" i="1"/>
  <c r="X1314" i="1" s="1"/>
  <c r="Y1314" i="1" s="1"/>
  <c r="Z1314" i="1" s="1"/>
  <c r="V1314" i="1"/>
  <c r="U1314" i="1"/>
  <c r="T1314" i="1"/>
  <c r="T1364" i="1"/>
  <c r="U1364" i="1"/>
  <c r="U1387" i="1"/>
  <c r="W1387" i="1"/>
  <c r="X1387" i="1" s="1"/>
  <c r="Y1387" i="1" s="1"/>
  <c r="Z1387" i="1" s="1"/>
  <c r="V1387" i="1"/>
  <c r="T1387" i="1"/>
  <c r="V1407" i="1"/>
  <c r="T1407" i="1"/>
  <c r="V1452" i="1"/>
  <c r="T1452" i="1"/>
  <c r="W1452" i="1"/>
  <c r="X1452" i="1" s="1"/>
  <c r="Y1452" i="1" s="1"/>
  <c r="Z1452" i="1" s="1"/>
  <c r="U1452" i="1"/>
  <c r="T1560" i="1"/>
  <c r="W1234" i="1"/>
  <c r="X1234" i="1" s="1"/>
  <c r="Y1234" i="1" s="1"/>
  <c r="Z1234" i="1" s="1"/>
  <c r="V1234" i="1"/>
  <c r="W1304" i="1"/>
  <c r="X1304" i="1" s="1"/>
  <c r="Y1304" i="1" s="1"/>
  <c r="Z1304" i="1" s="1"/>
  <c r="V1304" i="1"/>
  <c r="W1315" i="1"/>
  <c r="X1315" i="1" s="1"/>
  <c r="Y1315" i="1" s="1"/>
  <c r="Z1315" i="1" s="1"/>
  <c r="V1315" i="1"/>
  <c r="U1315" i="1"/>
  <c r="T1315" i="1"/>
  <c r="W1319" i="1"/>
  <c r="X1319" i="1" s="1"/>
  <c r="Y1319" i="1" s="1"/>
  <c r="Z1319" i="1" s="1"/>
  <c r="V1319" i="1"/>
  <c r="U1319" i="1"/>
  <c r="V1489" i="1"/>
  <c r="W1489" i="1"/>
  <c r="X1489" i="1" s="1"/>
  <c r="Y1489" i="1" s="1"/>
  <c r="Z1489" i="1" s="1"/>
  <c r="T1489" i="1"/>
  <c r="U1489" i="1"/>
  <c r="V1561" i="1"/>
  <c r="T1561" i="1"/>
  <c r="W1561" i="1"/>
  <c r="X1561" i="1" s="1"/>
  <c r="Y1561" i="1" s="1"/>
  <c r="Z1561" i="1" s="1"/>
  <c r="U1561" i="1"/>
  <c r="U1167" i="1"/>
  <c r="T1167" i="1"/>
  <c r="V1167" i="1"/>
  <c r="W1248" i="1"/>
  <c r="X1248" i="1" s="1"/>
  <c r="Y1248" i="1" s="1"/>
  <c r="Z1248" i="1" s="1"/>
  <c r="V1248" i="1"/>
  <c r="U1248" i="1"/>
  <c r="T1248" i="1"/>
  <c r="V1308" i="1"/>
  <c r="W1308" i="1"/>
  <c r="X1308" i="1" s="1"/>
  <c r="Y1308" i="1" s="1"/>
  <c r="Z1308" i="1" s="1"/>
  <c r="U1308" i="1"/>
  <c r="W1361" i="1"/>
  <c r="X1361" i="1" s="1"/>
  <c r="Y1361" i="1" s="1"/>
  <c r="Z1361" i="1" s="1"/>
  <c r="T1361" i="1"/>
  <c r="V1361" i="1"/>
  <c r="U1361" i="1"/>
  <c r="W1388" i="1"/>
  <c r="X1388" i="1" s="1"/>
  <c r="Y1388" i="1" s="1"/>
  <c r="Z1388" i="1" s="1"/>
  <c r="U1388" i="1"/>
  <c r="T1388" i="1"/>
  <c r="V1388" i="1"/>
  <c r="W1760" i="1"/>
  <c r="X1760" i="1" s="1"/>
  <c r="Y1760" i="1" s="1"/>
  <c r="Z1760" i="1" s="1"/>
  <c r="V1760" i="1"/>
  <c r="T1760" i="1"/>
  <c r="U895" i="1"/>
  <c r="T895" i="1"/>
  <c r="W1054" i="1"/>
  <c r="X1054" i="1" s="1"/>
  <c r="Y1054" i="1" s="1"/>
  <c r="Z1054" i="1" s="1"/>
  <c r="V1054" i="1"/>
  <c r="U1054" i="1"/>
  <c r="T1113" i="1"/>
  <c r="W1125" i="1"/>
  <c r="X1125" i="1" s="1"/>
  <c r="Y1125" i="1" s="1"/>
  <c r="Z1125" i="1" s="1"/>
  <c r="V1125" i="1"/>
  <c r="U1125" i="1"/>
  <c r="T1125" i="1"/>
  <c r="T1146" i="1"/>
  <c r="T1157" i="1"/>
  <c r="T1162" i="1"/>
  <c r="W1167" i="1"/>
  <c r="X1167" i="1" s="1"/>
  <c r="Y1167" i="1" s="1"/>
  <c r="Z1167" i="1" s="1"/>
  <c r="W1189" i="1"/>
  <c r="X1189" i="1" s="1"/>
  <c r="Y1189" i="1" s="1"/>
  <c r="Z1189" i="1" s="1"/>
  <c r="U1189" i="1"/>
  <c r="T1195" i="1"/>
  <c r="U1234" i="1"/>
  <c r="W1301" i="1"/>
  <c r="X1301" i="1" s="1"/>
  <c r="Y1301" i="1" s="1"/>
  <c r="Z1301" i="1" s="1"/>
  <c r="V1301" i="1"/>
  <c r="U1301" i="1"/>
  <c r="T1301" i="1"/>
  <c r="U1304" i="1"/>
  <c r="T1308" i="1"/>
  <c r="W1421" i="1"/>
  <c r="X1421" i="1" s="1"/>
  <c r="Y1421" i="1" s="1"/>
  <c r="Z1421" i="1" s="1"/>
  <c r="U1421" i="1"/>
  <c r="T1421" i="1"/>
  <c r="V1421" i="1"/>
  <c r="W1453" i="1"/>
  <c r="X1453" i="1" s="1"/>
  <c r="Y1453" i="1" s="1"/>
  <c r="Z1453" i="1" s="1"/>
  <c r="V1453" i="1"/>
  <c r="T1453" i="1"/>
  <c r="U1554" i="1"/>
  <c r="W1554" i="1"/>
  <c r="X1554" i="1" s="1"/>
  <c r="Y1554" i="1" s="1"/>
  <c r="Z1554" i="1" s="1"/>
  <c r="V1554" i="1"/>
  <c r="T1554" i="1"/>
  <c r="U1760" i="1"/>
  <c r="V844" i="1"/>
  <c r="U844" i="1"/>
  <c r="T844" i="1"/>
  <c r="V895" i="1"/>
  <c r="V944" i="1"/>
  <c r="U944" i="1"/>
  <c r="T944" i="1"/>
  <c r="W1032" i="1"/>
  <c r="X1032" i="1" s="1"/>
  <c r="Y1032" i="1" s="1"/>
  <c r="Z1032" i="1" s="1"/>
  <c r="V1032" i="1"/>
  <c r="U1032" i="1"/>
  <c r="T1032" i="1"/>
  <c r="T1054" i="1"/>
  <c r="T1069" i="1"/>
  <c r="T1084" i="1"/>
  <c r="U1113" i="1"/>
  <c r="U1146" i="1"/>
  <c r="U1157" i="1"/>
  <c r="U1162" i="1"/>
  <c r="T1170" i="1"/>
  <c r="T1189" i="1"/>
  <c r="U1195" i="1"/>
  <c r="W1212" i="1"/>
  <c r="X1212" i="1" s="1"/>
  <c r="Y1212" i="1" s="1"/>
  <c r="Z1212" i="1" s="1"/>
  <c r="V1212" i="1"/>
  <c r="U1212" i="1"/>
  <c r="T1212" i="1"/>
  <c r="W1298" i="1"/>
  <c r="X1298" i="1" s="1"/>
  <c r="Y1298" i="1" s="1"/>
  <c r="Z1298" i="1" s="1"/>
  <c r="V1298" i="1"/>
  <c r="U1298" i="1"/>
  <c r="T1298" i="1"/>
  <c r="T1312" i="1"/>
  <c r="U1350" i="1"/>
  <c r="W1350" i="1"/>
  <c r="X1350" i="1" s="1"/>
  <c r="Y1350" i="1" s="1"/>
  <c r="Z1350" i="1" s="1"/>
  <c r="U1453" i="1"/>
  <c r="V1494" i="1"/>
  <c r="T1494" i="1"/>
  <c r="W1494" i="1"/>
  <c r="X1494" i="1" s="1"/>
  <c r="Y1494" i="1" s="1"/>
  <c r="Z1494" i="1" s="1"/>
  <c r="U1494" i="1"/>
  <c r="W1532" i="1"/>
  <c r="X1532" i="1" s="1"/>
  <c r="Y1532" i="1" s="1"/>
  <c r="Z1532" i="1" s="1"/>
  <c r="V1532" i="1"/>
  <c r="U1532" i="1"/>
  <c r="T1532" i="1"/>
  <c r="W1154" i="1"/>
  <c r="X1154" i="1" s="1"/>
  <c r="Y1154" i="1" s="1"/>
  <c r="Z1154" i="1" s="1"/>
  <c r="V1154" i="1"/>
  <c r="U1154" i="1"/>
  <c r="T1154" i="1"/>
  <c r="V1195" i="1"/>
  <c r="U1276" i="1"/>
  <c r="T1276" i="1"/>
  <c r="V1276" i="1"/>
  <c r="U1417" i="1"/>
  <c r="T1417" i="1"/>
  <c r="V1429" i="1"/>
  <c r="U1429" i="1"/>
  <c r="T1429" i="1"/>
  <c r="W1436" i="1"/>
  <c r="X1436" i="1" s="1"/>
  <c r="Y1436" i="1" s="1"/>
  <c r="Z1436" i="1" s="1"/>
  <c r="V1436" i="1"/>
  <c r="U1436" i="1"/>
  <c r="T1436" i="1"/>
  <c r="W1756" i="1"/>
  <c r="X1756" i="1" s="1"/>
  <c r="Y1756" i="1" s="1"/>
  <c r="Z1756" i="1" s="1"/>
  <c r="V1756" i="1"/>
  <c r="U1756" i="1"/>
  <c r="T1756" i="1"/>
  <c r="V1136" i="1"/>
  <c r="U1136" i="1"/>
  <c r="T1136" i="1"/>
  <c r="V1249" i="1"/>
  <c r="U1249" i="1"/>
  <c r="W1276" i="1"/>
  <c r="X1276" i="1" s="1"/>
  <c r="Y1276" i="1" s="1"/>
  <c r="Z1276" i="1" s="1"/>
  <c r="V1295" i="1"/>
  <c r="U1295" i="1"/>
  <c r="U1316" i="1"/>
  <c r="T1316" i="1"/>
  <c r="W1316" i="1"/>
  <c r="X1316" i="1" s="1"/>
  <c r="Y1316" i="1" s="1"/>
  <c r="Z1316" i="1" s="1"/>
  <c r="W1335" i="1"/>
  <c r="X1335" i="1" s="1"/>
  <c r="Y1335" i="1" s="1"/>
  <c r="Z1335" i="1" s="1"/>
  <c r="V1335" i="1"/>
  <c r="T1335" i="1"/>
  <c r="V1389" i="1"/>
  <c r="U1389" i="1"/>
  <c r="W1422" i="1"/>
  <c r="X1422" i="1" s="1"/>
  <c r="Y1422" i="1" s="1"/>
  <c r="Z1422" i="1" s="1"/>
  <c r="V1422" i="1"/>
  <c r="U1422" i="1"/>
  <c r="T1422" i="1"/>
  <c r="W1429" i="1"/>
  <c r="X1429" i="1" s="1"/>
  <c r="Y1429" i="1" s="1"/>
  <c r="Z1429" i="1" s="1"/>
  <c r="V751" i="1"/>
  <c r="V771" i="1"/>
  <c r="V791" i="1"/>
  <c r="U855" i="1"/>
  <c r="T855" i="1"/>
  <c r="U955" i="1"/>
  <c r="T955" i="1"/>
  <c r="V996" i="1"/>
  <c r="U996" i="1"/>
  <c r="T996" i="1"/>
  <c r="U1030" i="1"/>
  <c r="T1030" i="1"/>
  <c r="W1074" i="1"/>
  <c r="X1074" i="1" s="1"/>
  <c r="Y1074" i="1" s="1"/>
  <c r="Z1074" i="1" s="1"/>
  <c r="V1074" i="1"/>
  <c r="U1074" i="1"/>
  <c r="U1087" i="1"/>
  <c r="T1087" i="1"/>
  <c r="V1089" i="1"/>
  <c r="V1106" i="1"/>
  <c r="W1136" i="1"/>
  <c r="X1136" i="1" s="1"/>
  <c r="Y1136" i="1" s="1"/>
  <c r="Z1136" i="1" s="1"/>
  <c r="U1149" i="1"/>
  <c r="U1181" i="1"/>
  <c r="V1229" i="1"/>
  <c r="U1229" i="1"/>
  <c r="W1232" i="1"/>
  <c r="X1232" i="1" s="1"/>
  <c r="Y1232" i="1" s="1"/>
  <c r="Z1232" i="1" s="1"/>
  <c r="V1232" i="1"/>
  <c r="U1232" i="1"/>
  <c r="T1232" i="1"/>
  <c r="T1235" i="1"/>
  <c r="W1235" i="1"/>
  <c r="X1235" i="1" s="1"/>
  <c r="Y1235" i="1" s="1"/>
  <c r="Z1235" i="1" s="1"/>
  <c r="V1235" i="1"/>
  <c r="U1235" i="1"/>
  <c r="T1249" i="1"/>
  <c r="T1295" i="1"/>
  <c r="V1316" i="1"/>
  <c r="W1331" i="1"/>
  <c r="X1331" i="1" s="1"/>
  <c r="Y1331" i="1" s="1"/>
  <c r="Z1331" i="1" s="1"/>
  <c r="V1331" i="1"/>
  <c r="U1331" i="1"/>
  <c r="T1331" i="1"/>
  <c r="U1335" i="1"/>
  <c r="U1370" i="1"/>
  <c r="V1370" i="1"/>
  <c r="T1389" i="1"/>
  <c r="W1417" i="1"/>
  <c r="X1417" i="1" s="1"/>
  <c r="Y1417" i="1" s="1"/>
  <c r="Z1417" i="1" s="1"/>
  <c r="V855" i="1"/>
  <c r="V904" i="1"/>
  <c r="U904" i="1"/>
  <c r="T904" i="1"/>
  <c r="V955" i="1"/>
  <c r="W996" i="1"/>
  <c r="X996" i="1" s="1"/>
  <c r="Y996" i="1" s="1"/>
  <c r="Z996" i="1" s="1"/>
  <c r="V1030" i="1"/>
  <c r="T1074" i="1"/>
  <c r="V1087" i="1"/>
  <c r="W1094" i="1"/>
  <c r="X1094" i="1" s="1"/>
  <c r="Y1094" i="1" s="1"/>
  <c r="Z1094" i="1" s="1"/>
  <c r="V1094" i="1"/>
  <c r="U1094" i="1"/>
  <c r="V1149" i="1"/>
  <c r="T1168" i="1"/>
  <c r="V1181" i="1"/>
  <c r="W1223" i="1"/>
  <c r="X1223" i="1" s="1"/>
  <c r="Y1223" i="1" s="1"/>
  <c r="Z1223" i="1" s="1"/>
  <c r="V1223" i="1"/>
  <c r="T1229" i="1"/>
  <c r="W1242" i="1"/>
  <c r="X1242" i="1" s="1"/>
  <c r="Y1242" i="1" s="1"/>
  <c r="Z1242" i="1" s="1"/>
  <c r="U1242" i="1"/>
  <c r="T1242" i="1"/>
  <c r="W1249" i="1"/>
  <c r="X1249" i="1" s="1"/>
  <c r="Y1249" i="1" s="1"/>
  <c r="Z1249" i="1" s="1"/>
  <c r="W1295" i="1"/>
  <c r="X1295" i="1" s="1"/>
  <c r="Y1295" i="1" s="1"/>
  <c r="Z1295" i="1" s="1"/>
  <c r="V1305" i="1"/>
  <c r="U1305" i="1"/>
  <c r="W1305" i="1"/>
  <c r="X1305" i="1" s="1"/>
  <c r="Y1305" i="1" s="1"/>
  <c r="Z1305" i="1" s="1"/>
  <c r="T1370" i="1"/>
  <c r="W1389" i="1"/>
  <c r="X1389" i="1" s="1"/>
  <c r="Y1389" i="1" s="1"/>
  <c r="Z1389" i="1" s="1"/>
  <c r="T1397" i="1"/>
  <c r="U1696" i="1"/>
  <c r="T1696" i="1"/>
  <c r="V1696" i="1"/>
  <c r="W1696" i="1"/>
  <c r="X1696" i="1" s="1"/>
  <c r="Y1696" i="1" s="1"/>
  <c r="Z1696" i="1" s="1"/>
  <c r="W1028" i="1"/>
  <c r="X1028" i="1" s="1"/>
  <c r="Y1028" i="1" s="1"/>
  <c r="Z1028" i="1" s="1"/>
  <c r="T1028" i="1"/>
  <c r="W1165" i="1"/>
  <c r="X1165" i="1" s="1"/>
  <c r="Y1165" i="1" s="1"/>
  <c r="Z1165" i="1" s="1"/>
  <c r="V1165" i="1"/>
  <c r="U1165" i="1"/>
  <c r="T1165" i="1"/>
  <c r="W1181" i="1"/>
  <c r="X1181" i="1" s="1"/>
  <c r="Y1181" i="1" s="1"/>
  <c r="Z1181" i="1" s="1"/>
  <c r="W1193" i="1"/>
  <c r="X1193" i="1" s="1"/>
  <c r="Y1193" i="1" s="1"/>
  <c r="Z1193" i="1" s="1"/>
  <c r="V1193" i="1"/>
  <c r="T1199" i="1"/>
  <c r="W1199" i="1"/>
  <c r="X1199" i="1" s="1"/>
  <c r="Y1199" i="1" s="1"/>
  <c r="Z1199" i="1" s="1"/>
  <c r="V1199" i="1"/>
  <c r="U1199" i="1"/>
  <c r="W1206" i="1"/>
  <c r="X1206" i="1" s="1"/>
  <c r="Y1206" i="1" s="1"/>
  <c r="Z1206" i="1" s="1"/>
  <c r="V1206" i="1"/>
  <c r="T1206" i="1"/>
  <c r="W1213" i="1"/>
  <c r="X1213" i="1" s="1"/>
  <c r="Y1213" i="1" s="1"/>
  <c r="Z1213" i="1" s="1"/>
  <c r="V1213" i="1"/>
  <c r="U1213" i="1"/>
  <c r="U1220" i="1"/>
  <c r="T1220" i="1"/>
  <c r="V1220" i="1"/>
  <c r="W1220" i="1"/>
  <c r="X1220" i="1" s="1"/>
  <c r="Y1220" i="1" s="1"/>
  <c r="Z1220" i="1" s="1"/>
  <c r="V1226" i="1"/>
  <c r="U1226" i="1"/>
  <c r="T1226" i="1"/>
  <c r="U1253" i="1"/>
  <c r="W1253" i="1"/>
  <c r="X1253" i="1" s="1"/>
  <c r="Y1253" i="1" s="1"/>
  <c r="Z1253" i="1" s="1"/>
  <c r="V1253" i="1"/>
  <c r="T1253" i="1"/>
  <c r="W1281" i="1"/>
  <c r="X1281" i="1" s="1"/>
  <c r="Y1281" i="1" s="1"/>
  <c r="Z1281" i="1" s="1"/>
  <c r="V1281" i="1"/>
  <c r="U1281" i="1"/>
  <c r="T1281" i="1"/>
  <c r="W1703" i="1"/>
  <c r="X1703" i="1" s="1"/>
  <c r="Y1703" i="1" s="1"/>
  <c r="Z1703" i="1" s="1"/>
  <c r="V1703" i="1"/>
  <c r="U1703" i="1"/>
  <c r="U1028" i="1"/>
  <c r="T1109" i="1"/>
  <c r="T1155" i="1"/>
  <c r="T1190" i="1"/>
  <c r="T1193" i="1"/>
  <c r="U1206" i="1"/>
  <c r="T1213" i="1"/>
  <c r="W1226" i="1"/>
  <c r="X1226" i="1" s="1"/>
  <c r="Y1226" i="1" s="1"/>
  <c r="Z1226" i="1" s="1"/>
  <c r="U1236" i="1"/>
  <c r="T1236" i="1"/>
  <c r="W1317" i="1"/>
  <c r="X1317" i="1" s="1"/>
  <c r="Y1317" i="1" s="1"/>
  <c r="Z1317" i="1" s="1"/>
  <c r="V1317" i="1"/>
  <c r="U1317" i="1"/>
  <c r="T1317" i="1"/>
  <c r="W1321" i="1"/>
  <c r="X1321" i="1" s="1"/>
  <c r="Y1321" i="1" s="1"/>
  <c r="Z1321" i="1" s="1"/>
  <c r="V1321" i="1"/>
  <c r="W1347" i="1"/>
  <c r="X1347" i="1" s="1"/>
  <c r="Y1347" i="1" s="1"/>
  <c r="Z1347" i="1" s="1"/>
  <c r="T1347" i="1"/>
  <c r="V1347" i="1"/>
  <c r="W1358" i="1"/>
  <c r="X1358" i="1" s="1"/>
  <c r="Y1358" i="1" s="1"/>
  <c r="Z1358" i="1" s="1"/>
  <c r="V1358" i="1"/>
  <c r="U1358" i="1"/>
  <c r="T1358" i="1"/>
  <c r="V1470" i="1"/>
  <c r="U1470" i="1"/>
  <c r="W1470" i="1"/>
  <c r="X1470" i="1" s="1"/>
  <c r="Y1470" i="1" s="1"/>
  <c r="Z1470" i="1" s="1"/>
  <c r="T1470" i="1"/>
  <c r="U1505" i="1"/>
  <c r="W1505" i="1"/>
  <c r="X1505" i="1" s="1"/>
  <c r="Y1505" i="1" s="1"/>
  <c r="Z1505" i="1" s="1"/>
  <c r="V1505" i="1"/>
  <c r="T1505" i="1"/>
  <c r="V1563" i="1"/>
  <c r="U1563" i="1"/>
  <c r="T1563" i="1"/>
  <c r="T1703" i="1"/>
  <c r="W1003" i="1"/>
  <c r="X1003" i="1" s="1"/>
  <c r="Y1003" i="1" s="1"/>
  <c r="Z1003" i="1" s="1"/>
  <c r="V1003" i="1"/>
  <c r="V1028" i="1"/>
  <c r="U1147" i="1"/>
  <c r="T1147" i="1"/>
  <c r="W1147" i="1"/>
  <c r="X1147" i="1" s="1"/>
  <c r="Y1147" i="1" s="1"/>
  <c r="Z1147" i="1" s="1"/>
  <c r="V1190" i="1"/>
  <c r="U1193" i="1"/>
  <c r="V1250" i="1"/>
  <c r="U1250" i="1"/>
  <c r="W1263" i="1"/>
  <c r="X1263" i="1" s="1"/>
  <c r="Y1263" i="1" s="1"/>
  <c r="Z1263" i="1" s="1"/>
  <c r="U1263" i="1"/>
  <c r="T1263" i="1"/>
  <c r="W1355" i="1"/>
  <c r="X1355" i="1" s="1"/>
  <c r="Y1355" i="1" s="1"/>
  <c r="Z1355" i="1" s="1"/>
  <c r="V1355" i="1"/>
  <c r="T1355" i="1"/>
  <c r="W1377" i="1"/>
  <c r="X1377" i="1" s="1"/>
  <c r="Y1377" i="1" s="1"/>
  <c r="Z1377" i="1" s="1"/>
  <c r="U1377" i="1"/>
  <c r="T1377" i="1"/>
  <c r="W1385" i="1"/>
  <c r="X1385" i="1" s="1"/>
  <c r="Y1385" i="1" s="1"/>
  <c r="Z1385" i="1" s="1"/>
  <c r="V1385" i="1"/>
  <c r="U1385" i="1"/>
  <c r="T1385" i="1"/>
  <c r="U1475" i="1"/>
  <c r="W1475" i="1"/>
  <c r="X1475" i="1" s="1"/>
  <c r="Y1475" i="1" s="1"/>
  <c r="Z1475" i="1" s="1"/>
  <c r="V1475" i="1"/>
  <c r="T1475" i="1"/>
  <c r="W1400" i="1"/>
  <c r="X1400" i="1" s="1"/>
  <c r="Y1400" i="1" s="1"/>
  <c r="Z1400" i="1" s="1"/>
  <c r="V1400" i="1"/>
  <c r="T1400" i="1"/>
  <c r="W1581" i="1"/>
  <c r="X1581" i="1" s="1"/>
  <c r="Y1581" i="1" s="1"/>
  <c r="Z1581" i="1" s="1"/>
  <c r="V1581" i="1"/>
  <c r="U1581" i="1"/>
  <c r="T1581" i="1"/>
  <c r="V1627" i="1"/>
  <c r="T1627" i="1"/>
  <c r="W1631" i="1"/>
  <c r="X1631" i="1" s="1"/>
  <c r="Y1631" i="1" s="1"/>
  <c r="Z1631" i="1" s="1"/>
  <c r="T1631" i="1"/>
  <c r="V1631" i="1"/>
  <c r="U1631" i="1"/>
  <c r="W1481" i="1"/>
  <c r="X1481" i="1" s="1"/>
  <c r="Y1481" i="1" s="1"/>
  <c r="Z1481" i="1" s="1"/>
  <c r="U1481" i="1"/>
  <c r="T1481" i="1"/>
  <c r="V1481" i="1"/>
  <c r="V1509" i="1"/>
  <c r="W1509" i="1"/>
  <c r="X1509" i="1" s="1"/>
  <c r="Y1509" i="1" s="1"/>
  <c r="Z1509" i="1" s="1"/>
  <c r="T1509" i="1"/>
  <c r="T1552" i="1"/>
  <c r="W1552" i="1"/>
  <c r="X1552" i="1" s="1"/>
  <c r="Y1552" i="1" s="1"/>
  <c r="Z1552" i="1" s="1"/>
  <c r="V1552" i="1"/>
  <c r="U1552" i="1"/>
  <c r="W2042" i="1"/>
  <c r="X2042" i="1" s="1"/>
  <c r="Y2042" i="1" s="1"/>
  <c r="Z2042" i="1" s="1"/>
  <c r="V2042" i="1"/>
  <c r="U2042" i="1"/>
  <c r="U1260" i="1"/>
  <c r="T1260" i="1"/>
  <c r="W1260" i="1"/>
  <c r="X1260" i="1" s="1"/>
  <c r="Y1260" i="1" s="1"/>
  <c r="Z1260" i="1" s="1"/>
  <c r="V1260" i="1"/>
  <c r="T1271" i="1"/>
  <c r="V1271" i="1"/>
  <c r="U1271" i="1"/>
  <c r="V1292" i="1"/>
  <c r="U1292" i="1"/>
  <c r="W1401" i="1"/>
  <c r="X1401" i="1" s="1"/>
  <c r="Y1401" i="1" s="1"/>
  <c r="Z1401" i="1" s="1"/>
  <c r="T1401" i="1"/>
  <c r="U1401" i="1"/>
  <c r="W1404" i="1"/>
  <c r="X1404" i="1" s="1"/>
  <c r="Y1404" i="1" s="1"/>
  <c r="Z1404" i="1" s="1"/>
  <c r="V1404" i="1"/>
  <c r="U1404" i="1"/>
  <c r="U1509" i="1"/>
  <c r="W1514" i="1"/>
  <c r="X1514" i="1" s="1"/>
  <c r="Y1514" i="1" s="1"/>
  <c r="Z1514" i="1" s="1"/>
  <c r="V1514" i="1"/>
  <c r="U1514" i="1"/>
  <c r="T1514" i="1"/>
  <c r="W1521" i="1"/>
  <c r="X1521" i="1" s="1"/>
  <c r="Y1521" i="1" s="1"/>
  <c r="Z1521" i="1" s="1"/>
  <c r="V1521" i="1"/>
  <c r="U1521" i="1"/>
  <c r="T1521" i="1"/>
  <c r="U1540" i="1"/>
  <c r="W1540" i="1"/>
  <c r="X1540" i="1" s="1"/>
  <c r="Y1540" i="1" s="1"/>
  <c r="Z1540" i="1" s="1"/>
  <c r="V1540" i="1"/>
  <c r="V1610" i="1"/>
  <c r="T1610" i="1"/>
  <c r="W1614" i="1"/>
  <c r="X1614" i="1" s="1"/>
  <c r="Y1614" i="1" s="1"/>
  <c r="Z1614" i="1" s="1"/>
  <c r="V1614" i="1"/>
  <c r="U1614" i="1"/>
  <c r="W1641" i="1"/>
  <c r="X1641" i="1" s="1"/>
  <c r="Y1641" i="1" s="1"/>
  <c r="Z1641" i="1" s="1"/>
  <c r="U1641" i="1"/>
  <c r="V1641" i="1"/>
  <c r="T1641" i="1"/>
  <c r="T2042" i="1"/>
  <c r="U2046" i="1"/>
  <c r="T2046" i="1"/>
  <c r="W2046" i="1"/>
  <c r="X2046" i="1" s="1"/>
  <c r="Y2046" i="1" s="1"/>
  <c r="Z2046" i="1" s="1"/>
  <c r="V2046" i="1"/>
  <c r="W1271" i="1"/>
  <c r="X1271" i="1" s="1"/>
  <c r="Y1271" i="1" s="1"/>
  <c r="Z1271" i="1" s="1"/>
  <c r="T1292" i="1"/>
  <c r="T1362" i="1"/>
  <c r="T1371" i="1"/>
  <c r="U1371" i="1"/>
  <c r="V1401" i="1"/>
  <c r="T1404" i="1"/>
  <c r="U1449" i="1"/>
  <c r="T1540" i="1"/>
  <c r="U1610" i="1"/>
  <c r="T1614" i="1"/>
  <c r="U1632" i="1"/>
  <c r="W1632" i="1"/>
  <c r="X1632" i="1" s="1"/>
  <c r="Y1632" i="1" s="1"/>
  <c r="Z1632" i="1" s="1"/>
  <c r="T1632" i="1"/>
  <c r="W1684" i="1"/>
  <c r="X1684" i="1" s="1"/>
  <c r="Y1684" i="1" s="1"/>
  <c r="Z1684" i="1" s="1"/>
  <c r="U1684" i="1"/>
  <c r="T1684" i="1"/>
  <c r="V1684" i="1"/>
  <c r="V1757" i="1"/>
  <c r="T1757" i="1"/>
  <c r="U1757" i="1"/>
  <c r="W1757" i="1"/>
  <c r="X1757" i="1" s="1"/>
  <c r="Y1757" i="1" s="1"/>
  <c r="Z1757" i="1" s="1"/>
  <c r="T1211" i="1"/>
  <c r="W1211" i="1"/>
  <c r="X1211" i="1" s="1"/>
  <c r="Y1211" i="1" s="1"/>
  <c r="Z1211" i="1" s="1"/>
  <c r="V1211" i="1"/>
  <c r="U1211" i="1"/>
  <c r="W1227" i="1"/>
  <c r="X1227" i="1" s="1"/>
  <c r="Y1227" i="1" s="1"/>
  <c r="Z1227" i="1" s="1"/>
  <c r="T1227" i="1"/>
  <c r="W1266" i="1"/>
  <c r="X1266" i="1" s="1"/>
  <c r="Y1266" i="1" s="1"/>
  <c r="Z1266" i="1" s="1"/>
  <c r="V1266" i="1"/>
  <c r="W1424" i="1"/>
  <c r="X1424" i="1" s="1"/>
  <c r="Y1424" i="1" s="1"/>
  <c r="Z1424" i="1" s="1"/>
  <c r="V1430" i="1"/>
  <c r="U1430" i="1"/>
  <c r="T1466" i="1"/>
  <c r="W1466" i="1"/>
  <c r="X1466" i="1" s="1"/>
  <c r="Y1466" i="1" s="1"/>
  <c r="Z1466" i="1" s="1"/>
  <c r="V1466" i="1"/>
  <c r="U1466" i="1"/>
  <c r="V1515" i="1"/>
  <c r="T1515" i="1"/>
  <c r="W1515" i="1"/>
  <c r="X1515" i="1" s="1"/>
  <c r="Y1515" i="1" s="1"/>
  <c r="Z1515" i="1" s="1"/>
  <c r="U1515" i="1"/>
  <c r="W1718" i="1"/>
  <c r="X1718" i="1" s="1"/>
  <c r="Y1718" i="1" s="1"/>
  <c r="Z1718" i="1" s="1"/>
  <c r="V1718" i="1"/>
  <c r="U1718" i="1"/>
  <c r="T1718" i="1"/>
  <c r="W1940" i="1"/>
  <c r="X1940" i="1" s="1"/>
  <c r="Y1940" i="1" s="1"/>
  <c r="Z1940" i="1" s="1"/>
  <c r="V1940" i="1"/>
  <c r="U1940" i="1"/>
  <c r="T1940" i="1"/>
  <c r="U1290" i="1"/>
  <c r="T1290" i="1"/>
  <c r="U1330" i="1"/>
  <c r="W1330" i="1"/>
  <c r="X1330" i="1" s="1"/>
  <c r="Y1330" i="1" s="1"/>
  <c r="Z1330" i="1" s="1"/>
  <c r="V1330" i="1"/>
  <c r="T1330" i="1"/>
  <c r="T1430" i="1"/>
  <c r="U1440" i="1"/>
  <c r="W1471" i="1"/>
  <c r="X1471" i="1" s="1"/>
  <c r="Y1471" i="1" s="1"/>
  <c r="Z1471" i="1" s="1"/>
  <c r="U1471" i="1"/>
  <c r="T1471" i="1"/>
  <c r="V1471" i="1"/>
  <c r="U1545" i="1"/>
  <c r="T1583" i="1"/>
  <c r="V1607" i="1"/>
  <c r="W1607" i="1"/>
  <c r="X1607" i="1" s="1"/>
  <c r="Y1607" i="1" s="1"/>
  <c r="Z1607" i="1" s="1"/>
  <c r="U1607" i="1"/>
  <c r="W1886" i="1"/>
  <c r="X1886" i="1" s="1"/>
  <c r="Y1886" i="1" s="1"/>
  <c r="Z1886" i="1" s="1"/>
  <c r="U1886" i="1"/>
  <c r="T1886" i="1"/>
  <c r="V1886" i="1"/>
  <c r="W1023" i="1"/>
  <c r="X1023" i="1" s="1"/>
  <c r="Y1023" i="1" s="1"/>
  <c r="Z1023" i="1" s="1"/>
  <c r="V1023" i="1"/>
  <c r="V1176" i="1"/>
  <c r="U1176" i="1"/>
  <c r="T1176" i="1"/>
  <c r="U1187" i="1"/>
  <c r="T1187" i="1"/>
  <c r="V1201" i="1"/>
  <c r="V1245" i="1"/>
  <c r="U1245" i="1"/>
  <c r="W1245" i="1"/>
  <c r="X1245" i="1" s="1"/>
  <c r="Y1245" i="1" s="1"/>
  <c r="Z1245" i="1" s="1"/>
  <c r="T1245" i="1"/>
  <c r="U1261" i="1"/>
  <c r="W1290" i="1"/>
  <c r="X1290" i="1" s="1"/>
  <c r="Y1290" i="1" s="1"/>
  <c r="Z1290" i="1" s="1"/>
  <c r="U1327" i="1"/>
  <c r="U1336" i="1"/>
  <c r="U1363" i="1"/>
  <c r="V1363" i="1"/>
  <c r="T1363" i="1"/>
  <c r="U1380" i="1"/>
  <c r="W1402" i="1"/>
  <c r="X1402" i="1" s="1"/>
  <c r="Y1402" i="1" s="1"/>
  <c r="Z1402" i="1" s="1"/>
  <c r="V1402" i="1"/>
  <c r="T1402" i="1"/>
  <c r="V1437" i="1"/>
  <c r="U1437" i="1"/>
  <c r="W1440" i="1"/>
  <c r="X1440" i="1" s="1"/>
  <c r="Y1440" i="1" s="1"/>
  <c r="Z1440" i="1" s="1"/>
  <c r="U1486" i="1"/>
  <c r="V1486" i="1"/>
  <c r="W1486" i="1"/>
  <c r="X1486" i="1" s="1"/>
  <c r="Y1486" i="1" s="1"/>
  <c r="Z1486" i="1" s="1"/>
  <c r="T1486" i="1"/>
  <c r="T1503" i="1"/>
  <c r="W1503" i="1"/>
  <c r="X1503" i="1" s="1"/>
  <c r="Y1503" i="1" s="1"/>
  <c r="Z1503" i="1" s="1"/>
  <c r="V1503" i="1"/>
  <c r="U1503" i="1"/>
  <c r="W1545" i="1"/>
  <c r="X1545" i="1" s="1"/>
  <c r="Y1545" i="1" s="1"/>
  <c r="Z1545" i="1" s="1"/>
  <c r="W1558" i="1"/>
  <c r="X1558" i="1" s="1"/>
  <c r="Y1558" i="1" s="1"/>
  <c r="Z1558" i="1" s="1"/>
  <c r="V1558" i="1"/>
  <c r="T1558" i="1"/>
  <c r="V1583" i="1"/>
  <c r="V1590" i="1"/>
  <c r="W1590" i="1"/>
  <c r="X1590" i="1" s="1"/>
  <c r="Y1590" i="1" s="1"/>
  <c r="Z1590" i="1" s="1"/>
  <c r="U1590" i="1"/>
  <c r="T1590" i="1"/>
  <c r="W1598" i="1"/>
  <c r="X1598" i="1" s="1"/>
  <c r="Y1598" i="1" s="1"/>
  <c r="Z1598" i="1" s="1"/>
  <c r="V1598" i="1"/>
  <c r="U1598" i="1"/>
  <c r="T1598" i="1"/>
  <c r="V1619" i="1"/>
  <c r="T1619" i="1"/>
  <c r="W1619" i="1"/>
  <c r="X1619" i="1" s="1"/>
  <c r="Y1619" i="1" s="1"/>
  <c r="Z1619" i="1" s="1"/>
  <c r="W1837" i="1"/>
  <c r="X1837" i="1" s="1"/>
  <c r="Y1837" i="1" s="1"/>
  <c r="Z1837" i="1" s="1"/>
  <c r="U1837" i="1"/>
  <c r="T1837" i="1"/>
  <c r="V1837" i="1"/>
  <c r="W1230" i="1"/>
  <c r="X1230" i="1" s="1"/>
  <c r="Y1230" i="1" s="1"/>
  <c r="Z1230" i="1" s="1"/>
  <c r="V1230" i="1"/>
  <c r="U1230" i="1"/>
  <c r="U1240" i="1"/>
  <c r="T1240" i="1"/>
  <c r="U1280" i="1"/>
  <c r="T1280" i="1"/>
  <c r="U1320" i="1"/>
  <c r="T1320" i="1"/>
  <c r="V1327" i="1"/>
  <c r="W1336" i="1"/>
  <c r="X1336" i="1" s="1"/>
  <c r="Y1336" i="1" s="1"/>
  <c r="Z1336" i="1" s="1"/>
  <c r="V1380" i="1"/>
  <c r="V1418" i="1"/>
  <c r="U1418" i="1"/>
  <c r="W1418" i="1"/>
  <c r="X1418" i="1" s="1"/>
  <c r="Y1418" i="1" s="1"/>
  <c r="Z1418" i="1" s="1"/>
  <c r="T1418" i="1"/>
  <c r="W1467" i="1"/>
  <c r="X1467" i="1" s="1"/>
  <c r="Y1467" i="1" s="1"/>
  <c r="Z1467" i="1" s="1"/>
  <c r="V1467" i="1"/>
  <c r="U1467" i="1"/>
  <c r="W1714" i="1"/>
  <c r="X1714" i="1" s="1"/>
  <c r="Y1714" i="1" s="1"/>
  <c r="Z1714" i="1" s="1"/>
  <c r="V1714" i="1"/>
  <c r="T1812" i="1"/>
  <c r="W1812" i="1"/>
  <c r="X1812" i="1" s="1"/>
  <c r="Y1812" i="1" s="1"/>
  <c r="Z1812" i="1" s="1"/>
  <c r="V1812" i="1"/>
  <c r="U1023" i="1"/>
  <c r="W1103" i="1"/>
  <c r="X1103" i="1" s="1"/>
  <c r="Y1103" i="1" s="1"/>
  <c r="Z1103" i="1" s="1"/>
  <c r="V1103" i="1"/>
  <c r="W1187" i="1"/>
  <c r="X1187" i="1" s="1"/>
  <c r="Y1187" i="1" s="1"/>
  <c r="Z1187" i="1" s="1"/>
  <c r="U1217" i="1"/>
  <c r="T1230" i="1"/>
  <c r="V1240" i="1"/>
  <c r="T1272" i="1"/>
  <c r="V1277" i="1"/>
  <c r="U1277" i="1"/>
  <c r="T1277" i="1"/>
  <c r="V1280" i="1"/>
  <c r="U1288" i="1"/>
  <c r="T1288" i="1"/>
  <c r="U1293" i="1"/>
  <c r="V1320" i="1"/>
  <c r="T1325" i="1"/>
  <c r="V1342" i="1"/>
  <c r="T1366" i="1"/>
  <c r="T1369" i="1"/>
  <c r="W1369" i="1"/>
  <c r="X1369" i="1" s="1"/>
  <c r="Y1369" i="1" s="1"/>
  <c r="Z1369" i="1" s="1"/>
  <c r="V1369" i="1"/>
  <c r="T1399" i="1"/>
  <c r="U1415" i="1"/>
  <c r="W1437" i="1"/>
  <c r="X1437" i="1" s="1"/>
  <c r="Y1437" i="1" s="1"/>
  <c r="Z1437" i="1" s="1"/>
  <c r="T1467" i="1"/>
  <c r="T1714" i="1"/>
  <c r="W1723" i="1"/>
  <c r="X1723" i="1" s="1"/>
  <c r="Y1723" i="1" s="1"/>
  <c r="Z1723" i="1" s="1"/>
  <c r="V1723" i="1"/>
  <c r="U1723" i="1"/>
  <c r="U1812" i="1"/>
  <c r="T1052" i="1"/>
  <c r="T1072" i="1"/>
  <c r="T1092" i="1"/>
  <c r="W1123" i="1"/>
  <c r="X1123" i="1" s="1"/>
  <c r="Y1123" i="1" s="1"/>
  <c r="Z1123" i="1" s="1"/>
  <c r="V1123" i="1"/>
  <c r="V1217" i="1"/>
  <c r="W1238" i="1"/>
  <c r="X1238" i="1" s="1"/>
  <c r="Y1238" i="1" s="1"/>
  <c r="Z1238" i="1" s="1"/>
  <c r="V1238" i="1"/>
  <c r="W1240" i="1"/>
  <c r="X1240" i="1" s="1"/>
  <c r="Y1240" i="1" s="1"/>
  <c r="Z1240" i="1" s="1"/>
  <c r="U1256" i="1"/>
  <c r="T1256" i="1"/>
  <c r="W1256" i="1"/>
  <c r="X1256" i="1" s="1"/>
  <c r="Y1256" i="1" s="1"/>
  <c r="Z1256" i="1" s="1"/>
  <c r="W1267" i="1"/>
  <c r="X1267" i="1" s="1"/>
  <c r="Y1267" i="1" s="1"/>
  <c r="Z1267" i="1" s="1"/>
  <c r="T1267" i="1"/>
  <c r="V1272" i="1"/>
  <c r="W1277" i="1"/>
  <c r="X1277" i="1" s="1"/>
  <c r="Y1277" i="1" s="1"/>
  <c r="Z1277" i="1" s="1"/>
  <c r="W1280" i="1"/>
  <c r="X1280" i="1" s="1"/>
  <c r="Y1280" i="1" s="1"/>
  <c r="Z1280" i="1" s="1"/>
  <c r="V1288" i="1"/>
  <c r="V1293" i="1"/>
  <c r="W1320" i="1"/>
  <c r="X1320" i="1" s="1"/>
  <c r="Y1320" i="1" s="1"/>
  <c r="Z1320" i="1" s="1"/>
  <c r="U1325" i="1"/>
  <c r="W1342" i="1"/>
  <c r="X1342" i="1" s="1"/>
  <c r="Y1342" i="1" s="1"/>
  <c r="Z1342" i="1" s="1"/>
  <c r="T1348" i="1"/>
  <c r="U1366" i="1"/>
  <c r="U1369" i="1"/>
  <c r="W1396" i="1"/>
  <c r="X1396" i="1" s="1"/>
  <c r="Y1396" i="1" s="1"/>
  <c r="Z1396" i="1" s="1"/>
  <c r="U1396" i="1"/>
  <c r="T1396" i="1"/>
  <c r="U1399" i="1"/>
  <c r="V1415" i="1"/>
  <c r="W1479" i="1"/>
  <c r="X1479" i="1" s="1"/>
  <c r="Y1479" i="1" s="1"/>
  <c r="Z1479" i="1" s="1"/>
  <c r="V1479" i="1"/>
  <c r="U1479" i="1"/>
  <c r="T1479" i="1"/>
  <c r="T1603" i="1"/>
  <c r="W1603" i="1"/>
  <c r="X1603" i="1" s="1"/>
  <c r="Y1603" i="1" s="1"/>
  <c r="Z1603" i="1" s="1"/>
  <c r="V1603" i="1"/>
  <c r="U1603" i="1"/>
  <c r="W1674" i="1"/>
  <c r="X1674" i="1" s="1"/>
  <c r="Y1674" i="1" s="1"/>
  <c r="Z1674" i="1" s="1"/>
  <c r="V1674" i="1"/>
  <c r="U1674" i="1"/>
  <c r="T1674" i="1"/>
  <c r="U1714" i="1"/>
  <c r="T1723" i="1"/>
  <c r="W1143" i="1"/>
  <c r="X1143" i="1" s="1"/>
  <c r="Y1143" i="1" s="1"/>
  <c r="Z1143" i="1" s="1"/>
  <c r="V1143" i="1"/>
  <c r="W1174" i="1"/>
  <c r="X1174" i="1" s="1"/>
  <c r="Y1174" i="1" s="1"/>
  <c r="Z1174" i="1" s="1"/>
  <c r="V1174" i="1"/>
  <c r="U1174" i="1"/>
  <c r="W1185" i="1"/>
  <c r="X1185" i="1" s="1"/>
  <c r="Y1185" i="1" s="1"/>
  <c r="Z1185" i="1" s="1"/>
  <c r="V1185" i="1"/>
  <c r="U1185" i="1"/>
  <c r="T1185" i="1"/>
  <c r="W1217" i="1"/>
  <c r="X1217" i="1" s="1"/>
  <c r="Y1217" i="1" s="1"/>
  <c r="Z1217" i="1" s="1"/>
  <c r="T1251" i="1"/>
  <c r="U1251" i="1"/>
  <c r="W1272" i="1"/>
  <c r="X1272" i="1" s="1"/>
  <c r="Y1272" i="1" s="1"/>
  <c r="Z1272" i="1" s="1"/>
  <c r="W1288" i="1"/>
  <c r="X1288" i="1" s="1"/>
  <c r="Y1288" i="1" s="1"/>
  <c r="Z1288" i="1" s="1"/>
  <c r="V1309" i="1"/>
  <c r="U1309" i="1"/>
  <c r="W1309" i="1"/>
  <c r="X1309" i="1" s="1"/>
  <c r="Y1309" i="1" s="1"/>
  <c r="Z1309" i="1" s="1"/>
  <c r="T1309" i="1"/>
  <c r="U1323" i="1"/>
  <c r="T1323" i="1"/>
  <c r="W1325" i="1"/>
  <c r="X1325" i="1" s="1"/>
  <c r="Y1325" i="1" s="1"/>
  <c r="Z1325" i="1" s="1"/>
  <c r="U1348" i="1"/>
  <c r="V1357" i="1"/>
  <c r="U1357" i="1"/>
  <c r="W1366" i="1"/>
  <c r="X1366" i="1" s="1"/>
  <c r="Y1366" i="1" s="1"/>
  <c r="Z1366" i="1" s="1"/>
  <c r="U1390" i="1"/>
  <c r="V1390" i="1"/>
  <c r="T1390" i="1"/>
  <c r="W1390" i="1"/>
  <c r="X1390" i="1" s="1"/>
  <c r="Y1390" i="1" s="1"/>
  <c r="Z1390" i="1" s="1"/>
  <c r="V1396" i="1"/>
  <c r="W1399" i="1"/>
  <c r="X1399" i="1" s="1"/>
  <c r="Y1399" i="1" s="1"/>
  <c r="Z1399" i="1" s="1"/>
  <c r="W1415" i="1"/>
  <c r="X1415" i="1" s="1"/>
  <c r="Y1415" i="1" s="1"/>
  <c r="Z1415" i="1" s="1"/>
  <c r="W1419" i="1"/>
  <c r="X1419" i="1" s="1"/>
  <c r="Y1419" i="1" s="1"/>
  <c r="Z1419" i="1" s="1"/>
  <c r="V1419" i="1"/>
  <c r="T1419" i="1"/>
  <c r="W1441" i="1"/>
  <c r="X1441" i="1" s="1"/>
  <c r="Y1441" i="1" s="1"/>
  <c r="Z1441" i="1" s="1"/>
  <c r="U1441" i="1"/>
  <c r="T1441" i="1"/>
  <c r="V1441" i="1"/>
  <c r="W1458" i="1"/>
  <c r="X1458" i="1" s="1"/>
  <c r="Y1458" i="1" s="1"/>
  <c r="Z1458" i="1" s="1"/>
  <c r="V1458" i="1"/>
  <c r="T1458" i="1"/>
  <c r="W1504" i="1"/>
  <c r="X1504" i="1" s="1"/>
  <c r="Y1504" i="1" s="1"/>
  <c r="Z1504" i="1" s="1"/>
  <c r="U1504" i="1"/>
  <c r="T1504" i="1"/>
  <c r="V1504" i="1"/>
  <c r="V1512" i="1"/>
  <c r="U1512" i="1"/>
  <c r="T1512" i="1"/>
  <c r="U1546" i="1"/>
  <c r="W1546" i="1"/>
  <c r="X1546" i="1" s="1"/>
  <c r="Y1546" i="1" s="1"/>
  <c r="Z1546" i="1" s="1"/>
  <c r="V1546" i="1"/>
  <c r="T1546" i="1"/>
  <c r="V1634" i="1"/>
  <c r="T1634" i="1"/>
  <c r="V1710" i="1"/>
  <c r="U1710" i="1"/>
  <c r="W1710" i="1"/>
  <c r="X1710" i="1" s="1"/>
  <c r="Y1710" i="1" s="1"/>
  <c r="Z1710" i="1" s="1"/>
  <c r="W1833" i="1"/>
  <c r="X1833" i="1" s="1"/>
  <c r="Y1833" i="1" s="1"/>
  <c r="Z1833" i="1" s="1"/>
  <c r="U1833" i="1"/>
  <c r="T1833" i="1"/>
  <c r="V1833" i="1"/>
  <c r="W1163" i="1"/>
  <c r="X1163" i="1" s="1"/>
  <c r="Y1163" i="1" s="1"/>
  <c r="Z1163" i="1" s="1"/>
  <c r="V1163" i="1"/>
  <c r="W1194" i="1"/>
  <c r="X1194" i="1" s="1"/>
  <c r="Y1194" i="1" s="1"/>
  <c r="Z1194" i="1" s="1"/>
  <c r="V1194" i="1"/>
  <c r="U1194" i="1"/>
  <c r="W1228" i="1"/>
  <c r="X1228" i="1" s="1"/>
  <c r="Y1228" i="1" s="1"/>
  <c r="Z1228" i="1" s="1"/>
  <c r="V1228" i="1"/>
  <c r="U1228" i="1"/>
  <c r="W1243" i="1"/>
  <c r="X1243" i="1" s="1"/>
  <c r="Y1243" i="1" s="1"/>
  <c r="Z1243" i="1" s="1"/>
  <c r="U1243" i="1"/>
  <c r="T1243" i="1"/>
  <c r="W1264" i="1"/>
  <c r="X1264" i="1" s="1"/>
  <c r="Y1264" i="1" s="1"/>
  <c r="Z1264" i="1" s="1"/>
  <c r="V1264" i="1"/>
  <c r="U1264" i="1"/>
  <c r="T1264" i="1"/>
  <c r="T1291" i="1"/>
  <c r="W1291" i="1"/>
  <c r="X1291" i="1" s="1"/>
  <c r="Y1291" i="1" s="1"/>
  <c r="Z1291" i="1" s="1"/>
  <c r="W1328" i="1"/>
  <c r="X1328" i="1" s="1"/>
  <c r="Y1328" i="1" s="1"/>
  <c r="Z1328" i="1" s="1"/>
  <c r="V1328" i="1"/>
  <c r="U1328" i="1"/>
  <c r="T1328" i="1"/>
  <c r="T1334" i="1"/>
  <c r="U1334" i="1"/>
  <c r="U1345" i="1"/>
  <c r="T1345" i="1"/>
  <c r="U1455" i="1"/>
  <c r="W1455" i="1"/>
  <c r="X1455" i="1" s="1"/>
  <c r="Y1455" i="1" s="1"/>
  <c r="Z1455" i="1" s="1"/>
  <c r="T1455" i="1"/>
  <c r="U1500" i="1"/>
  <c r="W1500" i="1"/>
  <c r="X1500" i="1" s="1"/>
  <c r="Y1500" i="1" s="1"/>
  <c r="Z1500" i="1" s="1"/>
  <c r="V1500" i="1"/>
  <c r="T1500" i="1"/>
  <c r="W1538" i="1"/>
  <c r="X1538" i="1" s="1"/>
  <c r="Y1538" i="1" s="1"/>
  <c r="Z1538" i="1" s="1"/>
  <c r="V1538" i="1"/>
  <c r="U1538" i="1"/>
  <c r="T1538" i="1"/>
  <c r="W1183" i="1"/>
  <c r="X1183" i="1" s="1"/>
  <c r="Y1183" i="1" s="1"/>
  <c r="Z1183" i="1" s="1"/>
  <c r="V1183" i="1"/>
  <c r="V1225" i="1"/>
  <c r="U1225" i="1"/>
  <c r="W1283" i="1"/>
  <c r="X1283" i="1" s="1"/>
  <c r="Y1283" i="1" s="1"/>
  <c r="Z1283" i="1" s="1"/>
  <c r="V1283" i="1"/>
  <c r="U1283" i="1"/>
  <c r="T1283" i="1"/>
  <c r="W1318" i="1"/>
  <c r="X1318" i="1" s="1"/>
  <c r="Y1318" i="1" s="1"/>
  <c r="Z1318" i="1" s="1"/>
  <c r="V1318" i="1"/>
  <c r="W1378" i="1"/>
  <c r="X1378" i="1" s="1"/>
  <c r="Y1378" i="1" s="1"/>
  <c r="Z1378" i="1" s="1"/>
  <c r="V1378" i="1"/>
  <c r="U1378" i="1"/>
  <c r="T1378" i="1"/>
  <c r="W1384" i="1"/>
  <c r="X1384" i="1" s="1"/>
  <c r="Y1384" i="1" s="1"/>
  <c r="Z1384" i="1" s="1"/>
  <c r="V1384" i="1"/>
  <c r="W1438" i="1"/>
  <c r="X1438" i="1" s="1"/>
  <c r="Y1438" i="1" s="1"/>
  <c r="Z1438" i="1" s="1"/>
  <c r="U1438" i="1"/>
  <c r="W1451" i="1"/>
  <c r="X1451" i="1" s="1"/>
  <c r="Y1451" i="1" s="1"/>
  <c r="Z1451" i="1" s="1"/>
  <c r="V1451" i="1"/>
  <c r="U1451" i="1"/>
  <c r="T1451" i="1"/>
  <c r="W1473" i="1"/>
  <c r="X1473" i="1" s="1"/>
  <c r="Y1473" i="1" s="1"/>
  <c r="Z1473" i="1" s="1"/>
  <c r="V1473" i="1"/>
  <c r="T1473" i="1"/>
  <c r="U1480" i="1"/>
  <c r="T1480" i="1"/>
  <c r="W1480" i="1"/>
  <c r="X1480" i="1" s="1"/>
  <c r="Y1480" i="1" s="1"/>
  <c r="Z1480" i="1" s="1"/>
  <c r="V1488" i="1"/>
  <c r="W1488" i="1"/>
  <c r="X1488" i="1" s="1"/>
  <c r="Y1488" i="1" s="1"/>
  <c r="Z1488" i="1" s="1"/>
  <c r="U1488" i="1"/>
  <c r="V1592" i="1"/>
  <c r="T1592" i="1"/>
  <c r="U1108" i="1"/>
  <c r="V1110" i="1"/>
  <c r="U1119" i="1"/>
  <c r="V1121" i="1"/>
  <c r="T1128" i="1"/>
  <c r="T1130" i="1"/>
  <c r="T1139" i="1"/>
  <c r="U1141" i="1"/>
  <c r="T1172" i="1"/>
  <c r="T1183" i="1"/>
  <c r="W1215" i="1"/>
  <c r="X1215" i="1" s="1"/>
  <c r="Y1215" i="1" s="1"/>
  <c r="Z1215" i="1" s="1"/>
  <c r="V1215" i="1"/>
  <c r="W1218" i="1"/>
  <c r="X1218" i="1" s="1"/>
  <c r="Y1218" i="1" s="1"/>
  <c r="Z1218" i="1" s="1"/>
  <c r="V1218" i="1"/>
  <c r="T1218" i="1"/>
  <c r="T1225" i="1"/>
  <c r="U1231" i="1"/>
  <c r="W1278" i="1"/>
  <c r="X1278" i="1" s="1"/>
  <c r="Y1278" i="1" s="1"/>
  <c r="Z1278" i="1" s="1"/>
  <c r="V1278" i="1"/>
  <c r="V1291" i="1"/>
  <c r="T1318" i="1"/>
  <c r="W1334" i="1"/>
  <c r="X1334" i="1" s="1"/>
  <c r="Y1334" i="1" s="1"/>
  <c r="Z1334" i="1" s="1"/>
  <c r="W1345" i="1"/>
  <c r="X1345" i="1" s="1"/>
  <c r="Y1345" i="1" s="1"/>
  <c r="Z1345" i="1" s="1"/>
  <c r="U1373" i="1"/>
  <c r="T1384" i="1"/>
  <c r="V1406" i="1"/>
  <c r="U1406" i="1"/>
  <c r="T1406" i="1"/>
  <c r="V1412" i="1"/>
  <c r="T1412" i="1"/>
  <c r="W1412" i="1"/>
  <c r="X1412" i="1" s="1"/>
  <c r="Y1412" i="1" s="1"/>
  <c r="Z1412" i="1" s="1"/>
  <c r="U1412" i="1"/>
  <c r="V1432" i="1"/>
  <c r="T1432" i="1"/>
  <c r="T1438" i="1"/>
  <c r="U1464" i="1"/>
  <c r="W1468" i="1"/>
  <c r="X1468" i="1" s="1"/>
  <c r="Y1468" i="1" s="1"/>
  <c r="Z1468" i="1" s="1"/>
  <c r="V1468" i="1"/>
  <c r="U1468" i="1"/>
  <c r="T1468" i="1"/>
  <c r="U1473" i="1"/>
  <c r="V1480" i="1"/>
  <c r="T1488" i="1"/>
  <c r="W1492" i="1"/>
  <c r="X1492" i="1" s="1"/>
  <c r="Y1492" i="1" s="1"/>
  <c r="Z1492" i="1" s="1"/>
  <c r="V1492" i="1"/>
  <c r="U1492" i="1"/>
  <c r="T1577" i="1"/>
  <c r="W1577" i="1"/>
  <c r="X1577" i="1" s="1"/>
  <c r="Y1577" i="1" s="1"/>
  <c r="Z1577" i="1" s="1"/>
  <c r="V1577" i="1"/>
  <c r="U1592" i="1"/>
  <c r="W1604" i="1"/>
  <c r="X1604" i="1" s="1"/>
  <c r="Y1604" i="1" s="1"/>
  <c r="Z1604" i="1" s="1"/>
  <c r="U1604" i="1"/>
  <c r="T1604" i="1"/>
  <c r="V1604" i="1"/>
  <c r="V1822" i="1"/>
  <c r="U1822" i="1"/>
  <c r="T1822" i="1"/>
  <c r="W1822" i="1"/>
  <c r="X1822" i="1" s="1"/>
  <c r="Y1822" i="1" s="1"/>
  <c r="Z1822" i="1" s="1"/>
  <c r="W1670" i="1"/>
  <c r="X1670" i="1" s="1"/>
  <c r="Y1670" i="1" s="1"/>
  <c r="Z1670" i="1" s="1"/>
  <c r="V1670" i="1"/>
  <c r="T1670" i="1"/>
  <c r="V1874" i="1"/>
  <c r="U1874" i="1"/>
  <c r="T1874" i="1"/>
  <c r="W1874" i="1"/>
  <c r="X1874" i="1" s="1"/>
  <c r="Y1874" i="1" s="1"/>
  <c r="Z1874" i="1" s="1"/>
  <c r="U1881" i="1"/>
  <c r="W1881" i="1"/>
  <c r="X1881" i="1" s="1"/>
  <c r="Y1881" i="1" s="1"/>
  <c r="Z1881" i="1" s="1"/>
  <c r="V1881" i="1"/>
  <c r="T1881" i="1"/>
  <c r="W1908" i="1"/>
  <c r="X1908" i="1" s="1"/>
  <c r="Y1908" i="1" s="1"/>
  <c r="Z1908" i="1" s="1"/>
  <c r="V1908" i="1"/>
  <c r="U1908" i="1"/>
  <c r="T1908" i="1"/>
  <c r="T2029" i="1"/>
  <c r="U2029" i="1"/>
  <c r="W2029" i="1"/>
  <c r="X2029" i="1" s="1"/>
  <c r="Y2029" i="1" s="1"/>
  <c r="Z2029" i="1" s="1"/>
  <c r="T1497" i="1"/>
  <c r="W1497" i="1"/>
  <c r="X1497" i="1" s="1"/>
  <c r="Y1497" i="1" s="1"/>
  <c r="Z1497" i="1" s="1"/>
  <c r="V1497" i="1"/>
  <c r="V1549" i="1"/>
  <c r="W1549" i="1"/>
  <c r="X1549" i="1" s="1"/>
  <c r="Y1549" i="1" s="1"/>
  <c r="Z1549" i="1" s="1"/>
  <c r="U1549" i="1"/>
  <c r="T1549" i="1"/>
  <c r="U1580" i="1"/>
  <c r="W1580" i="1"/>
  <c r="X1580" i="1" s="1"/>
  <c r="Y1580" i="1" s="1"/>
  <c r="Z1580" i="1" s="1"/>
  <c r="T1580" i="1"/>
  <c r="W1622" i="1"/>
  <c r="X1622" i="1" s="1"/>
  <c r="Y1622" i="1" s="1"/>
  <c r="Z1622" i="1" s="1"/>
  <c r="V1622" i="1"/>
  <c r="T1622" i="1"/>
  <c r="U1670" i="1"/>
  <c r="W1681" i="1"/>
  <c r="X1681" i="1" s="1"/>
  <c r="Y1681" i="1" s="1"/>
  <c r="Z1681" i="1" s="1"/>
  <c r="T1681" i="1"/>
  <c r="W1685" i="1"/>
  <c r="X1685" i="1" s="1"/>
  <c r="Y1685" i="1" s="1"/>
  <c r="Z1685" i="1" s="1"/>
  <c r="V1685" i="1"/>
  <c r="U1685" i="1"/>
  <c r="T1685" i="1"/>
  <c r="T1869" i="1"/>
  <c r="V2029" i="1"/>
  <c r="V1529" i="1"/>
  <c r="W1529" i="1"/>
  <c r="X1529" i="1" s="1"/>
  <c r="Y1529" i="1" s="1"/>
  <c r="Z1529" i="1" s="1"/>
  <c r="T1529" i="1"/>
  <c r="V1595" i="1"/>
  <c r="T1595" i="1"/>
  <c r="W1595" i="1"/>
  <c r="X1595" i="1" s="1"/>
  <c r="Y1595" i="1" s="1"/>
  <c r="Z1595" i="1" s="1"/>
  <c r="U1595" i="1"/>
  <c r="W1635" i="1"/>
  <c r="X1635" i="1" s="1"/>
  <c r="Y1635" i="1" s="1"/>
  <c r="Z1635" i="1" s="1"/>
  <c r="V1635" i="1"/>
  <c r="T1635" i="1"/>
  <c r="U1635" i="1"/>
  <c r="W1650" i="1"/>
  <c r="X1650" i="1" s="1"/>
  <c r="Y1650" i="1" s="1"/>
  <c r="Z1650" i="1" s="1"/>
  <c r="V1650" i="1"/>
  <c r="W1678" i="1"/>
  <c r="X1678" i="1" s="1"/>
  <c r="Y1678" i="1" s="1"/>
  <c r="Z1678" i="1" s="1"/>
  <c r="V1678" i="1"/>
  <c r="T1678" i="1"/>
  <c r="V1689" i="1"/>
  <c r="W1689" i="1"/>
  <c r="X1689" i="1" s="1"/>
  <c r="Y1689" i="1" s="1"/>
  <c r="Z1689" i="1" s="1"/>
  <c r="U1689" i="1"/>
  <c r="T1689" i="1"/>
  <c r="U1700" i="1"/>
  <c r="W1700" i="1"/>
  <c r="X1700" i="1" s="1"/>
  <c r="Y1700" i="1" s="1"/>
  <c r="Z1700" i="1" s="1"/>
  <c r="V1869" i="1"/>
  <c r="W1198" i="1"/>
  <c r="X1198" i="1" s="1"/>
  <c r="Y1198" i="1" s="1"/>
  <c r="Z1198" i="1" s="1"/>
  <c r="V1198" i="1"/>
  <c r="W1287" i="1"/>
  <c r="X1287" i="1" s="1"/>
  <c r="Y1287" i="1" s="1"/>
  <c r="Z1287" i="1" s="1"/>
  <c r="T1287" i="1"/>
  <c r="U1343" i="1"/>
  <c r="V1343" i="1"/>
  <c r="T1343" i="1"/>
  <c r="W1353" i="1"/>
  <c r="X1353" i="1" s="1"/>
  <c r="Y1353" i="1" s="1"/>
  <c r="Z1353" i="1" s="1"/>
  <c r="T1353" i="1"/>
  <c r="V1392" i="1"/>
  <c r="W1392" i="1"/>
  <c r="X1392" i="1" s="1"/>
  <c r="Y1392" i="1" s="1"/>
  <c r="Z1392" i="1" s="1"/>
  <c r="U1392" i="1"/>
  <c r="V1450" i="1"/>
  <c r="U1450" i="1"/>
  <c r="W1450" i="1"/>
  <c r="X1450" i="1" s="1"/>
  <c r="Y1450" i="1" s="1"/>
  <c r="Z1450" i="1" s="1"/>
  <c r="T1450" i="1"/>
  <c r="W1465" i="1"/>
  <c r="X1465" i="1" s="1"/>
  <c r="Y1465" i="1" s="1"/>
  <c r="Z1465" i="1" s="1"/>
  <c r="V1465" i="1"/>
  <c r="U1465" i="1"/>
  <c r="T1465" i="1"/>
  <c r="V1526" i="1"/>
  <c r="V1533" i="1"/>
  <c r="U1533" i="1"/>
  <c r="V1575" i="1"/>
  <c r="T1575" i="1"/>
  <c r="W1644" i="1"/>
  <c r="X1644" i="1" s="1"/>
  <c r="Y1644" i="1" s="1"/>
  <c r="Z1644" i="1" s="1"/>
  <c r="U1644" i="1"/>
  <c r="T1644" i="1"/>
  <c r="V1644" i="1"/>
  <c r="U1650" i="1"/>
  <c r="V1700" i="1"/>
  <c r="V2093" i="1"/>
  <c r="W2093" i="1"/>
  <c r="X2093" i="1" s="1"/>
  <c r="Y2093" i="1" s="1"/>
  <c r="Z2093" i="1" s="1"/>
  <c r="U2093" i="1"/>
  <c r="T2093" i="1"/>
  <c r="W1578" i="1"/>
  <c r="X1578" i="1" s="1"/>
  <c r="Y1578" i="1" s="1"/>
  <c r="Z1578" i="1" s="1"/>
  <c r="V1578" i="1"/>
  <c r="T1578" i="1"/>
  <c r="W1599" i="1"/>
  <c r="X1599" i="1" s="1"/>
  <c r="Y1599" i="1" s="1"/>
  <c r="Z1599" i="1" s="1"/>
  <c r="V1599" i="1"/>
  <c r="U1599" i="1"/>
  <c r="W1664" i="1"/>
  <c r="X1664" i="1" s="1"/>
  <c r="Y1664" i="1" s="1"/>
  <c r="Z1664" i="1" s="1"/>
  <c r="U1664" i="1"/>
  <c r="T1664" i="1"/>
  <c r="V1664" i="1"/>
  <c r="W1675" i="1"/>
  <c r="X1675" i="1" s="1"/>
  <c r="Y1675" i="1" s="1"/>
  <c r="Z1675" i="1" s="1"/>
  <c r="V1675" i="1"/>
  <c r="T1675" i="1"/>
  <c r="U1675" i="1"/>
  <c r="V2421" i="1"/>
  <c r="U2421" i="1"/>
  <c r="W2421" i="1"/>
  <c r="X2421" i="1" s="1"/>
  <c r="Y2421" i="1" s="1"/>
  <c r="Z2421" i="1" s="1"/>
  <c r="T2421" i="1"/>
  <c r="W1498" i="1"/>
  <c r="X1498" i="1" s="1"/>
  <c r="Y1498" i="1" s="1"/>
  <c r="Z1498" i="1" s="1"/>
  <c r="V1498" i="1"/>
  <c r="U1498" i="1"/>
  <c r="T1498" i="1"/>
  <c r="T1541" i="1"/>
  <c r="U1578" i="1"/>
  <c r="T1599" i="1"/>
  <c r="W1602" i="1"/>
  <c r="X1602" i="1" s="1"/>
  <c r="Y1602" i="1" s="1"/>
  <c r="Z1602" i="1" s="1"/>
  <c r="V1602" i="1"/>
  <c r="T1605" i="1"/>
  <c r="W1690" i="1"/>
  <c r="X1690" i="1" s="1"/>
  <c r="Y1690" i="1" s="1"/>
  <c r="Z1690" i="1" s="1"/>
  <c r="V1690" i="1"/>
  <c r="U1690" i="1"/>
  <c r="T1690" i="1"/>
  <c r="W1716" i="1"/>
  <c r="X1716" i="1" s="1"/>
  <c r="Y1716" i="1" s="1"/>
  <c r="Z1716" i="1" s="1"/>
  <c r="U1716" i="1"/>
  <c r="V1754" i="1"/>
  <c r="U1754" i="1"/>
  <c r="T1754" i="1"/>
  <c r="W1754" i="1"/>
  <c r="X1754" i="1" s="1"/>
  <c r="Y1754" i="1" s="1"/>
  <c r="Z1754" i="1" s="1"/>
  <c r="V1510" i="1"/>
  <c r="T1510" i="1"/>
  <c r="W1510" i="1"/>
  <c r="X1510" i="1" s="1"/>
  <c r="Y1510" i="1" s="1"/>
  <c r="Z1510" i="1" s="1"/>
  <c r="W1524" i="1"/>
  <c r="X1524" i="1" s="1"/>
  <c r="Y1524" i="1" s="1"/>
  <c r="Z1524" i="1" s="1"/>
  <c r="U1524" i="1"/>
  <c r="T1524" i="1"/>
  <c r="W1530" i="1"/>
  <c r="X1530" i="1" s="1"/>
  <c r="Y1530" i="1" s="1"/>
  <c r="Z1530" i="1" s="1"/>
  <c r="V1530" i="1"/>
  <c r="U1530" i="1"/>
  <c r="T1530" i="1"/>
  <c r="U1541" i="1"/>
  <c r="V1547" i="1"/>
  <c r="U1547" i="1"/>
  <c r="T1547" i="1"/>
  <c r="W1565" i="1"/>
  <c r="X1565" i="1" s="1"/>
  <c r="Y1565" i="1" s="1"/>
  <c r="Z1565" i="1" s="1"/>
  <c r="V1565" i="1"/>
  <c r="T1602" i="1"/>
  <c r="V1605" i="1"/>
  <c r="V1615" i="1"/>
  <c r="T1615" i="1"/>
  <c r="W1694" i="1"/>
  <c r="X1694" i="1" s="1"/>
  <c r="Y1694" i="1" s="1"/>
  <c r="Z1694" i="1" s="1"/>
  <c r="V1694" i="1"/>
  <c r="U1694" i="1"/>
  <c r="W1712" i="1"/>
  <c r="X1712" i="1" s="1"/>
  <c r="Y1712" i="1" s="1"/>
  <c r="Z1712" i="1" s="1"/>
  <c r="V1712" i="1"/>
  <c r="U1712" i="1"/>
  <c r="T1712" i="1"/>
  <c r="T1716" i="1"/>
  <c r="W1762" i="1"/>
  <c r="X1762" i="1" s="1"/>
  <c r="Y1762" i="1" s="1"/>
  <c r="Z1762" i="1" s="1"/>
  <c r="V1762" i="1"/>
  <c r="U1762" i="1"/>
  <c r="W1351" i="1"/>
  <c r="X1351" i="1" s="1"/>
  <c r="Y1351" i="1" s="1"/>
  <c r="Z1351" i="1" s="1"/>
  <c r="T1351" i="1"/>
  <c r="W1456" i="1"/>
  <c r="X1456" i="1" s="1"/>
  <c r="Y1456" i="1" s="1"/>
  <c r="Z1456" i="1" s="1"/>
  <c r="V1456" i="1"/>
  <c r="V1474" i="1"/>
  <c r="T1487" i="1"/>
  <c r="V1495" i="1"/>
  <c r="T1495" i="1"/>
  <c r="W1495" i="1"/>
  <c r="X1495" i="1" s="1"/>
  <c r="Y1495" i="1" s="1"/>
  <c r="Z1495" i="1" s="1"/>
  <c r="U1495" i="1"/>
  <c r="U1510" i="1"/>
  <c r="V1524" i="1"/>
  <c r="T1536" i="1"/>
  <c r="W1541" i="1"/>
  <c r="X1541" i="1" s="1"/>
  <c r="Y1541" i="1" s="1"/>
  <c r="Z1541" i="1" s="1"/>
  <c r="W1547" i="1"/>
  <c r="X1547" i="1" s="1"/>
  <c r="Y1547" i="1" s="1"/>
  <c r="Z1547" i="1" s="1"/>
  <c r="T1565" i="1"/>
  <c r="T1568" i="1"/>
  <c r="U1602" i="1"/>
  <c r="W1605" i="1"/>
  <c r="X1605" i="1" s="1"/>
  <c r="Y1605" i="1" s="1"/>
  <c r="Z1605" i="1" s="1"/>
  <c r="U1615" i="1"/>
  <c r="V1629" i="1"/>
  <c r="W1629" i="1"/>
  <c r="X1629" i="1" s="1"/>
  <c r="Y1629" i="1" s="1"/>
  <c r="Z1629" i="1" s="1"/>
  <c r="T1629" i="1"/>
  <c r="W1645" i="1"/>
  <c r="X1645" i="1" s="1"/>
  <c r="Y1645" i="1" s="1"/>
  <c r="Z1645" i="1" s="1"/>
  <c r="V1645" i="1"/>
  <c r="T1694" i="1"/>
  <c r="W1705" i="1"/>
  <c r="X1705" i="1" s="1"/>
  <c r="Y1705" i="1" s="1"/>
  <c r="Z1705" i="1" s="1"/>
  <c r="V1705" i="1"/>
  <c r="U1705" i="1"/>
  <c r="T1705" i="1"/>
  <c r="V1716" i="1"/>
  <c r="U1720" i="1"/>
  <c r="W1720" i="1"/>
  <c r="X1720" i="1" s="1"/>
  <c r="Y1720" i="1" s="1"/>
  <c r="Z1720" i="1" s="1"/>
  <c r="V1720" i="1"/>
  <c r="T1720" i="1"/>
  <c r="W1743" i="1"/>
  <c r="X1743" i="1" s="1"/>
  <c r="Y1743" i="1" s="1"/>
  <c r="Z1743" i="1" s="1"/>
  <c r="V1743" i="1"/>
  <c r="U1743" i="1"/>
  <c r="T1743" i="1"/>
  <c r="T1762" i="1"/>
  <c r="W1782" i="1"/>
  <c r="X1782" i="1" s="1"/>
  <c r="Y1782" i="1" s="1"/>
  <c r="Z1782" i="1" s="1"/>
  <c r="V1782" i="1"/>
  <c r="U1782" i="1"/>
  <c r="U1951" i="1"/>
  <c r="W1951" i="1"/>
  <c r="X1951" i="1" s="1"/>
  <c r="Y1951" i="1" s="1"/>
  <c r="Z1951" i="1" s="1"/>
  <c r="V1951" i="1"/>
  <c r="T1951" i="1"/>
  <c r="V1209" i="1"/>
  <c r="U1209" i="1"/>
  <c r="W1258" i="1"/>
  <c r="X1258" i="1" s="1"/>
  <c r="Y1258" i="1" s="1"/>
  <c r="Z1258" i="1" s="1"/>
  <c r="V1258" i="1"/>
  <c r="U1351" i="1"/>
  <c r="T1376" i="1"/>
  <c r="T1428" i="1"/>
  <c r="T1446" i="1"/>
  <c r="U1446" i="1"/>
  <c r="T1456" i="1"/>
  <c r="W1474" i="1"/>
  <c r="X1474" i="1" s="1"/>
  <c r="Y1474" i="1" s="1"/>
  <c r="Z1474" i="1" s="1"/>
  <c r="V1484" i="1"/>
  <c r="W1484" i="1"/>
  <c r="X1484" i="1" s="1"/>
  <c r="Y1484" i="1" s="1"/>
  <c r="Z1484" i="1" s="1"/>
  <c r="U1484" i="1"/>
  <c r="T1484" i="1"/>
  <c r="U1487" i="1"/>
  <c r="T1519" i="1"/>
  <c r="U1536" i="1"/>
  <c r="U1565" i="1"/>
  <c r="U1568" i="1"/>
  <c r="W1582" i="1"/>
  <c r="X1582" i="1" s="1"/>
  <c r="Y1582" i="1" s="1"/>
  <c r="Z1582" i="1" s="1"/>
  <c r="V1582" i="1"/>
  <c r="U1582" i="1"/>
  <c r="V1612" i="1"/>
  <c r="U1612" i="1"/>
  <c r="W1615" i="1"/>
  <c r="X1615" i="1" s="1"/>
  <c r="Y1615" i="1" s="1"/>
  <c r="Z1615" i="1" s="1"/>
  <c r="U1626" i="1"/>
  <c r="W1626" i="1"/>
  <c r="X1626" i="1" s="1"/>
  <c r="Y1626" i="1" s="1"/>
  <c r="Z1626" i="1" s="1"/>
  <c r="T1626" i="1"/>
  <c r="U1629" i="1"/>
  <c r="T1645" i="1"/>
  <c r="W1665" i="1"/>
  <c r="X1665" i="1" s="1"/>
  <c r="Y1665" i="1" s="1"/>
  <c r="Z1665" i="1" s="1"/>
  <c r="V1665" i="1"/>
  <c r="U1665" i="1"/>
  <c r="T1665" i="1"/>
  <c r="W1725" i="1"/>
  <c r="X1725" i="1" s="1"/>
  <c r="Y1725" i="1" s="1"/>
  <c r="Z1725" i="1" s="1"/>
  <c r="V1725" i="1"/>
  <c r="U1725" i="1"/>
  <c r="W1733" i="1"/>
  <c r="X1733" i="1" s="1"/>
  <c r="Y1733" i="1" s="1"/>
  <c r="Z1733" i="1" s="1"/>
  <c r="V1733" i="1"/>
  <c r="U1733" i="1"/>
  <c r="T1733" i="1"/>
  <c r="T1782" i="1"/>
  <c r="V1830" i="1"/>
  <c r="U1830" i="1"/>
  <c r="T1830" i="1"/>
  <c r="W1830" i="1"/>
  <c r="X1830" i="1" s="1"/>
  <c r="Y1830" i="1" s="1"/>
  <c r="Z1830" i="1" s="1"/>
  <c r="W1889" i="1"/>
  <c r="X1889" i="1" s="1"/>
  <c r="Y1889" i="1" s="1"/>
  <c r="Z1889" i="1" s="1"/>
  <c r="V1889" i="1"/>
  <c r="T1889" i="1"/>
  <c r="U1889" i="1"/>
  <c r="W1207" i="1"/>
  <c r="X1207" i="1" s="1"/>
  <c r="Y1207" i="1" s="1"/>
  <c r="Z1207" i="1" s="1"/>
  <c r="T1207" i="1"/>
  <c r="U1296" i="1"/>
  <c r="T1296" i="1"/>
  <c r="V1339" i="1"/>
  <c r="U1339" i="1"/>
  <c r="T1339" i="1"/>
  <c r="V1472" i="1"/>
  <c r="T1472" i="1"/>
  <c r="V1487" i="1"/>
  <c r="W1499" i="1"/>
  <c r="X1499" i="1" s="1"/>
  <c r="Y1499" i="1" s="1"/>
  <c r="Z1499" i="1" s="1"/>
  <c r="V1499" i="1"/>
  <c r="W1502" i="1"/>
  <c r="X1502" i="1" s="1"/>
  <c r="Y1502" i="1" s="1"/>
  <c r="Z1502" i="1" s="1"/>
  <c r="V1502" i="1"/>
  <c r="U1519" i="1"/>
  <c r="V1527" i="1"/>
  <c r="T1527" i="1"/>
  <c r="W1527" i="1"/>
  <c r="X1527" i="1" s="1"/>
  <c r="Y1527" i="1" s="1"/>
  <c r="Z1527" i="1" s="1"/>
  <c r="U1527" i="1"/>
  <c r="V1536" i="1"/>
  <c r="V1568" i="1"/>
  <c r="V1573" i="1"/>
  <c r="U1573" i="1"/>
  <c r="W1573" i="1"/>
  <c r="X1573" i="1" s="1"/>
  <c r="Y1573" i="1" s="1"/>
  <c r="Z1573" i="1" s="1"/>
  <c r="U1645" i="1"/>
  <c r="W1652" i="1"/>
  <c r="X1652" i="1" s="1"/>
  <c r="Y1652" i="1" s="1"/>
  <c r="Z1652" i="1" s="1"/>
  <c r="V1652" i="1"/>
  <c r="U1652" i="1"/>
  <c r="W1774" i="1"/>
  <c r="X1774" i="1" s="1"/>
  <c r="Y1774" i="1" s="1"/>
  <c r="Z1774" i="1" s="1"/>
  <c r="V1774" i="1"/>
  <c r="W2218" i="1"/>
  <c r="X2218" i="1" s="1"/>
  <c r="Y2218" i="1" s="1"/>
  <c r="Z2218" i="1" s="1"/>
  <c r="U2218" i="1"/>
  <c r="V2218" i="1"/>
  <c r="T2218" i="1"/>
  <c r="U1207" i="1"/>
  <c r="W1209" i="1"/>
  <c r="X1209" i="1" s="1"/>
  <c r="Y1209" i="1" s="1"/>
  <c r="Z1209" i="1" s="1"/>
  <c r="U1258" i="1"/>
  <c r="V1296" i="1"/>
  <c r="U1311" i="1"/>
  <c r="W1339" i="1"/>
  <c r="X1339" i="1" s="1"/>
  <c r="Y1339" i="1" s="1"/>
  <c r="Z1339" i="1" s="1"/>
  <c r="V1367" i="1"/>
  <c r="U1374" i="1"/>
  <c r="V1383" i="1"/>
  <c r="W1398" i="1"/>
  <c r="X1398" i="1" s="1"/>
  <c r="Y1398" i="1" s="1"/>
  <c r="Z1398" i="1" s="1"/>
  <c r="V1398" i="1"/>
  <c r="T1398" i="1"/>
  <c r="V1428" i="1"/>
  <c r="W1431" i="1"/>
  <c r="X1431" i="1" s="1"/>
  <c r="Y1431" i="1" s="1"/>
  <c r="Z1431" i="1" s="1"/>
  <c r="V1431" i="1"/>
  <c r="U1431" i="1"/>
  <c r="W1446" i="1"/>
  <c r="X1446" i="1" s="1"/>
  <c r="Y1446" i="1" s="1"/>
  <c r="Z1446" i="1" s="1"/>
  <c r="W1459" i="1"/>
  <c r="X1459" i="1" s="1"/>
  <c r="Y1459" i="1" s="1"/>
  <c r="Z1459" i="1" s="1"/>
  <c r="V1459" i="1"/>
  <c r="U1472" i="1"/>
  <c r="T1490" i="1"/>
  <c r="T1499" i="1"/>
  <c r="T1502" i="1"/>
  <c r="T1573" i="1"/>
  <c r="V1609" i="1"/>
  <c r="W1609" i="1"/>
  <c r="X1609" i="1" s="1"/>
  <c r="Y1609" i="1" s="1"/>
  <c r="Z1609" i="1" s="1"/>
  <c r="U1609" i="1"/>
  <c r="W1612" i="1"/>
  <c r="X1612" i="1" s="1"/>
  <c r="Y1612" i="1" s="1"/>
  <c r="Z1612" i="1" s="1"/>
  <c r="T1652" i="1"/>
  <c r="T1687" i="1"/>
  <c r="W1729" i="1"/>
  <c r="X1729" i="1" s="1"/>
  <c r="Y1729" i="1" s="1"/>
  <c r="Z1729" i="1" s="1"/>
  <c r="V1729" i="1"/>
  <c r="U1729" i="1"/>
  <c r="T1729" i="1"/>
  <c r="W1744" i="1"/>
  <c r="X1744" i="1" s="1"/>
  <c r="Y1744" i="1" s="1"/>
  <c r="Z1744" i="1" s="1"/>
  <c r="V1744" i="1"/>
  <c r="U1744" i="1"/>
  <c r="T1744" i="1"/>
  <c r="T1763" i="1"/>
  <c r="U1763" i="1"/>
  <c r="T1774" i="1"/>
  <c r="V2089" i="1"/>
  <c r="T2089" i="1"/>
  <c r="W2089" i="1"/>
  <c r="X2089" i="1" s="1"/>
  <c r="Y2089" i="1" s="1"/>
  <c r="Z2089" i="1" s="1"/>
  <c r="U2089" i="1"/>
  <c r="V1337" i="1"/>
  <c r="U1337" i="1"/>
  <c r="W1349" i="1"/>
  <c r="X1349" i="1" s="1"/>
  <c r="Y1349" i="1" s="1"/>
  <c r="Z1349" i="1" s="1"/>
  <c r="T1349" i="1"/>
  <c r="U1365" i="1"/>
  <c r="T1365" i="1"/>
  <c r="W1381" i="1"/>
  <c r="X1381" i="1" s="1"/>
  <c r="Y1381" i="1" s="1"/>
  <c r="Z1381" i="1" s="1"/>
  <c r="T1381" i="1"/>
  <c r="W1408" i="1"/>
  <c r="X1408" i="1" s="1"/>
  <c r="Y1408" i="1" s="1"/>
  <c r="Z1408" i="1" s="1"/>
  <c r="V1408" i="1"/>
  <c r="U1408" i="1"/>
  <c r="T1408" i="1"/>
  <c r="V1444" i="1"/>
  <c r="T1444" i="1"/>
  <c r="W1469" i="1"/>
  <c r="X1469" i="1" s="1"/>
  <c r="Y1469" i="1" s="1"/>
  <c r="Z1469" i="1" s="1"/>
  <c r="V1469" i="1"/>
  <c r="T1469" i="1"/>
  <c r="U1496" i="1"/>
  <c r="T1496" i="1"/>
  <c r="W1511" i="1"/>
  <c r="X1511" i="1" s="1"/>
  <c r="Y1511" i="1" s="1"/>
  <c r="Z1511" i="1" s="1"/>
  <c r="T1511" i="1"/>
  <c r="W1531" i="1"/>
  <c r="X1531" i="1" s="1"/>
  <c r="Y1531" i="1" s="1"/>
  <c r="Z1531" i="1" s="1"/>
  <c r="T1531" i="1"/>
  <c r="V1531" i="1"/>
  <c r="U1531" i="1"/>
  <c r="U1539" i="1"/>
  <c r="W1539" i="1"/>
  <c r="X1539" i="1" s="1"/>
  <c r="Y1539" i="1" s="1"/>
  <c r="Z1539" i="1" s="1"/>
  <c r="V1539" i="1"/>
  <c r="W1551" i="1"/>
  <c r="X1551" i="1" s="1"/>
  <c r="Y1551" i="1" s="1"/>
  <c r="Z1551" i="1" s="1"/>
  <c r="T1551" i="1"/>
  <c r="W1683" i="1"/>
  <c r="X1683" i="1" s="1"/>
  <c r="Y1683" i="1" s="1"/>
  <c r="Z1683" i="1" s="1"/>
  <c r="U1683" i="1"/>
  <c r="U1717" i="1"/>
  <c r="T1717" i="1"/>
  <c r="W1717" i="1"/>
  <c r="X1717" i="1" s="1"/>
  <c r="Y1717" i="1" s="1"/>
  <c r="Z1717" i="1" s="1"/>
  <c r="U1783" i="1"/>
  <c r="W1783" i="1"/>
  <c r="X1783" i="1" s="1"/>
  <c r="Y1783" i="1" s="1"/>
  <c r="Z1783" i="1" s="1"/>
  <c r="V1783" i="1"/>
  <c r="T1783" i="1"/>
  <c r="W1824" i="1"/>
  <c r="X1824" i="1" s="1"/>
  <c r="Y1824" i="1" s="1"/>
  <c r="Z1824" i="1" s="1"/>
  <c r="V1824" i="1"/>
  <c r="U1824" i="1"/>
  <c r="W1307" i="1"/>
  <c r="X1307" i="1" s="1"/>
  <c r="Y1307" i="1" s="1"/>
  <c r="Z1307" i="1" s="1"/>
  <c r="T1307" i="1"/>
  <c r="T1337" i="1"/>
  <c r="U1349" i="1"/>
  <c r="U1354" i="1"/>
  <c r="V1365" i="1"/>
  <c r="T1372" i="1"/>
  <c r="U1381" i="1"/>
  <c r="T1411" i="1"/>
  <c r="W1416" i="1"/>
  <c r="X1416" i="1" s="1"/>
  <c r="Y1416" i="1" s="1"/>
  <c r="Z1416" i="1" s="1"/>
  <c r="U1416" i="1"/>
  <c r="T1416" i="1"/>
  <c r="U1426" i="1"/>
  <c r="U1444" i="1"/>
  <c r="T1454" i="1"/>
  <c r="W1454" i="1"/>
  <c r="X1454" i="1" s="1"/>
  <c r="Y1454" i="1" s="1"/>
  <c r="Z1454" i="1" s="1"/>
  <c r="V1454" i="1"/>
  <c r="U1469" i="1"/>
  <c r="W1482" i="1"/>
  <c r="X1482" i="1" s="1"/>
  <c r="Y1482" i="1" s="1"/>
  <c r="Z1482" i="1" s="1"/>
  <c r="V1482" i="1"/>
  <c r="U1482" i="1"/>
  <c r="T1482" i="1"/>
  <c r="V1496" i="1"/>
  <c r="U1511" i="1"/>
  <c r="U1517" i="1"/>
  <c r="W1522" i="1"/>
  <c r="X1522" i="1" s="1"/>
  <c r="Y1522" i="1" s="1"/>
  <c r="Z1522" i="1" s="1"/>
  <c r="V1522" i="1"/>
  <c r="T1522" i="1"/>
  <c r="U1522" i="1"/>
  <c r="T1539" i="1"/>
  <c r="W1548" i="1"/>
  <c r="X1548" i="1" s="1"/>
  <c r="Y1548" i="1" s="1"/>
  <c r="Z1548" i="1" s="1"/>
  <c r="V1548" i="1"/>
  <c r="U1551" i="1"/>
  <c r="U1588" i="1"/>
  <c r="W1588" i="1"/>
  <c r="X1588" i="1" s="1"/>
  <c r="Y1588" i="1" s="1"/>
  <c r="Z1588" i="1" s="1"/>
  <c r="T1600" i="1"/>
  <c r="T1621" i="1"/>
  <c r="W1630" i="1"/>
  <c r="X1630" i="1" s="1"/>
  <c r="Y1630" i="1" s="1"/>
  <c r="Z1630" i="1" s="1"/>
  <c r="V1630" i="1"/>
  <c r="U1630" i="1"/>
  <c r="T1630" i="1"/>
  <c r="T1683" i="1"/>
  <c r="V1717" i="1"/>
  <c r="T1824" i="1"/>
  <c r="V1269" i="1"/>
  <c r="U1269" i="1"/>
  <c r="U1307" i="1"/>
  <c r="U1322" i="1"/>
  <c r="W1337" i="1"/>
  <c r="X1337" i="1" s="1"/>
  <c r="Y1337" i="1" s="1"/>
  <c r="Z1337" i="1" s="1"/>
  <c r="V1349" i="1"/>
  <c r="V1354" i="1"/>
  <c r="W1365" i="1"/>
  <c r="X1365" i="1" s="1"/>
  <c r="Y1365" i="1" s="1"/>
  <c r="Z1365" i="1" s="1"/>
  <c r="U1372" i="1"/>
  <c r="V1381" i="1"/>
  <c r="V1416" i="1"/>
  <c r="V1426" i="1"/>
  <c r="W1444" i="1"/>
  <c r="X1444" i="1" s="1"/>
  <c r="Y1444" i="1" s="1"/>
  <c r="Z1444" i="1" s="1"/>
  <c r="U1454" i="1"/>
  <c r="T1477" i="1"/>
  <c r="W1496" i="1"/>
  <c r="X1496" i="1" s="1"/>
  <c r="Y1496" i="1" s="1"/>
  <c r="Z1496" i="1" s="1"/>
  <c r="V1511" i="1"/>
  <c r="V1517" i="1"/>
  <c r="T1548" i="1"/>
  <c r="V1551" i="1"/>
  <c r="T1566" i="1"/>
  <c r="T1588" i="1"/>
  <c r="T1597" i="1"/>
  <c r="W1597" i="1"/>
  <c r="X1597" i="1" s="1"/>
  <c r="Y1597" i="1" s="1"/>
  <c r="Z1597" i="1" s="1"/>
  <c r="V1597" i="1"/>
  <c r="V1600" i="1"/>
  <c r="U1621" i="1"/>
  <c r="V1683" i="1"/>
  <c r="V1751" i="1"/>
  <c r="W1751" i="1"/>
  <c r="X1751" i="1" s="1"/>
  <c r="Y1751" i="1" s="1"/>
  <c r="Z1751" i="1" s="1"/>
  <c r="U1751" i="1"/>
  <c r="T1751" i="1"/>
  <c r="W1704" i="1"/>
  <c r="X1704" i="1" s="1"/>
  <c r="Y1704" i="1" s="1"/>
  <c r="Z1704" i="1" s="1"/>
  <c r="U1704" i="1"/>
  <c r="T1704" i="1"/>
  <c r="V1704" i="1"/>
  <c r="V1721" i="1"/>
  <c r="U1721" i="1"/>
  <c r="U1657" i="1"/>
  <c r="T1657" i="1"/>
  <c r="W1657" i="1"/>
  <c r="X1657" i="1" s="1"/>
  <c r="Y1657" i="1" s="1"/>
  <c r="Z1657" i="1" s="1"/>
  <c r="W1731" i="1"/>
  <c r="X1731" i="1" s="1"/>
  <c r="Y1731" i="1" s="1"/>
  <c r="Z1731" i="1" s="1"/>
  <c r="V1731" i="1"/>
  <c r="T1752" i="1"/>
  <c r="W1752" i="1"/>
  <c r="X1752" i="1" s="1"/>
  <c r="Y1752" i="1" s="1"/>
  <c r="Z1752" i="1" s="1"/>
  <c r="V1752" i="1"/>
  <c r="U1752" i="1"/>
  <c r="W1802" i="1"/>
  <c r="X1802" i="1" s="1"/>
  <c r="Y1802" i="1" s="1"/>
  <c r="Z1802" i="1" s="1"/>
  <c r="V1802" i="1"/>
  <c r="U1802" i="1"/>
  <c r="T1802" i="1"/>
  <c r="U2001" i="1"/>
  <c r="T2001" i="1"/>
  <c r="W2001" i="1"/>
  <c r="X2001" i="1" s="1"/>
  <c r="Y2001" i="1" s="1"/>
  <c r="Z2001" i="1" s="1"/>
  <c r="V2001" i="1"/>
  <c r="W1826" i="1"/>
  <c r="X1826" i="1" s="1"/>
  <c r="Y1826" i="1" s="1"/>
  <c r="Z1826" i="1" s="1"/>
  <c r="V1826" i="1"/>
  <c r="U1826" i="1"/>
  <c r="T1826" i="1"/>
  <c r="V1855" i="1"/>
  <c r="U1855" i="1"/>
  <c r="T1855" i="1"/>
  <c r="W1855" i="1"/>
  <c r="X1855" i="1" s="1"/>
  <c r="Y1855" i="1" s="1"/>
  <c r="Z1855" i="1" s="1"/>
  <c r="W1877" i="1"/>
  <c r="X1877" i="1" s="1"/>
  <c r="Y1877" i="1" s="1"/>
  <c r="Z1877" i="1" s="1"/>
  <c r="V1877" i="1"/>
  <c r="U1877" i="1"/>
  <c r="W1926" i="1"/>
  <c r="X1926" i="1" s="1"/>
  <c r="Y1926" i="1" s="1"/>
  <c r="Z1926" i="1" s="1"/>
  <c r="V1926" i="1"/>
  <c r="T1926" i="1"/>
  <c r="U1731" i="1"/>
  <c r="W1773" i="1"/>
  <c r="X1773" i="1" s="1"/>
  <c r="Y1773" i="1" s="1"/>
  <c r="Z1773" i="1" s="1"/>
  <c r="U1773" i="1"/>
  <c r="V1773" i="1"/>
  <c r="V1785" i="1"/>
  <c r="T1785" i="1"/>
  <c r="U1785" i="1"/>
  <c r="V1860" i="1"/>
  <c r="U1860" i="1"/>
  <c r="T1860" i="1"/>
  <c r="W1860" i="1"/>
  <c r="X1860" i="1" s="1"/>
  <c r="Y1860" i="1" s="1"/>
  <c r="Z1860" i="1" s="1"/>
  <c r="T1877" i="1"/>
  <c r="U1926" i="1"/>
  <c r="W1984" i="1"/>
  <c r="X1984" i="1" s="1"/>
  <c r="Y1984" i="1" s="1"/>
  <c r="Z1984" i="1" s="1"/>
  <c r="V1984" i="1"/>
  <c r="U1984" i="1"/>
  <c r="T1984" i="1"/>
  <c r="W2105" i="1"/>
  <c r="X2105" i="1" s="1"/>
  <c r="Y2105" i="1" s="1"/>
  <c r="Z2105" i="1" s="1"/>
  <c r="V2105" i="1"/>
  <c r="U2105" i="1"/>
  <c r="T2105" i="1"/>
  <c r="W1803" i="1"/>
  <c r="X1803" i="1" s="1"/>
  <c r="Y1803" i="1" s="1"/>
  <c r="Z1803" i="1" s="1"/>
  <c r="V1803" i="1"/>
  <c r="U1803" i="1"/>
  <c r="T1803" i="1"/>
  <c r="W1873" i="1"/>
  <c r="X1873" i="1" s="1"/>
  <c r="Y1873" i="1" s="1"/>
  <c r="Z1873" i="1" s="1"/>
  <c r="V1873" i="1"/>
  <c r="U1873" i="1"/>
  <c r="T1873" i="1"/>
  <c r="V2249" i="1"/>
  <c r="W2249" i="1"/>
  <c r="X2249" i="1" s="1"/>
  <c r="Y2249" i="1" s="1"/>
  <c r="Z2249" i="1" s="1"/>
  <c r="T2249" i="1"/>
  <c r="W2254" i="1"/>
  <c r="X2254" i="1" s="1"/>
  <c r="Y2254" i="1" s="1"/>
  <c r="Z2254" i="1" s="1"/>
  <c r="U2254" i="1"/>
  <c r="V2254" i="1"/>
  <c r="T2254" i="1"/>
  <c r="W2258" i="1"/>
  <c r="X2258" i="1" s="1"/>
  <c r="Y2258" i="1" s="1"/>
  <c r="Z2258" i="1" s="1"/>
  <c r="U2258" i="1"/>
  <c r="T2258" i="1"/>
  <c r="V2258" i="1"/>
  <c r="U1647" i="1"/>
  <c r="T1668" i="1"/>
  <c r="W1668" i="1"/>
  <c r="X1668" i="1" s="1"/>
  <c r="Y1668" i="1" s="1"/>
  <c r="Z1668" i="1" s="1"/>
  <c r="W1711" i="1"/>
  <c r="X1711" i="1" s="1"/>
  <c r="Y1711" i="1" s="1"/>
  <c r="Z1711" i="1" s="1"/>
  <c r="T1711" i="1"/>
  <c r="W1811" i="1"/>
  <c r="X1811" i="1" s="1"/>
  <c r="Y1811" i="1" s="1"/>
  <c r="Z1811" i="1" s="1"/>
  <c r="V1811" i="1"/>
  <c r="U1811" i="1"/>
  <c r="T1811" i="1"/>
  <c r="W1847" i="1"/>
  <c r="X1847" i="1" s="1"/>
  <c r="Y1847" i="1" s="1"/>
  <c r="Z1847" i="1" s="1"/>
  <c r="U1847" i="1"/>
  <c r="T1847" i="1"/>
  <c r="W1851" i="1"/>
  <c r="X1851" i="1" s="1"/>
  <c r="Y1851" i="1" s="1"/>
  <c r="Z1851" i="1" s="1"/>
  <c r="V1851" i="1"/>
  <c r="U1851" i="1"/>
  <c r="T1851" i="1"/>
  <c r="V1934" i="1"/>
  <c r="U1934" i="1"/>
  <c r="W1934" i="1"/>
  <c r="X1934" i="1" s="1"/>
  <c r="Y1934" i="1" s="1"/>
  <c r="Z1934" i="1" s="1"/>
  <c r="T1934" i="1"/>
  <c r="W1997" i="1"/>
  <c r="X1997" i="1" s="1"/>
  <c r="Y1997" i="1" s="1"/>
  <c r="Z1997" i="1" s="1"/>
  <c r="T1997" i="1"/>
  <c r="U1997" i="1"/>
  <c r="V1997" i="1"/>
  <c r="T2114" i="1"/>
  <c r="W2114" i="1"/>
  <c r="X2114" i="1" s="1"/>
  <c r="Y2114" i="1" s="1"/>
  <c r="Z2114" i="1" s="1"/>
  <c r="V2114" i="1"/>
  <c r="U2114" i="1"/>
  <c r="W2233" i="1"/>
  <c r="X2233" i="1" s="1"/>
  <c r="Y2233" i="1" s="1"/>
  <c r="Z2233" i="1" s="1"/>
  <c r="V2233" i="1"/>
  <c r="U2233" i="1"/>
  <c r="T2233" i="1"/>
  <c r="U2249" i="1"/>
  <c r="U1637" i="1"/>
  <c r="T1637" i="1"/>
  <c r="V1647" i="1"/>
  <c r="U1668" i="1"/>
  <c r="U1711" i="1"/>
  <c r="V1847" i="1"/>
  <c r="W1938" i="1"/>
  <c r="X1938" i="1" s="1"/>
  <c r="Y1938" i="1" s="1"/>
  <c r="Z1938" i="1" s="1"/>
  <c r="V1938" i="1"/>
  <c r="U1938" i="1"/>
  <c r="T1938" i="1"/>
  <c r="W2033" i="1"/>
  <c r="X2033" i="1" s="1"/>
  <c r="Y2033" i="1" s="1"/>
  <c r="Z2033" i="1" s="1"/>
  <c r="V2033" i="1"/>
  <c r="U2033" i="1"/>
  <c r="U2061" i="1"/>
  <c r="T2061" i="1"/>
  <c r="W2061" i="1"/>
  <c r="X2061" i="1" s="1"/>
  <c r="Y2061" i="1" s="1"/>
  <c r="Z2061" i="1" s="1"/>
  <c r="V2061" i="1"/>
  <c r="V2288" i="1"/>
  <c r="W2288" i="1"/>
  <c r="X2288" i="1" s="1"/>
  <c r="Y2288" i="1" s="1"/>
  <c r="Z2288" i="1" s="1"/>
  <c r="T2288" i="1"/>
  <c r="U2288" i="1"/>
  <c r="U1586" i="1"/>
  <c r="T1586" i="1"/>
  <c r="V1613" i="1"/>
  <c r="U1613" i="1"/>
  <c r="V1666" i="1"/>
  <c r="U1666" i="1"/>
  <c r="T1666" i="1"/>
  <c r="W1695" i="1"/>
  <c r="X1695" i="1" s="1"/>
  <c r="Y1695" i="1" s="1"/>
  <c r="Z1695" i="1" s="1"/>
  <c r="V1695" i="1"/>
  <c r="T1695" i="1"/>
  <c r="U1695" i="1"/>
  <c r="V1706" i="1"/>
  <c r="U1706" i="1"/>
  <c r="W1706" i="1"/>
  <c r="X1706" i="1" s="1"/>
  <c r="Y1706" i="1" s="1"/>
  <c r="Z1706" i="1" s="1"/>
  <c r="W1764" i="1"/>
  <c r="X1764" i="1" s="1"/>
  <c r="Y1764" i="1" s="1"/>
  <c r="Z1764" i="1" s="1"/>
  <c r="V1764" i="1"/>
  <c r="T1764" i="1"/>
  <c r="U1764" i="1"/>
  <c r="W1805" i="1"/>
  <c r="X1805" i="1" s="1"/>
  <c r="Y1805" i="1" s="1"/>
  <c r="Z1805" i="1" s="1"/>
  <c r="U1805" i="1"/>
  <c r="T1537" i="1"/>
  <c r="U1537" i="1"/>
  <c r="W1571" i="1"/>
  <c r="X1571" i="1" s="1"/>
  <c r="Y1571" i="1" s="1"/>
  <c r="Z1571" i="1" s="1"/>
  <c r="T1571" i="1"/>
  <c r="V1576" i="1"/>
  <c r="T1576" i="1"/>
  <c r="V1586" i="1"/>
  <c r="T1613" i="1"/>
  <c r="T1620" i="1"/>
  <c r="T1656" i="1"/>
  <c r="W1666" i="1"/>
  <c r="X1666" i="1" s="1"/>
  <c r="Y1666" i="1" s="1"/>
  <c r="Z1666" i="1" s="1"/>
  <c r="T1698" i="1"/>
  <c r="T1706" i="1"/>
  <c r="T1709" i="1"/>
  <c r="T1805" i="1"/>
  <c r="W1862" i="1"/>
  <c r="X1862" i="1" s="1"/>
  <c r="Y1862" i="1" s="1"/>
  <c r="Z1862" i="1" s="1"/>
  <c r="V1862" i="1"/>
  <c r="U1981" i="1"/>
  <c r="T1981" i="1"/>
  <c r="W1981" i="1"/>
  <c r="X1981" i="1" s="1"/>
  <c r="Y1981" i="1" s="1"/>
  <c r="Z1981" i="1" s="1"/>
  <c r="V1981" i="1"/>
  <c r="V1513" i="1"/>
  <c r="U1513" i="1"/>
  <c r="W1564" i="1"/>
  <c r="X1564" i="1" s="1"/>
  <c r="Y1564" i="1" s="1"/>
  <c r="Z1564" i="1" s="1"/>
  <c r="U1564" i="1"/>
  <c r="T1564" i="1"/>
  <c r="T1916" i="1"/>
  <c r="W1916" i="1"/>
  <c r="X1916" i="1" s="1"/>
  <c r="Y1916" i="1" s="1"/>
  <c r="Z1916" i="1" s="1"/>
  <c r="U1916" i="1"/>
  <c r="U1962" i="1"/>
  <c r="T1962" i="1"/>
  <c r="W1962" i="1"/>
  <c r="X1962" i="1" s="1"/>
  <c r="Y1962" i="1" s="1"/>
  <c r="Z1962" i="1" s="1"/>
  <c r="V1970" i="1"/>
  <c r="U1970" i="1"/>
  <c r="T1970" i="1"/>
  <c r="W1970" i="1"/>
  <c r="X1970" i="1" s="1"/>
  <c r="Y1970" i="1" s="1"/>
  <c r="Z1970" i="1" s="1"/>
  <c r="V1987" i="1"/>
  <c r="W1987" i="1"/>
  <c r="X1987" i="1" s="1"/>
  <c r="Y1987" i="1" s="1"/>
  <c r="Z1987" i="1" s="1"/>
  <c r="U1987" i="1"/>
  <c r="T1987" i="1"/>
  <c r="V2013" i="1"/>
  <c r="U2013" i="1"/>
  <c r="W2013" i="1"/>
  <c r="X2013" i="1" s="1"/>
  <c r="Y2013" i="1" s="1"/>
  <c r="Z2013" i="1" s="1"/>
  <c r="T2013" i="1"/>
  <c r="T1513" i="1"/>
  <c r="T1520" i="1"/>
  <c r="V1564" i="1"/>
  <c r="W1591" i="1"/>
  <c r="X1591" i="1" s="1"/>
  <c r="Y1591" i="1" s="1"/>
  <c r="Z1591" i="1" s="1"/>
  <c r="T1591" i="1"/>
  <c r="T1596" i="1"/>
  <c r="U1606" i="1"/>
  <c r="T1606" i="1"/>
  <c r="T1618" i="1"/>
  <c r="T1643" i="1"/>
  <c r="T1661" i="1"/>
  <c r="U1821" i="1"/>
  <c r="W1821" i="1"/>
  <c r="X1821" i="1" s="1"/>
  <c r="Y1821" i="1" s="1"/>
  <c r="Z1821" i="1" s="1"/>
  <c r="V1916" i="1"/>
  <c r="V1962" i="1"/>
  <c r="T1448" i="1"/>
  <c r="W1513" i="1"/>
  <c r="X1513" i="1" s="1"/>
  <c r="Y1513" i="1" s="1"/>
  <c r="Z1513" i="1" s="1"/>
  <c r="V1520" i="1"/>
  <c r="W1542" i="1"/>
  <c r="X1542" i="1" s="1"/>
  <c r="Y1542" i="1" s="1"/>
  <c r="Z1542" i="1" s="1"/>
  <c r="V1542" i="1"/>
  <c r="T1542" i="1"/>
  <c r="U1591" i="1"/>
  <c r="U1596" i="1"/>
  <c r="V1606" i="1"/>
  <c r="U1618" i="1"/>
  <c r="V1633" i="1"/>
  <c r="U1633" i="1"/>
  <c r="W1633" i="1"/>
  <c r="X1633" i="1" s="1"/>
  <c r="Y1633" i="1" s="1"/>
  <c r="Z1633" i="1" s="1"/>
  <c r="U1643" i="1"/>
  <c r="U1661" i="1"/>
  <c r="U1677" i="1"/>
  <c r="T1677" i="1"/>
  <c r="V1677" i="1"/>
  <c r="U1771" i="1"/>
  <c r="W1771" i="1"/>
  <c r="X1771" i="1" s="1"/>
  <c r="Y1771" i="1" s="1"/>
  <c r="Z1771" i="1" s="1"/>
  <c r="V1771" i="1"/>
  <c r="T1771" i="1"/>
  <c r="T1779" i="1"/>
  <c r="V1779" i="1"/>
  <c r="W1779" i="1"/>
  <c r="X1779" i="1" s="1"/>
  <c r="Y1779" i="1" s="1"/>
  <c r="Z1779" i="1" s="1"/>
  <c r="V1817" i="1"/>
  <c r="T1817" i="1"/>
  <c r="W1817" i="1"/>
  <c r="X1817" i="1" s="1"/>
  <c r="Y1817" i="1" s="1"/>
  <c r="Z1817" i="1" s="1"/>
  <c r="T1821" i="1"/>
  <c r="W1858" i="1"/>
  <c r="X1858" i="1" s="1"/>
  <c r="Y1858" i="1" s="1"/>
  <c r="Z1858" i="1" s="1"/>
  <c r="V1858" i="1"/>
  <c r="T1858" i="1"/>
  <c r="V1870" i="1"/>
  <c r="W1870" i="1"/>
  <c r="X1870" i="1" s="1"/>
  <c r="Y1870" i="1" s="1"/>
  <c r="Z1870" i="1" s="1"/>
  <c r="T1870" i="1"/>
  <c r="U1870" i="1"/>
  <c r="U1966" i="1"/>
  <c r="V1966" i="1"/>
  <c r="T1966" i="1"/>
  <c r="W1966" i="1"/>
  <c r="X1966" i="1" s="1"/>
  <c r="Y1966" i="1" s="1"/>
  <c r="Z1966" i="1" s="1"/>
  <c r="W2133" i="1"/>
  <c r="X2133" i="1" s="1"/>
  <c r="Y2133" i="1" s="1"/>
  <c r="Z2133" i="1" s="1"/>
  <c r="V2133" i="1"/>
  <c r="U2133" i="1"/>
  <c r="T2133" i="1"/>
  <c r="U1448" i="1"/>
  <c r="W1461" i="1"/>
  <c r="X1461" i="1" s="1"/>
  <c r="Y1461" i="1" s="1"/>
  <c r="Z1461" i="1" s="1"/>
  <c r="U1461" i="1"/>
  <c r="T1461" i="1"/>
  <c r="W1491" i="1"/>
  <c r="X1491" i="1" s="1"/>
  <c r="Y1491" i="1" s="1"/>
  <c r="Z1491" i="1" s="1"/>
  <c r="T1491" i="1"/>
  <c r="U1506" i="1"/>
  <c r="T1506" i="1"/>
  <c r="W1520" i="1"/>
  <c r="X1520" i="1" s="1"/>
  <c r="Y1520" i="1" s="1"/>
  <c r="Z1520" i="1" s="1"/>
  <c r="T1557" i="1"/>
  <c r="U1557" i="1"/>
  <c r="W1584" i="1"/>
  <c r="X1584" i="1" s="1"/>
  <c r="Y1584" i="1" s="1"/>
  <c r="Z1584" i="1" s="1"/>
  <c r="U1584" i="1"/>
  <c r="T1584" i="1"/>
  <c r="V1591" i="1"/>
  <c r="V1596" i="1"/>
  <c r="W1606" i="1"/>
  <c r="X1606" i="1" s="1"/>
  <c r="Y1606" i="1" s="1"/>
  <c r="Z1606" i="1" s="1"/>
  <c r="W1611" i="1"/>
  <c r="X1611" i="1" s="1"/>
  <c r="Y1611" i="1" s="1"/>
  <c r="Z1611" i="1" s="1"/>
  <c r="T1611" i="1"/>
  <c r="V1618" i="1"/>
  <c r="V1643" i="1"/>
  <c r="V1661" i="1"/>
  <c r="T1688" i="1"/>
  <c r="V1688" i="1"/>
  <c r="W1746" i="1"/>
  <c r="X1746" i="1" s="1"/>
  <c r="Y1746" i="1" s="1"/>
  <c r="Z1746" i="1" s="1"/>
  <c r="U1746" i="1"/>
  <c r="T1746" i="1"/>
  <c r="U1788" i="1"/>
  <c r="W1788" i="1"/>
  <c r="X1788" i="1" s="1"/>
  <c r="Y1788" i="1" s="1"/>
  <c r="Z1788" i="1" s="1"/>
  <c r="V1821" i="1"/>
  <c r="W2000" i="1"/>
  <c r="X2000" i="1" s="1"/>
  <c r="Y2000" i="1" s="1"/>
  <c r="Z2000" i="1" s="1"/>
  <c r="T2000" i="1"/>
  <c r="W1562" i="1"/>
  <c r="X1562" i="1" s="1"/>
  <c r="Y1562" i="1" s="1"/>
  <c r="Z1562" i="1" s="1"/>
  <c r="V1562" i="1"/>
  <c r="V1646" i="1"/>
  <c r="U1646" i="1"/>
  <c r="W1646" i="1"/>
  <c r="X1646" i="1" s="1"/>
  <c r="Y1646" i="1" s="1"/>
  <c r="Z1646" i="1" s="1"/>
  <c r="W1651" i="1"/>
  <c r="X1651" i="1" s="1"/>
  <c r="Y1651" i="1" s="1"/>
  <c r="Z1651" i="1" s="1"/>
  <c r="T1651" i="1"/>
  <c r="V1651" i="1"/>
  <c r="U1651" i="1"/>
  <c r="W1724" i="1"/>
  <c r="X1724" i="1" s="1"/>
  <c r="Y1724" i="1" s="1"/>
  <c r="Z1724" i="1" s="1"/>
  <c r="V1724" i="1"/>
  <c r="U1724" i="1"/>
  <c r="T1724" i="1"/>
  <c r="W1892" i="1"/>
  <c r="X1892" i="1" s="1"/>
  <c r="Y1892" i="1" s="1"/>
  <c r="Z1892" i="1" s="1"/>
  <c r="T1892" i="1"/>
  <c r="V1892" i="1"/>
  <c r="U1892" i="1"/>
  <c r="V1791" i="1"/>
  <c r="W1791" i="1"/>
  <c r="X1791" i="1" s="1"/>
  <c r="Y1791" i="1" s="1"/>
  <c r="Z1791" i="1" s="1"/>
  <c r="W1897" i="1"/>
  <c r="X1897" i="1" s="1"/>
  <c r="Y1897" i="1" s="1"/>
  <c r="Z1897" i="1" s="1"/>
  <c r="U1897" i="1"/>
  <c r="V1897" i="1"/>
  <c r="T1897" i="1"/>
  <c r="W2078" i="1"/>
  <c r="X2078" i="1" s="1"/>
  <c r="Y2078" i="1" s="1"/>
  <c r="Z2078" i="1" s="1"/>
  <c r="V2078" i="1"/>
  <c r="U2078" i="1"/>
  <c r="T2078" i="1"/>
  <c r="W2202" i="1"/>
  <c r="X2202" i="1" s="1"/>
  <c r="Y2202" i="1" s="1"/>
  <c r="Z2202" i="1" s="1"/>
  <c r="V2202" i="1"/>
  <c r="T2202" i="1"/>
  <c r="U2202" i="1"/>
  <c r="V1815" i="1"/>
  <c r="U1815" i="1"/>
  <c r="T1815" i="1"/>
  <c r="U1844" i="1"/>
  <c r="W1848" i="1"/>
  <c r="X1848" i="1" s="1"/>
  <c r="Y1848" i="1" s="1"/>
  <c r="Z1848" i="1" s="1"/>
  <c r="U1848" i="1"/>
  <c r="T1848" i="1"/>
  <c r="W1852" i="1"/>
  <c r="X1852" i="1" s="1"/>
  <c r="Y1852" i="1" s="1"/>
  <c r="Z1852" i="1" s="1"/>
  <c r="T1852" i="1"/>
  <c r="W1919" i="1"/>
  <c r="X1919" i="1" s="1"/>
  <c r="Y1919" i="1" s="1"/>
  <c r="Z1919" i="1" s="1"/>
  <c r="U1919" i="1"/>
  <c r="T1919" i="1"/>
  <c r="V1919" i="1"/>
  <c r="U2026" i="1"/>
  <c r="V2026" i="1"/>
  <c r="T2026" i="1"/>
  <c r="V2030" i="1"/>
  <c r="U2030" i="1"/>
  <c r="T2030" i="1"/>
  <c r="W2030" i="1"/>
  <c r="X2030" i="1" s="1"/>
  <c r="Y2030" i="1" s="1"/>
  <c r="Z2030" i="1" s="1"/>
  <c r="W2039" i="1"/>
  <c r="X2039" i="1" s="1"/>
  <c r="Y2039" i="1" s="1"/>
  <c r="Z2039" i="1" s="1"/>
  <c r="V2039" i="1"/>
  <c r="U2039" i="1"/>
  <c r="T2039" i="1"/>
  <c r="W2094" i="1"/>
  <c r="X2094" i="1" s="1"/>
  <c r="Y2094" i="1" s="1"/>
  <c r="Z2094" i="1" s="1"/>
  <c r="V2094" i="1"/>
  <c r="U2094" i="1"/>
  <c r="T2094" i="1"/>
  <c r="V2229" i="1"/>
  <c r="U2229" i="1"/>
  <c r="T2229" i="1"/>
  <c r="W2229" i="1"/>
  <c r="X2229" i="1" s="1"/>
  <c r="Y2229" i="1" s="1"/>
  <c r="Z2229" i="1" s="1"/>
  <c r="V2430" i="1"/>
  <c r="U2430" i="1"/>
  <c r="T2430" i="1"/>
  <c r="W2430" i="1"/>
  <c r="X2430" i="1" s="1"/>
  <c r="Y2430" i="1" s="1"/>
  <c r="Z2430" i="1" s="1"/>
  <c r="V1834" i="1"/>
  <c r="U1834" i="1"/>
  <c r="W1834" i="1"/>
  <c r="X1834" i="1" s="1"/>
  <c r="Y1834" i="1" s="1"/>
  <c r="Z1834" i="1" s="1"/>
  <c r="V1852" i="1"/>
  <c r="U1945" i="1"/>
  <c r="T1945" i="1"/>
  <c r="W1945" i="1"/>
  <c r="X1945" i="1" s="1"/>
  <c r="Y1945" i="1" s="1"/>
  <c r="Z1945" i="1" s="1"/>
  <c r="V1945" i="1"/>
  <c r="V2055" i="1"/>
  <c r="U2055" i="1"/>
  <c r="W2055" i="1"/>
  <c r="X2055" i="1" s="1"/>
  <c r="Y2055" i="1" s="1"/>
  <c r="Z2055" i="1" s="1"/>
  <c r="W2110" i="1"/>
  <c r="X2110" i="1" s="1"/>
  <c r="Y2110" i="1" s="1"/>
  <c r="Z2110" i="1" s="1"/>
  <c r="U2110" i="1"/>
  <c r="W2328" i="1"/>
  <c r="X2328" i="1" s="1"/>
  <c r="Y2328" i="1" s="1"/>
  <c r="Z2328" i="1" s="1"/>
  <c r="T2328" i="1"/>
  <c r="U2341" i="1"/>
  <c r="T2341" i="1"/>
  <c r="V2341" i="1"/>
  <c r="W2341" i="1"/>
  <c r="X2341" i="1" s="1"/>
  <c r="Y2341" i="1" s="1"/>
  <c r="Z2341" i="1" s="1"/>
  <c r="V1726" i="1"/>
  <c r="U1726" i="1"/>
  <c r="T1726" i="1"/>
  <c r="W1780" i="1"/>
  <c r="X1780" i="1" s="1"/>
  <c r="Y1780" i="1" s="1"/>
  <c r="Z1780" i="1" s="1"/>
  <c r="V1780" i="1"/>
  <c r="U1780" i="1"/>
  <c r="W1794" i="1"/>
  <c r="X1794" i="1" s="1"/>
  <c r="Y1794" i="1" s="1"/>
  <c r="Z1794" i="1" s="1"/>
  <c r="V1831" i="1"/>
  <c r="T1831" i="1"/>
  <c r="T1834" i="1"/>
  <c r="U1841" i="1"/>
  <c r="W1841" i="1"/>
  <c r="X1841" i="1" s="1"/>
  <c r="Y1841" i="1" s="1"/>
  <c r="Z1841" i="1" s="1"/>
  <c r="T1841" i="1"/>
  <c r="T2055" i="1"/>
  <c r="V2090" i="1"/>
  <c r="U2090" i="1"/>
  <c r="T2090" i="1"/>
  <c r="W2090" i="1"/>
  <c r="X2090" i="1" s="1"/>
  <c r="Y2090" i="1" s="1"/>
  <c r="Z2090" i="1" s="1"/>
  <c r="T2110" i="1"/>
  <c r="U2328" i="1"/>
  <c r="V1535" i="1"/>
  <c r="T1535" i="1"/>
  <c r="W1655" i="1"/>
  <c r="X1655" i="1" s="1"/>
  <c r="Y1655" i="1" s="1"/>
  <c r="Z1655" i="1" s="1"/>
  <c r="V1655" i="1"/>
  <c r="T1655" i="1"/>
  <c r="V1686" i="1"/>
  <c r="U1686" i="1"/>
  <c r="U1697" i="1"/>
  <c r="T1697" i="1"/>
  <c r="U1708" i="1"/>
  <c r="W1726" i="1"/>
  <c r="X1726" i="1" s="1"/>
  <c r="Y1726" i="1" s="1"/>
  <c r="Z1726" i="1" s="1"/>
  <c r="V1734" i="1"/>
  <c r="W1734" i="1"/>
  <c r="X1734" i="1" s="1"/>
  <c r="Y1734" i="1" s="1"/>
  <c r="Z1734" i="1" s="1"/>
  <c r="T1747" i="1"/>
  <c r="V1755" i="1"/>
  <c r="U1755" i="1"/>
  <c r="W1758" i="1"/>
  <c r="X1758" i="1" s="1"/>
  <c r="Y1758" i="1" s="1"/>
  <c r="Z1758" i="1" s="1"/>
  <c r="V1758" i="1"/>
  <c r="W1766" i="1"/>
  <c r="X1766" i="1" s="1"/>
  <c r="Y1766" i="1" s="1"/>
  <c r="Z1766" i="1" s="1"/>
  <c r="U1766" i="1"/>
  <c r="T1766" i="1"/>
  <c r="V1777" i="1"/>
  <c r="T1777" i="1"/>
  <c r="W1777" i="1"/>
  <c r="X1777" i="1" s="1"/>
  <c r="Y1777" i="1" s="1"/>
  <c r="Z1777" i="1" s="1"/>
  <c r="T1780" i="1"/>
  <c r="W1789" i="1"/>
  <c r="X1789" i="1" s="1"/>
  <c r="Y1789" i="1" s="1"/>
  <c r="Z1789" i="1" s="1"/>
  <c r="V1789" i="1"/>
  <c r="U1789" i="1"/>
  <c r="W1809" i="1"/>
  <c r="X1809" i="1" s="1"/>
  <c r="Y1809" i="1" s="1"/>
  <c r="Z1809" i="1" s="1"/>
  <c r="V1809" i="1"/>
  <c r="U1809" i="1"/>
  <c r="T1809" i="1"/>
  <c r="W1819" i="1"/>
  <c r="X1819" i="1" s="1"/>
  <c r="Y1819" i="1" s="1"/>
  <c r="Z1819" i="1" s="1"/>
  <c r="T1819" i="1"/>
  <c r="V1819" i="1"/>
  <c r="V1828" i="1"/>
  <c r="U1828" i="1"/>
  <c r="U1831" i="1"/>
  <c r="V1841" i="1"/>
  <c r="W1867" i="1"/>
  <c r="X1867" i="1" s="1"/>
  <c r="Y1867" i="1" s="1"/>
  <c r="Z1867" i="1" s="1"/>
  <c r="V1867" i="1"/>
  <c r="W1875" i="1"/>
  <c r="X1875" i="1" s="1"/>
  <c r="Y1875" i="1" s="1"/>
  <c r="Z1875" i="1" s="1"/>
  <c r="V1875" i="1"/>
  <c r="U1875" i="1"/>
  <c r="T1875" i="1"/>
  <c r="V1924" i="1"/>
  <c r="U1924" i="1"/>
  <c r="W1924" i="1"/>
  <c r="X1924" i="1" s="1"/>
  <c r="Y1924" i="1" s="1"/>
  <c r="Z1924" i="1" s="1"/>
  <c r="T1924" i="1"/>
  <c r="U2011" i="1"/>
  <c r="T2011" i="1"/>
  <c r="V2011" i="1"/>
  <c r="W2011" i="1"/>
  <c r="X2011" i="1" s="1"/>
  <c r="Y2011" i="1" s="1"/>
  <c r="Z2011" i="1" s="1"/>
  <c r="V2110" i="1"/>
  <c r="W2176" i="1"/>
  <c r="X2176" i="1" s="1"/>
  <c r="Y2176" i="1" s="1"/>
  <c r="Z2176" i="1" s="1"/>
  <c r="V2176" i="1"/>
  <c r="U2176" i="1"/>
  <c r="T2176" i="1"/>
  <c r="V2328" i="1"/>
  <c r="V2363" i="1"/>
  <c r="W2363" i="1"/>
  <c r="X2363" i="1" s="1"/>
  <c r="Y2363" i="1" s="1"/>
  <c r="Z2363" i="1" s="1"/>
  <c r="T2363" i="1"/>
  <c r="W1786" i="1"/>
  <c r="X1786" i="1" s="1"/>
  <c r="Y1786" i="1" s="1"/>
  <c r="Z1786" i="1" s="1"/>
  <c r="U1786" i="1"/>
  <c r="T1786" i="1"/>
  <c r="V1797" i="1"/>
  <c r="T1797" i="1"/>
  <c r="W1849" i="1"/>
  <c r="X1849" i="1" s="1"/>
  <c r="Y1849" i="1" s="1"/>
  <c r="Z1849" i="1" s="1"/>
  <c r="V1849" i="1"/>
  <c r="V1871" i="1"/>
  <c r="U1871" i="1"/>
  <c r="T1871" i="1"/>
  <c r="U1906" i="1"/>
  <c r="T1906" i="1"/>
  <c r="V1906" i="1"/>
  <c r="W1982" i="1"/>
  <c r="X1982" i="1" s="1"/>
  <c r="Y1982" i="1" s="1"/>
  <c r="Z1982" i="1" s="1"/>
  <c r="V1982" i="1"/>
  <c r="U1982" i="1"/>
  <c r="T1982" i="1"/>
  <c r="W2027" i="1"/>
  <c r="X2027" i="1" s="1"/>
  <c r="Y2027" i="1" s="1"/>
  <c r="Z2027" i="1" s="1"/>
  <c r="V2027" i="1"/>
  <c r="T2027" i="1"/>
  <c r="V2075" i="1"/>
  <c r="W2075" i="1"/>
  <c r="X2075" i="1" s="1"/>
  <c r="Y2075" i="1" s="1"/>
  <c r="Z2075" i="1" s="1"/>
  <c r="T1772" i="1"/>
  <c r="V1786" i="1"/>
  <c r="U1797" i="1"/>
  <c r="W1800" i="1"/>
  <c r="X1800" i="1" s="1"/>
  <c r="Y1800" i="1" s="1"/>
  <c r="Z1800" i="1" s="1"/>
  <c r="V1800" i="1"/>
  <c r="U1800" i="1"/>
  <c r="T1800" i="1"/>
  <c r="T1849" i="1"/>
  <c r="W1871" i="1"/>
  <c r="X1871" i="1" s="1"/>
  <c r="Y1871" i="1" s="1"/>
  <c r="Z1871" i="1" s="1"/>
  <c r="W1903" i="1"/>
  <c r="X1903" i="1" s="1"/>
  <c r="Y1903" i="1" s="1"/>
  <c r="Z1903" i="1" s="1"/>
  <c r="V1903" i="1"/>
  <c r="U1903" i="1"/>
  <c r="T1903" i="1"/>
  <c r="W1906" i="1"/>
  <c r="X1906" i="1" s="1"/>
  <c r="Y1906" i="1" s="1"/>
  <c r="Z1906" i="1" s="1"/>
  <c r="U1972" i="1"/>
  <c r="U2027" i="1"/>
  <c r="T2052" i="1"/>
  <c r="W2052" i="1"/>
  <c r="X2052" i="1" s="1"/>
  <c r="Y2052" i="1" s="1"/>
  <c r="Z2052" i="1" s="1"/>
  <c r="V2052" i="1"/>
  <c r="U2052" i="1"/>
  <c r="W2056" i="1"/>
  <c r="X2056" i="1" s="1"/>
  <c r="Y2056" i="1" s="1"/>
  <c r="Z2056" i="1" s="1"/>
  <c r="U2056" i="1"/>
  <c r="T2056" i="1"/>
  <c r="T2075" i="1"/>
  <c r="V1653" i="1"/>
  <c r="U1653" i="1"/>
  <c r="W1715" i="1"/>
  <c r="X1715" i="1" s="1"/>
  <c r="Y1715" i="1" s="1"/>
  <c r="Z1715" i="1" s="1"/>
  <c r="V1715" i="1"/>
  <c r="T1715" i="1"/>
  <c r="V1769" i="1"/>
  <c r="W1769" i="1"/>
  <c r="X1769" i="1" s="1"/>
  <c r="Y1769" i="1" s="1"/>
  <c r="Z1769" i="1" s="1"/>
  <c r="U1769" i="1"/>
  <c r="T1769" i="1"/>
  <c r="U1772" i="1"/>
  <c r="W1797" i="1"/>
  <c r="X1797" i="1" s="1"/>
  <c r="Y1797" i="1" s="1"/>
  <c r="Z1797" i="1" s="1"/>
  <c r="U1849" i="1"/>
  <c r="W1853" i="1"/>
  <c r="X1853" i="1" s="1"/>
  <c r="Y1853" i="1" s="1"/>
  <c r="Z1853" i="1" s="1"/>
  <c r="V1853" i="1"/>
  <c r="T1853" i="1"/>
  <c r="V1910" i="1"/>
  <c r="T1910" i="1"/>
  <c r="V1972" i="1"/>
  <c r="W2044" i="1"/>
  <c r="X2044" i="1" s="1"/>
  <c r="Y2044" i="1" s="1"/>
  <c r="Z2044" i="1" s="1"/>
  <c r="V2044" i="1"/>
  <c r="U2044" i="1"/>
  <c r="T2044" i="1"/>
  <c r="V2056" i="1"/>
  <c r="U2075" i="1"/>
  <c r="W1642" i="1"/>
  <c r="X1642" i="1" s="1"/>
  <c r="Y1642" i="1" s="1"/>
  <c r="Z1642" i="1" s="1"/>
  <c r="V1642" i="1"/>
  <c r="T1653" i="1"/>
  <c r="V1673" i="1"/>
  <c r="U1673" i="1"/>
  <c r="U1715" i="1"/>
  <c r="V1772" i="1"/>
  <c r="W1813" i="1"/>
  <c r="X1813" i="1" s="1"/>
  <c r="Y1813" i="1" s="1"/>
  <c r="Z1813" i="1" s="1"/>
  <c r="V1813" i="1"/>
  <c r="U1813" i="1"/>
  <c r="T1813" i="1"/>
  <c r="U1853" i="1"/>
  <c r="T1857" i="1"/>
  <c r="W1879" i="1"/>
  <c r="X1879" i="1" s="1"/>
  <c r="Y1879" i="1" s="1"/>
  <c r="Z1879" i="1" s="1"/>
  <c r="V1879" i="1"/>
  <c r="U1879" i="1"/>
  <c r="T1879" i="1"/>
  <c r="U1910" i="1"/>
  <c r="W1972" i="1"/>
  <c r="X1972" i="1" s="1"/>
  <c r="Y1972" i="1" s="1"/>
  <c r="Z1972" i="1" s="1"/>
  <c r="W2024" i="1"/>
  <c r="X2024" i="1" s="1"/>
  <c r="Y2024" i="1" s="1"/>
  <c r="Z2024" i="1" s="1"/>
  <c r="U2024" i="1"/>
  <c r="T2024" i="1"/>
  <c r="U2036" i="1"/>
  <c r="W2036" i="1"/>
  <c r="X2036" i="1" s="1"/>
  <c r="Y2036" i="1" s="1"/>
  <c r="Z2036" i="1" s="1"/>
  <c r="V2036" i="1"/>
  <c r="T2036" i="1"/>
  <c r="U2086" i="1"/>
  <c r="W2086" i="1"/>
  <c r="X2086" i="1" s="1"/>
  <c r="Y2086" i="1" s="1"/>
  <c r="Z2086" i="1" s="1"/>
  <c r="V2086" i="1"/>
  <c r="T2086" i="1"/>
  <c r="W2172" i="1"/>
  <c r="X2172" i="1" s="1"/>
  <c r="Y2172" i="1" s="1"/>
  <c r="Z2172" i="1" s="1"/>
  <c r="U2172" i="1"/>
  <c r="T2172" i="1"/>
  <c r="V2172" i="1"/>
  <c r="V2284" i="1"/>
  <c r="T2284" i="1"/>
  <c r="W2284" i="1"/>
  <c r="X2284" i="1" s="1"/>
  <c r="Y2284" i="1" s="1"/>
  <c r="Z2284" i="1" s="1"/>
  <c r="U2284" i="1"/>
  <c r="T1642" i="1"/>
  <c r="W1653" i="1"/>
  <c r="X1653" i="1" s="1"/>
  <c r="Y1653" i="1" s="1"/>
  <c r="Z1653" i="1" s="1"/>
  <c r="W1662" i="1"/>
  <c r="X1662" i="1" s="1"/>
  <c r="Y1662" i="1" s="1"/>
  <c r="Z1662" i="1" s="1"/>
  <c r="V1662" i="1"/>
  <c r="T1673" i="1"/>
  <c r="V1693" i="1"/>
  <c r="U1693" i="1"/>
  <c r="T1781" i="1"/>
  <c r="T1790" i="1"/>
  <c r="V1795" i="1"/>
  <c r="U1795" i="1"/>
  <c r="T1810" i="1"/>
  <c r="V1810" i="1"/>
  <c r="W1842" i="1"/>
  <c r="X1842" i="1" s="1"/>
  <c r="Y1842" i="1" s="1"/>
  <c r="Z1842" i="1" s="1"/>
  <c r="V1842" i="1"/>
  <c r="U1842" i="1"/>
  <c r="U1857" i="1"/>
  <c r="W1868" i="1"/>
  <c r="X1868" i="1" s="1"/>
  <c r="Y1868" i="1" s="1"/>
  <c r="Z1868" i="1" s="1"/>
  <c r="V1868" i="1"/>
  <c r="U1868" i="1"/>
  <c r="T1868" i="1"/>
  <c r="W1910" i="1"/>
  <c r="X1910" i="1" s="1"/>
  <c r="Y1910" i="1" s="1"/>
  <c r="Z1910" i="1" s="1"/>
  <c r="V1914" i="1"/>
  <c r="U1914" i="1"/>
  <c r="T1914" i="1"/>
  <c r="U1954" i="1"/>
  <c r="W1954" i="1"/>
  <c r="X1954" i="1" s="1"/>
  <c r="Y1954" i="1" s="1"/>
  <c r="Z1954" i="1" s="1"/>
  <c r="V1954" i="1"/>
  <c r="T1954" i="1"/>
  <c r="V2024" i="1"/>
  <c r="V1493" i="1"/>
  <c r="U1493" i="1"/>
  <c r="W1544" i="1"/>
  <c r="X1544" i="1" s="1"/>
  <c r="Y1544" i="1" s="1"/>
  <c r="Z1544" i="1" s="1"/>
  <c r="U1544" i="1"/>
  <c r="T1544" i="1"/>
  <c r="V1593" i="1"/>
  <c r="U1593" i="1"/>
  <c r="U1642" i="1"/>
  <c r="W1671" i="1"/>
  <c r="X1671" i="1" s="1"/>
  <c r="Y1671" i="1" s="1"/>
  <c r="Z1671" i="1" s="1"/>
  <c r="T1671" i="1"/>
  <c r="W1673" i="1"/>
  <c r="X1673" i="1" s="1"/>
  <c r="Y1673" i="1" s="1"/>
  <c r="Z1673" i="1" s="1"/>
  <c r="W1682" i="1"/>
  <c r="X1682" i="1" s="1"/>
  <c r="Y1682" i="1" s="1"/>
  <c r="Z1682" i="1" s="1"/>
  <c r="V1682" i="1"/>
  <c r="V1713" i="1"/>
  <c r="U1713" i="1"/>
  <c r="V1735" i="1"/>
  <c r="U1735" i="1"/>
  <c r="W1745" i="1"/>
  <c r="X1745" i="1" s="1"/>
  <c r="Y1745" i="1" s="1"/>
  <c r="Z1745" i="1" s="1"/>
  <c r="V1745" i="1"/>
  <c r="T1759" i="1"/>
  <c r="U1759" i="1"/>
  <c r="V1775" i="1"/>
  <c r="U1775" i="1"/>
  <c r="W1775" i="1"/>
  <c r="X1775" i="1" s="1"/>
  <c r="Y1775" i="1" s="1"/>
  <c r="Z1775" i="1" s="1"/>
  <c r="W1778" i="1"/>
  <c r="X1778" i="1" s="1"/>
  <c r="Y1778" i="1" s="1"/>
  <c r="Z1778" i="1" s="1"/>
  <c r="V1778" i="1"/>
  <c r="U1778" i="1"/>
  <c r="T1778" i="1"/>
  <c r="V1781" i="1"/>
  <c r="U1790" i="1"/>
  <c r="W1832" i="1"/>
  <c r="X1832" i="1" s="1"/>
  <c r="Y1832" i="1" s="1"/>
  <c r="Z1832" i="1" s="1"/>
  <c r="T1832" i="1"/>
  <c r="V1832" i="1"/>
  <c r="W1846" i="1"/>
  <c r="X1846" i="1" s="1"/>
  <c r="Y1846" i="1" s="1"/>
  <c r="Z1846" i="1" s="1"/>
  <c r="V1846" i="1"/>
  <c r="U1846" i="1"/>
  <c r="T1846" i="1"/>
  <c r="V1857" i="1"/>
  <c r="U1921" i="1"/>
  <c r="W1921" i="1"/>
  <c r="X1921" i="1" s="1"/>
  <c r="Y1921" i="1" s="1"/>
  <c r="Z1921" i="1" s="1"/>
  <c r="V1921" i="1"/>
  <c r="T1921" i="1"/>
  <c r="V2053" i="1"/>
  <c r="T2053" i="1"/>
  <c r="W2053" i="1"/>
  <c r="X2053" i="1" s="1"/>
  <c r="Y2053" i="1" s="1"/>
  <c r="Z2053" i="1" s="1"/>
  <c r="U2053" i="1"/>
  <c r="W2253" i="1"/>
  <c r="X2253" i="1" s="1"/>
  <c r="Y2253" i="1" s="1"/>
  <c r="Z2253" i="1" s="1"/>
  <c r="V2253" i="1"/>
  <c r="U2253" i="1"/>
  <c r="T2253" i="1"/>
  <c r="W1691" i="1"/>
  <c r="X1691" i="1" s="1"/>
  <c r="Y1691" i="1" s="1"/>
  <c r="Z1691" i="1" s="1"/>
  <c r="T1691" i="1"/>
  <c r="W1702" i="1"/>
  <c r="X1702" i="1" s="1"/>
  <c r="Y1702" i="1" s="1"/>
  <c r="Z1702" i="1" s="1"/>
  <c r="V1702" i="1"/>
  <c r="W1722" i="1"/>
  <c r="X1722" i="1" s="1"/>
  <c r="Y1722" i="1" s="1"/>
  <c r="Z1722" i="1" s="1"/>
  <c r="V1722" i="1"/>
  <c r="W1781" i="1"/>
  <c r="X1781" i="1" s="1"/>
  <c r="Y1781" i="1" s="1"/>
  <c r="Z1781" i="1" s="1"/>
  <c r="W1784" i="1"/>
  <c r="X1784" i="1" s="1"/>
  <c r="Y1784" i="1" s="1"/>
  <c r="Z1784" i="1" s="1"/>
  <c r="V1784" i="1"/>
  <c r="U1784" i="1"/>
  <c r="W1787" i="1"/>
  <c r="X1787" i="1" s="1"/>
  <c r="Y1787" i="1" s="1"/>
  <c r="Z1787" i="1" s="1"/>
  <c r="V1787" i="1"/>
  <c r="U1787" i="1"/>
  <c r="T1787" i="1"/>
  <c r="V1790" i="1"/>
  <c r="W1804" i="1"/>
  <c r="X1804" i="1" s="1"/>
  <c r="Y1804" i="1" s="1"/>
  <c r="Z1804" i="1" s="1"/>
  <c r="V1804" i="1"/>
  <c r="U1804" i="1"/>
  <c r="W2008" i="1"/>
  <c r="X2008" i="1" s="1"/>
  <c r="Y2008" i="1" s="1"/>
  <c r="Z2008" i="1" s="1"/>
  <c r="V2008" i="1"/>
  <c r="U2008" i="1"/>
  <c r="T2008" i="1"/>
  <c r="W2020" i="1"/>
  <c r="X2020" i="1" s="1"/>
  <c r="Y2020" i="1" s="1"/>
  <c r="Z2020" i="1" s="1"/>
  <c r="V2020" i="1"/>
  <c r="U2020" i="1"/>
  <c r="T2020" i="1"/>
  <c r="V2100" i="1"/>
  <c r="U2100" i="1"/>
  <c r="T2100" i="1"/>
  <c r="W2100" i="1"/>
  <c r="X2100" i="1" s="1"/>
  <c r="Y2100" i="1" s="1"/>
  <c r="Z2100" i="1" s="1"/>
  <c r="W1493" i="1"/>
  <c r="X1493" i="1" s="1"/>
  <c r="Y1493" i="1" s="1"/>
  <c r="Z1493" i="1" s="1"/>
  <c r="V1555" i="1"/>
  <c r="T1555" i="1"/>
  <c r="W1593" i="1"/>
  <c r="X1593" i="1" s="1"/>
  <c r="Y1593" i="1" s="1"/>
  <c r="Z1593" i="1" s="1"/>
  <c r="U1638" i="1"/>
  <c r="V1640" i="1"/>
  <c r="U1649" i="1"/>
  <c r="T1658" i="1"/>
  <c r="T1660" i="1"/>
  <c r="T1669" i="1"/>
  <c r="V1671" i="1"/>
  <c r="U1682" i="1"/>
  <c r="U1691" i="1"/>
  <c r="T1702" i="1"/>
  <c r="W1713" i="1"/>
  <c r="X1713" i="1" s="1"/>
  <c r="Y1713" i="1" s="1"/>
  <c r="Z1713" i="1" s="1"/>
  <c r="T1722" i="1"/>
  <c r="U1732" i="1"/>
  <c r="W1732" i="1"/>
  <c r="X1732" i="1" s="1"/>
  <c r="Y1732" i="1" s="1"/>
  <c r="Z1732" i="1" s="1"/>
  <c r="V1732" i="1"/>
  <c r="T1732" i="1"/>
  <c r="W1735" i="1"/>
  <c r="X1735" i="1" s="1"/>
  <c r="Y1735" i="1" s="1"/>
  <c r="Z1735" i="1" s="1"/>
  <c r="T1740" i="1"/>
  <c r="U1742" i="1"/>
  <c r="U1745" i="1"/>
  <c r="T1753" i="1"/>
  <c r="W1759" i="1"/>
  <c r="X1759" i="1" s="1"/>
  <c r="Y1759" i="1" s="1"/>
  <c r="Z1759" i="1" s="1"/>
  <c r="T1784" i="1"/>
  <c r="W1798" i="1"/>
  <c r="X1798" i="1" s="1"/>
  <c r="Y1798" i="1" s="1"/>
  <c r="Z1798" i="1" s="1"/>
  <c r="V1798" i="1"/>
  <c r="U1798" i="1"/>
  <c r="T1798" i="1"/>
  <c r="T1804" i="1"/>
  <c r="V1836" i="1"/>
  <c r="W1884" i="1"/>
  <c r="X1884" i="1" s="1"/>
  <c r="Y1884" i="1" s="1"/>
  <c r="Z1884" i="1" s="1"/>
  <c r="U1884" i="1"/>
  <c r="T1884" i="1"/>
  <c r="V1884" i="1"/>
  <c r="W1900" i="1"/>
  <c r="X1900" i="1" s="1"/>
  <c r="Y1900" i="1" s="1"/>
  <c r="Z1900" i="1" s="1"/>
  <c r="V1900" i="1"/>
  <c r="U1900" i="1"/>
  <c r="T1900" i="1"/>
  <c r="W1932" i="1"/>
  <c r="X1932" i="1" s="1"/>
  <c r="Y1932" i="1" s="1"/>
  <c r="Z1932" i="1" s="1"/>
  <c r="T1932" i="1"/>
  <c r="U1932" i="1"/>
  <c r="V1932" i="1"/>
  <c r="V1969" i="1"/>
  <c r="T1969" i="1"/>
  <c r="W1872" i="1"/>
  <c r="X1872" i="1" s="1"/>
  <c r="Y1872" i="1" s="1"/>
  <c r="Z1872" i="1" s="1"/>
  <c r="T1872" i="1"/>
  <c r="U1872" i="1"/>
  <c r="V1894" i="1"/>
  <c r="U1894" i="1"/>
  <c r="W1894" i="1"/>
  <c r="X1894" i="1" s="1"/>
  <c r="Y1894" i="1" s="1"/>
  <c r="Z1894" i="1" s="1"/>
  <c r="T1894" i="1"/>
  <c r="W1911" i="1"/>
  <c r="X1911" i="1" s="1"/>
  <c r="Y1911" i="1" s="1"/>
  <c r="Z1911" i="1" s="1"/>
  <c r="V1911" i="1"/>
  <c r="T1911" i="1"/>
  <c r="W1948" i="1"/>
  <c r="X1948" i="1" s="1"/>
  <c r="Y1948" i="1" s="1"/>
  <c r="Z1948" i="1" s="1"/>
  <c r="V1948" i="1"/>
  <c r="V1980" i="1"/>
  <c r="T1980" i="1"/>
  <c r="W1980" i="1"/>
  <c r="X1980" i="1" s="1"/>
  <c r="Y1980" i="1" s="1"/>
  <c r="Z1980" i="1" s="1"/>
  <c r="U1980" i="1"/>
  <c r="W2159" i="1"/>
  <c r="X2159" i="1" s="1"/>
  <c r="Y2159" i="1" s="1"/>
  <c r="Z2159" i="1" s="1"/>
  <c r="U2159" i="1"/>
  <c r="V2159" i="1"/>
  <c r="T2159" i="1"/>
  <c r="U1808" i="1"/>
  <c r="T1808" i="1"/>
  <c r="W1839" i="1"/>
  <c r="X1839" i="1" s="1"/>
  <c r="Y1839" i="1" s="1"/>
  <c r="Z1839" i="1" s="1"/>
  <c r="V1839" i="1"/>
  <c r="T1839" i="1"/>
  <c r="V1872" i="1"/>
  <c r="U1911" i="1"/>
  <c r="U1929" i="1"/>
  <c r="T1948" i="1"/>
  <c r="T1963" i="1"/>
  <c r="V1991" i="1"/>
  <c r="W1991" i="1"/>
  <c r="X1991" i="1" s="1"/>
  <c r="Y1991" i="1" s="1"/>
  <c r="Z1991" i="1" s="1"/>
  <c r="U1991" i="1"/>
  <c r="W2007" i="1"/>
  <c r="X2007" i="1" s="1"/>
  <c r="Y2007" i="1" s="1"/>
  <c r="Z2007" i="1" s="1"/>
  <c r="V2007" i="1"/>
  <c r="U2007" i="1"/>
  <c r="T2007" i="1"/>
  <c r="T2014" i="1"/>
  <c r="V2076" i="1"/>
  <c r="U2076" i="1"/>
  <c r="W2076" i="1"/>
  <c r="X2076" i="1" s="1"/>
  <c r="Y2076" i="1" s="1"/>
  <c r="Z2076" i="1" s="1"/>
  <c r="W2097" i="1"/>
  <c r="X2097" i="1" s="1"/>
  <c r="Y2097" i="1" s="1"/>
  <c r="Z2097" i="1" s="1"/>
  <c r="T2097" i="1"/>
  <c r="V2097" i="1"/>
  <c r="U2097" i="1"/>
  <c r="W2168" i="1"/>
  <c r="X2168" i="1" s="1"/>
  <c r="Y2168" i="1" s="1"/>
  <c r="Z2168" i="1" s="1"/>
  <c r="T2168" i="1"/>
  <c r="U2168" i="1"/>
  <c r="T2186" i="1"/>
  <c r="W2186" i="1"/>
  <c r="X2186" i="1" s="1"/>
  <c r="Y2186" i="1" s="1"/>
  <c r="Z2186" i="1" s="1"/>
  <c r="V2186" i="1"/>
  <c r="W2193" i="1"/>
  <c r="X2193" i="1" s="1"/>
  <c r="Y2193" i="1" s="1"/>
  <c r="Z2193" i="1" s="1"/>
  <c r="V2193" i="1"/>
  <c r="U2193" i="1"/>
  <c r="W2410" i="1"/>
  <c r="X2410" i="1" s="1"/>
  <c r="Y2410" i="1" s="1"/>
  <c r="Z2410" i="1" s="1"/>
  <c r="U2410" i="1"/>
  <c r="T2410" i="1"/>
  <c r="V2410" i="1"/>
  <c r="V3130" i="1"/>
  <c r="W3130" i="1"/>
  <c r="X3130" i="1" s="1"/>
  <c r="Y3130" i="1" s="1"/>
  <c r="Z3130" i="1" s="1"/>
  <c r="U3130" i="1"/>
  <c r="T3130" i="1"/>
  <c r="U1865" i="1"/>
  <c r="T1865" i="1"/>
  <c r="W1865" i="1"/>
  <c r="X1865" i="1" s="1"/>
  <c r="Y1865" i="1" s="1"/>
  <c r="Z1865" i="1" s="1"/>
  <c r="V1929" i="1"/>
  <c r="U1948" i="1"/>
  <c r="U1963" i="1"/>
  <c r="V1975" i="1"/>
  <c r="W1975" i="1"/>
  <c r="X1975" i="1" s="1"/>
  <c r="Y1975" i="1" s="1"/>
  <c r="Z1975" i="1" s="1"/>
  <c r="U1975" i="1"/>
  <c r="W1988" i="1"/>
  <c r="X1988" i="1" s="1"/>
  <c r="Y1988" i="1" s="1"/>
  <c r="Z1988" i="1" s="1"/>
  <c r="V1988" i="1"/>
  <c r="U1988" i="1"/>
  <c r="U2014" i="1"/>
  <c r="W2049" i="1"/>
  <c r="X2049" i="1" s="1"/>
  <c r="Y2049" i="1" s="1"/>
  <c r="Z2049" i="1" s="1"/>
  <c r="T2049" i="1"/>
  <c r="V2073" i="1"/>
  <c r="U2073" i="1"/>
  <c r="V2149" i="1"/>
  <c r="W2149" i="1"/>
  <c r="X2149" i="1" s="1"/>
  <c r="Y2149" i="1" s="1"/>
  <c r="Z2149" i="1" s="1"/>
  <c r="U2149" i="1"/>
  <c r="T2149" i="1"/>
  <c r="W2198" i="1"/>
  <c r="X2198" i="1" s="1"/>
  <c r="Y2198" i="1" s="1"/>
  <c r="Z2198" i="1" s="1"/>
  <c r="V2198" i="1"/>
  <c r="U2198" i="1"/>
  <c r="T2198" i="1"/>
  <c r="W2320" i="1"/>
  <c r="X2320" i="1" s="1"/>
  <c r="Y2320" i="1" s="1"/>
  <c r="Z2320" i="1" s="1"/>
  <c r="V2320" i="1"/>
  <c r="U2320" i="1"/>
  <c r="T2320" i="1"/>
  <c r="T2325" i="1"/>
  <c r="W2325" i="1"/>
  <c r="X2325" i="1" s="1"/>
  <c r="Y2325" i="1" s="1"/>
  <c r="Z2325" i="1" s="1"/>
  <c r="V2325" i="1"/>
  <c r="U2325" i="1"/>
  <c r="W1806" i="1"/>
  <c r="X1806" i="1" s="1"/>
  <c r="Y1806" i="1" s="1"/>
  <c r="Z1806" i="1" s="1"/>
  <c r="U1806" i="1"/>
  <c r="T1806" i="1"/>
  <c r="U1845" i="1"/>
  <c r="T1845" i="1"/>
  <c r="W1845" i="1"/>
  <c r="X1845" i="1" s="1"/>
  <c r="Y1845" i="1" s="1"/>
  <c r="Z1845" i="1" s="1"/>
  <c r="W1850" i="1"/>
  <c r="X1850" i="1" s="1"/>
  <c r="Y1850" i="1" s="1"/>
  <c r="Z1850" i="1" s="1"/>
  <c r="U1895" i="1"/>
  <c r="T1895" i="1"/>
  <c r="U1909" i="1"/>
  <c r="T1909" i="1"/>
  <c r="U1942" i="1"/>
  <c r="V2049" i="1"/>
  <c r="U2069" i="1"/>
  <c r="W2073" i="1"/>
  <c r="X2073" i="1" s="1"/>
  <c r="Y2073" i="1" s="1"/>
  <c r="Z2073" i="1" s="1"/>
  <c r="W2127" i="1"/>
  <c r="X2127" i="1" s="1"/>
  <c r="Y2127" i="1" s="1"/>
  <c r="Z2127" i="1" s="1"/>
  <c r="U2127" i="1"/>
  <c r="V2164" i="1"/>
  <c r="U2164" i="1"/>
  <c r="T2164" i="1"/>
  <c r="W2164" i="1"/>
  <c r="X2164" i="1" s="1"/>
  <c r="Y2164" i="1" s="1"/>
  <c r="Z2164" i="1" s="1"/>
  <c r="W2280" i="1"/>
  <c r="X2280" i="1" s="1"/>
  <c r="Y2280" i="1" s="1"/>
  <c r="Z2280" i="1" s="1"/>
  <c r="V2280" i="1"/>
  <c r="U2280" i="1"/>
  <c r="T2280" i="1"/>
  <c r="W1863" i="1"/>
  <c r="X1863" i="1" s="1"/>
  <c r="Y1863" i="1" s="1"/>
  <c r="Z1863" i="1" s="1"/>
  <c r="V1863" i="1"/>
  <c r="U1863" i="1"/>
  <c r="T1863" i="1"/>
  <c r="V1887" i="1"/>
  <c r="U1887" i="1"/>
  <c r="W1898" i="1"/>
  <c r="X1898" i="1" s="1"/>
  <c r="Y1898" i="1" s="1"/>
  <c r="Z1898" i="1" s="1"/>
  <c r="V1898" i="1"/>
  <c r="U1917" i="1"/>
  <c r="T1917" i="1"/>
  <c r="W2005" i="1"/>
  <c r="X2005" i="1" s="1"/>
  <c r="Y2005" i="1" s="1"/>
  <c r="Z2005" i="1" s="1"/>
  <c r="T2005" i="1"/>
  <c r="V2169" i="1"/>
  <c r="W2169" i="1"/>
  <c r="X2169" i="1" s="1"/>
  <c r="Y2169" i="1" s="1"/>
  <c r="Z2169" i="1" s="1"/>
  <c r="U2169" i="1"/>
  <c r="U2215" i="1"/>
  <c r="T2215" i="1"/>
  <c r="W2215" i="1"/>
  <c r="X2215" i="1" s="1"/>
  <c r="Y2215" i="1" s="1"/>
  <c r="Z2215" i="1" s="1"/>
  <c r="V2276" i="1"/>
  <c r="T2276" i="1"/>
  <c r="W1820" i="1"/>
  <c r="X1820" i="1" s="1"/>
  <c r="Y1820" i="1" s="1"/>
  <c r="Z1820" i="1" s="1"/>
  <c r="T1820" i="1"/>
  <c r="T1887" i="1"/>
  <c r="T1898" i="1"/>
  <c r="V1917" i="1"/>
  <c r="W1922" i="1"/>
  <c r="X1922" i="1" s="1"/>
  <c r="Y1922" i="1" s="1"/>
  <c r="Z1922" i="1" s="1"/>
  <c r="U1967" i="1"/>
  <c r="T1967" i="1"/>
  <c r="W1985" i="1"/>
  <c r="X1985" i="1" s="1"/>
  <c r="Y1985" i="1" s="1"/>
  <c r="Z1985" i="1" s="1"/>
  <c r="T1985" i="1"/>
  <c r="V1985" i="1"/>
  <c r="U1985" i="1"/>
  <c r="T1989" i="1"/>
  <c r="V1989" i="1"/>
  <c r="U1989" i="1"/>
  <c r="W1998" i="1"/>
  <c r="X1998" i="1" s="1"/>
  <c r="Y1998" i="1" s="1"/>
  <c r="Z1998" i="1" s="1"/>
  <c r="V1998" i="1"/>
  <c r="T1998" i="1"/>
  <c r="U2005" i="1"/>
  <c r="U2066" i="1"/>
  <c r="T2066" i="1"/>
  <c r="V2066" i="1"/>
  <c r="T2169" i="1"/>
  <c r="W2178" i="1"/>
  <c r="X2178" i="1" s="1"/>
  <c r="Y2178" i="1" s="1"/>
  <c r="Z2178" i="1" s="1"/>
  <c r="U2178" i="1"/>
  <c r="T2178" i="1"/>
  <c r="V2187" i="1"/>
  <c r="U2187" i="1"/>
  <c r="W2187" i="1"/>
  <c r="X2187" i="1" s="1"/>
  <c r="Y2187" i="1" s="1"/>
  <c r="Z2187" i="1" s="1"/>
  <c r="T2187" i="1"/>
  <c r="V2215" i="1"/>
  <c r="W2261" i="1"/>
  <c r="X2261" i="1" s="1"/>
  <c r="Y2261" i="1" s="1"/>
  <c r="Z2261" i="1" s="1"/>
  <c r="V2261" i="1"/>
  <c r="U2261" i="1"/>
  <c r="T2261" i="1"/>
  <c r="U2276" i="1"/>
  <c r="U1901" i="1"/>
  <c r="W1901" i="1"/>
  <c r="X1901" i="1" s="1"/>
  <c r="Y1901" i="1" s="1"/>
  <c r="Z1901" i="1" s="1"/>
  <c r="W1912" i="1"/>
  <c r="X1912" i="1" s="1"/>
  <c r="Y1912" i="1" s="1"/>
  <c r="Z1912" i="1" s="1"/>
  <c r="T1912" i="1"/>
  <c r="U1925" i="1"/>
  <c r="T1925" i="1"/>
  <c r="V1925" i="1"/>
  <c r="V1930" i="1"/>
  <c r="W1930" i="1"/>
  <c r="X1930" i="1" s="1"/>
  <c r="Y1930" i="1" s="1"/>
  <c r="Z1930" i="1" s="1"/>
  <c r="U1930" i="1"/>
  <c r="W1946" i="1"/>
  <c r="X1946" i="1" s="1"/>
  <c r="Y1946" i="1" s="1"/>
  <c r="Z1946" i="1" s="1"/>
  <c r="V1946" i="1"/>
  <c r="W1949" i="1"/>
  <c r="X1949" i="1" s="1"/>
  <c r="Y1949" i="1" s="1"/>
  <c r="Z1949" i="1" s="1"/>
  <c r="T1949" i="1"/>
  <c r="V1949" i="1"/>
  <c r="U1949" i="1"/>
  <c r="V2015" i="1"/>
  <c r="U2015" i="1"/>
  <c r="T2015" i="1"/>
  <c r="W2015" i="1"/>
  <c r="X2015" i="1" s="1"/>
  <c r="Y2015" i="1" s="1"/>
  <c r="Z2015" i="1" s="1"/>
  <c r="W2031" i="1"/>
  <c r="X2031" i="1" s="1"/>
  <c r="Y2031" i="1" s="1"/>
  <c r="Z2031" i="1" s="1"/>
  <c r="V2031" i="1"/>
  <c r="W2038" i="1"/>
  <c r="X2038" i="1" s="1"/>
  <c r="Y2038" i="1" s="1"/>
  <c r="Z2038" i="1" s="1"/>
  <c r="U2038" i="1"/>
  <c r="W2091" i="1"/>
  <c r="X2091" i="1" s="1"/>
  <c r="Y2091" i="1" s="1"/>
  <c r="Z2091" i="1" s="1"/>
  <c r="U2091" i="1"/>
  <c r="T2091" i="1"/>
  <c r="V2091" i="1"/>
  <c r="W2116" i="1"/>
  <c r="X2116" i="1" s="1"/>
  <c r="Y2116" i="1" s="1"/>
  <c r="Z2116" i="1" s="1"/>
  <c r="V2116" i="1"/>
  <c r="U2116" i="1"/>
  <c r="T2116" i="1"/>
  <c r="U2174" i="1"/>
  <c r="W2174" i="1"/>
  <c r="X2174" i="1" s="1"/>
  <c r="Y2174" i="1" s="1"/>
  <c r="Z2174" i="1" s="1"/>
  <c r="V2174" i="1"/>
  <c r="T2174" i="1"/>
  <c r="W2276" i="1"/>
  <c r="X2276" i="1" s="1"/>
  <c r="Y2276" i="1" s="1"/>
  <c r="Z2276" i="1" s="1"/>
  <c r="W1843" i="1"/>
  <c r="X1843" i="1" s="1"/>
  <c r="Y1843" i="1" s="1"/>
  <c r="Z1843" i="1" s="1"/>
  <c r="V1843" i="1"/>
  <c r="U1843" i="1"/>
  <c r="T1866" i="1"/>
  <c r="T1901" i="1"/>
  <c r="U1912" i="1"/>
  <c r="W1925" i="1"/>
  <c r="X1925" i="1" s="1"/>
  <c r="Y1925" i="1" s="1"/>
  <c r="Z1925" i="1" s="1"/>
  <c r="T1930" i="1"/>
  <c r="V1933" i="1"/>
  <c r="T1933" i="1"/>
  <c r="T1946" i="1"/>
  <c r="T2022" i="1"/>
  <c r="T2031" i="1"/>
  <c r="T2038" i="1"/>
  <c r="U2041" i="1"/>
  <c r="T2041" i="1"/>
  <c r="W2112" i="1"/>
  <c r="X2112" i="1" s="1"/>
  <c r="Y2112" i="1" s="1"/>
  <c r="Z2112" i="1" s="1"/>
  <c r="V2112" i="1"/>
  <c r="U2112" i="1"/>
  <c r="T2112" i="1"/>
  <c r="W2139" i="1"/>
  <c r="X2139" i="1" s="1"/>
  <c r="Y2139" i="1" s="1"/>
  <c r="Z2139" i="1" s="1"/>
  <c r="V2139" i="1"/>
  <c r="V2481" i="1"/>
  <c r="U2481" i="1"/>
  <c r="W2481" i="1"/>
  <c r="X2481" i="1" s="1"/>
  <c r="Y2481" i="1" s="1"/>
  <c r="Z2481" i="1" s="1"/>
  <c r="T2481" i="1"/>
  <c r="W1818" i="1"/>
  <c r="X1818" i="1" s="1"/>
  <c r="Y1818" i="1" s="1"/>
  <c r="Z1818" i="1" s="1"/>
  <c r="T1818" i="1"/>
  <c r="W1835" i="1"/>
  <c r="X1835" i="1" s="1"/>
  <c r="Y1835" i="1" s="1"/>
  <c r="Z1835" i="1" s="1"/>
  <c r="U1835" i="1"/>
  <c r="T1835" i="1"/>
  <c r="V1835" i="1"/>
  <c r="W1840" i="1"/>
  <c r="X1840" i="1" s="1"/>
  <c r="Y1840" i="1" s="1"/>
  <c r="Z1840" i="1" s="1"/>
  <c r="T1843" i="1"/>
  <c r="W1856" i="1"/>
  <c r="X1856" i="1" s="1"/>
  <c r="Y1856" i="1" s="1"/>
  <c r="Z1856" i="1" s="1"/>
  <c r="U1861" i="1"/>
  <c r="V1861" i="1"/>
  <c r="U1866" i="1"/>
  <c r="T1893" i="1"/>
  <c r="V1901" i="1"/>
  <c r="W1904" i="1"/>
  <c r="X1904" i="1" s="1"/>
  <c r="Y1904" i="1" s="1"/>
  <c r="Z1904" i="1" s="1"/>
  <c r="V1912" i="1"/>
  <c r="T1920" i="1"/>
  <c r="U1933" i="1"/>
  <c r="U1946" i="1"/>
  <c r="V1971" i="1"/>
  <c r="U1971" i="1"/>
  <c r="V1976" i="1"/>
  <c r="T2009" i="1"/>
  <c r="W2009" i="1"/>
  <c r="X2009" i="1" s="1"/>
  <c r="Y2009" i="1" s="1"/>
  <c r="Z2009" i="1" s="1"/>
  <c r="U2022" i="1"/>
  <c r="U2031" i="1"/>
  <c r="V2038" i="1"/>
  <c r="V2041" i="1"/>
  <c r="V2070" i="1"/>
  <c r="U2070" i="1"/>
  <c r="T2070" i="1"/>
  <c r="W2070" i="1"/>
  <c r="X2070" i="1" s="1"/>
  <c r="Y2070" i="1" s="1"/>
  <c r="Z2070" i="1" s="1"/>
  <c r="T2139" i="1"/>
  <c r="W2161" i="1"/>
  <c r="X2161" i="1" s="1"/>
  <c r="Y2161" i="1" s="1"/>
  <c r="Z2161" i="1" s="1"/>
  <c r="T2161" i="1"/>
  <c r="W2262" i="1"/>
  <c r="X2262" i="1" s="1"/>
  <c r="Y2262" i="1" s="1"/>
  <c r="Z2262" i="1" s="1"/>
  <c r="V2262" i="1"/>
  <c r="U2262" i="1"/>
  <c r="T2262" i="1"/>
  <c r="W2438" i="1"/>
  <c r="X2438" i="1" s="1"/>
  <c r="Y2438" i="1" s="1"/>
  <c r="Z2438" i="1" s="1"/>
  <c r="V2438" i="1"/>
  <c r="U2438" i="1"/>
  <c r="T2438" i="1"/>
  <c r="U1818" i="1"/>
  <c r="T1861" i="1"/>
  <c r="V1866" i="1"/>
  <c r="U1893" i="1"/>
  <c r="U1920" i="1"/>
  <c r="W1933" i="1"/>
  <c r="X1933" i="1" s="1"/>
  <c r="Y1933" i="1" s="1"/>
  <c r="Z1933" i="1" s="1"/>
  <c r="W1943" i="1"/>
  <c r="X1943" i="1" s="1"/>
  <c r="Y1943" i="1" s="1"/>
  <c r="Z1943" i="1" s="1"/>
  <c r="V1943" i="1"/>
  <c r="U1943" i="1"/>
  <c r="T1943" i="1"/>
  <c r="V1950" i="1"/>
  <c r="U1950" i="1"/>
  <c r="T1950" i="1"/>
  <c r="W1950" i="1"/>
  <c r="X1950" i="1" s="1"/>
  <c r="Y1950" i="1" s="1"/>
  <c r="Z1950" i="1" s="1"/>
  <c r="T1971" i="1"/>
  <c r="U2009" i="1"/>
  <c r="V2022" i="1"/>
  <c r="W2041" i="1"/>
  <c r="X2041" i="1" s="1"/>
  <c r="Y2041" i="1" s="1"/>
  <c r="Z2041" i="1" s="1"/>
  <c r="W2087" i="1"/>
  <c r="X2087" i="1" s="1"/>
  <c r="Y2087" i="1" s="1"/>
  <c r="Z2087" i="1" s="1"/>
  <c r="V2087" i="1"/>
  <c r="T2087" i="1"/>
  <c r="U2087" i="1"/>
  <c r="U2139" i="1"/>
  <c r="U2161" i="1"/>
  <c r="W2252" i="1"/>
  <c r="X2252" i="1" s="1"/>
  <c r="Y2252" i="1" s="1"/>
  <c r="Z2252" i="1" s="1"/>
  <c r="V2252" i="1"/>
  <c r="U2252" i="1"/>
  <c r="T2252" i="1"/>
  <c r="V1737" i="1"/>
  <c r="T1737" i="1"/>
  <c r="V1854" i="1"/>
  <c r="U1854" i="1"/>
  <c r="W1854" i="1"/>
  <c r="X1854" i="1" s="1"/>
  <c r="Y1854" i="1" s="1"/>
  <c r="Z1854" i="1" s="1"/>
  <c r="V1882" i="1"/>
  <c r="T1882" i="1"/>
  <c r="W1882" i="1"/>
  <c r="X1882" i="1" s="1"/>
  <c r="Y1882" i="1" s="1"/>
  <c r="Z1882" i="1" s="1"/>
  <c r="V1893" i="1"/>
  <c r="T1896" i="1"/>
  <c r="W1896" i="1"/>
  <c r="X1896" i="1" s="1"/>
  <c r="Y1896" i="1" s="1"/>
  <c r="Z1896" i="1" s="1"/>
  <c r="V1920" i="1"/>
  <c r="V1928" i="1"/>
  <c r="U1928" i="1"/>
  <c r="U1986" i="1"/>
  <c r="W1986" i="1"/>
  <c r="X1986" i="1" s="1"/>
  <c r="Y1986" i="1" s="1"/>
  <c r="Z1986" i="1" s="1"/>
  <c r="T1986" i="1"/>
  <c r="V1995" i="1"/>
  <c r="W1995" i="1"/>
  <c r="X1995" i="1" s="1"/>
  <c r="Y1995" i="1" s="1"/>
  <c r="Z1995" i="1" s="1"/>
  <c r="U1995" i="1"/>
  <c r="W2067" i="1"/>
  <c r="X2067" i="1" s="1"/>
  <c r="Y2067" i="1" s="1"/>
  <c r="Z2067" i="1" s="1"/>
  <c r="V2067" i="1"/>
  <c r="U2067" i="1"/>
  <c r="T2067" i="1"/>
  <c r="T2106" i="1"/>
  <c r="W2106" i="1"/>
  <c r="X2106" i="1" s="1"/>
  <c r="Y2106" i="1" s="1"/>
  <c r="Z2106" i="1" s="1"/>
  <c r="U2106" i="1"/>
  <c r="V2106" i="1"/>
  <c r="W2117" i="1"/>
  <c r="X2117" i="1" s="1"/>
  <c r="Y2117" i="1" s="1"/>
  <c r="Z2117" i="1" s="1"/>
  <c r="T2117" i="1"/>
  <c r="V2117" i="1"/>
  <c r="W2201" i="1"/>
  <c r="X2201" i="1" s="1"/>
  <c r="Y2201" i="1" s="1"/>
  <c r="Z2201" i="1" s="1"/>
  <c r="V2201" i="1"/>
  <c r="U2201" i="1"/>
  <c r="T2212" i="1"/>
  <c r="W2212" i="1"/>
  <c r="X2212" i="1" s="1"/>
  <c r="Y2212" i="1" s="1"/>
  <c r="Z2212" i="1" s="1"/>
  <c r="V2212" i="1"/>
  <c r="U2212" i="1"/>
  <c r="T2376" i="1"/>
  <c r="W2376" i="1"/>
  <c r="X2376" i="1" s="1"/>
  <c r="Y2376" i="1" s="1"/>
  <c r="Z2376" i="1" s="1"/>
  <c r="V2376" i="1"/>
  <c r="U2376" i="1"/>
  <c r="T1728" i="1"/>
  <c r="T1730" i="1"/>
  <c r="U1737" i="1"/>
  <c r="T1776" i="1"/>
  <c r="T1807" i="1"/>
  <c r="T1854" i="1"/>
  <c r="T1859" i="1"/>
  <c r="U1882" i="1"/>
  <c r="U1896" i="1"/>
  <c r="W1899" i="1"/>
  <c r="X1899" i="1" s="1"/>
  <c r="Y1899" i="1" s="1"/>
  <c r="Z1899" i="1" s="1"/>
  <c r="T1899" i="1"/>
  <c r="W1923" i="1"/>
  <c r="X1923" i="1" s="1"/>
  <c r="Y1923" i="1" s="1"/>
  <c r="Z1923" i="1" s="1"/>
  <c r="V1923" i="1"/>
  <c r="T1923" i="1"/>
  <c r="T1928" i="1"/>
  <c r="T1956" i="1"/>
  <c r="T1974" i="1"/>
  <c r="V1986" i="1"/>
  <c r="V1990" i="1"/>
  <c r="U1990" i="1"/>
  <c r="T1990" i="1"/>
  <c r="T1995" i="1"/>
  <c r="T2003" i="1"/>
  <c r="T2016" i="1"/>
  <c r="W2019" i="1"/>
  <c r="X2019" i="1" s="1"/>
  <c r="Y2019" i="1" s="1"/>
  <c r="Z2019" i="1" s="1"/>
  <c r="V2019" i="1"/>
  <c r="U2019" i="1"/>
  <c r="T2019" i="1"/>
  <c r="T2032" i="1"/>
  <c r="U2032" i="1"/>
  <c r="W2032" i="1"/>
  <c r="X2032" i="1" s="1"/>
  <c r="Y2032" i="1" s="1"/>
  <c r="Z2032" i="1" s="1"/>
  <c r="T2035" i="1"/>
  <c r="V2071" i="1"/>
  <c r="W2071" i="1"/>
  <c r="X2071" i="1" s="1"/>
  <c r="Y2071" i="1" s="1"/>
  <c r="Z2071" i="1" s="1"/>
  <c r="U2071" i="1"/>
  <c r="T2071" i="1"/>
  <c r="U2117" i="1"/>
  <c r="T2136" i="1"/>
  <c r="T2201" i="1"/>
  <c r="U1728" i="1"/>
  <c r="V1730" i="1"/>
  <c r="W1737" i="1"/>
  <c r="X1737" i="1" s="1"/>
  <c r="Y1737" i="1" s="1"/>
  <c r="Z1737" i="1" s="1"/>
  <c r="U1859" i="1"/>
  <c r="U1885" i="1"/>
  <c r="T1885" i="1"/>
  <c r="V1885" i="1"/>
  <c r="W1888" i="1"/>
  <c r="X1888" i="1" s="1"/>
  <c r="Y1888" i="1" s="1"/>
  <c r="Z1888" i="1" s="1"/>
  <c r="U1888" i="1"/>
  <c r="T1888" i="1"/>
  <c r="V1896" i="1"/>
  <c r="W1902" i="1"/>
  <c r="X1902" i="1" s="1"/>
  <c r="Y1902" i="1" s="1"/>
  <c r="Z1902" i="1" s="1"/>
  <c r="U1902" i="1"/>
  <c r="T1902" i="1"/>
  <c r="U1905" i="1"/>
  <c r="T1905" i="1"/>
  <c r="W1928" i="1"/>
  <c r="X1928" i="1" s="1"/>
  <c r="Y1928" i="1" s="1"/>
  <c r="Z1928" i="1" s="1"/>
  <c r="V1947" i="1"/>
  <c r="U1947" i="1"/>
  <c r="U1956" i="1"/>
  <c r="V1993" i="1"/>
  <c r="U1993" i="1"/>
  <c r="V2003" i="1"/>
  <c r="U2035" i="1"/>
  <c r="V2136" i="1"/>
  <c r="W2145" i="1"/>
  <c r="X2145" i="1" s="1"/>
  <c r="Y2145" i="1" s="1"/>
  <c r="Z2145" i="1" s="1"/>
  <c r="V2145" i="1"/>
  <c r="U2145" i="1"/>
  <c r="T2145" i="1"/>
  <c r="W2234" i="1"/>
  <c r="X2234" i="1" s="1"/>
  <c r="Y2234" i="1" s="1"/>
  <c r="Z2234" i="1" s="1"/>
  <c r="V2234" i="1"/>
  <c r="T2234" i="1"/>
  <c r="V2426" i="1"/>
  <c r="U2426" i="1"/>
  <c r="T2426" i="1"/>
  <c r="W2768" i="1"/>
  <c r="X2768" i="1" s="1"/>
  <c r="Y2768" i="1" s="1"/>
  <c r="Z2768" i="1" s="1"/>
  <c r="V2768" i="1"/>
  <c r="U2768" i="1"/>
  <c r="T2768" i="1"/>
  <c r="W2130" i="1"/>
  <c r="X2130" i="1" s="1"/>
  <c r="Y2130" i="1" s="1"/>
  <c r="Z2130" i="1" s="1"/>
  <c r="V2130" i="1"/>
  <c r="U2130" i="1"/>
  <c r="T2130" i="1"/>
  <c r="T2146" i="1"/>
  <c r="W2146" i="1"/>
  <c r="X2146" i="1" s="1"/>
  <c r="Y2146" i="1" s="1"/>
  <c r="Z2146" i="1" s="1"/>
  <c r="W2165" i="1"/>
  <c r="X2165" i="1" s="1"/>
  <c r="Y2165" i="1" s="1"/>
  <c r="Z2165" i="1" s="1"/>
  <c r="V2179" i="1"/>
  <c r="U2179" i="1"/>
  <c r="T2179" i="1"/>
  <c r="W2179" i="1"/>
  <c r="X2179" i="1" s="1"/>
  <c r="Y2179" i="1" s="1"/>
  <c r="Z2179" i="1" s="1"/>
  <c r="W2183" i="1"/>
  <c r="X2183" i="1" s="1"/>
  <c r="Y2183" i="1" s="1"/>
  <c r="Z2183" i="1" s="1"/>
  <c r="T2183" i="1"/>
  <c r="U2183" i="1"/>
  <c r="W2223" i="1"/>
  <c r="X2223" i="1" s="1"/>
  <c r="Y2223" i="1" s="1"/>
  <c r="Z2223" i="1" s="1"/>
  <c r="V2223" i="1"/>
  <c r="U2223" i="1"/>
  <c r="T2223" i="1"/>
  <c r="W2286" i="1"/>
  <c r="X2286" i="1" s="1"/>
  <c r="Y2286" i="1" s="1"/>
  <c r="Z2286" i="1" s="1"/>
  <c r="U2286" i="1"/>
  <c r="V2286" i="1"/>
  <c r="W2064" i="1"/>
  <c r="X2064" i="1" s="1"/>
  <c r="Y2064" i="1" s="1"/>
  <c r="Z2064" i="1" s="1"/>
  <c r="T2064" i="1"/>
  <c r="U2146" i="1"/>
  <c r="V2150" i="1"/>
  <c r="T2150" i="1"/>
  <c r="V2183" i="1"/>
  <c r="U2263" i="1"/>
  <c r="W2263" i="1"/>
  <c r="X2263" i="1" s="1"/>
  <c r="Y2263" i="1" s="1"/>
  <c r="Z2263" i="1" s="1"/>
  <c r="T2263" i="1"/>
  <c r="V2263" i="1"/>
  <c r="T2286" i="1"/>
  <c r="W2579" i="1"/>
  <c r="X2579" i="1" s="1"/>
  <c r="Y2579" i="1" s="1"/>
  <c r="Z2579" i="1" s="1"/>
  <c r="V2579" i="1"/>
  <c r="U2579" i="1"/>
  <c r="T2579" i="1"/>
  <c r="V2670" i="1"/>
  <c r="T2670" i="1"/>
  <c r="W2670" i="1"/>
  <c r="X2670" i="1" s="1"/>
  <c r="Y2670" i="1" s="1"/>
  <c r="Z2670" i="1" s="1"/>
  <c r="U2670" i="1"/>
  <c r="T2206" i="1"/>
  <c r="W2206" i="1"/>
  <c r="X2206" i="1" s="1"/>
  <c r="Y2206" i="1" s="1"/>
  <c r="Z2206" i="1" s="1"/>
  <c r="V2206" i="1"/>
  <c r="V2216" i="1"/>
  <c r="U2216" i="1"/>
  <c r="T2216" i="1"/>
  <c r="W2351" i="1"/>
  <c r="X2351" i="1" s="1"/>
  <c r="Y2351" i="1" s="1"/>
  <c r="Z2351" i="1" s="1"/>
  <c r="V2351" i="1"/>
  <c r="T2351" i="1"/>
  <c r="U2571" i="1"/>
  <c r="T2571" i="1"/>
  <c r="W2571" i="1"/>
  <c r="X2571" i="1" s="1"/>
  <c r="Y2571" i="1" s="1"/>
  <c r="Z2571" i="1" s="1"/>
  <c r="V2571" i="1"/>
  <c r="U2945" i="1"/>
  <c r="V2945" i="1"/>
  <c r="W2945" i="1"/>
  <c r="X2945" i="1" s="1"/>
  <c r="Y2945" i="1" s="1"/>
  <c r="Z2945" i="1" s="1"/>
  <c r="T2945" i="1"/>
  <c r="W1959" i="1"/>
  <c r="X1959" i="1" s="1"/>
  <c r="Y1959" i="1" s="1"/>
  <c r="Z1959" i="1" s="1"/>
  <c r="V1959" i="1"/>
  <c r="U1959" i="1"/>
  <c r="W2004" i="1"/>
  <c r="X2004" i="1" s="1"/>
  <c r="Y2004" i="1" s="1"/>
  <c r="Z2004" i="1" s="1"/>
  <c r="U2004" i="1"/>
  <c r="W2017" i="1"/>
  <c r="X2017" i="1" s="1"/>
  <c r="Y2017" i="1" s="1"/>
  <c r="Z2017" i="1" s="1"/>
  <c r="T2017" i="1"/>
  <c r="V2017" i="1"/>
  <c r="V2050" i="1"/>
  <c r="U2050" i="1"/>
  <c r="T2050" i="1"/>
  <c r="V2064" i="1"/>
  <c r="T2137" i="1"/>
  <c r="W2150" i="1"/>
  <c r="X2150" i="1" s="1"/>
  <c r="Y2150" i="1" s="1"/>
  <c r="Z2150" i="1" s="1"/>
  <c r="T2199" i="1"/>
  <c r="U2206" i="1"/>
  <c r="W2216" i="1"/>
  <c r="X2216" i="1" s="1"/>
  <c r="Y2216" i="1" s="1"/>
  <c r="Z2216" i="1" s="1"/>
  <c r="V2247" i="1"/>
  <c r="W2247" i="1"/>
  <c r="X2247" i="1" s="1"/>
  <c r="Y2247" i="1" s="1"/>
  <c r="Z2247" i="1" s="1"/>
  <c r="U2247" i="1"/>
  <c r="U2351" i="1"/>
  <c r="T1915" i="1"/>
  <c r="T1959" i="1"/>
  <c r="T2004" i="1"/>
  <c r="U2012" i="1"/>
  <c r="U2017" i="1"/>
  <c r="W2050" i="1"/>
  <c r="X2050" i="1" s="1"/>
  <c r="Y2050" i="1" s="1"/>
  <c r="Z2050" i="1" s="1"/>
  <c r="V2082" i="1"/>
  <c r="U2082" i="1"/>
  <c r="T2082" i="1"/>
  <c r="W2122" i="1"/>
  <c r="X2122" i="1" s="1"/>
  <c r="Y2122" i="1" s="1"/>
  <c r="Z2122" i="1" s="1"/>
  <c r="V2122" i="1"/>
  <c r="W2125" i="1"/>
  <c r="X2125" i="1" s="1"/>
  <c r="Y2125" i="1" s="1"/>
  <c r="Z2125" i="1" s="1"/>
  <c r="U2125" i="1"/>
  <c r="V2137" i="1"/>
  <c r="V2143" i="1"/>
  <c r="U2143" i="1"/>
  <c r="T2143" i="1"/>
  <c r="V2184" i="1"/>
  <c r="U2184" i="1"/>
  <c r="T2184" i="1"/>
  <c r="W2184" i="1"/>
  <c r="X2184" i="1" s="1"/>
  <c r="Y2184" i="1" s="1"/>
  <c r="Z2184" i="1" s="1"/>
  <c r="U2199" i="1"/>
  <c r="W2243" i="1"/>
  <c r="X2243" i="1" s="1"/>
  <c r="Y2243" i="1" s="1"/>
  <c r="Z2243" i="1" s="1"/>
  <c r="V2243" i="1"/>
  <c r="U2243" i="1"/>
  <c r="T2247" i="1"/>
  <c r="W2119" i="1"/>
  <c r="X2119" i="1" s="1"/>
  <c r="Y2119" i="1" s="1"/>
  <c r="Z2119" i="1" s="1"/>
  <c r="T2119" i="1"/>
  <c r="W2137" i="1"/>
  <c r="X2137" i="1" s="1"/>
  <c r="Y2137" i="1" s="1"/>
  <c r="Z2137" i="1" s="1"/>
  <c r="U2140" i="1"/>
  <c r="V2140" i="1"/>
  <c r="W2140" i="1"/>
  <c r="X2140" i="1" s="1"/>
  <c r="Y2140" i="1" s="1"/>
  <c r="Z2140" i="1" s="1"/>
  <c r="T2140" i="1"/>
  <c r="V2199" i="1"/>
  <c r="V2109" i="1"/>
  <c r="W2109" i="1"/>
  <c r="X2109" i="1" s="1"/>
  <c r="Y2109" i="1" s="1"/>
  <c r="Z2109" i="1" s="1"/>
  <c r="U2119" i="1"/>
  <c r="W2134" i="1"/>
  <c r="X2134" i="1" s="1"/>
  <c r="Y2134" i="1" s="1"/>
  <c r="Z2134" i="1" s="1"/>
  <c r="T2134" i="1"/>
  <c r="W2147" i="1"/>
  <c r="X2147" i="1" s="1"/>
  <c r="Y2147" i="1" s="1"/>
  <c r="Z2147" i="1" s="1"/>
  <c r="V2147" i="1"/>
  <c r="U2147" i="1"/>
  <c r="W2231" i="1"/>
  <c r="X2231" i="1" s="1"/>
  <c r="Y2231" i="1" s="1"/>
  <c r="Z2231" i="1" s="1"/>
  <c r="T2231" i="1"/>
  <c r="V2231" i="1"/>
  <c r="U2231" i="1"/>
  <c r="T2236" i="1"/>
  <c r="V2256" i="1"/>
  <c r="W2256" i="1"/>
  <c r="X2256" i="1" s="1"/>
  <c r="Y2256" i="1" s="1"/>
  <c r="Z2256" i="1" s="1"/>
  <c r="T2256" i="1"/>
  <c r="W2290" i="1"/>
  <c r="X2290" i="1" s="1"/>
  <c r="Y2290" i="1" s="1"/>
  <c r="Z2290" i="1" s="1"/>
  <c r="T2290" i="1"/>
  <c r="U2290" i="1"/>
  <c r="V2290" i="1"/>
  <c r="W2313" i="1"/>
  <c r="X2313" i="1" s="1"/>
  <c r="Y2313" i="1" s="1"/>
  <c r="Z2313" i="1" s="1"/>
  <c r="V2313" i="1"/>
  <c r="U2313" i="1"/>
  <c r="T2313" i="1"/>
  <c r="W2383" i="1"/>
  <c r="X2383" i="1" s="1"/>
  <c r="Y2383" i="1" s="1"/>
  <c r="Z2383" i="1" s="1"/>
  <c r="V2383" i="1"/>
  <c r="U2383" i="1"/>
  <c r="T2383" i="1"/>
  <c r="U2535" i="1"/>
  <c r="W2535" i="1"/>
  <c r="X2535" i="1" s="1"/>
  <c r="Y2535" i="1" s="1"/>
  <c r="Z2535" i="1" s="1"/>
  <c r="V2535" i="1"/>
  <c r="T2535" i="1"/>
  <c r="V2866" i="1"/>
  <c r="W2866" i="1"/>
  <c r="X2866" i="1" s="1"/>
  <c r="Y2866" i="1" s="1"/>
  <c r="Z2866" i="1" s="1"/>
  <c r="T2866" i="1"/>
  <c r="U2866" i="1"/>
  <c r="V1937" i="1"/>
  <c r="T1937" i="1"/>
  <c r="W1983" i="1"/>
  <c r="X1983" i="1" s="1"/>
  <c r="Y1983" i="1" s="1"/>
  <c r="Z1983" i="1" s="1"/>
  <c r="T1983" i="1"/>
  <c r="V2018" i="1"/>
  <c r="T2018" i="1"/>
  <c r="W2034" i="1"/>
  <c r="X2034" i="1" s="1"/>
  <c r="Y2034" i="1" s="1"/>
  <c r="Z2034" i="1" s="1"/>
  <c r="T2034" i="1"/>
  <c r="T2109" i="1"/>
  <c r="V2119" i="1"/>
  <c r="W2131" i="1"/>
  <c r="X2131" i="1" s="1"/>
  <c r="Y2131" i="1" s="1"/>
  <c r="Z2131" i="1" s="1"/>
  <c r="T2131" i="1"/>
  <c r="U2134" i="1"/>
  <c r="T2147" i="1"/>
  <c r="W2151" i="1"/>
  <c r="X2151" i="1" s="1"/>
  <c r="Y2151" i="1" s="1"/>
  <c r="Z2151" i="1" s="1"/>
  <c r="T2151" i="1"/>
  <c r="V2151" i="1"/>
  <c r="W2210" i="1"/>
  <c r="X2210" i="1" s="1"/>
  <c r="Y2210" i="1" s="1"/>
  <c r="Z2210" i="1" s="1"/>
  <c r="V2210" i="1"/>
  <c r="U2236" i="1"/>
  <c r="U2256" i="1"/>
  <c r="V2317" i="1"/>
  <c r="U2317" i="1"/>
  <c r="T2317" i="1"/>
  <c r="W2317" i="1"/>
  <c r="X2317" i="1" s="1"/>
  <c r="Y2317" i="1" s="1"/>
  <c r="Z2317" i="1" s="1"/>
  <c r="U2511" i="1"/>
  <c r="T2511" i="1"/>
  <c r="V2511" i="1"/>
  <c r="W2511" i="1"/>
  <c r="X2511" i="1" s="1"/>
  <c r="Y2511" i="1" s="1"/>
  <c r="Z2511" i="1" s="1"/>
  <c r="W2788" i="1"/>
  <c r="X2788" i="1" s="1"/>
  <c r="Y2788" i="1" s="1"/>
  <c r="Z2788" i="1" s="1"/>
  <c r="U2788" i="1"/>
  <c r="T2788" i="1"/>
  <c r="V2788" i="1"/>
  <c r="U1996" i="1"/>
  <c r="T1996" i="1"/>
  <c r="W1996" i="1"/>
  <c r="X1996" i="1" s="1"/>
  <c r="Y1996" i="1" s="1"/>
  <c r="Z1996" i="1" s="1"/>
  <c r="W1999" i="1"/>
  <c r="X1999" i="1" s="1"/>
  <c r="Y1999" i="1" s="1"/>
  <c r="Z1999" i="1" s="1"/>
  <c r="V1999" i="1"/>
  <c r="U1999" i="1"/>
  <c r="T1999" i="1"/>
  <c r="W2037" i="1"/>
  <c r="X2037" i="1" s="1"/>
  <c r="Y2037" i="1" s="1"/>
  <c r="Z2037" i="1" s="1"/>
  <c r="T2037" i="1"/>
  <c r="V2037" i="1"/>
  <c r="W2048" i="1"/>
  <c r="X2048" i="1" s="1"/>
  <c r="Y2048" i="1" s="1"/>
  <c r="Z2048" i="1" s="1"/>
  <c r="V2048" i="1"/>
  <c r="W2059" i="1"/>
  <c r="X2059" i="1" s="1"/>
  <c r="Y2059" i="1" s="1"/>
  <c r="Z2059" i="1" s="1"/>
  <c r="V2059" i="1"/>
  <c r="U2059" i="1"/>
  <c r="U2062" i="1"/>
  <c r="T2062" i="1"/>
  <c r="W2062" i="1"/>
  <c r="X2062" i="1" s="1"/>
  <c r="Y2062" i="1" s="1"/>
  <c r="Z2062" i="1" s="1"/>
  <c r="V2062" i="1"/>
  <c r="W2088" i="1"/>
  <c r="X2088" i="1" s="1"/>
  <c r="Y2088" i="1" s="1"/>
  <c r="Z2088" i="1" s="1"/>
  <c r="V2088" i="1"/>
  <c r="U2109" i="1"/>
  <c r="V2134" i="1"/>
  <c r="W2171" i="1"/>
  <c r="X2171" i="1" s="1"/>
  <c r="Y2171" i="1" s="1"/>
  <c r="Z2171" i="1" s="1"/>
  <c r="T2171" i="1"/>
  <c r="U2185" i="1"/>
  <c r="W2185" i="1"/>
  <c r="X2185" i="1" s="1"/>
  <c r="Y2185" i="1" s="1"/>
  <c r="Z2185" i="1" s="1"/>
  <c r="V2185" i="1"/>
  <c r="W2196" i="1"/>
  <c r="X2196" i="1" s="1"/>
  <c r="Y2196" i="1" s="1"/>
  <c r="Z2196" i="1" s="1"/>
  <c r="V2196" i="1"/>
  <c r="U2196" i="1"/>
  <c r="T2196" i="1"/>
  <c r="V2236" i="1"/>
  <c r="V2244" i="1"/>
  <c r="U2244" i="1"/>
  <c r="T2244" i="1"/>
  <c r="W2244" i="1"/>
  <c r="X2244" i="1" s="1"/>
  <c r="Y2244" i="1" s="1"/>
  <c r="Z2244" i="1" s="1"/>
  <c r="T2305" i="1"/>
  <c r="W2305" i="1"/>
  <c r="X2305" i="1" s="1"/>
  <c r="Y2305" i="1" s="1"/>
  <c r="Z2305" i="1" s="1"/>
  <c r="V2305" i="1"/>
  <c r="U2305" i="1"/>
  <c r="T2415" i="1"/>
  <c r="V2415" i="1"/>
  <c r="U2415" i="1"/>
  <c r="W2415" i="1"/>
  <c r="X2415" i="1" s="1"/>
  <c r="Y2415" i="1" s="1"/>
  <c r="Z2415" i="1" s="1"/>
  <c r="W2479" i="1"/>
  <c r="X2479" i="1" s="1"/>
  <c r="Y2479" i="1" s="1"/>
  <c r="Z2479" i="1" s="1"/>
  <c r="V2479" i="1"/>
  <c r="U2479" i="1"/>
  <c r="T2479" i="1"/>
  <c r="W1883" i="1"/>
  <c r="X1883" i="1" s="1"/>
  <c r="Y1883" i="1" s="1"/>
  <c r="Z1883" i="1" s="1"/>
  <c r="V1883" i="1"/>
  <c r="V1890" i="1"/>
  <c r="W1890" i="1"/>
  <c r="X1890" i="1" s="1"/>
  <c r="Y1890" i="1" s="1"/>
  <c r="Z1890" i="1" s="1"/>
  <c r="T1890" i="1"/>
  <c r="T1944" i="1"/>
  <c r="U1960" i="1"/>
  <c r="T1965" i="1"/>
  <c r="V1996" i="1"/>
  <c r="T2002" i="1"/>
  <c r="V2010" i="1"/>
  <c r="U2010" i="1"/>
  <c r="T2010" i="1"/>
  <c r="U2021" i="1"/>
  <c r="T2021" i="1"/>
  <c r="V2021" i="1"/>
  <c r="U2037" i="1"/>
  <c r="V2144" i="1"/>
  <c r="U2144" i="1"/>
  <c r="T2144" i="1"/>
  <c r="W2163" i="1"/>
  <c r="X2163" i="1" s="1"/>
  <c r="Y2163" i="1" s="1"/>
  <c r="Z2163" i="1" s="1"/>
  <c r="V2163" i="1"/>
  <c r="U2163" i="1"/>
  <c r="W2279" i="1"/>
  <c r="X2279" i="1" s="1"/>
  <c r="Y2279" i="1" s="1"/>
  <c r="Z2279" i="1" s="1"/>
  <c r="V2279" i="1"/>
  <c r="U2279" i="1"/>
  <c r="T2279" i="1"/>
  <c r="W2309" i="1"/>
  <c r="X2309" i="1" s="1"/>
  <c r="Y2309" i="1" s="1"/>
  <c r="Z2309" i="1" s="1"/>
  <c r="V2309" i="1"/>
  <c r="U2309" i="1"/>
  <c r="W2471" i="1"/>
  <c r="X2471" i="1" s="1"/>
  <c r="Y2471" i="1" s="1"/>
  <c r="Z2471" i="1" s="1"/>
  <c r="V2471" i="1"/>
  <c r="T2471" i="1"/>
  <c r="W2475" i="1"/>
  <c r="X2475" i="1" s="1"/>
  <c r="Y2475" i="1" s="1"/>
  <c r="Z2475" i="1" s="1"/>
  <c r="V2475" i="1"/>
  <c r="U2475" i="1"/>
  <c r="T2475" i="1"/>
  <c r="T1883" i="1"/>
  <c r="U1890" i="1"/>
  <c r="V1935" i="1"/>
  <c r="T1935" i="1"/>
  <c r="V1955" i="1"/>
  <c r="U1955" i="1"/>
  <c r="V1960" i="1"/>
  <c r="V2002" i="1"/>
  <c r="W2010" i="1"/>
  <c r="X2010" i="1" s="1"/>
  <c r="Y2010" i="1" s="1"/>
  <c r="Z2010" i="1" s="1"/>
  <c r="W2021" i="1"/>
  <c r="X2021" i="1" s="1"/>
  <c r="Y2021" i="1" s="1"/>
  <c r="Z2021" i="1" s="1"/>
  <c r="U2048" i="1"/>
  <c r="U2051" i="1"/>
  <c r="W2051" i="1"/>
  <c r="X2051" i="1" s="1"/>
  <c r="Y2051" i="1" s="1"/>
  <c r="Z2051" i="1" s="1"/>
  <c r="U2088" i="1"/>
  <c r="U2098" i="1"/>
  <c r="T2098" i="1"/>
  <c r="W2144" i="1"/>
  <c r="X2144" i="1" s="1"/>
  <c r="Y2144" i="1" s="1"/>
  <c r="Z2144" i="1" s="1"/>
  <c r="T2163" i="1"/>
  <c r="V2171" i="1"/>
  <c r="V2189" i="1"/>
  <c r="U2189" i="1"/>
  <c r="W2189" i="1"/>
  <c r="X2189" i="1" s="1"/>
  <c r="Y2189" i="1" s="1"/>
  <c r="Z2189" i="1" s="1"/>
  <c r="T2189" i="1"/>
  <c r="V2204" i="1"/>
  <c r="U2204" i="1"/>
  <c r="T2204" i="1"/>
  <c r="W2204" i="1"/>
  <c r="X2204" i="1" s="1"/>
  <c r="Y2204" i="1" s="1"/>
  <c r="Z2204" i="1" s="1"/>
  <c r="W2275" i="1"/>
  <c r="X2275" i="1" s="1"/>
  <c r="Y2275" i="1" s="1"/>
  <c r="Z2275" i="1" s="1"/>
  <c r="T2275" i="1"/>
  <c r="V2275" i="1"/>
  <c r="U2275" i="1"/>
  <c r="T2309" i="1"/>
  <c r="U2353" i="1"/>
  <c r="T2353" i="1"/>
  <c r="W2353" i="1"/>
  <c r="X2353" i="1" s="1"/>
  <c r="Y2353" i="1" s="1"/>
  <c r="Z2353" i="1" s="1"/>
  <c r="V2353" i="1"/>
  <c r="U2398" i="1"/>
  <c r="T2398" i="1"/>
  <c r="W2398" i="1"/>
  <c r="X2398" i="1" s="1"/>
  <c r="Y2398" i="1" s="1"/>
  <c r="Z2398" i="1" s="1"/>
  <c r="V2398" i="1"/>
  <c r="U2471" i="1"/>
  <c r="W2074" i="1"/>
  <c r="X2074" i="1" s="1"/>
  <c r="Y2074" i="1" s="1"/>
  <c r="Z2074" i="1" s="1"/>
  <c r="U2074" i="1"/>
  <c r="W2077" i="1"/>
  <c r="X2077" i="1" s="1"/>
  <c r="Y2077" i="1" s="1"/>
  <c r="Z2077" i="1" s="1"/>
  <c r="T2077" i="1"/>
  <c r="V2077" i="1"/>
  <c r="U2077" i="1"/>
  <c r="V2085" i="1"/>
  <c r="U2085" i="1"/>
  <c r="T2085" i="1"/>
  <c r="V2095" i="1"/>
  <c r="U2095" i="1"/>
  <c r="U2120" i="1"/>
  <c r="V2120" i="1"/>
  <c r="W2123" i="1"/>
  <c r="X2123" i="1" s="1"/>
  <c r="Y2123" i="1" s="1"/>
  <c r="Z2123" i="1" s="1"/>
  <c r="V2123" i="1"/>
  <c r="U2123" i="1"/>
  <c r="U2200" i="1"/>
  <c r="W2200" i="1"/>
  <c r="X2200" i="1" s="1"/>
  <c r="Y2200" i="1" s="1"/>
  <c r="Z2200" i="1" s="1"/>
  <c r="V2200" i="1"/>
  <c r="T2200" i="1"/>
  <c r="V2221" i="1"/>
  <c r="W2221" i="1"/>
  <c r="X2221" i="1" s="1"/>
  <c r="Y2221" i="1" s="1"/>
  <c r="Z2221" i="1" s="1"/>
  <c r="T2221" i="1"/>
  <c r="W2295" i="1"/>
  <c r="X2295" i="1" s="1"/>
  <c r="Y2295" i="1" s="1"/>
  <c r="Z2295" i="1" s="1"/>
  <c r="V2295" i="1"/>
  <c r="T2295" i="1"/>
  <c r="V2450" i="1"/>
  <c r="W2450" i="1"/>
  <c r="X2450" i="1" s="1"/>
  <c r="Y2450" i="1" s="1"/>
  <c r="Z2450" i="1" s="1"/>
  <c r="T2450" i="1"/>
  <c r="W2333" i="1"/>
  <c r="X2333" i="1" s="1"/>
  <c r="Y2333" i="1" s="1"/>
  <c r="Z2333" i="1" s="1"/>
  <c r="T2333" i="1"/>
  <c r="W2348" i="1"/>
  <c r="X2348" i="1" s="1"/>
  <c r="Y2348" i="1" s="1"/>
  <c r="Z2348" i="1" s="1"/>
  <c r="V2348" i="1"/>
  <c r="W2355" i="1"/>
  <c r="X2355" i="1" s="1"/>
  <c r="Y2355" i="1" s="1"/>
  <c r="Z2355" i="1" s="1"/>
  <c r="V2355" i="1"/>
  <c r="U2355" i="1"/>
  <c r="W2371" i="1"/>
  <c r="X2371" i="1" s="1"/>
  <c r="Y2371" i="1" s="1"/>
  <c r="Z2371" i="1" s="1"/>
  <c r="V2371" i="1"/>
  <c r="U2371" i="1"/>
  <c r="T2371" i="1"/>
  <c r="V2379" i="1"/>
  <c r="U2379" i="1"/>
  <c r="T2379" i="1"/>
  <c r="W2379" i="1"/>
  <c r="X2379" i="1" s="1"/>
  <c r="Y2379" i="1" s="1"/>
  <c r="Z2379" i="1" s="1"/>
  <c r="W2422" i="1"/>
  <c r="X2422" i="1" s="1"/>
  <c r="Y2422" i="1" s="1"/>
  <c r="Z2422" i="1" s="1"/>
  <c r="U2422" i="1"/>
  <c r="T2422" i="1"/>
  <c r="V2422" i="1"/>
  <c r="V2496" i="1"/>
  <c r="U2496" i="1"/>
  <c r="W2496" i="1"/>
  <c r="X2496" i="1" s="1"/>
  <c r="Y2496" i="1" s="1"/>
  <c r="Z2496" i="1" s="1"/>
  <c r="W2521" i="1"/>
  <c r="X2521" i="1" s="1"/>
  <c r="Y2521" i="1" s="1"/>
  <c r="Z2521" i="1" s="1"/>
  <c r="U2521" i="1"/>
  <c r="U2601" i="1"/>
  <c r="T2601" i="1"/>
  <c r="W2601" i="1"/>
  <c r="X2601" i="1" s="1"/>
  <c r="Y2601" i="1" s="1"/>
  <c r="Z2601" i="1" s="1"/>
  <c r="V2601" i="1"/>
  <c r="U3139" i="1"/>
  <c r="W3139" i="1"/>
  <c r="X3139" i="1" s="1"/>
  <c r="Y3139" i="1" s="1"/>
  <c r="Z3139" i="1" s="1"/>
  <c r="V3139" i="1"/>
  <c r="T3139" i="1"/>
  <c r="U2227" i="1"/>
  <c r="T2227" i="1"/>
  <c r="W2269" i="1"/>
  <c r="X2269" i="1" s="1"/>
  <c r="Y2269" i="1" s="1"/>
  <c r="Z2269" i="1" s="1"/>
  <c r="U2269" i="1"/>
  <c r="T2269" i="1"/>
  <c r="V2333" i="1"/>
  <c r="U2348" i="1"/>
  <c r="V2521" i="1"/>
  <c r="V2636" i="1"/>
  <c r="U2636" i="1"/>
  <c r="T2636" i="1"/>
  <c r="W2636" i="1"/>
  <c r="X2636" i="1" s="1"/>
  <c r="Y2636" i="1" s="1"/>
  <c r="Z2636" i="1" s="1"/>
  <c r="V2194" i="1"/>
  <c r="U2194" i="1"/>
  <c r="T2194" i="1"/>
  <c r="V2300" i="1"/>
  <c r="U2300" i="1"/>
  <c r="T2300" i="1"/>
  <c r="W2300" i="1"/>
  <c r="X2300" i="1" s="1"/>
  <c r="Y2300" i="1" s="1"/>
  <c r="Z2300" i="1" s="1"/>
  <c r="V2303" i="1"/>
  <c r="W2303" i="1"/>
  <c r="X2303" i="1" s="1"/>
  <c r="Y2303" i="1" s="1"/>
  <c r="Z2303" i="1" s="1"/>
  <c r="T2303" i="1"/>
  <c r="W2322" i="1"/>
  <c r="X2322" i="1" s="1"/>
  <c r="Y2322" i="1" s="1"/>
  <c r="Z2322" i="1" s="1"/>
  <c r="U2322" i="1"/>
  <c r="U2380" i="1"/>
  <c r="T2380" i="1"/>
  <c r="W2380" i="1"/>
  <c r="X2380" i="1" s="1"/>
  <c r="Y2380" i="1" s="1"/>
  <c r="Z2380" i="1" s="1"/>
  <c r="V2380" i="1"/>
  <c r="T2676" i="1"/>
  <c r="W2676" i="1"/>
  <c r="X2676" i="1" s="1"/>
  <c r="Y2676" i="1" s="1"/>
  <c r="Z2676" i="1" s="1"/>
  <c r="V2676" i="1"/>
  <c r="U2676" i="1"/>
  <c r="U1961" i="1"/>
  <c r="T1961" i="1"/>
  <c r="W1968" i="1"/>
  <c r="X1968" i="1" s="1"/>
  <c r="Y1968" i="1" s="1"/>
  <c r="Z1968" i="1" s="1"/>
  <c r="V1968" i="1"/>
  <c r="T1968" i="1"/>
  <c r="W1977" i="1"/>
  <c r="X1977" i="1" s="1"/>
  <c r="Y1977" i="1" s="1"/>
  <c r="Z1977" i="1" s="1"/>
  <c r="T1977" i="1"/>
  <c r="U2101" i="1"/>
  <c r="T2101" i="1"/>
  <c r="V2157" i="1"/>
  <c r="T2157" i="1"/>
  <c r="W2194" i="1"/>
  <c r="X2194" i="1" s="1"/>
  <c r="Y2194" i="1" s="1"/>
  <c r="Z2194" i="1" s="1"/>
  <c r="T2208" i="1"/>
  <c r="W2222" i="1"/>
  <c r="X2222" i="1" s="1"/>
  <c r="Y2222" i="1" s="1"/>
  <c r="Z2222" i="1" s="1"/>
  <c r="V2222" i="1"/>
  <c r="T2222" i="1"/>
  <c r="U2240" i="1"/>
  <c r="W2240" i="1"/>
  <c r="X2240" i="1" s="1"/>
  <c r="Y2240" i="1" s="1"/>
  <c r="Z2240" i="1" s="1"/>
  <c r="T2240" i="1"/>
  <c r="U2303" i="1"/>
  <c r="T2322" i="1"/>
  <c r="V2330" i="1"/>
  <c r="U2330" i="1"/>
  <c r="W2330" i="1"/>
  <c r="X2330" i="1" s="1"/>
  <c r="Y2330" i="1" s="1"/>
  <c r="Z2330" i="1" s="1"/>
  <c r="U2385" i="1"/>
  <c r="T2385" i="1"/>
  <c r="W2385" i="1"/>
  <c r="X2385" i="1" s="1"/>
  <c r="Y2385" i="1" s="1"/>
  <c r="Z2385" i="1" s="1"/>
  <c r="V2385" i="1"/>
  <c r="V2394" i="1"/>
  <c r="U2394" i="1"/>
  <c r="W2394" i="1"/>
  <c r="X2394" i="1" s="1"/>
  <c r="Y2394" i="1" s="1"/>
  <c r="Z2394" i="1" s="1"/>
  <c r="T2394" i="1"/>
  <c r="W2403" i="1"/>
  <c r="X2403" i="1" s="1"/>
  <c r="Y2403" i="1" s="1"/>
  <c r="Z2403" i="1" s="1"/>
  <c r="V2403" i="1"/>
  <c r="U2403" i="1"/>
  <c r="T2403" i="1"/>
  <c r="W2457" i="1"/>
  <c r="X2457" i="1" s="1"/>
  <c r="Y2457" i="1" s="1"/>
  <c r="Z2457" i="1" s="1"/>
  <c r="U2457" i="1"/>
  <c r="T2457" i="1"/>
  <c r="V2457" i="1"/>
  <c r="W2513" i="1"/>
  <c r="X2513" i="1" s="1"/>
  <c r="Y2513" i="1" s="1"/>
  <c r="Z2513" i="1" s="1"/>
  <c r="V2513" i="1"/>
  <c r="U2513" i="1"/>
  <c r="T2513" i="1"/>
  <c r="W2626" i="1"/>
  <c r="X2626" i="1" s="1"/>
  <c r="Y2626" i="1" s="1"/>
  <c r="Z2626" i="1" s="1"/>
  <c r="V2626" i="1"/>
  <c r="U2626" i="1"/>
  <c r="T2626" i="1"/>
  <c r="W2191" i="1"/>
  <c r="X2191" i="1" s="1"/>
  <c r="Y2191" i="1" s="1"/>
  <c r="Z2191" i="1" s="1"/>
  <c r="T2191" i="1"/>
  <c r="W2219" i="1"/>
  <c r="X2219" i="1" s="1"/>
  <c r="Y2219" i="1" s="1"/>
  <c r="Z2219" i="1" s="1"/>
  <c r="T2219" i="1"/>
  <c r="U2219" i="1"/>
  <c r="V2322" i="1"/>
  <c r="W2359" i="1"/>
  <c r="X2359" i="1" s="1"/>
  <c r="Y2359" i="1" s="1"/>
  <c r="Z2359" i="1" s="1"/>
  <c r="V2359" i="1"/>
  <c r="T2359" i="1"/>
  <c r="V2563" i="1"/>
  <c r="W2563" i="1"/>
  <c r="X2563" i="1" s="1"/>
  <c r="Y2563" i="1" s="1"/>
  <c r="Z2563" i="1" s="1"/>
  <c r="U2563" i="1"/>
  <c r="T2563" i="1"/>
  <c r="T2568" i="1"/>
  <c r="V2568" i="1"/>
  <c r="W2585" i="1"/>
  <c r="X2585" i="1" s="1"/>
  <c r="Y2585" i="1" s="1"/>
  <c r="Z2585" i="1" s="1"/>
  <c r="T2585" i="1"/>
  <c r="U2585" i="1"/>
  <c r="V2585" i="1"/>
  <c r="W2946" i="1"/>
  <c r="X2946" i="1" s="1"/>
  <c r="Y2946" i="1" s="1"/>
  <c r="Z2946" i="1" s="1"/>
  <c r="V2946" i="1"/>
  <c r="U2946" i="1"/>
  <c r="T2946" i="1"/>
  <c r="U2260" i="1"/>
  <c r="T2260" i="1"/>
  <c r="W2368" i="1"/>
  <c r="X2368" i="1" s="1"/>
  <c r="Y2368" i="1" s="1"/>
  <c r="Z2368" i="1" s="1"/>
  <c r="V2368" i="1"/>
  <c r="U2368" i="1"/>
  <c r="T2368" i="1"/>
  <c r="W2514" i="1"/>
  <c r="X2514" i="1" s="1"/>
  <c r="Y2514" i="1" s="1"/>
  <c r="Z2514" i="1" s="1"/>
  <c r="V2514" i="1"/>
  <c r="T2514" i="1"/>
  <c r="V2775" i="1"/>
  <c r="U2775" i="1"/>
  <c r="T2775" i="1"/>
  <c r="W2775" i="1"/>
  <c r="X2775" i="1" s="1"/>
  <c r="Y2775" i="1" s="1"/>
  <c r="Z2775" i="1" s="1"/>
  <c r="T2166" i="1"/>
  <c r="U2166" i="1"/>
  <c r="W2180" i="1"/>
  <c r="X2180" i="1" s="1"/>
  <c r="Y2180" i="1" s="1"/>
  <c r="Z2180" i="1" s="1"/>
  <c r="W2241" i="1"/>
  <c r="X2241" i="1" s="1"/>
  <c r="Y2241" i="1" s="1"/>
  <c r="Z2241" i="1" s="1"/>
  <c r="V2241" i="1"/>
  <c r="U2241" i="1"/>
  <c r="T2241" i="1"/>
  <c r="T2245" i="1"/>
  <c r="V2260" i="1"/>
  <c r="W2318" i="1"/>
  <c r="X2318" i="1" s="1"/>
  <c r="Y2318" i="1" s="1"/>
  <c r="Z2318" i="1" s="1"/>
  <c r="V2318" i="1"/>
  <c r="U2318" i="1"/>
  <c r="T2318" i="1"/>
  <c r="W2331" i="1"/>
  <c r="X2331" i="1" s="1"/>
  <c r="Y2331" i="1" s="1"/>
  <c r="Z2331" i="1" s="1"/>
  <c r="V2331" i="1"/>
  <c r="U2331" i="1"/>
  <c r="W2424" i="1"/>
  <c r="X2424" i="1" s="1"/>
  <c r="Y2424" i="1" s="1"/>
  <c r="Z2424" i="1" s="1"/>
  <c r="U2514" i="1"/>
  <c r="V2853" i="1"/>
  <c r="T2853" i="1"/>
  <c r="W2853" i="1"/>
  <c r="X2853" i="1" s="1"/>
  <c r="Y2853" i="1" s="1"/>
  <c r="Z2853" i="1" s="1"/>
  <c r="W2099" i="1"/>
  <c r="X2099" i="1" s="1"/>
  <c r="Y2099" i="1" s="1"/>
  <c r="Z2099" i="1" s="1"/>
  <c r="V2099" i="1"/>
  <c r="U2099" i="1"/>
  <c r="V2166" i="1"/>
  <c r="U2195" i="1"/>
  <c r="T2195" i="1"/>
  <c r="W2195" i="1"/>
  <c r="X2195" i="1" s="1"/>
  <c r="Y2195" i="1" s="1"/>
  <c r="Z2195" i="1" s="1"/>
  <c r="V2195" i="1"/>
  <c r="W2235" i="1"/>
  <c r="X2235" i="1" s="1"/>
  <c r="Y2235" i="1" s="1"/>
  <c r="Z2235" i="1" s="1"/>
  <c r="U2235" i="1"/>
  <c r="T2235" i="1"/>
  <c r="V2235" i="1"/>
  <c r="U2245" i="1"/>
  <c r="W2260" i="1"/>
  <c r="X2260" i="1" s="1"/>
  <c r="Y2260" i="1" s="1"/>
  <c r="Z2260" i="1" s="1"/>
  <c r="W2311" i="1"/>
  <c r="X2311" i="1" s="1"/>
  <c r="Y2311" i="1" s="1"/>
  <c r="Z2311" i="1" s="1"/>
  <c r="V2311" i="1"/>
  <c r="U2311" i="1"/>
  <c r="T2331" i="1"/>
  <c r="W2346" i="1"/>
  <c r="X2346" i="1" s="1"/>
  <c r="Y2346" i="1" s="1"/>
  <c r="Z2346" i="1" s="1"/>
  <c r="V2346" i="1"/>
  <c r="T2346" i="1"/>
  <c r="V2360" i="1"/>
  <c r="U2360" i="1"/>
  <c r="T2360" i="1"/>
  <c r="W2360" i="1"/>
  <c r="X2360" i="1" s="1"/>
  <c r="Y2360" i="1" s="1"/>
  <c r="Z2360" i="1" s="1"/>
  <c r="T2365" i="1"/>
  <c r="U2365" i="1"/>
  <c r="W2590" i="1"/>
  <c r="X2590" i="1" s="1"/>
  <c r="Y2590" i="1" s="1"/>
  <c r="Z2590" i="1" s="1"/>
  <c r="U2590" i="1"/>
  <c r="T2590" i="1"/>
  <c r="V2590" i="1"/>
  <c r="V2047" i="1"/>
  <c r="U2047" i="1"/>
  <c r="T2072" i="1"/>
  <c r="V2072" i="1"/>
  <c r="U2092" i="1"/>
  <c r="T2099" i="1"/>
  <c r="V2104" i="1"/>
  <c r="W2104" i="1"/>
  <c r="X2104" i="1" s="1"/>
  <c r="Y2104" i="1" s="1"/>
  <c r="Z2104" i="1" s="1"/>
  <c r="U2104" i="1"/>
  <c r="T2104" i="1"/>
  <c r="W2166" i="1"/>
  <c r="X2166" i="1" s="1"/>
  <c r="Y2166" i="1" s="1"/>
  <c r="Z2166" i="1" s="1"/>
  <c r="W2173" i="1"/>
  <c r="X2173" i="1" s="1"/>
  <c r="Y2173" i="1" s="1"/>
  <c r="Z2173" i="1" s="1"/>
  <c r="V2173" i="1"/>
  <c r="U2173" i="1"/>
  <c r="W2245" i="1"/>
  <c r="X2245" i="1" s="1"/>
  <c r="Y2245" i="1" s="1"/>
  <c r="Z2245" i="1" s="1"/>
  <c r="T2311" i="1"/>
  <c r="U2346" i="1"/>
  <c r="T2357" i="1"/>
  <c r="V2365" i="1"/>
  <c r="W2433" i="1"/>
  <c r="X2433" i="1" s="1"/>
  <c r="Y2433" i="1" s="1"/>
  <c r="Z2433" i="1" s="1"/>
  <c r="U2433" i="1"/>
  <c r="T2433" i="1"/>
  <c r="V2433" i="1"/>
  <c r="W2442" i="1"/>
  <c r="X2442" i="1" s="1"/>
  <c r="Y2442" i="1" s="1"/>
  <c r="Z2442" i="1" s="1"/>
  <c r="V2442" i="1"/>
  <c r="U2442" i="1"/>
  <c r="T2442" i="1"/>
  <c r="W2446" i="1"/>
  <c r="X2446" i="1" s="1"/>
  <c r="Y2446" i="1" s="1"/>
  <c r="Z2446" i="1" s="1"/>
  <c r="V2446" i="1"/>
  <c r="W1823" i="1"/>
  <c r="X1823" i="1" s="1"/>
  <c r="Y1823" i="1" s="1"/>
  <c r="Z1823" i="1" s="1"/>
  <c r="V1823" i="1"/>
  <c r="U1825" i="1"/>
  <c r="T1825" i="1"/>
  <c r="W1957" i="1"/>
  <c r="X1957" i="1" s="1"/>
  <c r="Y1957" i="1" s="1"/>
  <c r="Z1957" i="1" s="1"/>
  <c r="T1957" i="1"/>
  <c r="W1964" i="1"/>
  <c r="X1964" i="1" s="1"/>
  <c r="Y1964" i="1" s="1"/>
  <c r="Z1964" i="1" s="1"/>
  <c r="U1964" i="1"/>
  <c r="T1964" i="1"/>
  <c r="U2006" i="1"/>
  <c r="V2006" i="1"/>
  <c r="W2057" i="1"/>
  <c r="X2057" i="1" s="1"/>
  <c r="Y2057" i="1" s="1"/>
  <c r="Z2057" i="1" s="1"/>
  <c r="T2057" i="1"/>
  <c r="U2057" i="1"/>
  <c r="V2092" i="1"/>
  <c r="U2170" i="1"/>
  <c r="V2170" i="1"/>
  <c r="T2170" i="1"/>
  <c r="T2173" i="1"/>
  <c r="W2214" i="1"/>
  <c r="X2214" i="1" s="1"/>
  <c r="Y2214" i="1" s="1"/>
  <c r="Z2214" i="1" s="1"/>
  <c r="V2214" i="1"/>
  <c r="U2214" i="1"/>
  <c r="T2220" i="1"/>
  <c r="U2274" i="1"/>
  <c r="V2274" i="1"/>
  <c r="W2291" i="1"/>
  <c r="X2291" i="1" s="1"/>
  <c r="Y2291" i="1" s="1"/>
  <c r="Z2291" i="1" s="1"/>
  <c r="T2291" i="1"/>
  <c r="U2291" i="1"/>
  <c r="U2307" i="1"/>
  <c r="W2307" i="1"/>
  <c r="X2307" i="1" s="1"/>
  <c r="Y2307" i="1" s="1"/>
  <c r="Z2307" i="1" s="1"/>
  <c r="V2343" i="1"/>
  <c r="W2343" i="1"/>
  <c r="X2343" i="1" s="1"/>
  <c r="Y2343" i="1" s="1"/>
  <c r="Z2343" i="1" s="1"/>
  <c r="U2343" i="1"/>
  <c r="U2357" i="1"/>
  <c r="W2365" i="1"/>
  <c r="X2365" i="1" s="1"/>
  <c r="Y2365" i="1" s="1"/>
  <c r="Z2365" i="1" s="1"/>
  <c r="T2446" i="1"/>
  <c r="W2613" i="1"/>
  <c r="X2613" i="1" s="1"/>
  <c r="Y2613" i="1" s="1"/>
  <c r="Z2613" i="1" s="1"/>
  <c r="V2613" i="1"/>
  <c r="U2613" i="1"/>
  <c r="T2613" i="1"/>
  <c r="W2695" i="1"/>
  <c r="X2695" i="1" s="1"/>
  <c r="Y2695" i="1" s="1"/>
  <c r="Z2695" i="1" s="1"/>
  <c r="T2695" i="1"/>
  <c r="V2695" i="1"/>
  <c r="W2092" i="1"/>
  <c r="X2092" i="1" s="1"/>
  <c r="Y2092" i="1" s="1"/>
  <c r="Z2092" i="1" s="1"/>
  <c r="W2102" i="1"/>
  <c r="X2102" i="1" s="1"/>
  <c r="Y2102" i="1" s="1"/>
  <c r="Z2102" i="1" s="1"/>
  <c r="V2102" i="1"/>
  <c r="U2102" i="1"/>
  <c r="W2118" i="1"/>
  <c r="X2118" i="1" s="1"/>
  <c r="Y2118" i="1" s="1"/>
  <c r="Z2118" i="1" s="1"/>
  <c r="U2118" i="1"/>
  <c r="T2118" i="1"/>
  <c r="V2124" i="1"/>
  <c r="U2124" i="1"/>
  <c r="T2124" i="1"/>
  <c r="V2129" i="1"/>
  <c r="W2129" i="1"/>
  <c r="X2129" i="1" s="1"/>
  <c r="Y2129" i="1" s="1"/>
  <c r="Z2129" i="1" s="1"/>
  <c r="T2129" i="1"/>
  <c r="W2181" i="1"/>
  <c r="X2181" i="1" s="1"/>
  <c r="Y2181" i="1" s="1"/>
  <c r="Z2181" i="1" s="1"/>
  <c r="V2181" i="1"/>
  <c r="U2181" i="1"/>
  <c r="W2242" i="1"/>
  <c r="X2242" i="1" s="1"/>
  <c r="Y2242" i="1" s="1"/>
  <c r="Z2242" i="1" s="1"/>
  <c r="V2242" i="1"/>
  <c r="W2251" i="1"/>
  <c r="X2251" i="1" s="1"/>
  <c r="Y2251" i="1" s="1"/>
  <c r="Z2251" i="1" s="1"/>
  <c r="T2251" i="1"/>
  <c r="U2251" i="1"/>
  <c r="V2271" i="1"/>
  <c r="U2271" i="1"/>
  <c r="U2282" i="1"/>
  <c r="V2282" i="1"/>
  <c r="V2336" i="1"/>
  <c r="T2336" i="1"/>
  <c r="W2339" i="1"/>
  <c r="X2339" i="1" s="1"/>
  <c r="Y2339" i="1" s="1"/>
  <c r="Z2339" i="1" s="1"/>
  <c r="V2339" i="1"/>
  <c r="U2339" i="1"/>
  <c r="V2357" i="1"/>
  <c r="W2369" i="1"/>
  <c r="X2369" i="1" s="1"/>
  <c r="Y2369" i="1" s="1"/>
  <c r="Z2369" i="1" s="1"/>
  <c r="V2369" i="1"/>
  <c r="U2369" i="1"/>
  <c r="T2369" i="1"/>
  <c r="T2413" i="1"/>
  <c r="W2413" i="1"/>
  <c r="X2413" i="1" s="1"/>
  <c r="Y2413" i="1" s="1"/>
  <c r="Z2413" i="1" s="1"/>
  <c r="V2413" i="1"/>
  <c r="U2413" i="1"/>
  <c r="W2484" i="1"/>
  <c r="X2484" i="1" s="1"/>
  <c r="Y2484" i="1" s="1"/>
  <c r="Z2484" i="1" s="1"/>
  <c r="V2484" i="1"/>
  <c r="T2484" i="1"/>
  <c r="T2102" i="1"/>
  <c r="V2118" i="1"/>
  <c r="W2124" i="1"/>
  <c r="X2124" i="1" s="1"/>
  <c r="Y2124" i="1" s="1"/>
  <c r="Z2124" i="1" s="1"/>
  <c r="U2129" i="1"/>
  <c r="W2167" i="1"/>
  <c r="X2167" i="1" s="1"/>
  <c r="Y2167" i="1" s="1"/>
  <c r="Z2167" i="1" s="1"/>
  <c r="U2167" i="1"/>
  <c r="T2181" i="1"/>
  <c r="W2232" i="1"/>
  <c r="X2232" i="1" s="1"/>
  <c r="Y2232" i="1" s="1"/>
  <c r="Z2232" i="1" s="1"/>
  <c r="V2232" i="1"/>
  <c r="U2232" i="1"/>
  <c r="T2232" i="1"/>
  <c r="T2242" i="1"/>
  <c r="V2251" i="1"/>
  <c r="T2271" i="1"/>
  <c r="T2282" i="1"/>
  <c r="W2312" i="1"/>
  <c r="X2312" i="1" s="1"/>
  <c r="Y2312" i="1" s="1"/>
  <c r="Z2312" i="1" s="1"/>
  <c r="U2312" i="1"/>
  <c r="U2336" i="1"/>
  <c r="T2339" i="1"/>
  <c r="T2409" i="1"/>
  <c r="W2409" i="1"/>
  <c r="X2409" i="1" s="1"/>
  <c r="Y2409" i="1" s="1"/>
  <c r="Z2409" i="1" s="1"/>
  <c r="V2409" i="1"/>
  <c r="U2409" i="1"/>
  <c r="U2484" i="1"/>
  <c r="W2488" i="1"/>
  <c r="X2488" i="1" s="1"/>
  <c r="Y2488" i="1" s="1"/>
  <c r="Z2488" i="1" s="1"/>
  <c r="U2488" i="1"/>
  <c r="T2488" i="1"/>
  <c r="V2488" i="1"/>
  <c r="W2686" i="1"/>
  <c r="X2686" i="1" s="1"/>
  <c r="Y2686" i="1" s="1"/>
  <c r="Z2686" i="1" s="1"/>
  <c r="U2686" i="1"/>
  <c r="T2686" i="1"/>
  <c r="V2686" i="1"/>
  <c r="W2362" i="1"/>
  <c r="X2362" i="1" s="1"/>
  <c r="Y2362" i="1" s="1"/>
  <c r="Z2362" i="1" s="1"/>
  <c r="V2362" i="1"/>
  <c r="U2362" i="1"/>
  <c r="T2362" i="1"/>
  <c r="W2453" i="1"/>
  <c r="X2453" i="1" s="1"/>
  <c r="Y2453" i="1" s="1"/>
  <c r="Z2453" i="1" s="1"/>
  <c r="U2453" i="1"/>
  <c r="T2453" i="1"/>
  <c r="U2460" i="1"/>
  <c r="T2460" i="1"/>
  <c r="W2460" i="1"/>
  <c r="X2460" i="1" s="1"/>
  <c r="Y2460" i="1" s="1"/>
  <c r="Z2460" i="1" s="1"/>
  <c r="V2460" i="1"/>
  <c r="T2784" i="1"/>
  <c r="V2784" i="1"/>
  <c r="U2784" i="1"/>
  <c r="W2784" i="1"/>
  <c r="X2784" i="1" s="1"/>
  <c r="Y2784" i="1" s="1"/>
  <c r="Z2784" i="1" s="1"/>
  <c r="U3105" i="1"/>
  <c r="V3105" i="1"/>
  <c r="W3105" i="1"/>
  <c r="X3105" i="1" s="1"/>
  <c r="Y3105" i="1" s="1"/>
  <c r="Z3105" i="1" s="1"/>
  <c r="T3105" i="1"/>
  <c r="U2406" i="1"/>
  <c r="V2453" i="1"/>
  <c r="W2529" i="1"/>
  <c r="X2529" i="1" s="1"/>
  <c r="Y2529" i="1" s="1"/>
  <c r="Z2529" i="1" s="1"/>
  <c r="V2529" i="1"/>
  <c r="U2529" i="1"/>
  <c r="T2529" i="1"/>
  <c r="U2534" i="1"/>
  <c r="V2534" i="1"/>
  <c r="T2534" i="1"/>
  <c r="V3115" i="1"/>
  <c r="U3115" i="1"/>
  <c r="T3115" i="1"/>
  <c r="W3115" i="1"/>
  <c r="X3115" i="1" s="1"/>
  <c r="Y3115" i="1" s="1"/>
  <c r="Z3115" i="1" s="1"/>
  <c r="V2399" i="1"/>
  <c r="W2399" i="1"/>
  <c r="X2399" i="1" s="1"/>
  <c r="Y2399" i="1" s="1"/>
  <c r="Z2399" i="1" s="1"/>
  <c r="U2399" i="1"/>
  <c r="T2399" i="1"/>
  <c r="W2427" i="1"/>
  <c r="X2427" i="1" s="1"/>
  <c r="Y2427" i="1" s="1"/>
  <c r="Z2427" i="1" s="1"/>
  <c r="V2427" i="1"/>
  <c r="U2427" i="1"/>
  <c r="T2427" i="1"/>
  <c r="W2483" i="1"/>
  <c r="X2483" i="1" s="1"/>
  <c r="Y2483" i="1" s="1"/>
  <c r="Z2483" i="1" s="1"/>
  <c r="V2483" i="1"/>
  <c r="T2483" i="1"/>
  <c r="U2483" i="1"/>
  <c r="T2525" i="1"/>
  <c r="W2525" i="1"/>
  <c r="X2525" i="1" s="1"/>
  <c r="Y2525" i="1" s="1"/>
  <c r="Z2525" i="1" s="1"/>
  <c r="V2525" i="1"/>
  <c r="U2525" i="1"/>
  <c r="U2559" i="1"/>
  <c r="T2559" i="1"/>
  <c r="V2559" i="1"/>
  <c r="W2617" i="1"/>
  <c r="X2617" i="1" s="1"/>
  <c r="Y2617" i="1" s="1"/>
  <c r="Z2617" i="1" s="1"/>
  <c r="V2617" i="1"/>
  <c r="U2617" i="1"/>
  <c r="W3140" i="1"/>
  <c r="X3140" i="1" s="1"/>
  <c r="Y3140" i="1" s="1"/>
  <c r="Z3140" i="1" s="1"/>
  <c r="V3140" i="1"/>
  <c r="U3140" i="1"/>
  <c r="T3140" i="1"/>
  <c r="W2319" i="1"/>
  <c r="X2319" i="1" s="1"/>
  <c r="Y2319" i="1" s="1"/>
  <c r="Z2319" i="1" s="1"/>
  <c r="V2319" i="1"/>
  <c r="U2319" i="1"/>
  <c r="T2319" i="1"/>
  <c r="V2370" i="1"/>
  <c r="U2370" i="1"/>
  <c r="W2370" i="1"/>
  <c r="X2370" i="1" s="1"/>
  <c r="Y2370" i="1" s="1"/>
  <c r="Z2370" i="1" s="1"/>
  <c r="T2370" i="1"/>
  <c r="V2439" i="1"/>
  <c r="U2439" i="1"/>
  <c r="W2443" i="1"/>
  <c r="X2443" i="1" s="1"/>
  <c r="Y2443" i="1" s="1"/>
  <c r="Z2443" i="1" s="1"/>
  <c r="V2443" i="1"/>
  <c r="U2443" i="1"/>
  <c r="T2443" i="1"/>
  <c r="W2494" i="1"/>
  <c r="X2494" i="1" s="1"/>
  <c r="Y2494" i="1" s="1"/>
  <c r="Z2494" i="1" s="1"/>
  <c r="U2494" i="1"/>
  <c r="T2494" i="1"/>
  <c r="V2494" i="1"/>
  <c r="V2757" i="1"/>
  <c r="U2757" i="1"/>
  <c r="W2757" i="1"/>
  <c r="X2757" i="1" s="1"/>
  <c r="Y2757" i="1" s="1"/>
  <c r="Z2757" i="1" s="1"/>
  <c r="T2757" i="1"/>
  <c r="V3094" i="1"/>
  <c r="W3094" i="1"/>
  <c r="X3094" i="1" s="1"/>
  <c r="Y3094" i="1" s="1"/>
  <c r="Z3094" i="1" s="1"/>
  <c r="T3094" i="1"/>
  <c r="W2132" i="1"/>
  <c r="X2132" i="1" s="1"/>
  <c r="Y2132" i="1" s="1"/>
  <c r="Z2132" i="1" s="1"/>
  <c r="V2132" i="1"/>
  <c r="U2135" i="1"/>
  <c r="T2135" i="1"/>
  <c r="W2142" i="1"/>
  <c r="X2142" i="1" s="1"/>
  <c r="Y2142" i="1" s="1"/>
  <c r="Z2142" i="1" s="1"/>
  <c r="V2142" i="1"/>
  <c r="W2182" i="1"/>
  <c r="X2182" i="1" s="1"/>
  <c r="Y2182" i="1" s="1"/>
  <c r="Z2182" i="1" s="1"/>
  <c r="V2182" i="1"/>
  <c r="U2192" i="1"/>
  <c r="T2192" i="1"/>
  <c r="W2392" i="1"/>
  <c r="X2392" i="1" s="1"/>
  <c r="Y2392" i="1" s="1"/>
  <c r="Z2392" i="1" s="1"/>
  <c r="U2392" i="1"/>
  <c r="T2392" i="1"/>
  <c r="V2392" i="1"/>
  <c r="U2476" i="1"/>
  <c r="T2476" i="1"/>
  <c r="W2476" i="1"/>
  <c r="X2476" i="1" s="1"/>
  <c r="Y2476" i="1" s="1"/>
  <c r="Z2476" i="1" s="1"/>
  <c r="W2509" i="1"/>
  <c r="X2509" i="1" s="1"/>
  <c r="Y2509" i="1" s="1"/>
  <c r="Z2509" i="1" s="1"/>
  <c r="V2509" i="1"/>
  <c r="U2509" i="1"/>
  <c r="T2509" i="1"/>
  <c r="V2560" i="1"/>
  <c r="U2560" i="1"/>
  <c r="T2560" i="1"/>
  <c r="W2560" i="1"/>
  <c r="X2560" i="1" s="1"/>
  <c r="Y2560" i="1" s="1"/>
  <c r="Z2560" i="1" s="1"/>
  <c r="V2604" i="1"/>
  <c r="W2604" i="1"/>
  <c r="X2604" i="1" s="1"/>
  <c r="Y2604" i="1" s="1"/>
  <c r="Z2604" i="1" s="1"/>
  <c r="W2713" i="1"/>
  <c r="X2713" i="1" s="1"/>
  <c r="Y2713" i="1" s="1"/>
  <c r="Z2713" i="1" s="1"/>
  <c r="V2713" i="1"/>
  <c r="U2713" i="1"/>
  <c r="T2713" i="1"/>
  <c r="T2808" i="1"/>
  <c r="W2808" i="1"/>
  <c r="X2808" i="1" s="1"/>
  <c r="Y2808" i="1" s="1"/>
  <c r="Z2808" i="1" s="1"/>
  <c r="U2808" i="1"/>
  <c r="V2808" i="1"/>
  <c r="W2861" i="1"/>
  <c r="X2861" i="1" s="1"/>
  <c r="Y2861" i="1" s="1"/>
  <c r="Z2861" i="1" s="1"/>
  <c r="T2861" i="1"/>
  <c r="V2861" i="1"/>
  <c r="U2861" i="1"/>
  <c r="W2883" i="1"/>
  <c r="X2883" i="1" s="1"/>
  <c r="Y2883" i="1" s="1"/>
  <c r="Z2883" i="1" s="1"/>
  <c r="V2883" i="1"/>
  <c r="U2883" i="1"/>
  <c r="T2883" i="1"/>
  <c r="W3063" i="1"/>
  <c r="X3063" i="1" s="1"/>
  <c r="Y3063" i="1" s="1"/>
  <c r="Z3063" i="1" s="1"/>
  <c r="U3063" i="1"/>
  <c r="T3063" i="1"/>
  <c r="V3063" i="1"/>
  <c r="V2389" i="1"/>
  <c r="U2389" i="1"/>
  <c r="U2440" i="1"/>
  <c r="T2440" i="1"/>
  <c r="T2466" i="1"/>
  <c r="U2466" i="1"/>
  <c r="T2480" i="1"/>
  <c r="W2480" i="1"/>
  <c r="X2480" i="1" s="1"/>
  <c r="Y2480" i="1" s="1"/>
  <c r="Z2480" i="1" s="1"/>
  <c r="T2764" i="1"/>
  <c r="W2764" i="1"/>
  <c r="X2764" i="1" s="1"/>
  <c r="Y2764" i="1" s="1"/>
  <c r="Z2764" i="1" s="1"/>
  <c r="V2764" i="1"/>
  <c r="U2764" i="1"/>
  <c r="W2841" i="1"/>
  <c r="X2841" i="1" s="1"/>
  <c r="Y2841" i="1" s="1"/>
  <c r="Z2841" i="1" s="1"/>
  <c r="V2841" i="1"/>
  <c r="W2068" i="1"/>
  <c r="X2068" i="1" s="1"/>
  <c r="Y2068" i="1" s="1"/>
  <c r="Z2068" i="1" s="1"/>
  <c r="V2068" i="1"/>
  <c r="U2108" i="1"/>
  <c r="U2115" i="1"/>
  <c r="T2115" i="1"/>
  <c r="W2115" i="1"/>
  <c r="X2115" i="1" s="1"/>
  <c r="Y2115" i="1" s="1"/>
  <c r="Z2115" i="1" s="1"/>
  <c r="U2132" i="1"/>
  <c r="W2135" i="1"/>
  <c r="X2135" i="1" s="1"/>
  <c r="Y2135" i="1" s="1"/>
  <c r="Z2135" i="1" s="1"/>
  <c r="U2142" i="1"/>
  <c r="U2155" i="1"/>
  <c r="T2155" i="1"/>
  <c r="U2182" i="1"/>
  <c r="W2192" i="1"/>
  <c r="X2192" i="1" s="1"/>
  <c r="Y2192" i="1" s="1"/>
  <c r="Z2192" i="1" s="1"/>
  <c r="W2281" i="1"/>
  <c r="X2281" i="1" s="1"/>
  <c r="Y2281" i="1" s="1"/>
  <c r="Z2281" i="1" s="1"/>
  <c r="V2281" i="1"/>
  <c r="U2281" i="1"/>
  <c r="T2281" i="1"/>
  <c r="W2301" i="1"/>
  <c r="X2301" i="1" s="1"/>
  <c r="Y2301" i="1" s="1"/>
  <c r="Z2301" i="1" s="1"/>
  <c r="V2301" i="1"/>
  <c r="T2301" i="1"/>
  <c r="V2374" i="1"/>
  <c r="U2374" i="1"/>
  <c r="W2374" i="1"/>
  <c r="X2374" i="1" s="1"/>
  <c r="Y2374" i="1" s="1"/>
  <c r="Z2374" i="1" s="1"/>
  <c r="T2374" i="1"/>
  <c r="T2389" i="1"/>
  <c r="V2440" i="1"/>
  <c r="V2466" i="1"/>
  <c r="U2480" i="1"/>
  <c r="U2604" i="1"/>
  <c r="U2653" i="1"/>
  <c r="T2672" i="1"/>
  <c r="W2672" i="1"/>
  <c r="X2672" i="1" s="1"/>
  <c r="Y2672" i="1" s="1"/>
  <c r="Z2672" i="1" s="1"/>
  <c r="V2672" i="1"/>
  <c r="U2672" i="1"/>
  <c r="W2706" i="1"/>
  <c r="X2706" i="1" s="1"/>
  <c r="Y2706" i="1" s="1"/>
  <c r="Z2706" i="1" s="1"/>
  <c r="V2706" i="1"/>
  <c r="U2706" i="1"/>
  <c r="T2706" i="1"/>
  <c r="T2841" i="1"/>
  <c r="U2845" i="1"/>
  <c r="W2849" i="1"/>
  <c r="X2849" i="1" s="1"/>
  <c r="Y2849" i="1" s="1"/>
  <c r="Z2849" i="1" s="1"/>
  <c r="V2849" i="1"/>
  <c r="U2849" i="1"/>
  <c r="T2849" i="1"/>
  <c r="W2310" i="1"/>
  <c r="X2310" i="1" s="1"/>
  <c r="Y2310" i="1" s="1"/>
  <c r="Z2310" i="1" s="1"/>
  <c r="V2310" i="1"/>
  <c r="T2310" i="1"/>
  <c r="W2327" i="1"/>
  <c r="X2327" i="1" s="1"/>
  <c r="Y2327" i="1" s="1"/>
  <c r="Z2327" i="1" s="1"/>
  <c r="V2327" i="1"/>
  <c r="U2327" i="1"/>
  <c r="U2334" i="1"/>
  <c r="W2334" i="1"/>
  <c r="X2334" i="1" s="1"/>
  <c r="Y2334" i="1" s="1"/>
  <c r="Z2334" i="1" s="1"/>
  <c r="V2334" i="1"/>
  <c r="W2337" i="1"/>
  <c r="X2337" i="1" s="1"/>
  <c r="Y2337" i="1" s="1"/>
  <c r="Z2337" i="1" s="1"/>
  <c r="V2337" i="1"/>
  <c r="U2337" i="1"/>
  <c r="T2337" i="1"/>
  <c r="U2382" i="1"/>
  <c r="T2382" i="1"/>
  <c r="W2389" i="1"/>
  <c r="X2389" i="1" s="1"/>
  <c r="Y2389" i="1" s="1"/>
  <c r="Z2389" i="1" s="1"/>
  <c r="W2397" i="1"/>
  <c r="X2397" i="1" s="1"/>
  <c r="Y2397" i="1" s="1"/>
  <c r="Z2397" i="1" s="1"/>
  <c r="V2397" i="1"/>
  <c r="U2397" i="1"/>
  <c r="W2440" i="1"/>
  <c r="X2440" i="1" s="1"/>
  <c r="Y2440" i="1" s="1"/>
  <c r="Z2440" i="1" s="1"/>
  <c r="W2444" i="1"/>
  <c r="X2444" i="1" s="1"/>
  <c r="Y2444" i="1" s="1"/>
  <c r="Z2444" i="1" s="1"/>
  <c r="V2444" i="1"/>
  <c r="U2444" i="1"/>
  <c r="T2444" i="1"/>
  <c r="W2466" i="1"/>
  <c r="X2466" i="1" s="1"/>
  <c r="Y2466" i="1" s="1"/>
  <c r="Z2466" i="1" s="1"/>
  <c r="V2480" i="1"/>
  <c r="W2485" i="1"/>
  <c r="X2485" i="1" s="1"/>
  <c r="Y2485" i="1" s="1"/>
  <c r="Z2485" i="1" s="1"/>
  <c r="V2485" i="1"/>
  <c r="U2485" i="1"/>
  <c r="T2485" i="1"/>
  <c r="V2540" i="1"/>
  <c r="U2540" i="1"/>
  <c r="W2540" i="1"/>
  <c r="X2540" i="1" s="1"/>
  <c r="Y2540" i="1" s="1"/>
  <c r="Z2540" i="1" s="1"/>
  <c r="T2540" i="1"/>
  <c r="W2550" i="1"/>
  <c r="X2550" i="1" s="1"/>
  <c r="Y2550" i="1" s="1"/>
  <c r="Z2550" i="1" s="1"/>
  <c r="V2550" i="1"/>
  <c r="U2550" i="1"/>
  <c r="T2550" i="1"/>
  <c r="W2566" i="1"/>
  <c r="X2566" i="1" s="1"/>
  <c r="Y2566" i="1" s="1"/>
  <c r="Z2566" i="1" s="1"/>
  <c r="V2566" i="1"/>
  <c r="U2566" i="1"/>
  <c r="T2566" i="1"/>
  <c r="U2698" i="1"/>
  <c r="W2698" i="1"/>
  <c r="X2698" i="1" s="1"/>
  <c r="Y2698" i="1" s="1"/>
  <c r="Z2698" i="1" s="1"/>
  <c r="V2698" i="1"/>
  <c r="T2804" i="1"/>
  <c r="W2804" i="1"/>
  <c r="X2804" i="1" s="1"/>
  <c r="Y2804" i="1" s="1"/>
  <c r="Z2804" i="1" s="1"/>
  <c r="U2804" i="1"/>
  <c r="V2804" i="1"/>
  <c r="U2841" i="1"/>
  <c r="U2081" i="1"/>
  <c r="T2081" i="1"/>
  <c r="U2310" i="1"/>
  <c r="T2327" i="1"/>
  <c r="T2334" i="1"/>
  <c r="V2382" i="1"/>
  <c r="T2397" i="1"/>
  <c r="T2412" i="1"/>
  <c r="U2425" i="1"/>
  <c r="T2425" i="1"/>
  <c r="W2425" i="1"/>
  <c r="X2425" i="1" s="1"/>
  <c r="Y2425" i="1" s="1"/>
  <c r="Z2425" i="1" s="1"/>
  <c r="V2425" i="1"/>
  <c r="V2477" i="1"/>
  <c r="U2477" i="1"/>
  <c r="T2477" i="1"/>
  <c r="W2477" i="1"/>
  <c r="X2477" i="1" s="1"/>
  <c r="Y2477" i="1" s="1"/>
  <c r="Z2477" i="1" s="1"/>
  <c r="W2510" i="1"/>
  <c r="X2510" i="1" s="1"/>
  <c r="Y2510" i="1" s="1"/>
  <c r="Z2510" i="1" s="1"/>
  <c r="U2510" i="1"/>
  <c r="T2510" i="1"/>
  <c r="V2510" i="1"/>
  <c r="T2537" i="1"/>
  <c r="W2578" i="1"/>
  <c r="X2578" i="1" s="1"/>
  <c r="Y2578" i="1" s="1"/>
  <c r="Z2578" i="1" s="1"/>
  <c r="T2578" i="1"/>
  <c r="V2578" i="1"/>
  <c r="U2578" i="1"/>
  <c r="T2698" i="1"/>
  <c r="U2817" i="1"/>
  <c r="T2817" i="1"/>
  <c r="W2817" i="1"/>
  <c r="X2817" i="1" s="1"/>
  <c r="Y2817" i="1" s="1"/>
  <c r="Z2817" i="1" s="1"/>
  <c r="V2817" i="1"/>
  <c r="W2989" i="1"/>
  <c r="X2989" i="1" s="1"/>
  <c r="Y2989" i="1" s="1"/>
  <c r="Z2989" i="1" s="1"/>
  <c r="V2989" i="1"/>
  <c r="U2989" i="1"/>
  <c r="T2989" i="1"/>
  <c r="W1979" i="1"/>
  <c r="X1979" i="1" s="1"/>
  <c r="Y1979" i="1" s="1"/>
  <c r="Z1979" i="1" s="1"/>
  <c r="V1979" i="1"/>
  <c r="U1979" i="1"/>
  <c r="W2028" i="1"/>
  <c r="X2028" i="1" s="1"/>
  <c r="Y2028" i="1" s="1"/>
  <c r="Z2028" i="1" s="1"/>
  <c r="V2028" i="1"/>
  <c r="V2081" i="1"/>
  <c r="T2148" i="1"/>
  <c r="T2203" i="1"/>
  <c r="W2289" i="1"/>
  <c r="X2289" i="1" s="1"/>
  <c r="Y2289" i="1" s="1"/>
  <c r="Z2289" i="1" s="1"/>
  <c r="V2289" i="1"/>
  <c r="U2289" i="1"/>
  <c r="T2289" i="1"/>
  <c r="W2344" i="1"/>
  <c r="X2344" i="1" s="1"/>
  <c r="Y2344" i="1" s="1"/>
  <c r="Z2344" i="1" s="1"/>
  <c r="V2344" i="1"/>
  <c r="W2375" i="1"/>
  <c r="X2375" i="1" s="1"/>
  <c r="Y2375" i="1" s="1"/>
  <c r="Z2375" i="1" s="1"/>
  <c r="V2375" i="1"/>
  <c r="U2375" i="1"/>
  <c r="T2375" i="1"/>
  <c r="W2382" i="1"/>
  <c r="X2382" i="1" s="1"/>
  <c r="Y2382" i="1" s="1"/>
  <c r="Z2382" i="1" s="1"/>
  <c r="U2412" i="1"/>
  <c r="W2452" i="1"/>
  <c r="X2452" i="1" s="1"/>
  <c r="Y2452" i="1" s="1"/>
  <c r="Z2452" i="1" s="1"/>
  <c r="T2452" i="1"/>
  <c r="V2452" i="1"/>
  <c r="U2452" i="1"/>
  <c r="T2456" i="1"/>
  <c r="W2456" i="1"/>
  <c r="X2456" i="1" s="1"/>
  <c r="Y2456" i="1" s="1"/>
  <c r="Z2456" i="1" s="1"/>
  <c r="U2537" i="1"/>
  <c r="T2645" i="1"/>
  <c r="V2645" i="1"/>
  <c r="V2650" i="1"/>
  <c r="W2650" i="1"/>
  <c r="X2650" i="1" s="1"/>
  <c r="Y2650" i="1" s="1"/>
  <c r="Z2650" i="1" s="1"/>
  <c r="U2650" i="1"/>
  <c r="T2650" i="1"/>
  <c r="V2792" i="1"/>
  <c r="U2792" i="1"/>
  <c r="T2792" i="1"/>
  <c r="W2792" i="1"/>
  <c r="X2792" i="1" s="1"/>
  <c r="Y2792" i="1" s="1"/>
  <c r="Z2792" i="1" s="1"/>
  <c r="V2939" i="1"/>
  <c r="U2939" i="1"/>
  <c r="T2939" i="1"/>
  <c r="W2939" i="1"/>
  <c r="X2939" i="1" s="1"/>
  <c r="Y2939" i="1" s="1"/>
  <c r="Z2939" i="1" s="1"/>
  <c r="W2079" i="1"/>
  <c r="X2079" i="1" s="1"/>
  <c r="Y2079" i="1" s="1"/>
  <c r="Z2079" i="1" s="1"/>
  <c r="V2079" i="1"/>
  <c r="U2079" i="1"/>
  <c r="W2081" i="1"/>
  <c r="X2081" i="1" s="1"/>
  <c r="Y2081" i="1" s="1"/>
  <c r="Z2081" i="1" s="1"/>
  <c r="W2138" i="1"/>
  <c r="X2138" i="1" s="1"/>
  <c r="Y2138" i="1" s="1"/>
  <c r="Z2138" i="1" s="1"/>
  <c r="U2138" i="1"/>
  <c r="W2153" i="1"/>
  <c r="X2153" i="1" s="1"/>
  <c r="Y2153" i="1" s="1"/>
  <c r="Z2153" i="1" s="1"/>
  <c r="V2153" i="1"/>
  <c r="U2153" i="1"/>
  <c r="T2153" i="1"/>
  <c r="W2217" i="1"/>
  <c r="X2217" i="1" s="1"/>
  <c r="Y2217" i="1" s="1"/>
  <c r="Z2217" i="1" s="1"/>
  <c r="T2217" i="1"/>
  <c r="W2272" i="1"/>
  <c r="X2272" i="1" s="1"/>
  <c r="Y2272" i="1" s="1"/>
  <c r="Z2272" i="1" s="1"/>
  <c r="U2272" i="1"/>
  <c r="V2278" i="1"/>
  <c r="U2278" i="1"/>
  <c r="T2278" i="1"/>
  <c r="W2298" i="1"/>
  <c r="X2298" i="1" s="1"/>
  <c r="Y2298" i="1" s="1"/>
  <c r="Z2298" i="1" s="1"/>
  <c r="V2298" i="1"/>
  <c r="U2298" i="1"/>
  <c r="T2298" i="1"/>
  <c r="T2314" i="1"/>
  <c r="W2324" i="1"/>
  <c r="X2324" i="1" s="1"/>
  <c r="Y2324" i="1" s="1"/>
  <c r="Z2324" i="1" s="1"/>
  <c r="V2324" i="1"/>
  <c r="U2324" i="1"/>
  <c r="T2324" i="1"/>
  <c r="T2344" i="1"/>
  <c r="V2412" i="1"/>
  <c r="W2429" i="1"/>
  <c r="X2429" i="1" s="1"/>
  <c r="Y2429" i="1" s="1"/>
  <c r="Z2429" i="1" s="1"/>
  <c r="U2429" i="1"/>
  <c r="T2429" i="1"/>
  <c r="U2456" i="1"/>
  <c r="W2459" i="1"/>
  <c r="X2459" i="1" s="1"/>
  <c r="Y2459" i="1" s="1"/>
  <c r="Z2459" i="1" s="1"/>
  <c r="U2459" i="1"/>
  <c r="T2459" i="1"/>
  <c r="V2459" i="1"/>
  <c r="T2620" i="1"/>
  <c r="W2620" i="1"/>
  <c r="X2620" i="1" s="1"/>
  <c r="Y2620" i="1" s="1"/>
  <c r="Z2620" i="1" s="1"/>
  <c r="V2620" i="1"/>
  <c r="U2645" i="1"/>
  <c r="W2707" i="1"/>
  <c r="X2707" i="1" s="1"/>
  <c r="Y2707" i="1" s="1"/>
  <c r="Z2707" i="1" s="1"/>
  <c r="V2707" i="1"/>
  <c r="U2707" i="1"/>
  <c r="T2707" i="1"/>
  <c r="W2821" i="1"/>
  <c r="X2821" i="1" s="1"/>
  <c r="Y2821" i="1" s="1"/>
  <c r="Z2821" i="1" s="1"/>
  <c r="T2821" i="1"/>
  <c r="V2821" i="1"/>
  <c r="U2821" i="1"/>
  <c r="W2463" i="1"/>
  <c r="X2463" i="1" s="1"/>
  <c r="Y2463" i="1" s="1"/>
  <c r="Z2463" i="1" s="1"/>
  <c r="V2463" i="1"/>
  <c r="T2463" i="1"/>
  <c r="U2463" i="1"/>
  <c r="W2518" i="1"/>
  <c r="X2518" i="1" s="1"/>
  <c r="Y2518" i="1" s="1"/>
  <c r="Z2518" i="1" s="1"/>
  <c r="V2518" i="1"/>
  <c r="U2518" i="1"/>
  <c r="T2518" i="1"/>
  <c r="W2572" i="1"/>
  <c r="X2572" i="1" s="1"/>
  <c r="Y2572" i="1" s="1"/>
  <c r="Z2572" i="1" s="1"/>
  <c r="U2572" i="1"/>
  <c r="W2575" i="1"/>
  <c r="X2575" i="1" s="1"/>
  <c r="Y2575" i="1" s="1"/>
  <c r="Z2575" i="1" s="1"/>
  <c r="V2575" i="1"/>
  <c r="U2575" i="1"/>
  <c r="T2575" i="1"/>
  <c r="V2630" i="1"/>
  <c r="W2630" i="1"/>
  <c r="X2630" i="1" s="1"/>
  <c r="Y2630" i="1" s="1"/>
  <c r="Z2630" i="1" s="1"/>
  <c r="U2630" i="1"/>
  <c r="T2630" i="1"/>
  <c r="W2679" i="1"/>
  <c r="X2679" i="1" s="1"/>
  <c r="Y2679" i="1" s="1"/>
  <c r="Z2679" i="1" s="1"/>
  <c r="V2679" i="1"/>
  <c r="W3098" i="1"/>
  <c r="X3098" i="1" s="1"/>
  <c r="Y3098" i="1" s="1"/>
  <c r="Z3098" i="1" s="1"/>
  <c r="V3098" i="1"/>
  <c r="U3098" i="1"/>
  <c r="T3098" i="1"/>
  <c r="W2277" i="1"/>
  <c r="X2277" i="1" s="1"/>
  <c r="Y2277" i="1" s="1"/>
  <c r="Z2277" i="1" s="1"/>
  <c r="V2277" i="1"/>
  <c r="V2323" i="1"/>
  <c r="W2323" i="1"/>
  <c r="X2323" i="1" s="1"/>
  <c r="Y2323" i="1" s="1"/>
  <c r="Z2323" i="1" s="1"/>
  <c r="U2323" i="1"/>
  <c r="W2386" i="1"/>
  <c r="X2386" i="1" s="1"/>
  <c r="Y2386" i="1" s="1"/>
  <c r="Z2386" i="1" s="1"/>
  <c r="U2386" i="1"/>
  <c r="T2386" i="1"/>
  <c r="V2386" i="1"/>
  <c r="W2395" i="1"/>
  <c r="X2395" i="1" s="1"/>
  <c r="Y2395" i="1" s="1"/>
  <c r="Z2395" i="1" s="1"/>
  <c r="V2395" i="1"/>
  <c r="U2395" i="1"/>
  <c r="T2395" i="1"/>
  <c r="T2404" i="1"/>
  <c r="W2404" i="1"/>
  <c r="X2404" i="1" s="1"/>
  <c r="Y2404" i="1" s="1"/>
  <c r="Z2404" i="1" s="1"/>
  <c r="V2404" i="1"/>
  <c r="U2404" i="1"/>
  <c r="V2500" i="1"/>
  <c r="U2500" i="1"/>
  <c r="W2500" i="1"/>
  <c r="X2500" i="1" s="1"/>
  <c r="Y2500" i="1" s="1"/>
  <c r="Z2500" i="1" s="1"/>
  <c r="T2500" i="1"/>
  <c r="V2515" i="1"/>
  <c r="U2531" i="1"/>
  <c r="T2531" i="1"/>
  <c r="W2538" i="1"/>
  <c r="X2538" i="1" s="1"/>
  <c r="Y2538" i="1" s="1"/>
  <c r="Z2538" i="1" s="1"/>
  <c r="U2538" i="1"/>
  <c r="T2538" i="1"/>
  <c r="V2538" i="1"/>
  <c r="V2556" i="1"/>
  <c r="W2691" i="1"/>
  <c r="X2691" i="1" s="1"/>
  <c r="Y2691" i="1" s="1"/>
  <c r="Z2691" i="1" s="1"/>
  <c r="W2914" i="1"/>
  <c r="X2914" i="1" s="1"/>
  <c r="Y2914" i="1" s="1"/>
  <c r="Z2914" i="1" s="1"/>
  <c r="V2914" i="1"/>
  <c r="U2914" i="1"/>
  <c r="T2914" i="1"/>
  <c r="W3141" i="1"/>
  <c r="X3141" i="1" s="1"/>
  <c r="Y3141" i="1" s="1"/>
  <c r="Z3141" i="1" s="1"/>
  <c r="V3141" i="1"/>
  <c r="U3141" i="1"/>
  <c r="T3141" i="1"/>
  <c r="W2296" i="1"/>
  <c r="X2296" i="1" s="1"/>
  <c r="Y2296" i="1" s="1"/>
  <c r="Z2296" i="1" s="1"/>
  <c r="V2296" i="1"/>
  <c r="U2296" i="1"/>
  <c r="W2315" i="1"/>
  <c r="X2315" i="1" s="1"/>
  <c r="Y2315" i="1" s="1"/>
  <c r="Z2315" i="1" s="1"/>
  <c r="V2315" i="1"/>
  <c r="U2315" i="1"/>
  <c r="T2315" i="1"/>
  <c r="V2366" i="1"/>
  <c r="U2366" i="1"/>
  <c r="T2366" i="1"/>
  <c r="W2419" i="1"/>
  <c r="X2419" i="1" s="1"/>
  <c r="Y2419" i="1" s="1"/>
  <c r="Z2419" i="1" s="1"/>
  <c r="V2419" i="1"/>
  <c r="W2431" i="1"/>
  <c r="X2431" i="1" s="1"/>
  <c r="Y2431" i="1" s="1"/>
  <c r="Z2431" i="1" s="1"/>
  <c r="U2431" i="1"/>
  <c r="T2431" i="1"/>
  <c r="W2519" i="1"/>
  <c r="X2519" i="1" s="1"/>
  <c r="Y2519" i="1" s="1"/>
  <c r="Z2519" i="1" s="1"/>
  <c r="V2519" i="1"/>
  <c r="U2519" i="1"/>
  <c r="U2554" i="1"/>
  <c r="V2554" i="1"/>
  <c r="W2631" i="1"/>
  <c r="X2631" i="1" s="1"/>
  <c r="Y2631" i="1" s="1"/>
  <c r="Z2631" i="1" s="1"/>
  <c r="V2631" i="1"/>
  <c r="V2658" i="1"/>
  <c r="T2658" i="1"/>
  <c r="W2719" i="1"/>
  <c r="X2719" i="1" s="1"/>
  <c r="Y2719" i="1" s="1"/>
  <c r="Z2719" i="1" s="1"/>
  <c r="V2719" i="1"/>
  <c r="U2719" i="1"/>
  <c r="T2719" i="1"/>
  <c r="W2906" i="1"/>
  <c r="X2906" i="1" s="1"/>
  <c r="Y2906" i="1" s="1"/>
  <c r="Z2906" i="1" s="1"/>
  <c r="T2906" i="1"/>
  <c r="V2999" i="1"/>
  <c r="U2999" i="1"/>
  <c r="T2999" i="1"/>
  <c r="V2270" i="1"/>
  <c r="U2326" i="1"/>
  <c r="W2332" i="1"/>
  <c r="X2332" i="1" s="1"/>
  <c r="Y2332" i="1" s="1"/>
  <c r="Z2332" i="1" s="1"/>
  <c r="T2332" i="1"/>
  <c r="V2342" i="1"/>
  <c r="U2349" i="1"/>
  <c r="V2401" i="1"/>
  <c r="U2419" i="1"/>
  <c r="T2464" i="1"/>
  <c r="W2464" i="1"/>
  <c r="X2464" i="1" s="1"/>
  <c r="Y2464" i="1" s="1"/>
  <c r="Z2464" i="1" s="1"/>
  <c r="V2523" i="1"/>
  <c r="W2523" i="1"/>
  <c r="X2523" i="1" s="1"/>
  <c r="Y2523" i="1" s="1"/>
  <c r="Z2523" i="1" s="1"/>
  <c r="U2523" i="1"/>
  <c r="T2523" i="1"/>
  <c r="W2554" i="1"/>
  <c r="X2554" i="1" s="1"/>
  <c r="Y2554" i="1" s="1"/>
  <c r="Z2554" i="1" s="1"/>
  <c r="W2587" i="1"/>
  <c r="X2587" i="1" s="1"/>
  <c r="Y2587" i="1" s="1"/>
  <c r="Z2587" i="1" s="1"/>
  <c r="U2631" i="1"/>
  <c r="W2658" i="1"/>
  <c r="X2658" i="1" s="1"/>
  <c r="Y2658" i="1" s="1"/>
  <c r="Z2658" i="1" s="1"/>
  <c r="V2906" i="1"/>
  <c r="W2266" i="1"/>
  <c r="X2266" i="1" s="1"/>
  <c r="Y2266" i="1" s="1"/>
  <c r="Z2266" i="1" s="1"/>
  <c r="V2266" i="1"/>
  <c r="U2266" i="1"/>
  <c r="T2266" i="1"/>
  <c r="V2326" i="1"/>
  <c r="W2349" i="1"/>
  <c r="X2349" i="1" s="1"/>
  <c r="Y2349" i="1" s="1"/>
  <c r="Z2349" i="1" s="1"/>
  <c r="U2361" i="1"/>
  <c r="T2361" i="1"/>
  <c r="W2401" i="1"/>
  <c r="X2401" i="1" s="1"/>
  <c r="Y2401" i="1" s="1"/>
  <c r="Z2401" i="1" s="1"/>
  <c r="U2405" i="1"/>
  <c r="T2405" i="1"/>
  <c r="W2405" i="1"/>
  <c r="X2405" i="1" s="1"/>
  <c r="Y2405" i="1" s="1"/>
  <c r="Z2405" i="1" s="1"/>
  <c r="W2435" i="1"/>
  <c r="X2435" i="1" s="1"/>
  <c r="Y2435" i="1" s="1"/>
  <c r="Z2435" i="1" s="1"/>
  <c r="U2435" i="1"/>
  <c r="T2435" i="1"/>
  <c r="V2435" i="1"/>
  <c r="U2441" i="1"/>
  <c r="T2441" i="1"/>
  <c r="V2454" i="1"/>
  <c r="U2454" i="1"/>
  <c r="W2454" i="1"/>
  <c r="X2454" i="1" s="1"/>
  <c r="Y2454" i="1" s="1"/>
  <c r="Z2454" i="1" s="1"/>
  <c r="T2454" i="1"/>
  <c r="W2501" i="1"/>
  <c r="X2501" i="1" s="1"/>
  <c r="Y2501" i="1" s="1"/>
  <c r="Z2501" i="1" s="1"/>
  <c r="V2501" i="1"/>
  <c r="U2501" i="1"/>
  <c r="W2527" i="1"/>
  <c r="X2527" i="1" s="1"/>
  <c r="Y2527" i="1" s="1"/>
  <c r="Z2527" i="1" s="1"/>
  <c r="V2527" i="1"/>
  <c r="U2527" i="1"/>
  <c r="T2562" i="1"/>
  <c r="W2562" i="1"/>
  <c r="X2562" i="1" s="1"/>
  <c r="Y2562" i="1" s="1"/>
  <c r="Z2562" i="1" s="1"/>
  <c r="W2569" i="1"/>
  <c r="X2569" i="1" s="1"/>
  <c r="Y2569" i="1" s="1"/>
  <c r="Z2569" i="1" s="1"/>
  <c r="V2569" i="1"/>
  <c r="U2569" i="1"/>
  <c r="T2569" i="1"/>
  <c r="U2595" i="1"/>
  <c r="W2595" i="1"/>
  <c r="X2595" i="1" s="1"/>
  <c r="Y2595" i="1" s="1"/>
  <c r="Z2595" i="1" s="1"/>
  <c r="V2595" i="1"/>
  <c r="T2595" i="1"/>
  <c r="W2647" i="1"/>
  <c r="X2647" i="1" s="1"/>
  <c r="Y2647" i="1" s="1"/>
  <c r="Z2647" i="1" s="1"/>
  <c r="V2647" i="1"/>
  <c r="U2647" i="1"/>
  <c r="T2647" i="1"/>
  <c r="V2747" i="1"/>
  <c r="U2747" i="1"/>
  <c r="T2747" i="1"/>
  <c r="V2772" i="1"/>
  <c r="U2772" i="1"/>
  <c r="T2772" i="1"/>
  <c r="T2230" i="1"/>
  <c r="T2250" i="1"/>
  <c r="T2259" i="1"/>
  <c r="T2299" i="1"/>
  <c r="T2308" i="1"/>
  <c r="W2329" i="1"/>
  <c r="X2329" i="1" s="1"/>
  <c r="Y2329" i="1" s="1"/>
  <c r="Z2329" i="1" s="1"/>
  <c r="V2329" i="1"/>
  <c r="U2329" i="1"/>
  <c r="T2340" i="1"/>
  <c r="T2347" i="1"/>
  <c r="V2361" i="1"/>
  <c r="W2372" i="1"/>
  <c r="X2372" i="1" s="1"/>
  <c r="Y2372" i="1" s="1"/>
  <c r="Z2372" i="1" s="1"/>
  <c r="V2372" i="1"/>
  <c r="U2372" i="1"/>
  <c r="T2372" i="1"/>
  <c r="V2405" i="1"/>
  <c r="V2441" i="1"/>
  <c r="T2473" i="1"/>
  <c r="T2501" i="1"/>
  <c r="T2527" i="1"/>
  <c r="U2562" i="1"/>
  <c r="V2615" i="1"/>
  <c r="U2615" i="1"/>
  <c r="W2665" i="1"/>
  <c r="X2665" i="1" s="1"/>
  <c r="Y2665" i="1" s="1"/>
  <c r="Z2665" i="1" s="1"/>
  <c r="V2665" i="1"/>
  <c r="U2665" i="1"/>
  <c r="T2665" i="1"/>
  <c r="T2692" i="1"/>
  <c r="W2692" i="1"/>
  <c r="X2692" i="1" s="1"/>
  <c r="Y2692" i="1" s="1"/>
  <c r="Z2692" i="1" s="1"/>
  <c r="V2692" i="1"/>
  <c r="U2692" i="1"/>
  <c r="W2744" i="1"/>
  <c r="X2744" i="1" s="1"/>
  <c r="Y2744" i="1" s="1"/>
  <c r="Z2744" i="1" s="1"/>
  <c r="V2744" i="1"/>
  <c r="U2744" i="1"/>
  <c r="W2747" i="1"/>
  <c r="X2747" i="1" s="1"/>
  <c r="Y2747" i="1" s="1"/>
  <c r="Z2747" i="1" s="1"/>
  <c r="V2760" i="1"/>
  <c r="U2760" i="1"/>
  <c r="T2760" i="1"/>
  <c r="W2772" i="1"/>
  <c r="X2772" i="1" s="1"/>
  <c r="Y2772" i="1" s="1"/>
  <c r="Z2772" i="1" s="1"/>
  <c r="W2113" i="1"/>
  <c r="X2113" i="1" s="1"/>
  <c r="Y2113" i="1" s="1"/>
  <c r="Z2113" i="1" s="1"/>
  <c r="V2113" i="1"/>
  <c r="U2113" i="1"/>
  <c r="W2162" i="1"/>
  <c r="X2162" i="1" s="1"/>
  <c r="Y2162" i="1" s="1"/>
  <c r="Z2162" i="1" s="1"/>
  <c r="V2162" i="1"/>
  <c r="W2213" i="1"/>
  <c r="X2213" i="1" s="1"/>
  <c r="Y2213" i="1" s="1"/>
  <c r="Z2213" i="1" s="1"/>
  <c r="V2213" i="1"/>
  <c r="U2213" i="1"/>
  <c r="U2230" i="1"/>
  <c r="T2239" i="1"/>
  <c r="U2250" i="1"/>
  <c r="U2259" i="1"/>
  <c r="U2294" i="1"/>
  <c r="W2294" i="1"/>
  <c r="X2294" i="1" s="1"/>
  <c r="Y2294" i="1" s="1"/>
  <c r="Z2294" i="1" s="1"/>
  <c r="V2294" i="1"/>
  <c r="U2299" i="1"/>
  <c r="U2308" i="1"/>
  <c r="U2321" i="1"/>
  <c r="T2321" i="1"/>
  <c r="W2321" i="1"/>
  <c r="X2321" i="1" s="1"/>
  <c r="Y2321" i="1" s="1"/>
  <c r="Z2321" i="1" s="1"/>
  <c r="V2321" i="1"/>
  <c r="T2329" i="1"/>
  <c r="U2340" i="1"/>
  <c r="U2347" i="1"/>
  <c r="W2361" i="1"/>
  <c r="X2361" i="1" s="1"/>
  <c r="Y2361" i="1" s="1"/>
  <c r="Z2361" i="1" s="1"/>
  <c r="W2364" i="1"/>
  <c r="X2364" i="1" s="1"/>
  <c r="Y2364" i="1" s="1"/>
  <c r="Z2364" i="1" s="1"/>
  <c r="V2364" i="1"/>
  <c r="U2364" i="1"/>
  <c r="T2364" i="1"/>
  <c r="W2384" i="1"/>
  <c r="X2384" i="1" s="1"/>
  <c r="Y2384" i="1" s="1"/>
  <c r="Z2384" i="1" s="1"/>
  <c r="U2384" i="1"/>
  <c r="T2384" i="1"/>
  <c r="V2387" i="1"/>
  <c r="T2408" i="1"/>
  <c r="W2441" i="1"/>
  <c r="X2441" i="1" s="1"/>
  <c r="Y2441" i="1" s="1"/>
  <c r="Z2441" i="1" s="1"/>
  <c r="U2445" i="1"/>
  <c r="T2445" i="1"/>
  <c r="W2445" i="1"/>
  <c r="X2445" i="1" s="1"/>
  <c r="Y2445" i="1" s="1"/>
  <c r="Z2445" i="1" s="1"/>
  <c r="V2445" i="1"/>
  <c r="W2451" i="1"/>
  <c r="X2451" i="1" s="1"/>
  <c r="Y2451" i="1" s="1"/>
  <c r="Z2451" i="1" s="1"/>
  <c r="V2451" i="1"/>
  <c r="T2451" i="1"/>
  <c r="W2470" i="1"/>
  <c r="X2470" i="1" s="1"/>
  <c r="Y2470" i="1" s="1"/>
  <c r="Z2470" i="1" s="1"/>
  <c r="V2470" i="1"/>
  <c r="U2473" i="1"/>
  <c r="W2482" i="1"/>
  <c r="X2482" i="1" s="1"/>
  <c r="Y2482" i="1" s="1"/>
  <c r="Z2482" i="1" s="1"/>
  <c r="V2482" i="1"/>
  <c r="U2482" i="1"/>
  <c r="T2482" i="1"/>
  <c r="W2498" i="1"/>
  <c r="X2498" i="1" s="1"/>
  <c r="Y2498" i="1" s="1"/>
  <c r="Z2498" i="1" s="1"/>
  <c r="V2498" i="1"/>
  <c r="U2498" i="1"/>
  <c r="T2498" i="1"/>
  <c r="W2512" i="1"/>
  <c r="X2512" i="1" s="1"/>
  <c r="Y2512" i="1" s="1"/>
  <c r="Z2512" i="1" s="1"/>
  <c r="U2512" i="1"/>
  <c r="T2512" i="1"/>
  <c r="W2558" i="1"/>
  <c r="X2558" i="1" s="1"/>
  <c r="Y2558" i="1" s="1"/>
  <c r="Z2558" i="1" s="1"/>
  <c r="V2558" i="1"/>
  <c r="U2558" i="1"/>
  <c r="T2558" i="1"/>
  <c r="V2562" i="1"/>
  <c r="W2584" i="1"/>
  <c r="X2584" i="1" s="1"/>
  <c r="Y2584" i="1" s="1"/>
  <c r="Z2584" i="1" s="1"/>
  <c r="U2584" i="1"/>
  <c r="T2584" i="1"/>
  <c r="T2615" i="1"/>
  <c r="V2623" i="1"/>
  <c r="T2655" i="1"/>
  <c r="U2681" i="1"/>
  <c r="T2681" i="1"/>
  <c r="W2681" i="1"/>
  <c r="X2681" i="1" s="1"/>
  <c r="Y2681" i="1" s="1"/>
  <c r="Z2681" i="1" s="1"/>
  <c r="V2681" i="1"/>
  <c r="T2744" i="1"/>
  <c r="W2760" i="1"/>
  <c r="X2760" i="1" s="1"/>
  <c r="Y2760" i="1" s="1"/>
  <c r="Z2760" i="1" s="1"/>
  <c r="T2113" i="1"/>
  <c r="T2162" i="1"/>
  <c r="V2230" i="1"/>
  <c r="U2239" i="1"/>
  <c r="V2246" i="1"/>
  <c r="T2246" i="1"/>
  <c r="V2250" i="1"/>
  <c r="V2259" i="1"/>
  <c r="V2283" i="1"/>
  <c r="W2283" i="1"/>
  <c r="X2283" i="1" s="1"/>
  <c r="Y2283" i="1" s="1"/>
  <c r="Z2283" i="1" s="1"/>
  <c r="U2283" i="1"/>
  <c r="T2283" i="1"/>
  <c r="V2299" i="1"/>
  <c r="V2308" i="1"/>
  <c r="W2335" i="1"/>
  <c r="X2335" i="1" s="1"/>
  <c r="Y2335" i="1" s="1"/>
  <c r="Z2335" i="1" s="1"/>
  <c r="V2335" i="1"/>
  <c r="V2340" i="1"/>
  <c r="W2347" i="1"/>
  <c r="X2347" i="1" s="1"/>
  <c r="Y2347" i="1" s="1"/>
  <c r="Z2347" i="1" s="1"/>
  <c r="U2408" i="1"/>
  <c r="W2432" i="1"/>
  <c r="X2432" i="1" s="1"/>
  <c r="Y2432" i="1" s="1"/>
  <c r="Z2432" i="1" s="1"/>
  <c r="V2432" i="1"/>
  <c r="U2432" i="1"/>
  <c r="T2432" i="1"/>
  <c r="V2473" i="1"/>
  <c r="W2570" i="1"/>
  <c r="X2570" i="1" s="1"/>
  <c r="Y2570" i="1" s="1"/>
  <c r="Z2570" i="1" s="1"/>
  <c r="V2570" i="1"/>
  <c r="U2570" i="1"/>
  <c r="T2570" i="1"/>
  <c r="W2596" i="1"/>
  <c r="X2596" i="1" s="1"/>
  <c r="Y2596" i="1" s="1"/>
  <c r="Z2596" i="1" s="1"/>
  <c r="T2596" i="1"/>
  <c r="V2596" i="1"/>
  <c r="U2596" i="1"/>
  <c r="U2609" i="1"/>
  <c r="W2609" i="1"/>
  <c r="X2609" i="1" s="1"/>
  <c r="Y2609" i="1" s="1"/>
  <c r="Z2609" i="1" s="1"/>
  <c r="W2615" i="1"/>
  <c r="X2615" i="1" s="1"/>
  <c r="Y2615" i="1" s="1"/>
  <c r="Z2615" i="1" s="1"/>
  <c r="U2655" i="1"/>
  <c r="W2659" i="1"/>
  <c r="X2659" i="1" s="1"/>
  <c r="Y2659" i="1" s="1"/>
  <c r="Z2659" i="1" s="1"/>
  <c r="V2659" i="1"/>
  <c r="U2659" i="1"/>
  <c r="T2659" i="1"/>
  <c r="U2701" i="1"/>
  <c r="T2701" i="1"/>
  <c r="W2701" i="1"/>
  <c r="X2701" i="1" s="1"/>
  <c r="Y2701" i="1" s="1"/>
  <c r="Z2701" i="1" s="1"/>
  <c r="V2701" i="1"/>
  <c r="W2777" i="1"/>
  <c r="X2777" i="1" s="1"/>
  <c r="Y2777" i="1" s="1"/>
  <c r="Z2777" i="1" s="1"/>
  <c r="U2777" i="1"/>
  <c r="T2777" i="1"/>
  <c r="V2777" i="1"/>
  <c r="T2886" i="1"/>
  <c r="V2886" i="1"/>
  <c r="U2886" i="1"/>
  <c r="W2111" i="1"/>
  <c r="X2111" i="1" s="1"/>
  <c r="Y2111" i="1" s="1"/>
  <c r="Z2111" i="1" s="1"/>
  <c r="T2111" i="1"/>
  <c r="U2175" i="1"/>
  <c r="T2175" i="1"/>
  <c r="W2211" i="1"/>
  <c r="X2211" i="1" s="1"/>
  <c r="Y2211" i="1" s="1"/>
  <c r="Z2211" i="1" s="1"/>
  <c r="T2211" i="1"/>
  <c r="V2239" i="1"/>
  <c r="W2255" i="1"/>
  <c r="X2255" i="1" s="1"/>
  <c r="Y2255" i="1" s="1"/>
  <c r="Z2255" i="1" s="1"/>
  <c r="V2255" i="1"/>
  <c r="U2255" i="1"/>
  <c r="T2255" i="1"/>
  <c r="T2345" i="1"/>
  <c r="V2345" i="1"/>
  <c r="W2393" i="1"/>
  <c r="X2393" i="1" s="1"/>
  <c r="Y2393" i="1" s="1"/>
  <c r="Z2393" i="1" s="1"/>
  <c r="V2393" i="1"/>
  <c r="U2393" i="1"/>
  <c r="T2393" i="1"/>
  <c r="V2408" i="1"/>
  <c r="W2420" i="1"/>
  <c r="X2420" i="1" s="1"/>
  <c r="Y2420" i="1" s="1"/>
  <c r="Z2420" i="1" s="1"/>
  <c r="V2420" i="1"/>
  <c r="U2420" i="1"/>
  <c r="W2455" i="1"/>
  <c r="X2455" i="1" s="1"/>
  <c r="Y2455" i="1" s="1"/>
  <c r="Z2455" i="1" s="1"/>
  <c r="U2455" i="1"/>
  <c r="T2455" i="1"/>
  <c r="V2461" i="1"/>
  <c r="U2461" i="1"/>
  <c r="W2461" i="1"/>
  <c r="X2461" i="1" s="1"/>
  <c r="Y2461" i="1" s="1"/>
  <c r="Z2461" i="1" s="1"/>
  <c r="W2492" i="1"/>
  <c r="X2492" i="1" s="1"/>
  <c r="Y2492" i="1" s="1"/>
  <c r="Z2492" i="1" s="1"/>
  <c r="V2492" i="1"/>
  <c r="T2492" i="1"/>
  <c r="U2492" i="1"/>
  <c r="W2508" i="1"/>
  <c r="X2508" i="1" s="1"/>
  <c r="Y2508" i="1" s="1"/>
  <c r="Z2508" i="1" s="1"/>
  <c r="U2508" i="1"/>
  <c r="T2508" i="1"/>
  <c r="W2528" i="1"/>
  <c r="X2528" i="1" s="1"/>
  <c r="Y2528" i="1" s="1"/>
  <c r="Z2528" i="1" s="1"/>
  <c r="V2528" i="1"/>
  <c r="T2528" i="1"/>
  <c r="W2532" i="1"/>
  <c r="X2532" i="1" s="1"/>
  <c r="Y2532" i="1" s="1"/>
  <c r="Z2532" i="1" s="1"/>
  <c r="U2532" i="1"/>
  <c r="T2532" i="1"/>
  <c r="V2532" i="1"/>
  <c r="T2609" i="1"/>
  <c r="V2655" i="1"/>
  <c r="W2886" i="1"/>
  <c r="X2886" i="1" s="1"/>
  <c r="Y2886" i="1" s="1"/>
  <c r="Z2886" i="1" s="1"/>
  <c r="V2224" i="1"/>
  <c r="U2224" i="1"/>
  <c r="T2224" i="1"/>
  <c r="W2264" i="1"/>
  <c r="X2264" i="1" s="1"/>
  <c r="Y2264" i="1" s="1"/>
  <c r="Z2264" i="1" s="1"/>
  <c r="V2264" i="1"/>
  <c r="U2264" i="1"/>
  <c r="T2264" i="1"/>
  <c r="W2292" i="1"/>
  <c r="X2292" i="1" s="1"/>
  <c r="Y2292" i="1" s="1"/>
  <c r="Z2292" i="1" s="1"/>
  <c r="V2292" i="1"/>
  <c r="V2350" i="1"/>
  <c r="U2350" i="1"/>
  <c r="V2378" i="1"/>
  <c r="U2378" i="1"/>
  <c r="U2390" i="1"/>
  <c r="T2390" i="1"/>
  <c r="W2390" i="1"/>
  <c r="X2390" i="1" s="1"/>
  <c r="Y2390" i="1" s="1"/>
  <c r="Z2390" i="1" s="1"/>
  <c r="V2390" i="1"/>
  <c r="T2502" i="1"/>
  <c r="W2502" i="1"/>
  <c r="X2502" i="1" s="1"/>
  <c r="Y2502" i="1" s="1"/>
  <c r="Z2502" i="1" s="1"/>
  <c r="W2546" i="1"/>
  <c r="X2546" i="1" s="1"/>
  <c r="Y2546" i="1" s="1"/>
  <c r="Z2546" i="1" s="1"/>
  <c r="V2546" i="1"/>
  <c r="W2549" i="1"/>
  <c r="X2549" i="1" s="1"/>
  <c r="Y2549" i="1" s="1"/>
  <c r="Z2549" i="1" s="1"/>
  <c r="V2549" i="1"/>
  <c r="U2549" i="1"/>
  <c r="T2549" i="1"/>
  <c r="W2592" i="1"/>
  <c r="X2592" i="1" s="1"/>
  <c r="Y2592" i="1" s="1"/>
  <c r="Z2592" i="1" s="1"/>
  <c r="V2592" i="1"/>
  <c r="U2592" i="1"/>
  <c r="T2592" i="1"/>
  <c r="T2600" i="1"/>
  <c r="U2600" i="1"/>
  <c r="W2600" i="1"/>
  <c r="X2600" i="1" s="1"/>
  <c r="Y2600" i="1" s="1"/>
  <c r="Z2600" i="1" s="1"/>
  <c r="V2600" i="1"/>
  <c r="W2673" i="1"/>
  <c r="X2673" i="1" s="1"/>
  <c r="Y2673" i="1" s="1"/>
  <c r="Z2673" i="1" s="1"/>
  <c r="V2673" i="1"/>
  <c r="U2673" i="1"/>
  <c r="T2673" i="1"/>
  <c r="W2741" i="1"/>
  <c r="X2741" i="1" s="1"/>
  <c r="Y2741" i="1" s="1"/>
  <c r="Z2741" i="1" s="1"/>
  <c r="U2741" i="1"/>
  <c r="T2741" i="1"/>
  <c r="V2741" i="1"/>
  <c r="W2765" i="1"/>
  <c r="X2765" i="1" s="1"/>
  <c r="Y2765" i="1" s="1"/>
  <c r="Z2765" i="1" s="1"/>
  <c r="V2765" i="1"/>
  <c r="U2765" i="1"/>
  <c r="T2765" i="1"/>
  <c r="W2388" i="1"/>
  <c r="X2388" i="1" s="1"/>
  <c r="Y2388" i="1" s="1"/>
  <c r="Z2388" i="1" s="1"/>
  <c r="V2388" i="1"/>
  <c r="T2388" i="1"/>
  <c r="U2557" i="1"/>
  <c r="T2557" i="1"/>
  <c r="W2557" i="1"/>
  <c r="X2557" i="1" s="1"/>
  <c r="Y2557" i="1" s="1"/>
  <c r="Z2557" i="1" s="1"/>
  <c r="V2557" i="1"/>
  <c r="W2628" i="1"/>
  <c r="X2628" i="1" s="1"/>
  <c r="Y2628" i="1" s="1"/>
  <c r="Z2628" i="1" s="1"/>
  <c r="V2628" i="1"/>
  <c r="U2628" i="1"/>
  <c r="T2628" i="1"/>
  <c r="W2646" i="1"/>
  <c r="X2646" i="1" s="1"/>
  <c r="Y2646" i="1" s="1"/>
  <c r="Z2646" i="1" s="1"/>
  <c r="V2646" i="1"/>
  <c r="U2646" i="1"/>
  <c r="T2646" i="1"/>
  <c r="W2656" i="1"/>
  <c r="X2656" i="1" s="1"/>
  <c r="Y2656" i="1" s="1"/>
  <c r="Z2656" i="1" s="1"/>
  <c r="V2656" i="1"/>
  <c r="U2656" i="1"/>
  <c r="T2656" i="1"/>
  <c r="W2437" i="1"/>
  <c r="X2437" i="1" s="1"/>
  <c r="Y2437" i="1" s="1"/>
  <c r="Z2437" i="1" s="1"/>
  <c r="U2437" i="1"/>
  <c r="T2437" i="1"/>
  <c r="V2449" i="1"/>
  <c r="U2449" i="1"/>
  <c r="U2753" i="1"/>
  <c r="W2753" i="1"/>
  <c r="X2753" i="1" s="1"/>
  <c r="Y2753" i="1" s="1"/>
  <c r="Z2753" i="1" s="1"/>
  <c r="V2753" i="1"/>
  <c r="V2437" i="1"/>
  <c r="T2449" i="1"/>
  <c r="T2462" i="1"/>
  <c r="T2469" i="1"/>
  <c r="U2487" i="1"/>
  <c r="T2487" i="1"/>
  <c r="V2487" i="1"/>
  <c r="T2564" i="1"/>
  <c r="T2642" i="1"/>
  <c r="W2642" i="1"/>
  <c r="X2642" i="1" s="1"/>
  <c r="Y2642" i="1" s="1"/>
  <c r="Z2642" i="1" s="1"/>
  <c r="V2642" i="1"/>
  <c r="T2682" i="1"/>
  <c r="W2682" i="1"/>
  <c r="X2682" i="1" s="1"/>
  <c r="Y2682" i="1" s="1"/>
  <c r="Z2682" i="1" s="1"/>
  <c r="W2761" i="1"/>
  <c r="X2761" i="1" s="1"/>
  <c r="Y2761" i="1" s="1"/>
  <c r="Z2761" i="1" s="1"/>
  <c r="V2761" i="1"/>
  <c r="U2761" i="1"/>
  <c r="T2761" i="1"/>
  <c r="W2931" i="1"/>
  <c r="X2931" i="1" s="1"/>
  <c r="Y2931" i="1" s="1"/>
  <c r="Z2931" i="1" s="1"/>
  <c r="V2931" i="1"/>
  <c r="T2931" i="1"/>
  <c r="U2931" i="1"/>
  <c r="V2990" i="1"/>
  <c r="W2990" i="1"/>
  <c r="X2990" i="1" s="1"/>
  <c r="Y2990" i="1" s="1"/>
  <c r="Z2990" i="1" s="1"/>
  <c r="T2990" i="1"/>
  <c r="U2990" i="1"/>
  <c r="V3074" i="1"/>
  <c r="W3074" i="1"/>
  <c r="X3074" i="1" s="1"/>
  <c r="Y3074" i="1" s="1"/>
  <c r="Z3074" i="1" s="1"/>
  <c r="U3074" i="1"/>
  <c r="T3074" i="1"/>
  <c r="T2381" i="1"/>
  <c r="U2402" i="1"/>
  <c r="V2411" i="1"/>
  <c r="U2416" i="1"/>
  <c r="V2418" i="1"/>
  <c r="W2449" i="1"/>
  <c r="X2449" i="1" s="1"/>
  <c r="Y2449" i="1" s="1"/>
  <c r="Z2449" i="1" s="1"/>
  <c r="U2462" i="1"/>
  <c r="U2469" i="1"/>
  <c r="W2487" i="1"/>
  <c r="X2487" i="1" s="1"/>
  <c r="Y2487" i="1" s="1"/>
  <c r="Z2487" i="1" s="1"/>
  <c r="V2495" i="1"/>
  <c r="W2503" i="1"/>
  <c r="X2503" i="1" s="1"/>
  <c r="Y2503" i="1" s="1"/>
  <c r="Z2503" i="1" s="1"/>
  <c r="T2544" i="1"/>
  <c r="V2552" i="1"/>
  <c r="U2564" i="1"/>
  <c r="W2602" i="1"/>
  <c r="X2602" i="1" s="1"/>
  <c r="Y2602" i="1" s="1"/>
  <c r="Z2602" i="1" s="1"/>
  <c r="T2602" i="1"/>
  <c r="V2602" i="1"/>
  <c r="U2602" i="1"/>
  <c r="U2639" i="1"/>
  <c r="U2642" i="1"/>
  <c r="V2667" i="1"/>
  <c r="U2682" i="1"/>
  <c r="U2700" i="1"/>
  <c r="W2700" i="1"/>
  <c r="X2700" i="1" s="1"/>
  <c r="Y2700" i="1" s="1"/>
  <c r="Z2700" i="1" s="1"/>
  <c r="V2700" i="1"/>
  <c r="T2700" i="1"/>
  <c r="W2917" i="1"/>
  <c r="X2917" i="1" s="1"/>
  <c r="Y2917" i="1" s="1"/>
  <c r="Z2917" i="1" s="1"/>
  <c r="V2924" i="1"/>
  <c r="U2924" i="1"/>
  <c r="T2924" i="1"/>
  <c r="U2381" i="1"/>
  <c r="V2402" i="1"/>
  <c r="W2411" i="1"/>
  <c r="X2411" i="1" s="1"/>
  <c r="Y2411" i="1" s="1"/>
  <c r="Z2411" i="1" s="1"/>
  <c r="V2416" i="1"/>
  <c r="V2462" i="1"/>
  <c r="W2469" i="1"/>
  <c r="X2469" i="1" s="1"/>
  <c r="Y2469" i="1" s="1"/>
  <c r="Z2469" i="1" s="1"/>
  <c r="W2516" i="1"/>
  <c r="X2516" i="1" s="1"/>
  <c r="Y2516" i="1" s="1"/>
  <c r="Z2516" i="1" s="1"/>
  <c r="V2516" i="1"/>
  <c r="U2516" i="1"/>
  <c r="T2516" i="1"/>
  <c r="T2539" i="1"/>
  <c r="U2544" i="1"/>
  <c r="V2561" i="1"/>
  <c r="U2561" i="1"/>
  <c r="T2561" i="1"/>
  <c r="V2564" i="1"/>
  <c r="U2629" i="1"/>
  <c r="W2629" i="1"/>
  <c r="X2629" i="1" s="1"/>
  <c r="Y2629" i="1" s="1"/>
  <c r="Z2629" i="1" s="1"/>
  <c r="V2629" i="1"/>
  <c r="T2629" i="1"/>
  <c r="T2633" i="1"/>
  <c r="V2639" i="1"/>
  <c r="V2682" i="1"/>
  <c r="U2723" i="1"/>
  <c r="V2723" i="1"/>
  <c r="W2791" i="1"/>
  <c r="X2791" i="1" s="1"/>
  <c r="Y2791" i="1" s="1"/>
  <c r="Z2791" i="1" s="1"/>
  <c r="V2791" i="1"/>
  <c r="U2791" i="1"/>
  <c r="T2791" i="1"/>
  <c r="V2901" i="1"/>
  <c r="U2901" i="1"/>
  <c r="W2924" i="1"/>
  <c r="X2924" i="1" s="1"/>
  <c r="Y2924" i="1" s="1"/>
  <c r="Z2924" i="1" s="1"/>
  <c r="W2995" i="1"/>
  <c r="X2995" i="1" s="1"/>
  <c r="Y2995" i="1" s="1"/>
  <c r="Z2995" i="1" s="1"/>
  <c r="V2995" i="1"/>
  <c r="U2995" i="1"/>
  <c r="T2995" i="1"/>
  <c r="V2381" i="1"/>
  <c r="W2402" i="1"/>
  <c r="X2402" i="1" s="1"/>
  <c r="Y2402" i="1" s="1"/>
  <c r="Z2402" i="1" s="1"/>
  <c r="W2416" i="1"/>
  <c r="X2416" i="1" s="1"/>
  <c r="Y2416" i="1" s="1"/>
  <c r="Z2416" i="1" s="1"/>
  <c r="U2490" i="1"/>
  <c r="T2490" i="1"/>
  <c r="V2520" i="1"/>
  <c r="U2520" i="1"/>
  <c r="W2520" i="1"/>
  <c r="X2520" i="1" s="1"/>
  <c r="Y2520" i="1" s="1"/>
  <c r="Z2520" i="1" s="1"/>
  <c r="T2520" i="1"/>
  <c r="V2544" i="1"/>
  <c r="W2561" i="1"/>
  <c r="X2561" i="1" s="1"/>
  <c r="Y2561" i="1" s="1"/>
  <c r="Z2561" i="1" s="1"/>
  <c r="T2723" i="1"/>
  <c r="W2739" i="1"/>
  <c r="X2739" i="1" s="1"/>
  <c r="Y2739" i="1" s="1"/>
  <c r="Z2739" i="1" s="1"/>
  <c r="V2739" i="1"/>
  <c r="U2803" i="1"/>
  <c r="T2803" i="1"/>
  <c r="W2838" i="1"/>
  <c r="X2838" i="1" s="1"/>
  <c r="Y2838" i="1" s="1"/>
  <c r="Z2838" i="1" s="1"/>
  <c r="V2838" i="1"/>
  <c r="U2838" i="1"/>
  <c r="T2838" i="1"/>
  <c r="T2901" i="1"/>
  <c r="W2352" i="1"/>
  <c r="X2352" i="1" s="1"/>
  <c r="Y2352" i="1" s="1"/>
  <c r="Z2352" i="1" s="1"/>
  <c r="T2352" i="1"/>
  <c r="V2414" i="1"/>
  <c r="U2414" i="1"/>
  <c r="W2423" i="1"/>
  <c r="X2423" i="1" s="1"/>
  <c r="Y2423" i="1" s="1"/>
  <c r="Z2423" i="1" s="1"/>
  <c r="V2423" i="1"/>
  <c r="U2423" i="1"/>
  <c r="W2472" i="1"/>
  <c r="X2472" i="1" s="1"/>
  <c r="Y2472" i="1" s="1"/>
  <c r="Z2472" i="1" s="1"/>
  <c r="U2472" i="1"/>
  <c r="T2472" i="1"/>
  <c r="V2472" i="1"/>
  <c r="V2583" i="1"/>
  <c r="W2583" i="1"/>
  <c r="X2583" i="1" s="1"/>
  <c r="Y2583" i="1" s="1"/>
  <c r="Z2583" i="1" s="1"/>
  <c r="U2583" i="1"/>
  <c r="T2583" i="1"/>
  <c r="W2625" i="1"/>
  <c r="X2625" i="1" s="1"/>
  <c r="Y2625" i="1" s="1"/>
  <c r="Z2625" i="1" s="1"/>
  <c r="V2625" i="1"/>
  <c r="U2625" i="1"/>
  <c r="T2625" i="1"/>
  <c r="W2643" i="1"/>
  <c r="X2643" i="1" s="1"/>
  <c r="Y2643" i="1" s="1"/>
  <c r="Z2643" i="1" s="1"/>
  <c r="V2643" i="1"/>
  <c r="U2643" i="1"/>
  <c r="T2643" i="1"/>
  <c r="W2675" i="1"/>
  <c r="X2675" i="1" s="1"/>
  <c r="Y2675" i="1" s="1"/>
  <c r="Z2675" i="1" s="1"/>
  <c r="V2675" i="1"/>
  <c r="U2675" i="1"/>
  <c r="T2675" i="1"/>
  <c r="W2693" i="1"/>
  <c r="X2693" i="1" s="1"/>
  <c r="Y2693" i="1" s="1"/>
  <c r="Z2693" i="1" s="1"/>
  <c r="V2693" i="1"/>
  <c r="U2693" i="1"/>
  <c r="T2693" i="1"/>
  <c r="W2750" i="1"/>
  <c r="X2750" i="1" s="1"/>
  <c r="Y2750" i="1" s="1"/>
  <c r="Z2750" i="1" s="1"/>
  <c r="V2750" i="1"/>
  <c r="U2750" i="1"/>
  <c r="W2779" i="1"/>
  <c r="X2779" i="1" s="1"/>
  <c r="Y2779" i="1" s="1"/>
  <c r="Z2779" i="1" s="1"/>
  <c r="V2779" i="1"/>
  <c r="U2779" i="1"/>
  <c r="T2779" i="1"/>
  <c r="W2799" i="1"/>
  <c r="X2799" i="1" s="1"/>
  <c r="Y2799" i="1" s="1"/>
  <c r="Z2799" i="1" s="1"/>
  <c r="V2799" i="1"/>
  <c r="U2799" i="1"/>
  <c r="T2799" i="1"/>
  <c r="W2807" i="1"/>
  <c r="X2807" i="1" s="1"/>
  <c r="Y2807" i="1" s="1"/>
  <c r="Z2807" i="1" s="1"/>
  <c r="V2807" i="1"/>
  <c r="T2807" i="1"/>
  <c r="V2823" i="1"/>
  <c r="W2823" i="1"/>
  <c r="X2823" i="1" s="1"/>
  <c r="Y2823" i="1" s="1"/>
  <c r="Z2823" i="1" s="1"/>
  <c r="W2872" i="1"/>
  <c r="X2872" i="1" s="1"/>
  <c r="Y2872" i="1" s="1"/>
  <c r="Z2872" i="1" s="1"/>
  <c r="T2872" i="1"/>
  <c r="V2872" i="1"/>
  <c r="U2872" i="1"/>
  <c r="W2932" i="1"/>
  <c r="X2932" i="1" s="1"/>
  <c r="Y2932" i="1" s="1"/>
  <c r="Z2932" i="1" s="1"/>
  <c r="T2932" i="1"/>
  <c r="V2932" i="1"/>
  <c r="U2932" i="1"/>
  <c r="U2352" i="1"/>
  <c r="T2354" i="1"/>
  <c r="T2414" i="1"/>
  <c r="T2423" i="1"/>
  <c r="U2465" i="1"/>
  <c r="T2465" i="1"/>
  <c r="W2465" i="1"/>
  <c r="X2465" i="1" s="1"/>
  <c r="Y2465" i="1" s="1"/>
  <c r="Z2465" i="1" s="1"/>
  <c r="V2504" i="1"/>
  <c r="U2504" i="1"/>
  <c r="W2517" i="1"/>
  <c r="X2517" i="1" s="1"/>
  <c r="Y2517" i="1" s="1"/>
  <c r="Z2517" i="1" s="1"/>
  <c r="V2517" i="1"/>
  <c r="U2517" i="1"/>
  <c r="T2517" i="1"/>
  <c r="W2526" i="1"/>
  <c r="X2526" i="1" s="1"/>
  <c r="Y2526" i="1" s="1"/>
  <c r="Z2526" i="1" s="1"/>
  <c r="V2526" i="1"/>
  <c r="T2526" i="1"/>
  <c r="W2533" i="1"/>
  <c r="X2533" i="1" s="1"/>
  <c r="Y2533" i="1" s="1"/>
  <c r="Z2533" i="1" s="1"/>
  <c r="V2533" i="1"/>
  <c r="U2533" i="1"/>
  <c r="U2542" i="1"/>
  <c r="T2712" i="1"/>
  <c r="W2712" i="1"/>
  <c r="X2712" i="1" s="1"/>
  <c r="Y2712" i="1" s="1"/>
  <c r="Z2712" i="1" s="1"/>
  <c r="T2750" i="1"/>
  <c r="U2807" i="1"/>
  <c r="U2811" i="1"/>
  <c r="T2811" i="1"/>
  <c r="T2823" i="1"/>
  <c r="V2880" i="1"/>
  <c r="T2880" i="1"/>
  <c r="W2880" i="1"/>
  <c r="X2880" i="1" s="1"/>
  <c r="Y2880" i="1" s="1"/>
  <c r="Z2880" i="1" s="1"/>
  <c r="U2880" i="1"/>
  <c r="V2610" i="1"/>
  <c r="U2610" i="1"/>
  <c r="U2621" i="1"/>
  <c r="W2621" i="1"/>
  <c r="X2621" i="1" s="1"/>
  <c r="Y2621" i="1" s="1"/>
  <c r="Z2621" i="1" s="1"/>
  <c r="V2621" i="1"/>
  <c r="T2621" i="1"/>
  <c r="W2731" i="1"/>
  <c r="X2731" i="1" s="1"/>
  <c r="Y2731" i="1" s="1"/>
  <c r="Z2731" i="1" s="1"/>
  <c r="V2731" i="1"/>
  <c r="U2731" i="1"/>
  <c r="T2731" i="1"/>
  <c r="W2781" i="1"/>
  <c r="X2781" i="1" s="1"/>
  <c r="Y2781" i="1" s="1"/>
  <c r="Z2781" i="1" s="1"/>
  <c r="V2781" i="1"/>
  <c r="U2781" i="1"/>
  <c r="T2781" i="1"/>
  <c r="W2890" i="1"/>
  <c r="X2890" i="1" s="1"/>
  <c r="Y2890" i="1" s="1"/>
  <c r="Z2890" i="1" s="1"/>
  <c r="V2890" i="1"/>
  <c r="W2599" i="1"/>
  <c r="X2599" i="1" s="1"/>
  <c r="Y2599" i="1" s="1"/>
  <c r="Z2599" i="1" s="1"/>
  <c r="T2599" i="1"/>
  <c r="V2618" i="1"/>
  <c r="W2618" i="1"/>
  <c r="X2618" i="1" s="1"/>
  <c r="Y2618" i="1" s="1"/>
  <c r="Z2618" i="1" s="1"/>
  <c r="W2644" i="1"/>
  <c r="X2644" i="1" s="1"/>
  <c r="Y2644" i="1" s="1"/>
  <c r="Z2644" i="1" s="1"/>
  <c r="V2644" i="1"/>
  <c r="U2644" i="1"/>
  <c r="V2660" i="1"/>
  <c r="T2660" i="1"/>
  <c r="W2660" i="1"/>
  <c r="X2660" i="1" s="1"/>
  <c r="Y2660" i="1" s="1"/>
  <c r="Z2660" i="1" s="1"/>
  <c r="W2689" i="1"/>
  <c r="X2689" i="1" s="1"/>
  <c r="Y2689" i="1" s="1"/>
  <c r="Z2689" i="1" s="1"/>
  <c r="U2689" i="1"/>
  <c r="V2689" i="1"/>
  <c r="W2827" i="1"/>
  <c r="X2827" i="1" s="1"/>
  <c r="Y2827" i="1" s="1"/>
  <c r="Z2827" i="1" s="1"/>
  <c r="V2827" i="1"/>
  <c r="T2827" i="1"/>
  <c r="U2827" i="1"/>
  <c r="W2979" i="1"/>
  <c r="X2979" i="1" s="1"/>
  <c r="Y2979" i="1" s="1"/>
  <c r="Z2979" i="1" s="1"/>
  <c r="V2979" i="1"/>
  <c r="U2979" i="1"/>
  <c r="W3047" i="1"/>
  <c r="X3047" i="1" s="1"/>
  <c r="Y3047" i="1" s="1"/>
  <c r="Z3047" i="1" s="1"/>
  <c r="V3047" i="1"/>
  <c r="U3047" i="1"/>
  <c r="T3047" i="1"/>
  <c r="W3060" i="1"/>
  <c r="X3060" i="1" s="1"/>
  <c r="Y3060" i="1" s="1"/>
  <c r="Z3060" i="1" s="1"/>
  <c r="V3060" i="1"/>
  <c r="U3060" i="1"/>
  <c r="T3060" i="1"/>
  <c r="W2637" i="1"/>
  <c r="X2637" i="1" s="1"/>
  <c r="Y2637" i="1" s="1"/>
  <c r="Z2637" i="1" s="1"/>
  <c r="V2637" i="1"/>
  <c r="U2637" i="1"/>
  <c r="T2637" i="1"/>
  <c r="T2824" i="1"/>
  <c r="W2824" i="1"/>
  <c r="X2824" i="1" s="1"/>
  <c r="Y2824" i="1" s="1"/>
  <c r="Z2824" i="1" s="1"/>
  <c r="W2842" i="1"/>
  <c r="X2842" i="1" s="1"/>
  <c r="Y2842" i="1" s="1"/>
  <c r="Z2842" i="1" s="1"/>
  <c r="V2842" i="1"/>
  <c r="T2842" i="1"/>
  <c r="U2842" i="1"/>
  <c r="W2530" i="1"/>
  <c r="X2530" i="1" s="1"/>
  <c r="Y2530" i="1" s="1"/>
  <c r="Z2530" i="1" s="1"/>
  <c r="V2530" i="1"/>
  <c r="T2530" i="1"/>
  <c r="V2588" i="1"/>
  <c r="U2591" i="1"/>
  <c r="T2591" i="1"/>
  <c r="W2591" i="1"/>
  <c r="X2591" i="1" s="1"/>
  <c r="Y2591" i="1" s="1"/>
  <c r="Z2591" i="1" s="1"/>
  <c r="V2591" i="1"/>
  <c r="V2657" i="1"/>
  <c r="U2657" i="1"/>
  <c r="T2657" i="1"/>
  <c r="V2668" i="1"/>
  <c r="W2668" i="1"/>
  <c r="X2668" i="1" s="1"/>
  <c r="Y2668" i="1" s="1"/>
  <c r="Z2668" i="1" s="1"/>
  <c r="W2728" i="1"/>
  <c r="X2728" i="1" s="1"/>
  <c r="Y2728" i="1" s="1"/>
  <c r="Z2728" i="1" s="1"/>
  <c r="V2728" i="1"/>
  <c r="T2728" i="1"/>
  <c r="V2732" i="1"/>
  <c r="T2732" i="1"/>
  <c r="W2732" i="1"/>
  <c r="X2732" i="1" s="1"/>
  <c r="Y2732" i="1" s="1"/>
  <c r="Z2732" i="1" s="1"/>
  <c r="T2735" i="1"/>
  <c r="V2738" i="1"/>
  <c r="U2738" i="1"/>
  <c r="W2738" i="1"/>
  <c r="X2738" i="1" s="1"/>
  <c r="Y2738" i="1" s="1"/>
  <c r="Z2738" i="1" s="1"/>
  <c r="T2738" i="1"/>
  <c r="W2770" i="1"/>
  <c r="X2770" i="1" s="1"/>
  <c r="Y2770" i="1" s="1"/>
  <c r="Z2770" i="1" s="1"/>
  <c r="V2770" i="1"/>
  <c r="U2770" i="1"/>
  <c r="T2770" i="1"/>
  <c r="W2778" i="1"/>
  <c r="X2778" i="1" s="1"/>
  <c r="Y2778" i="1" s="1"/>
  <c r="Z2778" i="1" s="1"/>
  <c r="U2778" i="1"/>
  <c r="U2824" i="1"/>
  <c r="U2832" i="1"/>
  <c r="W2832" i="1"/>
  <c r="X2832" i="1" s="1"/>
  <c r="Y2832" i="1" s="1"/>
  <c r="Z2832" i="1" s="1"/>
  <c r="V2832" i="1"/>
  <c r="W2983" i="1"/>
  <c r="X2983" i="1" s="1"/>
  <c r="Y2983" i="1" s="1"/>
  <c r="Z2983" i="1" s="1"/>
  <c r="V2983" i="1"/>
  <c r="U2983" i="1"/>
  <c r="T2983" i="1"/>
  <c r="U3010" i="1"/>
  <c r="W3010" i="1"/>
  <c r="X3010" i="1" s="1"/>
  <c r="Y3010" i="1" s="1"/>
  <c r="Z3010" i="1" s="1"/>
  <c r="V3010" i="1"/>
  <c r="T3010" i="1"/>
  <c r="W3069" i="1"/>
  <c r="X3069" i="1" s="1"/>
  <c r="Y3069" i="1" s="1"/>
  <c r="Z3069" i="1" s="1"/>
  <c r="V3069" i="1"/>
  <c r="U3069" i="1"/>
  <c r="T3069" i="1"/>
  <c r="T2447" i="1"/>
  <c r="U2530" i="1"/>
  <c r="V2580" i="1"/>
  <c r="U2580" i="1"/>
  <c r="W2580" i="1"/>
  <c r="X2580" i="1" s="1"/>
  <c r="Y2580" i="1" s="1"/>
  <c r="Z2580" i="1" s="1"/>
  <c r="T2580" i="1"/>
  <c r="T2594" i="1"/>
  <c r="W2657" i="1"/>
  <c r="X2657" i="1" s="1"/>
  <c r="Y2657" i="1" s="1"/>
  <c r="Z2657" i="1" s="1"/>
  <c r="T2668" i="1"/>
  <c r="T2697" i="1"/>
  <c r="W2704" i="1"/>
  <c r="X2704" i="1" s="1"/>
  <c r="Y2704" i="1" s="1"/>
  <c r="Z2704" i="1" s="1"/>
  <c r="V2704" i="1"/>
  <c r="T2725" i="1"/>
  <c r="U2728" i="1"/>
  <c r="U2732" i="1"/>
  <c r="U2735" i="1"/>
  <c r="T2778" i="1"/>
  <c r="W2820" i="1"/>
  <c r="X2820" i="1" s="1"/>
  <c r="Y2820" i="1" s="1"/>
  <c r="Z2820" i="1" s="1"/>
  <c r="U2820" i="1"/>
  <c r="T2820" i="1"/>
  <c r="V2824" i="1"/>
  <c r="T2832" i="1"/>
  <c r="V2952" i="1"/>
  <c r="U2952" i="1"/>
  <c r="T2952" i="1"/>
  <c r="W2952" i="1"/>
  <c r="X2952" i="1" s="1"/>
  <c r="Y2952" i="1" s="1"/>
  <c r="Z2952" i="1" s="1"/>
  <c r="W2976" i="1"/>
  <c r="X2976" i="1" s="1"/>
  <c r="Y2976" i="1" s="1"/>
  <c r="Z2976" i="1" s="1"/>
  <c r="T2976" i="1"/>
  <c r="V2976" i="1"/>
  <c r="W2506" i="1"/>
  <c r="X2506" i="1" s="1"/>
  <c r="Y2506" i="1" s="1"/>
  <c r="Z2506" i="1" s="1"/>
  <c r="U2506" i="1"/>
  <c r="T2506" i="1"/>
  <c r="W2586" i="1"/>
  <c r="X2586" i="1" s="1"/>
  <c r="Y2586" i="1" s="1"/>
  <c r="Z2586" i="1" s="1"/>
  <c r="V2586" i="1"/>
  <c r="V2638" i="1"/>
  <c r="W2638" i="1"/>
  <c r="X2638" i="1" s="1"/>
  <c r="Y2638" i="1" s="1"/>
  <c r="Z2638" i="1" s="1"/>
  <c r="U2638" i="1"/>
  <c r="T2638" i="1"/>
  <c r="W2648" i="1"/>
  <c r="X2648" i="1" s="1"/>
  <c r="Y2648" i="1" s="1"/>
  <c r="Z2648" i="1" s="1"/>
  <c r="V2648" i="1"/>
  <c r="U2648" i="1"/>
  <c r="V2694" i="1"/>
  <c r="W2694" i="1"/>
  <c r="X2694" i="1" s="1"/>
  <c r="Y2694" i="1" s="1"/>
  <c r="Z2694" i="1" s="1"/>
  <c r="U2694" i="1"/>
  <c r="W2718" i="1"/>
  <c r="X2718" i="1" s="1"/>
  <c r="Y2718" i="1" s="1"/>
  <c r="Z2718" i="1" s="1"/>
  <c r="V2718" i="1"/>
  <c r="U2718" i="1"/>
  <c r="T2718" i="1"/>
  <c r="W2735" i="1"/>
  <c r="X2735" i="1" s="1"/>
  <c r="Y2735" i="1" s="1"/>
  <c r="Z2735" i="1" s="1"/>
  <c r="W2767" i="1"/>
  <c r="X2767" i="1" s="1"/>
  <c r="Y2767" i="1" s="1"/>
  <c r="Z2767" i="1" s="1"/>
  <c r="U2767" i="1"/>
  <c r="W3096" i="1"/>
  <c r="X3096" i="1" s="1"/>
  <c r="Y3096" i="1" s="1"/>
  <c r="Z3096" i="1" s="1"/>
  <c r="T3096" i="1"/>
  <c r="U3096" i="1"/>
  <c r="V3096" i="1"/>
  <c r="W3101" i="1"/>
  <c r="X3101" i="1" s="1"/>
  <c r="Y3101" i="1" s="1"/>
  <c r="Z3101" i="1" s="1"/>
  <c r="T3101" i="1"/>
  <c r="V3101" i="1"/>
  <c r="U3101" i="1"/>
  <c r="V2506" i="1"/>
  <c r="T2548" i="1"/>
  <c r="W2565" i="1"/>
  <c r="X2565" i="1" s="1"/>
  <c r="Y2565" i="1" s="1"/>
  <c r="Z2565" i="1" s="1"/>
  <c r="T2565" i="1"/>
  <c r="V2565" i="1"/>
  <c r="U2565" i="1"/>
  <c r="T2573" i="1"/>
  <c r="T2586" i="1"/>
  <c r="U2597" i="1"/>
  <c r="T2608" i="1"/>
  <c r="W2619" i="1"/>
  <c r="X2619" i="1" s="1"/>
  <c r="Y2619" i="1" s="1"/>
  <c r="Z2619" i="1" s="1"/>
  <c r="U2619" i="1"/>
  <c r="T2619" i="1"/>
  <c r="T2648" i="1"/>
  <c r="T2678" i="1"/>
  <c r="T2694" i="1"/>
  <c r="T2722" i="1"/>
  <c r="T2767" i="1"/>
  <c r="W2843" i="1"/>
  <c r="X2843" i="1" s="1"/>
  <c r="Y2843" i="1" s="1"/>
  <c r="Z2843" i="1" s="1"/>
  <c r="V2843" i="1"/>
  <c r="U2843" i="1"/>
  <c r="T2843" i="1"/>
  <c r="V2863" i="1"/>
  <c r="U2863" i="1"/>
  <c r="W2969" i="1"/>
  <c r="X2969" i="1" s="1"/>
  <c r="Y2969" i="1" s="1"/>
  <c r="Z2969" i="1" s="1"/>
  <c r="V2969" i="1"/>
  <c r="U2969" i="1"/>
  <c r="T2969" i="1"/>
  <c r="W3057" i="1"/>
  <c r="X3057" i="1" s="1"/>
  <c r="Y3057" i="1" s="1"/>
  <c r="Z3057" i="1" s="1"/>
  <c r="T3057" i="1"/>
  <c r="V3057" i="1"/>
  <c r="U3057" i="1"/>
  <c r="W3070" i="1"/>
  <c r="X3070" i="1" s="1"/>
  <c r="Y3070" i="1" s="1"/>
  <c r="Z3070" i="1" s="1"/>
  <c r="V3070" i="1"/>
  <c r="T3070" i="1"/>
  <c r="U3070" i="1"/>
  <c r="W2396" i="1"/>
  <c r="X2396" i="1" s="1"/>
  <c r="Y2396" i="1" s="1"/>
  <c r="Z2396" i="1" s="1"/>
  <c r="W2536" i="1"/>
  <c r="X2536" i="1" s="1"/>
  <c r="Y2536" i="1" s="1"/>
  <c r="Z2536" i="1" s="1"/>
  <c r="U2536" i="1"/>
  <c r="T2536" i="1"/>
  <c r="U2548" i="1"/>
  <c r="U2586" i="1"/>
  <c r="V2597" i="1"/>
  <c r="V2608" i="1"/>
  <c r="W2616" i="1"/>
  <c r="X2616" i="1" s="1"/>
  <c r="Y2616" i="1" s="1"/>
  <c r="Z2616" i="1" s="1"/>
  <c r="V2616" i="1"/>
  <c r="U2616" i="1"/>
  <c r="T2616" i="1"/>
  <c r="V2619" i="1"/>
  <c r="T2661" i="1"/>
  <c r="U2678" i="1"/>
  <c r="W2715" i="1"/>
  <c r="X2715" i="1" s="1"/>
  <c r="Y2715" i="1" s="1"/>
  <c r="Z2715" i="1" s="1"/>
  <c r="V2715" i="1"/>
  <c r="U2722" i="1"/>
  <c r="V2742" i="1"/>
  <c r="V2767" i="1"/>
  <c r="W2771" i="1"/>
  <c r="X2771" i="1" s="1"/>
  <c r="Y2771" i="1" s="1"/>
  <c r="Z2771" i="1" s="1"/>
  <c r="V2771" i="1"/>
  <c r="U2771" i="1"/>
  <c r="T2771" i="1"/>
  <c r="T2863" i="1"/>
  <c r="U2935" i="1"/>
  <c r="W2935" i="1"/>
  <c r="X2935" i="1" s="1"/>
  <c r="Y2935" i="1" s="1"/>
  <c r="Z2935" i="1" s="1"/>
  <c r="T2935" i="1"/>
  <c r="V2957" i="1"/>
  <c r="U2957" i="1"/>
  <c r="T2957" i="1"/>
  <c r="W2957" i="1"/>
  <c r="X2957" i="1" s="1"/>
  <c r="Y2957" i="1" s="1"/>
  <c r="Z2957" i="1" s="1"/>
  <c r="V2879" i="1"/>
  <c r="W2879" i="1"/>
  <c r="X2879" i="1" s="1"/>
  <c r="Y2879" i="1" s="1"/>
  <c r="Z2879" i="1" s="1"/>
  <c r="U2879" i="1"/>
  <c r="T2879" i="1"/>
  <c r="V2910" i="1"/>
  <c r="W2910" i="1"/>
  <c r="X2910" i="1" s="1"/>
  <c r="Y2910" i="1" s="1"/>
  <c r="Z2910" i="1" s="1"/>
  <c r="U2910" i="1"/>
  <c r="T2910" i="1"/>
  <c r="W2949" i="1"/>
  <c r="X2949" i="1" s="1"/>
  <c r="Y2949" i="1" s="1"/>
  <c r="Z2949" i="1" s="1"/>
  <c r="V2949" i="1"/>
  <c r="U2949" i="1"/>
  <c r="T2949" i="1"/>
  <c r="W3038" i="1"/>
  <c r="X3038" i="1" s="1"/>
  <c r="Y3038" i="1" s="1"/>
  <c r="Z3038" i="1" s="1"/>
  <c r="V3038" i="1"/>
  <c r="U3038" i="1"/>
  <c r="T3038" i="1"/>
  <c r="W3107" i="1"/>
  <c r="X3107" i="1" s="1"/>
  <c r="Y3107" i="1" s="1"/>
  <c r="Z3107" i="1" s="1"/>
  <c r="V3107" i="1"/>
  <c r="W3136" i="1"/>
  <c r="X3136" i="1" s="1"/>
  <c r="Y3136" i="1" s="1"/>
  <c r="Z3136" i="1" s="1"/>
  <c r="T3136" i="1"/>
  <c r="V3136" i="1"/>
  <c r="V2710" i="1"/>
  <c r="U2710" i="1"/>
  <c r="W2710" i="1"/>
  <c r="X2710" i="1" s="1"/>
  <c r="Y2710" i="1" s="1"/>
  <c r="Z2710" i="1" s="1"/>
  <c r="W2797" i="1"/>
  <c r="X2797" i="1" s="1"/>
  <c r="Y2797" i="1" s="1"/>
  <c r="Z2797" i="1" s="1"/>
  <c r="V2797" i="1"/>
  <c r="T2797" i="1"/>
  <c r="W2829" i="1"/>
  <c r="X2829" i="1" s="1"/>
  <c r="Y2829" i="1" s="1"/>
  <c r="Z2829" i="1" s="1"/>
  <c r="V2829" i="1"/>
  <c r="U2829" i="1"/>
  <c r="W2847" i="1"/>
  <c r="X2847" i="1" s="1"/>
  <c r="Y2847" i="1" s="1"/>
  <c r="Z2847" i="1" s="1"/>
  <c r="V2847" i="1"/>
  <c r="U2847" i="1"/>
  <c r="T2847" i="1"/>
  <c r="W2854" i="1"/>
  <c r="X2854" i="1" s="1"/>
  <c r="Y2854" i="1" s="1"/>
  <c r="Z2854" i="1" s="1"/>
  <c r="V2854" i="1"/>
  <c r="U2854" i="1"/>
  <c r="T2854" i="1"/>
  <c r="U2858" i="1"/>
  <c r="T2858" i="1"/>
  <c r="V2858" i="1"/>
  <c r="W2892" i="1"/>
  <c r="X2892" i="1" s="1"/>
  <c r="Y2892" i="1" s="1"/>
  <c r="Z2892" i="1" s="1"/>
  <c r="V2892" i="1"/>
  <c r="U2892" i="1"/>
  <c r="T2892" i="1"/>
  <c r="T2907" i="1"/>
  <c r="W2907" i="1"/>
  <c r="X2907" i="1" s="1"/>
  <c r="Y2907" i="1" s="1"/>
  <c r="Z2907" i="1" s="1"/>
  <c r="V2907" i="1"/>
  <c r="U2907" i="1"/>
  <c r="W2911" i="1"/>
  <c r="X2911" i="1" s="1"/>
  <c r="Y2911" i="1" s="1"/>
  <c r="Z2911" i="1" s="1"/>
  <c r="V2911" i="1"/>
  <c r="U2911" i="1"/>
  <c r="T2911" i="1"/>
  <c r="W2919" i="1"/>
  <c r="X2919" i="1" s="1"/>
  <c r="Y2919" i="1" s="1"/>
  <c r="Z2919" i="1" s="1"/>
  <c r="V2919" i="1"/>
  <c r="U2919" i="1"/>
  <c r="W2950" i="1"/>
  <c r="X2950" i="1" s="1"/>
  <c r="Y2950" i="1" s="1"/>
  <c r="Z2950" i="1" s="1"/>
  <c r="U2950" i="1"/>
  <c r="V2950" i="1"/>
  <c r="T2950" i="1"/>
  <c r="U3006" i="1"/>
  <c r="W3006" i="1"/>
  <c r="X3006" i="1" s="1"/>
  <c r="Y3006" i="1" s="1"/>
  <c r="Z3006" i="1" s="1"/>
  <c r="V3006" i="1"/>
  <c r="T3006" i="1"/>
  <c r="W2654" i="1"/>
  <c r="X2654" i="1" s="1"/>
  <c r="Y2654" i="1" s="1"/>
  <c r="Z2654" i="1" s="1"/>
  <c r="T2654" i="1"/>
  <c r="W2687" i="1"/>
  <c r="X2687" i="1" s="1"/>
  <c r="Y2687" i="1" s="1"/>
  <c r="Z2687" i="1" s="1"/>
  <c r="T2687" i="1"/>
  <c r="T2714" i="1"/>
  <c r="W2714" i="1"/>
  <c r="X2714" i="1" s="1"/>
  <c r="Y2714" i="1" s="1"/>
  <c r="Z2714" i="1" s="1"/>
  <c r="V2714" i="1"/>
  <c r="V2717" i="1"/>
  <c r="W2717" i="1"/>
  <c r="X2717" i="1" s="1"/>
  <c r="Y2717" i="1" s="1"/>
  <c r="Z2717" i="1" s="1"/>
  <c r="W2733" i="1"/>
  <c r="X2733" i="1" s="1"/>
  <c r="Y2733" i="1" s="1"/>
  <c r="Z2733" i="1" s="1"/>
  <c r="V2733" i="1"/>
  <c r="T2733" i="1"/>
  <c r="U2783" i="1"/>
  <c r="T2783" i="1"/>
  <c r="W2851" i="1"/>
  <c r="X2851" i="1" s="1"/>
  <c r="Y2851" i="1" s="1"/>
  <c r="Z2851" i="1" s="1"/>
  <c r="V2851" i="1"/>
  <c r="V2900" i="1"/>
  <c r="U2900" i="1"/>
  <c r="W3127" i="1"/>
  <c r="X3127" i="1" s="1"/>
  <c r="Y3127" i="1" s="1"/>
  <c r="Z3127" i="1" s="1"/>
  <c r="V3127" i="1"/>
  <c r="U3127" i="1"/>
  <c r="T3127" i="1"/>
  <c r="V3137" i="1"/>
  <c r="U3137" i="1"/>
  <c r="T3137" i="1"/>
  <c r="W3137" i="1"/>
  <c r="X3137" i="1" s="1"/>
  <c r="Y3137" i="1" s="1"/>
  <c r="Z3137" i="1" s="1"/>
  <c r="W2614" i="1"/>
  <c r="X2614" i="1" s="1"/>
  <c r="Y2614" i="1" s="1"/>
  <c r="Z2614" i="1" s="1"/>
  <c r="T2614" i="1"/>
  <c r="T2632" i="1"/>
  <c r="W2632" i="1"/>
  <c r="X2632" i="1" s="1"/>
  <c r="Y2632" i="1" s="1"/>
  <c r="Z2632" i="1" s="1"/>
  <c r="V2632" i="1"/>
  <c r="U2632" i="1"/>
  <c r="V2640" i="1"/>
  <c r="T2640" i="1"/>
  <c r="W2640" i="1"/>
  <c r="X2640" i="1" s="1"/>
  <c r="Y2640" i="1" s="1"/>
  <c r="Z2640" i="1" s="1"/>
  <c r="U2640" i="1"/>
  <c r="W2649" i="1"/>
  <c r="X2649" i="1" s="1"/>
  <c r="Y2649" i="1" s="1"/>
  <c r="Z2649" i="1" s="1"/>
  <c r="U2649" i="1"/>
  <c r="V2680" i="1"/>
  <c r="T2680" i="1"/>
  <c r="V2690" i="1"/>
  <c r="W2690" i="1"/>
  <c r="X2690" i="1" s="1"/>
  <c r="Y2690" i="1" s="1"/>
  <c r="Z2690" i="1" s="1"/>
  <c r="U2690" i="1"/>
  <c r="T2690" i="1"/>
  <c r="V2752" i="1"/>
  <c r="U2752" i="1"/>
  <c r="T2752" i="1"/>
  <c r="W2758" i="1"/>
  <c r="X2758" i="1" s="1"/>
  <c r="Y2758" i="1" s="1"/>
  <c r="Z2758" i="1" s="1"/>
  <c r="T2758" i="1"/>
  <c r="T2851" i="1"/>
  <c r="T2900" i="1"/>
  <c r="W2955" i="1"/>
  <c r="X2955" i="1" s="1"/>
  <c r="Y2955" i="1" s="1"/>
  <c r="Z2955" i="1" s="1"/>
  <c r="U2955" i="1"/>
  <c r="U2474" i="1"/>
  <c r="W2522" i="1"/>
  <c r="X2522" i="1" s="1"/>
  <c r="Y2522" i="1" s="1"/>
  <c r="Z2522" i="1" s="1"/>
  <c r="V2524" i="1"/>
  <c r="V2567" i="1"/>
  <c r="W2582" i="1"/>
  <c r="X2582" i="1" s="1"/>
  <c r="Y2582" i="1" s="1"/>
  <c r="Z2582" i="1" s="1"/>
  <c r="W2593" i="1"/>
  <c r="X2593" i="1" s="1"/>
  <c r="Y2593" i="1" s="1"/>
  <c r="Z2593" i="1" s="1"/>
  <c r="V2607" i="1"/>
  <c r="U2614" i="1"/>
  <c r="T2649" i="1"/>
  <c r="V2654" i="1"/>
  <c r="T2666" i="1"/>
  <c r="T2674" i="1"/>
  <c r="W2677" i="1"/>
  <c r="X2677" i="1" s="1"/>
  <c r="Y2677" i="1" s="1"/>
  <c r="Z2677" i="1" s="1"/>
  <c r="V2677" i="1"/>
  <c r="U2677" i="1"/>
  <c r="U2680" i="1"/>
  <c r="V2687" i="1"/>
  <c r="U2696" i="1"/>
  <c r="W2696" i="1"/>
  <c r="X2696" i="1" s="1"/>
  <c r="Y2696" i="1" s="1"/>
  <c r="Z2696" i="1" s="1"/>
  <c r="T2702" i="1"/>
  <c r="U2717" i="1"/>
  <c r="U2727" i="1"/>
  <c r="V2730" i="1"/>
  <c r="U2730" i="1"/>
  <c r="U2749" i="1"/>
  <c r="T2749" i="1"/>
  <c r="W2752" i="1"/>
  <c r="X2752" i="1" s="1"/>
  <c r="Y2752" i="1" s="1"/>
  <c r="Z2752" i="1" s="1"/>
  <c r="U2758" i="1"/>
  <c r="W2783" i="1"/>
  <c r="X2783" i="1" s="1"/>
  <c r="Y2783" i="1" s="1"/>
  <c r="Z2783" i="1" s="1"/>
  <c r="W2801" i="1"/>
  <c r="X2801" i="1" s="1"/>
  <c r="Y2801" i="1" s="1"/>
  <c r="Z2801" i="1" s="1"/>
  <c r="V2801" i="1"/>
  <c r="U2801" i="1"/>
  <c r="T2801" i="1"/>
  <c r="W2815" i="1"/>
  <c r="X2815" i="1" s="1"/>
  <c r="Y2815" i="1" s="1"/>
  <c r="Z2815" i="1" s="1"/>
  <c r="U2815" i="1"/>
  <c r="V2815" i="1"/>
  <c r="U2851" i="1"/>
  <c r="W2900" i="1"/>
  <c r="X2900" i="1" s="1"/>
  <c r="Y2900" i="1" s="1"/>
  <c r="Z2900" i="1" s="1"/>
  <c r="T2955" i="1"/>
  <c r="V3088" i="1"/>
  <c r="U3088" i="1"/>
  <c r="T3088" i="1"/>
  <c r="W3088" i="1"/>
  <c r="X3088" i="1" s="1"/>
  <c r="Y3088" i="1" s="1"/>
  <c r="Z3088" i="1" s="1"/>
  <c r="W2567" i="1"/>
  <c r="X2567" i="1" s="1"/>
  <c r="Y2567" i="1" s="1"/>
  <c r="Z2567" i="1" s="1"/>
  <c r="T2612" i="1"/>
  <c r="V2612" i="1"/>
  <c r="V2614" i="1"/>
  <c r="V2649" i="1"/>
  <c r="V2666" i="1"/>
  <c r="W2669" i="1"/>
  <c r="X2669" i="1" s="1"/>
  <c r="Y2669" i="1" s="1"/>
  <c r="Z2669" i="1" s="1"/>
  <c r="U2669" i="1"/>
  <c r="U2674" i="1"/>
  <c r="T2677" i="1"/>
  <c r="W2680" i="1"/>
  <c r="X2680" i="1" s="1"/>
  <c r="Y2680" i="1" s="1"/>
  <c r="Z2680" i="1" s="1"/>
  <c r="T2696" i="1"/>
  <c r="V2702" i="1"/>
  <c r="V2711" i="1"/>
  <c r="U2711" i="1"/>
  <c r="T2711" i="1"/>
  <c r="V2727" i="1"/>
  <c r="T2730" i="1"/>
  <c r="V2749" i="1"/>
  <c r="W2755" i="1"/>
  <c r="X2755" i="1" s="1"/>
  <c r="Y2755" i="1" s="1"/>
  <c r="Z2755" i="1" s="1"/>
  <c r="V2755" i="1"/>
  <c r="V2758" i="1"/>
  <c r="V2766" i="1"/>
  <c r="U2766" i="1"/>
  <c r="U2773" i="1"/>
  <c r="V2773" i="1"/>
  <c r="T2773" i="1"/>
  <c r="W2773" i="1"/>
  <c r="X2773" i="1" s="1"/>
  <c r="Y2773" i="1" s="1"/>
  <c r="Z2773" i="1" s="1"/>
  <c r="U2780" i="1"/>
  <c r="T2780" i="1"/>
  <c r="T2815" i="1"/>
  <c r="V2822" i="1"/>
  <c r="U2822" i="1"/>
  <c r="W2822" i="1"/>
  <c r="X2822" i="1" s="1"/>
  <c r="Y2822" i="1" s="1"/>
  <c r="Z2822" i="1" s="1"/>
  <c r="T2822" i="1"/>
  <c r="V2840" i="1"/>
  <c r="W2840" i="1"/>
  <c r="X2840" i="1" s="1"/>
  <c r="Y2840" i="1" s="1"/>
  <c r="Z2840" i="1" s="1"/>
  <c r="U2840" i="1"/>
  <c r="T2840" i="1"/>
  <c r="T2867" i="1"/>
  <c r="W2867" i="1"/>
  <c r="X2867" i="1" s="1"/>
  <c r="Y2867" i="1" s="1"/>
  <c r="Z2867" i="1" s="1"/>
  <c r="V2867" i="1"/>
  <c r="T2870" i="1"/>
  <c r="W2870" i="1"/>
  <c r="X2870" i="1" s="1"/>
  <c r="Y2870" i="1" s="1"/>
  <c r="Z2870" i="1" s="1"/>
  <c r="V2870" i="1"/>
  <c r="U2870" i="1"/>
  <c r="W2893" i="1"/>
  <c r="X2893" i="1" s="1"/>
  <c r="Y2893" i="1" s="1"/>
  <c r="Z2893" i="1" s="1"/>
  <c r="T2893" i="1"/>
  <c r="V2955" i="1"/>
  <c r="W3003" i="1"/>
  <c r="X3003" i="1" s="1"/>
  <c r="Y3003" i="1" s="1"/>
  <c r="Z3003" i="1" s="1"/>
  <c r="V3003" i="1"/>
  <c r="U3003" i="1"/>
  <c r="T3003" i="1"/>
  <c r="V2598" i="1"/>
  <c r="T2598" i="1"/>
  <c r="W2624" i="1"/>
  <c r="X2624" i="1" s="1"/>
  <c r="Y2624" i="1" s="1"/>
  <c r="Z2624" i="1" s="1"/>
  <c r="V2624" i="1"/>
  <c r="U2624" i="1"/>
  <c r="T2652" i="1"/>
  <c r="U2652" i="1"/>
  <c r="W2666" i="1"/>
  <c r="X2666" i="1" s="1"/>
  <c r="Y2666" i="1" s="1"/>
  <c r="Z2666" i="1" s="1"/>
  <c r="W2674" i="1"/>
  <c r="X2674" i="1" s="1"/>
  <c r="Y2674" i="1" s="1"/>
  <c r="Z2674" i="1" s="1"/>
  <c r="W2702" i="1"/>
  <c r="X2702" i="1" s="1"/>
  <c r="Y2702" i="1" s="1"/>
  <c r="Z2702" i="1" s="1"/>
  <c r="W2705" i="1"/>
  <c r="X2705" i="1" s="1"/>
  <c r="Y2705" i="1" s="1"/>
  <c r="Z2705" i="1" s="1"/>
  <c r="T2705" i="1"/>
  <c r="W2740" i="1"/>
  <c r="X2740" i="1" s="1"/>
  <c r="Y2740" i="1" s="1"/>
  <c r="Z2740" i="1" s="1"/>
  <c r="V2740" i="1"/>
  <c r="U2740" i="1"/>
  <c r="W2746" i="1"/>
  <c r="X2746" i="1" s="1"/>
  <c r="Y2746" i="1" s="1"/>
  <c r="Z2746" i="1" s="1"/>
  <c r="V2746" i="1"/>
  <c r="W2787" i="1"/>
  <c r="X2787" i="1" s="1"/>
  <c r="Y2787" i="1" s="1"/>
  <c r="Z2787" i="1" s="1"/>
  <c r="V2787" i="1"/>
  <c r="U2787" i="1"/>
  <c r="T2787" i="1"/>
  <c r="W2798" i="1"/>
  <c r="X2798" i="1" s="1"/>
  <c r="Y2798" i="1" s="1"/>
  <c r="Z2798" i="1" s="1"/>
  <c r="T2798" i="1"/>
  <c r="W2812" i="1"/>
  <c r="X2812" i="1" s="1"/>
  <c r="Y2812" i="1" s="1"/>
  <c r="Z2812" i="1" s="1"/>
  <c r="V2812" i="1"/>
  <c r="U2812" i="1"/>
  <c r="T2812" i="1"/>
  <c r="T2859" i="1"/>
  <c r="W2859" i="1"/>
  <c r="X2859" i="1" s="1"/>
  <c r="Y2859" i="1" s="1"/>
  <c r="Z2859" i="1" s="1"/>
  <c r="W2874" i="1"/>
  <c r="X2874" i="1" s="1"/>
  <c r="Y2874" i="1" s="1"/>
  <c r="Z2874" i="1" s="1"/>
  <c r="V2874" i="1"/>
  <c r="U2874" i="1"/>
  <c r="T2874" i="1"/>
  <c r="W2489" i="1"/>
  <c r="X2489" i="1" s="1"/>
  <c r="Y2489" i="1" s="1"/>
  <c r="Z2489" i="1" s="1"/>
  <c r="V2489" i="1"/>
  <c r="U2491" i="1"/>
  <c r="T2491" i="1"/>
  <c r="U2551" i="1"/>
  <c r="T2551" i="1"/>
  <c r="W2589" i="1"/>
  <c r="X2589" i="1" s="1"/>
  <c r="Y2589" i="1" s="1"/>
  <c r="Z2589" i="1" s="1"/>
  <c r="V2589" i="1"/>
  <c r="U2685" i="1"/>
  <c r="V2685" i="1"/>
  <c r="W2708" i="1"/>
  <c r="X2708" i="1" s="1"/>
  <c r="Y2708" i="1" s="1"/>
  <c r="Z2708" i="1" s="1"/>
  <c r="V2708" i="1"/>
  <c r="U2708" i="1"/>
  <c r="T2708" i="1"/>
  <c r="T2734" i="1"/>
  <c r="W2734" i="1"/>
  <c r="X2734" i="1" s="1"/>
  <c r="Y2734" i="1" s="1"/>
  <c r="Z2734" i="1" s="1"/>
  <c r="V2734" i="1"/>
  <c r="U2798" i="1"/>
  <c r="U2848" i="1"/>
  <c r="W2848" i="1"/>
  <c r="X2848" i="1" s="1"/>
  <c r="Y2848" i="1" s="1"/>
  <c r="Z2848" i="1" s="1"/>
  <c r="V2848" i="1"/>
  <c r="T2848" i="1"/>
  <c r="U2859" i="1"/>
  <c r="W2889" i="1"/>
  <c r="X2889" i="1" s="1"/>
  <c r="Y2889" i="1" s="1"/>
  <c r="Z2889" i="1" s="1"/>
  <c r="T2889" i="1"/>
  <c r="V2889" i="1"/>
  <c r="U2889" i="1"/>
  <c r="U3072" i="1"/>
  <c r="T3072" i="1"/>
  <c r="W3072" i="1"/>
  <c r="X3072" i="1" s="1"/>
  <c r="Y3072" i="1" s="1"/>
  <c r="Z3072" i="1" s="1"/>
  <c r="V3072" i="1"/>
  <c r="W2720" i="1"/>
  <c r="X2720" i="1" s="1"/>
  <c r="Y2720" i="1" s="1"/>
  <c r="Z2720" i="1" s="1"/>
  <c r="V2720" i="1"/>
  <c r="W2786" i="1"/>
  <c r="X2786" i="1" s="1"/>
  <c r="Y2786" i="1" s="1"/>
  <c r="Z2786" i="1" s="1"/>
  <c r="U2786" i="1"/>
  <c r="T2786" i="1"/>
  <c r="W2795" i="1"/>
  <c r="X2795" i="1" s="1"/>
  <c r="Y2795" i="1" s="1"/>
  <c r="Z2795" i="1" s="1"/>
  <c r="U2795" i="1"/>
  <c r="T2795" i="1"/>
  <c r="W2839" i="1"/>
  <c r="X2839" i="1" s="1"/>
  <c r="Y2839" i="1" s="1"/>
  <c r="Z2839" i="1" s="1"/>
  <c r="U2839" i="1"/>
  <c r="T2839" i="1"/>
  <c r="W3089" i="1"/>
  <c r="X3089" i="1" s="1"/>
  <c r="Y3089" i="1" s="1"/>
  <c r="Z3089" i="1" s="1"/>
  <c r="V3089" i="1"/>
  <c r="U3089" i="1"/>
  <c r="T3089" i="1"/>
  <c r="V3114" i="1"/>
  <c r="W3114" i="1"/>
  <c r="X3114" i="1" s="1"/>
  <c r="Y3114" i="1" s="1"/>
  <c r="Z3114" i="1" s="1"/>
  <c r="T3114" i="1"/>
  <c r="U3114" i="1"/>
  <c r="V2831" i="1"/>
  <c r="U2831" i="1"/>
  <c r="T2831" i="1"/>
  <c r="T2855" i="1"/>
  <c r="W2855" i="1"/>
  <c r="X2855" i="1" s="1"/>
  <c r="Y2855" i="1" s="1"/>
  <c r="Z2855" i="1" s="1"/>
  <c r="V2855" i="1"/>
  <c r="U2855" i="1"/>
  <c r="W2884" i="1"/>
  <c r="X2884" i="1" s="1"/>
  <c r="Y2884" i="1" s="1"/>
  <c r="Z2884" i="1" s="1"/>
  <c r="U2884" i="1"/>
  <c r="W2928" i="1"/>
  <c r="X2928" i="1" s="1"/>
  <c r="Y2928" i="1" s="1"/>
  <c r="Z2928" i="1" s="1"/>
  <c r="V2928" i="1"/>
  <c r="U2928" i="1"/>
  <c r="T2928" i="1"/>
  <c r="W2980" i="1"/>
  <c r="X2980" i="1" s="1"/>
  <c r="Y2980" i="1" s="1"/>
  <c r="Z2980" i="1" s="1"/>
  <c r="V2980" i="1"/>
  <c r="U2980" i="1"/>
  <c r="T2980" i="1"/>
  <c r="U3039" i="1"/>
  <c r="T3039" i="1"/>
  <c r="W3039" i="1"/>
  <c r="X3039" i="1" s="1"/>
  <c r="Y3039" i="1" s="1"/>
  <c r="Z3039" i="1" s="1"/>
  <c r="V3039" i="1"/>
  <c r="W3049" i="1"/>
  <c r="X3049" i="1" s="1"/>
  <c r="Y3049" i="1" s="1"/>
  <c r="Z3049" i="1" s="1"/>
  <c r="V3049" i="1"/>
  <c r="U3049" i="1"/>
  <c r="T3049" i="1"/>
  <c r="W2940" i="1"/>
  <c r="X2940" i="1" s="1"/>
  <c r="Y2940" i="1" s="1"/>
  <c r="Z2940" i="1" s="1"/>
  <c r="T2940" i="1"/>
  <c r="V2940" i="1"/>
  <c r="U2940" i="1"/>
  <c r="V2959" i="1"/>
  <c r="T2959" i="1"/>
  <c r="W2966" i="1"/>
  <c r="X2966" i="1" s="1"/>
  <c r="Y2966" i="1" s="1"/>
  <c r="Z2966" i="1" s="1"/>
  <c r="V2966" i="1"/>
  <c r="U2966" i="1"/>
  <c r="T2966" i="1"/>
  <c r="U3001" i="1"/>
  <c r="W3001" i="1"/>
  <c r="X3001" i="1" s="1"/>
  <c r="Y3001" i="1" s="1"/>
  <c r="Z3001" i="1" s="1"/>
  <c r="V3001" i="1"/>
  <c r="T3001" i="1"/>
  <c r="W3016" i="1"/>
  <c r="X3016" i="1" s="1"/>
  <c r="Y3016" i="1" s="1"/>
  <c r="Z3016" i="1" s="1"/>
  <c r="T3016" i="1"/>
  <c r="U3016" i="1"/>
  <c r="W3120" i="1"/>
  <c r="X3120" i="1" s="1"/>
  <c r="Y3120" i="1" s="1"/>
  <c r="Z3120" i="1" s="1"/>
  <c r="V3120" i="1"/>
  <c r="U3120" i="1"/>
  <c r="T3120" i="1"/>
  <c r="T3133" i="1"/>
  <c r="U3133" i="1"/>
  <c r="W3133" i="1"/>
  <c r="X3133" i="1" s="1"/>
  <c r="Y3133" i="1" s="1"/>
  <c r="Z3133" i="1" s="1"/>
  <c r="V2622" i="1"/>
  <c r="W2726" i="1"/>
  <c r="X2726" i="1" s="1"/>
  <c r="Y2726" i="1" s="1"/>
  <c r="Z2726" i="1" s="1"/>
  <c r="V2726" i="1"/>
  <c r="V2756" i="1"/>
  <c r="V2762" i="1"/>
  <c r="W2762" i="1"/>
  <c r="X2762" i="1" s="1"/>
  <c r="Y2762" i="1" s="1"/>
  <c r="Z2762" i="1" s="1"/>
  <c r="T2762" i="1"/>
  <c r="T2776" i="1"/>
  <c r="T2796" i="1"/>
  <c r="T2805" i="1"/>
  <c r="W2810" i="1"/>
  <c r="X2810" i="1" s="1"/>
  <c r="Y2810" i="1" s="1"/>
  <c r="Z2810" i="1" s="1"/>
  <c r="V2810" i="1"/>
  <c r="W2828" i="1"/>
  <c r="X2828" i="1" s="1"/>
  <c r="Y2828" i="1" s="1"/>
  <c r="Z2828" i="1" s="1"/>
  <c r="U2834" i="1"/>
  <c r="V2868" i="1"/>
  <c r="W2868" i="1"/>
  <c r="X2868" i="1" s="1"/>
  <c r="Y2868" i="1" s="1"/>
  <c r="Z2868" i="1" s="1"/>
  <c r="U2868" i="1"/>
  <c r="T2868" i="1"/>
  <c r="W2888" i="1"/>
  <c r="X2888" i="1" s="1"/>
  <c r="Y2888" i="1" s="1"/>
  <c r="Z2888" i="1" s="1"/>
  <c r="V2888" i="1"/>
  <c r="U2888" i="1"/>
  <c r="T2888" i="1"/>
  <c r="V2895" i="1"/>
  <c r="V2925" i="1"/>
  <c r="U2925" i="1"/>
  <c r="T2925" i="1"/>
  <c r="W2925" i="1"/>
  <c r="X2925" i="1" s="1"/>
  <c r="Y2925" i="1" s="1"/>
  <c r="Z2925" i="1" s="1"/>
  <c r="U2959" i="1"/>
  <c r="V3016" i="1"/>
  <c r="W3027" i="1"/>
  <c r="X3027" i="1" s="1"/>
  <c r="Y3027" i="1" s="1"/>
  <c r="Z3027" i="1" s="1"/>
  <c r="V3027" i="1"/>
  <c r="U3027" i="1"/>
  <c r="T3027" i="1"/>
  <c r="V3133" i="1"/>
  <c r="T2726" i="1"/>
  <c r="U2762" i="1"/>
  <c r="U2776" i="1"/>
  <c r="U2793" i="1"/>
  <c r="W2793" i="1"/>
  <c r="X2793" i="1" s="1"/>
  <c r="Y2793" i="1" s="1"/>
  <c r="Z2793" i="1" s="1"/>
  <c r="T2793" i="1"/>
  <c r="U2796" i="1"/>
  <c r="U2805" i="1"/>
  <c r="T2810" i="1"/>
  <c r="V2834" i="1"/>
  <c r="T2881" i="1"/>
  <c r="W2881" i="1"/>
  <c r="X2881" i="1" s="1"/>
  <c r="Y2881" i="1" s="1"/>
  <c r="Z2881" i="1" s="1"/>
  <c r="W2959" i="1"/>
  <c r="X2959" i="1" s="1"/>
  <c r="Y2959" i="1" s="1"/>
  <c r="Z2959" i="1" s="1"/>
  <c r="V2974" i="1"/>
  <c r="T2974" i="1"/>
  <c r="U3005" i="1"/>
  <c r="V3005" i="1"/>
  <c r="T3005" i="1"/>
  <c r="U3050" i="1"/>
  <c r="V3050" i="1"/>
  <c r="W3050" i="1"/>
  <c r="X3050" i="1" s="1"/>
  <c r="Y3050" i="1" s="1"/>
  <c r="Z3050" i="1" s="1"/>
  <c r="V3054" i="1"/>
  <c r="W3054" i="1"/>
  <c r="X3054" i="1" s="1"/>
  <c r="Y3054" i="1" s="1"/>
  <c r="Z3054" i="1" s="1"/>
  <c r="W3075" i="1"/>
  <c r="X3075" i="1" s="1"/>
  <c r="Y3075" i="1" s="1"/>
  <c r="Z3075" i="1" s="1"/>
  <c r="U3075" i="1"/>
  <c r="T3075" i="1"/>
  <c r="V3075" i="1"/>
  <c r="W2699" i="1"/>
  <c r="X2699" i="1" s="1"/>
  <c r="Y2699" i="1" s="1"/>
  <c r="Z2699" i="1" s="1"/>
  <c r="V2699" i="1"/>
  <c r="W2721" i="1"/>
  <c r="X2721" i="1" s="1"/>
  <c r="Y2721" i="1" s="1"/>
  <c r="Z2721" i="1" s="1"/>
  <c r="U2721" i="1"/>
  <c r="T2721" i="1"/>
  <c r="W2748" i="1"/>
  <c r="X2748" i="1" s="1"/>
  <c r="Y2748" i="1" s="1"/>
  <c r="Z2748" i="1" s="1"/>
  <c r="V2748" i="1"/>
  <c r="W2759" i="1"/>
  <c r="X2759" i="1" s="1"/>
  <c r="Y2759" i="1" s="1"/>
  <c r="Z2759" i="1" s="1"/>
  <c r="V2759" i="1"/>
  <c r="V2776" i="1"/>
  <c r="V2796" i="1"/>
  <c r="V2805" i="1"/>
  <c r="W2834" i="1"/>
  <c r="X2834" i="1" s="1"/>
  <c r="Y2834" i="1" s="1"/>
  <c r="Z2834" i="1" s="1"/>
  <c r="U2837" i="1"/>
  <c r="W2837" i="1"/>
  <c r="X2837" i="1" s="1"/>
  <c r="Y2837" i="1" s="1"/>
  <c r="Z2837" i="1" s="1"/>
  <c r="V2837" i="1"/>
  <c r="T2837" i="1"/>
  <c r="W2875" i="1"/>
  <c r="X2875" i="1" s="1"/>
  <c r="Y2875" i="1" s="1"/>
  <c r="Z2875" i="1" s="1"/>
  <c r="V2875" i="1"/>
  <c r="T2875" i="1"/>
  <c r="V2909" i="1"/>
  <c r="U2909" i="1"/>
  <c r="T2909" i="1"/>
  <c r="T2933" i="1"/>
  <c r="V2933" i="1"/>
  <c r="U2933" i="1"/>
  <c r="U2948" i="1"/>
  <c r="W2948" i="1"/>
  <c r="X2948" i="1" s="1"/>
  <c r="Y2948" i="1" s="1"/>
  <c r="Z2948" i="1" s="1"/>
  <c r="V2948" i="1"/>
  <c r="T2948" i="1"/>
  <c r="U3045" i="1"/>
  <c r="V3045" i="1"/>
  <c r="W3045" i="1"/>
  <c r="X3045" i="1" s="1"/>
  <c r="Y3045" i="1" s="1"/>
  <c r="Z3045" i="1" s="1"/>
  <c r="T3045" i="1"/>
  <c r="W3083" i="1"/>
  <c r="X3083" i="1" s="1"/>
  <c r="Y3083" i="1" s="1"/>
  <c r="Z3083" i="1" s="1"/>
  <c r="V3083" i="1"/>
  <c r="U3083" i="1"/>
  <c r="T2688" i="1"/>
  <c r="T2699" i="1"/>
  <c r="W2716" i="1"/>
  <c r="X2716" i="1" s="1"/>
  <c r="Y2716" i="1" s="1"/>
  <c r="Z2716" i="1" s="1"/>
  <c r="V2716" i="1"/>
  <c r="U2716" i="1"/>
  <c r="V2721" i="1"/>
  <c r="T2729" i="1"/>
  <c r="T2748" i="1"/>
  <c r="T2759" i="1"/>
  <c r="W2790" i="1"/>
  <c r="X2790" i="1" s="1"/>
  <c r="Y2790" i="1" s="1"/>
  <c r="Z2790" i="1" s="1"/>
  <c r="V2790" i="1"/>
  <c r="U2790" i="1"/>
  <c r="V2802" i="1"/>
  <c r="W2802" i="1"/>
  <c r="X2802" i="1" s="1"/>
  <c r="Y2802" i="1" s="1"/>
  <c r="Z2802" i="1" s="1"/>
  <c r="U2802" i="1"/>
  <c r="T2802" i="1"/>
  <c r="V2856" i="1"/>
  <c r="U2856" i="1"/>
  <c r="T2856" i="1"/>
  <c r="U2875" i="1"/>
  <c r="V2885" i="1"/>
  <c r="U2885" i="1"/>
  <c r="T2885" i="1"/>
  <c r="W2885" i="1"/>
  <c r="X2885" i="1" s="1"/>
  <c r="Y2885" i="1" s="1"/>
  <c r="Z2885" i="1" s="1"/>
  <c r="V2899" i="1"/>
  <c r="U2899" i="1"/>
  <c r="W2909" i="1"/>
  <c r="X2909" i="1" s="1"/>
  <c r="Y2909" i="1" s="1"/>
  <c r="Z2909" i="1" s="1"/>
  <c r="W2933" i="1"/>
  <c r="X2933" i="1" s="1"/>
  <c r="Y2933" i="1" s="1"/>
  <c r="Z2933" i="1" s="1"/>
  <c r="W3028" i="1"/>
  <c r="X3028" i="1" s="1"/>
  <c r="Y3028" i="1" s="1"/>
  <c r="Z3028" i="1" s="1"/>
  <c r="V3028" i="1"/>
  <c r="U3028" i="1"/>
  <c r="U3066" i="1"/>
  <c r="W3066" i="1"/>
  <c r="X3066" i="1" s="1"/>
  <c r="Y3066" i="1" s="1"/>
  <c r="Z3066" i="1" s="1"/>
  <c r="V3066" i="1"/>
  <c r="T3083" i="1"/>
  <c r="U2699" i="1"/>
  <c r="T2716" i="1"/>
  <c r="T2724" i="1"/>
  <c r="V2736" i="1"/>
  <c r="U2736" i="1"/>
  <c r="U2748" i="1"/>
  <c r="U2759" i="1"/>
  <c r="U2763" i="1"/>
  <c r="T2763" i="1"/>
  <c r="T2790" i="1"/>
  <c r="V2814" i="1"/>
  <c r="U2814" i="1"/>
  <c r="T2814" i="1"/>
  <c r="T2850" i="1"/>
  <c r="W2850" i="1"/>
  <c r="X2850" i="1" s="1"/>
  <c r="Y2850" i="1" s="1"/>
  <c r="Z2850" i="1" s="1"/>
  <c r="V2850" i="1"/>
  <c r="U2850" i="1"/>
  <c r="W2856" i="1"/>
  <c r="X2856" i="1" s="1"/>
  <c r="Y2856" i="1" s="1"/>
  <c r="Z2856" i="1" s="1"/>
  <c r="V2865" i="1"/>
  <c r="U2865" i="1"/>
  <c r="T2865" i="1"/>
  <c r="W2865" i="1"/>
  <c r="X2865" i="1" s="1"/>
  <c r="Y2865" i="1" s="1"/>
  <c r="Z2865" i="1" s="1"/>
  <c r="T2899" i="1"/>
  <c r="W2926" i="1"/>
  <c r="X2926" i="1" s="1"/>
  <c r="Y2926" i="1" s="1"/>
  <c r="Z2926" i="1" s="1"/>
  <c r="V2926" i="1"/>
  <c r="U2926" i="1"/>
  <c r="T2926" i="1"/>
  <c r="T2941" i="1"/>
  <c r="T3028" i="1"/>
  <c r="T3066" i="1"/>
  <c r="V3112" i="1"/>
  <c r="U3112" i="1"/>
  <c r="T3112" i="1"/>
  <c r="W3112" i="1"/>
  <c r="X3112" i="1" s="1"/>
  <c r="Y3112" i="1" s="1"/>
  <c r="Z3112" i="1" s="1"/>
  <c r="W3116" i="1"/>
  <c r="X3116" i="1" s="1"/>
  <c r="Y3116" i="1" s="1"/>
  <c r="Z3116" i="1" s="1"/>
  <c r="T3116" i="1"/>
  <c r="V3116" i="1"/>
  <c r="U3116" i="1"/>
  <c r="U2864" i="1"/>
  <c r="W2864" i="1"/>
  <c r="X2864" i="1" s="1"/>
  <c r="Y2864" i="1" s="1"/>
  <c r="Z2864" i="1" s="1"/>
  <c r="V2864" i="1"/>
  <c r="T2864" i="1"/>
  <c r="U2904" i="1"/>
  <c r="V2904" i="1"/>
  <c r="T2953" i="1"/>
  <c r="V2953" i="1"/>
  <c r="W2953" i="1"/>
  <c r="X2953" i="1" s="1"/>
  <c r="Y2953" i="1" s="1"/>
  <c r="Z2953" i="1" s="1"/>
  <c r="W2963" i="1"/>
  <c r="X2963" i="1" s="1"/>
  <c r="Y2963" i="1" s="1"/>
  <c r="Z2963" i="1" s="1"/>
  <c r="U2963" i="1"/>
  <c r="T2963" i="1"/>
  <c r="V2963" i="1"/>
  <c r="W3056" i="1"/>
  <c r="X3056" i="1" s="1"/>
  <c r="Y3056" i="1" s="1"/>
  <c r="Z3056" i="1" s="1"/>
  <c r="T3056" i="1"/>
  <c r="W3108" i="1"/>
  <c r="X3108" i="1" s="1"/>
  <c r="Y3108" i="1" s="1"/>
  <c r="Z3108" i="1" s="1"/>
  <c r="V3108" i="1"/>
  <c r="U3108" i="1"/>
  <c r="T3108" i="1"/>
  <c r="W3117" i="1"/>
  <c r="X3117" i="1" s="1"/>
  <c r="Y3117" i="1" s="1"/>
  <c r="Z3117" i="1" s="1"/>
  <c r="T3117" i="1"/>
  <c r="V3117" i="1"/>
  <c r="U3117" i="1"/>
  <c r="V2873" i="1"/>
  <c r="U2873" i="1"/>
  <c r="T2873" i="1"/>
  <c r="W3007" i="1"/>
  <c r="X3007" i="1" s="1"/>
  <c r="Y3007" i="1" s="1"/>
  <c r="Z3007" i="1" s="1"/>
  <c r="V3007" i="1"/>
  <c r="U3007" i="1"/>
  <c r="T3007" i="1"/>
  <c r="W3080" i="1"/>
  <c r="X3080" i="1" s="1"/>
  <c r="Y3080" i="1" s="1"/>
  <c r="Z3080" i="1" s="1"/>
  <c r="V3080" i="1"/>
  <c r="U3080" i="1"/>
  <c r="T3080" i="1"/>
  <c r="W2844" i="1"/>
  <c r="X2844" i="1" s="1"/>
  <c r="Y2844" i="1" s="1"/>
  <c r="Z2844" i="1" s="1"/>
  <c r="V2844" i="1"/>
  <c r="U2844" i="1"/>
  <c r="W2862" i="1"/>
  <c r="X2862" i="1" s="1"/>
  <c r="Y2862" i="1" s="1"/>
  <c r="Z2862" i="1" s="1"/>
  <c r="U2862" i="1"/>
  <c r="T2862" i="1"/>
  <c r="U2902" i="1"/>
  <c r="V2971" i="1"/>
  <c r="U2971" i="1"/>
  <c r="T2971" i="1"/>
  <c r="W2971" i="1"/>
  <c r="X2971" i="1" s="1"/>
  <c r="Y2971" i="1" s="1"/>
  <c r="Z2971" i="1" s="1"/>
  <c r="T2992" i="1"/>
  <c r="U3033" i="1"/>
  <c r="W2882" i="1"/>
  <c r="X2882" i="1" s="1"/>
  <c r="Y2882" i="1" s="1"/>
  <c r="Z2882" i="1" s="1"/>
  <c r="V2882" i="1"/>
  <c r="U2882" i="1"/>
  <c r="T2882" i="1"/>
  <c r="W2894" i="1"/>
  <c r="X2894" i="1" s="1"/>
  <c r="Y2894" i="1" s="1"/>
  <c r="Z2894" i="1" s="1"/>
  <c r="V2894" i="1"/>
  <c r="U2894" i="1"/>
  <c r="T2894" i="1"/>
  <c r="W2902" i="1"/>
  <c r="X2902" i="1" s="1"/>
  <c r="Y2902" i="1" s="1"/>
  <c r="Z2902" i="1" s="1"/>
  <c r="V2992" i="1"/>
  <c r="W3033" i="1"/>
  <c r="X3033" i="1" s="1"/>
  <c r="Y3033" i="1" s="1"/>
  <c r="Z3033" i="1" s="1"/>
  <c r="V3095" i="1"/>
  <c r="U3095" i="1"/>
  <c r="T3095" i="1"/>
  <c r="W3095" i="1"/>
  <c r="X3095" i="1" s="1"/>
  <c r="Y3095" i="1" s="1"/>
  <c r="Z3095" i="1" s="1"/>
  <c r="V3099" i="1"/>
  <c r="U3099" i="1"/>
  <c r="T3099" i="1"/>
  <c r="W3099" i="1"/>
  <c r="X3099" i="1" s="1"/>
  <c r="Y3099" i="1" s="1"/>
  <c r="Z3099" i="1" s="1"/>
  <c r="W3146" i="1"/>
  <c r="X3146" i="1" s="1"/>
  <c r="Y3146" i="1" s="1"/>
  <c r="Z3146" i="1" s="1"/>
  <c r="U3146" i="1"/>
  <c r="T3146" i="1"/>
  <c r="V3146" i="1"/>
  <c r="V2751" i="1"/>
  <c r="W2782" i="1"/>
  <c r="X2782" i="1" s="1"/>
  <c r="Y2782" i="1" s="1"/>
  <c r="Z2782" i="1" s="1"/>
  <c r="W2813" i="1"/>
  <c r="X2813" i="1" s="1"/>
  <c r="Y2813" i="1" s="1"/>
  <c r="Z2813" i="1" s="1"/>
  <c r="V2830" i="1"/>
  <c r="V2897" i="1"/>
  <c r="V2943" i="1"/>
  <c r="W2988" i="1"/>
  <c r="X2988" i="1" s="1"/>
  <c r="Y2988" i="1" s="1"/>
  <c r="Z2988" i="1" s="1"/>
  <c r="V2988" i="1"/>
  <c r="U2988" i="1"/>
  <c r="T2988" i="1"/>
  <c r="U3015" i="1"/>
  <c r="T3015" i="1"/>
  <c r="W3019" i="1"/>
  <c r="X3019" i="1" s="1"/>
  <c r="Y3019" i="1" s="1"/>
  <c r="Z3019" i="1" s="1"/>
  <c r="V3019" i="1"/>
  <c r="W3036" i="1"/>
  <c r="X3036" i="1" s="1"/>
  <c r="Y3036" i="1" s="1"/>
  <c r="Z3036" i="1" s="1"/>
  <c r="T3036" i="1"/>
  <c r="T3110" i="1"/>
  <c r="U2816" i="1"/>
  <c r="T2816" i="1"/>
  <c r="W2825" i="1"/>
  <c r="X2825" i="1" s="1"/>
  <c r="Y2825" i="1" s="1"/>
  <c r="Z2825" i="1" s="1"/>
  <c r="U2825" i="1"/>
  <c r="U2891" i="1"/>
  <c r="V2891" i="1"/>
  <c r="T2891" i="1"/>
  <c r="W2915" i="1"/>
  <c r="X2915" i="1" s="1"/>
  <c r="Y2915" i="1" s="1"/>
  <c r="Z2915" i="1" s="1"/>
  <c r="V2915" i="1"/>
  <c r="U2915" i="1"/>
  <c r="U2968" i="1"/>
  <c r="W2968" i="1"/>
  <c r="X2968" i="1" s="1"/>
  <c r="Y2968" i="1" s="1"/>
  <c r="Z2968" i="1" s="1"/>
  <c r="V2968" i="1"/>
  <c r="V3110" i="1"/>
  <c r="W3119" i="1"/>
  <c r="X3119" i="1" s="1"/>
  <c r="Y3119" i="1" s="1"/>
  <c r="Z3119" i="1" s="1"/>
  <c r="V3119" i="1"/>
  <c r="U3119" i="1"/>
  <c r="T3119" i="1"/>
  <c r="V2816" i="1"/>
  <c r="T2825" i="1"/>
  <c r="T2877" i="1"/>
  <c r="W2891" i="1"/>
  <c r="X2891" i="1" s="1"/>
  <c r="Y2891" i="1" s="1"/>
  <c r="Z2891" i="1" s="1"/>
  <c r="W2912" i="1"/>
  <c r="X2912" i="1" s="1"/>
  <c r="Y2912" i="1" s="1"/>
  <c r="Z2912" i="1" s="1"/>
  <c r="T2912" i="1"/>
  <c r="T2915" i="1"/>
  <c r="T2921" i="1"/>
  <c r="V2930" i="1"/>
  <c r="W2930" i="1"/>
  <c r="X2930" i="1" s="1"/>
  <c r="Y2930" i="1" s="1"/>
  <c r="Z2930" i="1" s="1"/>
  <c r="U2930" i="1"/>
  <c r="T2930" i="1"/>
  <c r="T2937" i="1"/>
  <c r="V2951" i="1"/>
  <c r="U2951" i="1"/>
  <c r="T2951" i="1"/>
  <c r="W2951" i="1"/>
  <c r="X2951" i="1" s="1"/>
  <c r="Y2951" i="1" s="1"/>
  <c r="Z2951" i="1" s="1"/>
  <c r="W2958" i="1"/>
  <c r="X2958" i="1" s="1"/>
  <c r="Y2958" i="1" s="1"/>
  <c r="Z2958" i="1" s="1"/>
  <c r="V2958" i="1"/>
  <c r="U2958" i="1"/>
  <c r="T2968" i="1"/>
  <c r="W2996" i="1"/>
  <c r="X2996" i="1" s="1"/>
  <c r="Y2996" i="1" s="1"/>
  <c r="Z2996" i="1" s="1"/>
  <c r="T2996" i="1"/>
  <c r="V2996" i="1"/>
  <c r="U2996" i="1"/>
  <c r="T3030" i="1"/>
  <c r="W3110" i="1"/>
  <c r="X3110" i="1" s="1"/>
  <c r="Y3110" i="1" s="1"/>
  <c r="Z3110" i="1" s="1"/>
  <c r="W2947" i="1"/>
  <c r="X2947" i="1" s="1"/>
  <c r="Y2947" i="1" s="1"/>
  <c r="Z2947" i="1" s="1"/>
  <c r="V2947" i="1"/>
  <c r="T3013" i="1"/>
  <c r="W3013" i="1"/>
  <c r="X3013" i="1" s="1"/>
  <c r="Y3013" i="1" s="1"/>
  <c r="Z3013" i="1" s="1"/>
  <c r="W3023" i="1"/>
  <c r="X3023" i="1" s="1"/>
  <c r="Y3023" i="1" s="1"/>
  <c r="Z3023" i="1" s="1"/>
  <c r="U3023" i="1"/>
  <c r="T3023" i="1"/>
  <c r="W3043" i="1"/>
  <c r="X3043" i="1" s="1"/>
  <c r="Y3043" i="1" s="1"/>
  <c r="Z3043" i="1" s="1"/>
  <c r="T3043" i="1"/>
  <c r="U3043" i="1"/>
  <c r="W3123" i="1"/>
  <c r="X3123" i="1" s="1"/>
  <c r="Y3123" i="1" s="1"/>
  <c r="Z3123" i="1" s="1"/>
  <c r="V3123" i="1"/>
  <c r="U3123" i="1"/>
  <c r="T3123" i="1"/>
  <c r="V3134" i="1"/>
  <c r="W3134" i="1"/>
  <c r="X3134" i="1" s="1"/>
  <c r="Y3134" i="1" s="1"/>
  <c r="Z3134" i="1" s="1"/>
  <c r="U3134" i="1"/>
  <c r="U3142" i="1"/>
  <c r="T3142" i="1"/>
  <c r="W3142" i="1"/>
  <c r="X3142" i="1" s="1"/>
  <c r="Y3142" i="1" s="1"/>
  <c r="Z3142" i="1" s="1"/>
  <c r="V3142" i="1"/>
  <c r="U2997" i="1"/>
  <c r="W2997" i="1"/>
  <c r="X2997" i="1" s="1"/>
  <c r="Y2997" i="1" s="1"/>
  <c r="Z2997" i="1" s="1"/>
  <c r="T2997" i="1"/>
  <c r="W3109" i="1"/>
  <c r="X3109" i="1" s="1"/>
  <c r="Y3109" i="1" s="1"/>
  <c r="Z3109" i="1" s="1"/>
  <c r="V3109" i="1"/>
  <c r="U3109" i="1"/>
  <c r="T3109" i="1"/>
  <c r="U2896" i="1"/>
  <c r="T2896" i="1"/>
  <c r="U2936" i="1"/>
  <c r="T2936" i="1"/>
  <c r="V2954" i="1"/>
  <c r="T2954" i="1"/>
  <c r="W2960" i="1"/>
  <c r="X2960" i="1" s="1"/>
  <c r="Y2960" i="1" s="1"/>
  <c r="Z2960" i="1" s="1"/>
  <c r="V2960" i="1"/>
  <c r="U2960" i="1"/>
  <c r="T2960" i="1"/>
  <c r="V2997" i="1"/>
  <c r="W3017" i="1"/>
  <c r="X3017" i="1" s="1"/>
  <c r="Y3017" i="1" s="1"/>
  <c r="Z3017" i="1" s="1"/>
  <c r="U3017" i="1"/>
  <c r="T3017" i="1"/>
  <c r="T3044" i="1"/>
  <c r="W3058" i="1"/>
  <c r="X3058" i="1" s="1"/>
  <c r="Y3058" i="1" s="1"/>
  <c r="Z3058" i="1" s="1"/>
  <c r="V3058" i="1"/>
  <c r="U3058" i="1"/>
  <c r="T3058" i="1"/>
  <c r="T3068" i="1"/>
  <c r="V3121" i="1"/>
  <c r="W3121" i="1"/>
  <c r="X3121" i="1" s="1"/>
  <c r="Y3121" i="1" s="1"/>
  <c r="Z3121" i="1" s="1"/>
  <c r="U3121" i="1"/>
  <c r="T3121" i="1"/>
  <c r="U2846" i="1"/>
  <c r="U2852" i="1"/>
  <c r="W2896" i="1"/>
  <c r="X2896" i="1" s="1"/>
  <c r="Y2896" i="1" s="1"/>
  <c r="Z2896" i="1" s="1"/>
  <c r="V2905" i="1"/>
  <c r="U2905" i="1"/>
  <c r="T2905" i="1"/>
  <c r="W2936" i="1"/>
  <c r="X2936" i="1" s="1"/>
  <c r="Y2936" i="1" s="1"/>
  <c r="Z2936" i="1" s="1"/>
  <c r="W2954" i="1"/>
  <c r="X2954" i="1" s="1"/>
  <c r="Y2954" i="1" s="1"/>
  <c r="Z2954" i="1" s="1"/>
  <c r="W3037" i="1"/>
  <c r="X3037" i="1" s="1"/>
  <c r="Y3037" i="1" s="1"/>
  <c r="Z3037" i="1" s="1"/>
  <c r="V3037" i="1"/>
  <c r="U3037" i="1"/>
  <c r="T3037" i="1"/>
  <c r="W3041" i="1"/>
  <c r="X3041" i="1" s="1"/>
  <c r="Y3041" i="1" s="1"/>
  <c r="Z3041" i="1" s="1"/>
  <c r="V3041" i="1"/>
  <c r="V3044" i="1"/>
  <c r="V3068" i="1"/>
  <c r="U3143" i="1"/>
  <c r="V2846" i="1"/>
  <c r="V2852" i="1"/>
  <c r="T2887" i="1"/>
  <c r="U2887" i="1"/>
  <c r="W2905" i="1"/>
  <c r="X2905" i="1" s="1"/>
  <c r="Y2905" i="1" s="1"/>
  <c r="Z2905" i="1" s="1"/>
  <c r="T2913" i="1"/>
  <c r="U2916" i="1"/>
  <c r="T2916" i="1"/>
  <c r="V2916" i="1"/>
  <c r="W2972" i="1"/>
  <c r="X2972" i="1" s="1"/>
  <c r="Y2972" i="1" s="1"/>
  <c r="Z2972" i="1" s="1"/>
  <c r="V2972" i="1"/>
  <c r="U2972" i="1"/>
  <c r="T2981" i="1"/>
  <c r="V2994" i="1"/>
  <c r="W2994" i="1"/>
  <c r="X2994" i="1" s="1"/>
  <c r="Y2994" i="1" s="1"/>
  <c r="Z2994" i="1" s="1"/>
  <c r="U2994" i="1"/>
  <c r="T3041" i="1"/>
  <c r="V3143" i="1"/>
  <c r="W2978" i="1"/>
  <c r="X2978" i="1" s="1"/>
  <c r="Y2978" i="1" s="1"/>
  <c r="Z2978" i="1" s="1"/>
  <c r="V2978" i="1"/>
  <c r="U2978" i="1"/>
  <c r="W2998" i="1"/>
  <c r="X2998" i="1" s="1"/>
  <c r="Y2998" i="1" s="1"/>
  <c r="Z2998" i="1" s="1"/>
  <c r="V2998" i="1"/>
  <c r="U2998" i="1"/>
  <c r="V3008" i="1"/>
  <c r="U3008" i="1"/>
  <c r="W3079" i="1"/>
  <c r="X3079" i="1" s="1"/>
  <c r="Y3079" i="1" s="1"/>
  <c r="Z3079" i="1" s="1"/>
  <c r="T3079" i="1"/>
  <c r="V3079" i="1"/>
  <c r="U3079" i="1"/>
  <c r="W3092" i="1"/>
  <c r="X3092" i="1" s="1"/>
  <c r="Y3092" i="1" s="1"/>
  <c r="Z3092" i="1" s="1"/>
  <c r="V3092" i="1"/>
  <c r="U3092" i="1"/>
  <c r="W3128" i="1"/>
  <c r="X3128" i="1" s="1"/>
  <c r="Y3128" i="1" s="1"/>
  <c r="Z3128" i="1" s="1"/>
  <c r="V3128" i="1"/>
  <c r="U3128" i="1"/>
  <c r="W2903" i="1"/>
  <c r="X2903" i="1" s="1"/>
  <c r="Y2903" i="1" s="1"/>
  <c r="Z2903" i="1" s="1"/>
  <c r="V2903" i="1"/>
  <c r="W2934" i="1"/>
  <c r="X2934" i="1" s="1"/>
  <c r="Y2934" i="1" s="1"/>
  <c r="Z2934" i="1" s="1"/>
  <c r="V2934" i="1"/>
  <c r="U2934" i="1"/>
  <c r="T2978" i="1"/>
  <c r="T2998" i="1"/>
  <c r="T3008" i="1"/>
  <c r="T3065" i="1"/>
  <c r="T3092" i="1"/>
  <c r="T3128" i="1"/>
  <c r="V3031" i="1"/>
  <c r="U3031" i="1"/>
  <c r="T3031" i="1"/>
  <c r="V3111" i="1"/>
  <c r="U3111" i="1"/>
  <c r="T3111" i="1"/>
  <c r="W3111" i="1"/>
  <c r="X3111" i="1" s="1"/>
  <c r="Y3111" i="1" s="1"/>
  <c r="Z3111" i="1" s="1"/>
  <c r="W2987" i="1"/>
  <c r="X2987" i="1" s="1"/>
  <c r="Y2987" i="1" s="1"/>
  <c r="Z2987" i="1" s="1"/>
  <c r="V2987" i="1"/>
  <c r="V3014" i="1"/>
  <c r="W3014" i="1"/>
  <c r="X3014" i="1" s="1"/>
  <c r="Y3014" i="1" s="1"/>
  <c r="Z3014" i="1" s="1"/>
  <c r="U3014" i="1"/>
  <c r="W3020" i="1"/>
  <c r="X3020" i="1" s="1"/>
  <c r="Y3020" i="1" s="1"/>
  <c r="Z3020" i="1" s="1"/>
  <c r="V3020" i="1"/>
  <c r="U3020" i="1"/>
  <c r="T3020" i="1"/>
  <c r="W3031" i="1"/>
  <c r="X3031" i="1" s="1"/>
  <c r="Y3031" i="1" s="1"/>
  <c r="Z3031" i="1" s="1"/>
  <c r="U3093" i="1"/>
  <c r="W3061" i="1"/>
  <c r="X3061" i="1" s="1"/>
  <c r="Y3061" i="1" s="1"/>
  <c r="Z3061" i="1" s="1"/>
  <c r="T3061" i="1"/>
  <c r="W3067" i="1"/>
  <c r="X3067" i="1" s="1"/>
  <c r="Y3067" i="1" s="1"/>
  <c r="Z3067" i="1" s="1"/>
  <c r="V3067" i="1"/>
  <c r="T3073" i="1"/>
  <c r="W3073" i="1"/>
  <c r="X3073" i="1" s="1"/>
  <c r="Y3073" i="1" s="1"/>
  <c r="Z3073" i="1" s="1"/>
  <c r="V3093" i="1"/>
  <c r="U3125" i="1"/>
  <c r="W3125" i="1"/>
  <c r="X3125" i="1" s="1"/>
  <c r="Y3125" i="1" s="1"/>
  <c r="Z3125" i="1" s="1"/>
  <c r="V2991" i="1"/>
  <c r="U2991" i="1"/>
  <c r="T2991" i="1"/>
  <c r="W2991" i="1"/>
  <c r="X2991" i="1" s="1"/>
  <c r="Y2991" i="1" s="1"/>
  <c r="Z2991" i="1" s="1"/>
  <c r="U3046" i="1"/>
  <c r="U3052" i="1"/>
  <c r="V3055" i="1"/>
  <c r="U3055" i="1"/>
  <c r="T3055" i="1"/>
  <c r="V3061" i="1"/>
  <c r="U3067" i="1"/>
  <c r="V3073" i="1"/>
  <c r="V3125" i="1"/>
  <c r="U2876" i="1"/>
  <c r="T2876" i="1"/>
  <c r="U2965" i="1"/>
  <c r="V2965" i="1"/>
  <c r="T2965" i="1"/>
  <c r="W3055" i="1"/>
  <c r="X3055" i="1" s="1"/>
  <c r="Y3055" i="1" s="1"/>
  <c r="Z3055" i="1" s="1"/>
  <c r="W3076" i="1"/>
  <c r="X3076" i="1" s="1"/>
  <c r="Y3076" i="1" s="1"/>
  <c r="Z3076" i="1" s="1"/>
  <c r="T3076" i="1"/>
  <c r="V3076" i="1"/>
  <c r="U3085" i="1"/>
  <c r="T3085" i="1"/>
  <c r="W3129" i="1"/>
  <c r="X3129" i="1" s="1"/>
  <c r="Y3129" i="1" s="1"/>
  <c r="Z3129" i="1" s="1"/>
  <c r="V3129" i="1"/>
  <c r="U3129" i="1"/>
  <c r="T3129" i="1"/>
  <c r="T3132" i="1"/>
  <c r="T3135" i="1"/>
  <c r="U2985" i="1"/>
  <c r="W2985" i="1"/>
  <c r="X2985" i="1" s="1"/>
  <c r="Y2985" i="1" s="1"/>
  <c r="Z2985" i="1" s="1"/>
  <c r="V2985" i="1"/>
  <c r="W3103" i="1"/>
  <c r="X3103" i="1" s="1"/>
  <c r="Y3103" i="1" s="1"/>
  <c r="Z3103" i="1" s="1"/>
  <c r="U3103" i="1"/>
  <c r="V3103" i="1"/>
  <c r="T3103" i="1"/>
  <c r="W3118" i="1"/>
  <c r="X3118" i="1" s="1"/>
  <c r="Y3118" i="1" s="1"/>
  <c r="Z3118" i="1" s="1"/>
  <c r="V3118" i="1"/>
  <c r="U3118" i="1"/>
  <c r="V3132" i="1"/>
  <c r="W3135" i="1"/>
  <c r="X3135" i="1" s="1"/>
  <c r="Y3135" i="1" s="1"/>
  <c r="Z3135" i="1" s="1"/>
  <c r="W2923" i="1"/>
  <c r="X2923" i="1" s="1"/>
  <c r="Y2923" i="1" s="1"/>
  <c r="Z2923" i="1" s="1"/>
  <c r="V2923" i="1"/>
  <c r="T2985" i="1"/>
  <c r="T3021" i="1"/>
  <c r="W3029" i="1"/>
  <c r="X3029" i="1" s="1"/>
  <c r="Y3029" i="1" s="1"/>
  <c r="Z3029" i="1" s="1"/>
  <c r="V3029" i="1"/>
  <c r="U3029" i="1"/>
  <c r="T3029" i="1"/>
  <c r="V3091" i="1"/>
  <c r="U3091" i="1"/>
  <c r="T3091" i="1"/>
  <c r="T3097" i="1"/>
  <c r="W3100" i="1"/>
  <c r="X3100" i="1" s="1"/>
  <c r="Y3100" i="1" s="1"/>
  <c r="Z3100" i="1" s="1"/>
  <c r="V3100" i="1"/>
  <c r="U3100" i="1"/>
  <c r="T3100" i="1"/>
  <c r="T3118" i="1"/>
  <c r="V3034" i="1"/>
  <c r="W3034" i="1"/>
  <c r="X3034" i="1" s="1"/>
  <c r="Y3034" i="1" s="1"/>
  <c r="Z3034" i="1" s="1"/>
  <c r="U3034" i="1"/>
  <c r="V3131" i="1"/>
  <c r="U3131" i="1"/>
  <c r="T3131" i="1"/>
  <c r="W3131" i="1"/>
  <c r="X3131" i="1" s="1"/>
  <c r="Y3131" i="1" s="1"/>
  <c r="Z3131" i="1" s="1"/>
  <c r="V2975" i="1"/>
  <c r="W3009" i="1"/>
  <c r="X3009" i="1" s="1"/>
  <c r="Y3009" i="1" s="1"/>
  <c r="Z3009" i="1" s="1"/>
  <c r="V3009" i="1"/>
  <c r="U3009" i="1"/>
  <c r="T3009" i="1"/>
  <c r="V3084" i="1"/>
  <c r="W3126" i="1"/>
  <c r="X3126" i="1" s="1"/>
  <c r="Y3126" i="1" s="1"/>
  <c r="Z3126" i="1" s="1"/>
  <c r="V3126" i="1"/>
  <c r="U2970" i="1"/>
  <c r="T2970" i="1"/>
  <c r="V3032" i="1"/>
  <c r="U3032" i="1"/>
  <c r="T3032" i="1"/>
  <c r="W3048" i="1"/>
  <c r="X3048" i="1" s="1"/>
  <c r="Y3048" i="1" s="1"/>
  <c r="Z3048" i="1" s="1"/>
  <c r="V3048" i="1"/>
  <c r="U3048" i="1"/>
  <c r="V3051" i="1"/>
  <c r="U3051" i="1"/>
  <c r="T3051" i="1"/>
  <c r="T3126" i="1"/>
  <c r="T2944" i="1"/>
  <c r="V2970" i="1"/>
  <c r="U2973" i="1"/>
  <c r="W3032" i="1"/>
  <c r="X3032" i="1" s="1"/>
  <c r="Y3032" i="1" s="1"/>
  <c r="Z3032" i="1" s="1"/>
  <c r="W3040" i="1"/>
  <c r="X3040" i="1" s="1"/>
  <c r="Y3040" i="1" s="1"/>
  <c r="Z3040" i="1" s="1"/>
  <c r="V3040" i="1"/>
  <c r="U3040" i="1"/>
  <c r="T3040" i="1"/>
  <c r="T3048" i="1"/>
  <c r="W3051" i="1"/>
  <c r="X3051" i="1" s="1"/>
  <c r="Y3051" i="1" s="1"/>
  <c r="Z3051" i="1" s="1"/>
  <c r="T3059" i="1"/>
  <c r="W3087" i="1"/>
  <c r="X3087" i="1" s="1"/>
  <c r="Y3087" i="1" s="1"/>
  <c r="Z3087" i="1" s="1"/>
  <c r="V3087" i="1"/>
  <c r="U3087" i="1"/>
  <c r="U3126" i="1"/>
  <c r="W2967" i="1"/>
  <c r="X2967" i="1" s="1"/>
  <c r="Y2967" i="1" s="1"/>
  <c r="Z2967" i="1" s="1"/>
  <c r="V2967" i="1"/>
  <c r="V3011" i="1"/>
  <c r="U3011" i="1"/>
  <c r="T3011" i="1"/>
  <c r="V3071" i="1"/>
  <c r="U3071" i="1"/>
  <c r="T3071" i="1"/>
  <c r="W3018" i="1"/>
  <c r="X3018" i="1" s="1"/>
  <c r="Y3018" i="1" s="1"/>
  <c r="Z3018" i="1" s="1"/>
  <c r="V3018" i="1"/>
  <c r="U3018" i="1"/>
  <c r="V3064" i="1"/>
  <c r="W3078" i="1"/>
  <c r="X3078" i="1" s="1"/>
  <c r="Y3078" i="1" s="1"/>
  <c r="Z3078" i="1" s="1"/>
  <c r="V3078" i="1"/>
  <c r="U3078" i="1"/>
  <c r="W3147" i="1"/>
  <c r="X3147" i="1" s="1"/>
  <c r="Y3147" i="1" s="1"/>
  <c r="Z3147" i="1" s="1"/>
  <c r="V3147" i="1"/>
  <c r="V2938" i="1"/>
  <c r="U2938" i="1"/>
  <c r="W2956" i="1"/>
  <c r="X2956" i="1" s="1"/>
  <c r="Y2956" i="1" s="1"/>
  <c r="Z2956" i="1" s="1"/>
  <c r="T2956" i="1"/>
  <c r="T3018" i="1"/>
  <c r="T3078" i="1"/>
  <c r="T3147" i="1"/>
  <c r="T2938" i="1"/>
  <c r="U2956" i="1"/>
  <c r="V2993" i="1"/>
  <c r="W3000" i="1"/>
  <c r="X3000" i="1" s="1"/>
  <c r="Y3000" i="1" s="1"/>
  <c r="Z3000" i="1" s="1"/>
  <c r="V3000" i="1"/>
  <c r="U3000" i="1"/>
  <c r="T3000" i="1"/>
  <c r="U3053" i="1"/>
  <c r="U3113" i="1"/>
  <c r="W3138" i="1"/>
  <c r="X3138" i="1" s="1"/>
  <c r="Y3138" i="1" s="1"/>
  <c r="Z3138" i="1" s="1"/>
  <c r="V3138" i="1"/>
  <c r="U3138" i="1"/>
  <c r="U3147" i="1"/>
  <c r="T2942" i="1"/>
  <c r="T2962" i="1"/>
  <c r="T2982" i="1"/>
  <c r="T3002" i="1"/>
  <c r="T3022" i="1"/>
  <c r="T3042" i="1"/>
  <c r="T3062" i="1"/>
  <c r="T3082" i="1"/>
  <c r="T3102" i="1"/>
  <c r="W170" i="1" l="1"/>
  <c r="X170" i="1" s="1"/>
  <c r="Y170" i="1" s="1"/>
  <c r="Z170" i="1" s="1"/>
  <c r="W2" i="1"/>
  <c r="X2" i="1" s="1"/>
  <c r="Y2" i="1" s="1"/>
  <c r="Z2" i="1" s="1"/>
  <c r="W65" i="1"/>
  <c r="X65" i="1" s="1"/>
  <c r="Y65" i="1" s="1"/>
  <c r="Z65" i="1" s="1"/>
  <c r="W141" i="1"/>
  <c r="X141" i="1" s="1"/>
  <c r="Y141" i="1" s="1"/>
  <c r="Z141" i="1" s="1"/>
  <c r="W41" i="1"/>
  <c r="X41" i="1" s="1"/>
  <c r="Y41" i="1" s="1"/>
  <c r="Z41" i="1" s="1"/>
  <c r="W188" i="1"/>
  <c r="X188" i="1" s="1"/>
  <c r="Y188" i="1" s="1"/>
  <c r="Z188" i="1" s="1"/>
  <c r="W151" i="1"/>
  <c r="X151" i="1" s="1"/>
  <c r="Y151" i="1" s="1"/>
  <c r="Z151" i="1" s="1"/>
  <c r="W216" i="1"/>
  <c r="X216" i="1" s="1"/>
  <c r="Y216" i="1" s="1"/>
  <c r="Z216" i="1" s="1"/>
  <c r="W23" i="1"/>
  <c r="X23" i="1" s="1"/>
  <c r="Y23" i="1" s="1"/>
  <c r="Z23" i="1" s="1"/>
  <c r="W205" i="1"/>
  <c r="X205" i="1" s="1"/>
  <c r="Y205" i="1" s="1"/>
  <c r="Z205" i="1" s="1"/>
  <c r="W48" i="1"/>
  <c r="X48" i="1" s="1"/>
  <c r="Y48" i="1" s="1"/>
  <c r="Z48" i="1" s="1"/>
  <c r="W130" i="1"/>
  <c r="X130" i="1" s="1"/>
  <c r="Y130" i="1" s="1"/>
  <c r="Z130" i="1" s="1"/>
  <c r="W70" i="1"/>
  <c r="X70" i="1" s="1"/>
  <c r="Y70" i="1" s="1"/>
  <c r="Z70" i="1" s="1"/>
  <c r="W144" i="1"/>
  <c r="X144" i="1" s="1"/>
  <c r="Y144" i="1" s="1"/>
  <c r="Z144" i="1" s="1"/>
  <c r="W26" i="1"/>
  <c r="X26" i="1" s="1"/>
  <c r="Y26" i="1" s="1"/>
  <c r="Z26" i="1" s="1"/>
  <c r="W91" i="1"/>
  <c r="X91" i="1" s="1"/>
  <c r="Y91" i="1" s="1"/>
  <c r="Z91" i="1" s="1"/>
  <c r="W40" i="1"/>
  <c r="X40" i="1" s="1"/>
  <c r="Y40" i="1" s="1"/>
  <c r="Z40" i="1" s="1"/>
  <c r="W100" i="1"/>
  <c r="X100" i="1" s="1"/>
  <c r="Y100" i="1" s="1"/>
  <c r="Z100" i="1" s="1"/>
  <c r="W110" i="1"/>
  <c r="X110" i="1" s="1"/>
  <c r="Y110" i="1" s="1"/>
  <c r="Z110" i="1" s="1"/>
  <c r="W225" i="1"/>
  <c r="X225" i="1" s="1"/>
  <c r="Y225" i="1" s="1"/>
  <c r="Z225" i="1" s="1"/>
  <c r="W93" i="1"/>
  <c r="X93" i="1" s="1"/>
  <c r="Y93" i="1" s="1"/>
  <c r="Z93" i="1" s="1"/>
  <c r="W7" i="1"/>
  <c r="X7" i="1" s="1"/>
  <c r="Y7" i="1" s="1"/>
  <c r="Z7" i="1" s="1"/>
  <c r="W46" i="1"/>
  <c r="X46" i="1" s="1"/>
  <c r="Y46" i="1" s="1"/>
  <c r="Z46" i="1" s="1"/>
  <c r="W150" i="1"/>
  <c r="X150" i="1" s="1"/>
  <c r="Y150" i="1" s="1"/>
  <c r="Z150" i="1" s="1"/>
  <c r="W174" i="1"/>
  <c r="X174" i="1" s="1"/>
  <c r="Y174" i="1" s="1"/>
  <c r="Z174" i="1" s="1"/>
  <c r="W92" i="1"/>
  <c r="X92" i="1" s="1"/>
  <c r="Y92" i="1" s="1"/>
  <c r="Z92" i="1" s="1"/>
  <c r="W102" i="1"/>
  <c r="X102" i="1" s="1"/>
  <c r="Y102" i="1" s="1"/>
  <c r="Z102" i="1" s="1"/>
  <c r="W234" i="1"/>
  <c r="X234" i="1" s="1"/>
  <c r="Y234" i="1" s="1"/>
  <c r="Z234" i="1" s="1"/>
  <c r="W136" i="1"/>
  <c r="X136" i="1" s="1"/>
  <c r="Y136" i="1" s="1"/>
  <c r="Z136" i="1" s="1"/>
  <c r="W201" i="1"/>
  <c r="X201" i="1" s="1"/>
  <c r="Y201" i="1" s="1"/>
  <c r="Z201" i="1" s="1"/>
  <c r="W19" i="1"/>
  <c r="X19" i="1" s="1"/>
  <c r="Y19" i="1" s="1"/>
  <c r="Z19" i="1" s="1"/>
  <c r="W16" i="1"/>
  <c r="X16" i="1" s="1"/>
  <c r="Y16" i="1" s="1"/>
  <c r="Z16" i="1" s="1"/>
  <c r="W142" i="1"/>
  <c r="X142" i="1" s="1"/>
  <c r="Y142" i="1" s="1"/>
  <c r="Z142" i="1" s="1"/>
  <c r="W223" i="1"/>
  <c r="X223" i="1" s="1"/>
  <c r="Y223" i="1" s="1"/>
  <c r="Z223" i="1" s="1"/>
  <c r="W153" i="1"/>
  <c r="X153" i="1" s="1"/>
  <c r="Y153" i="1" s="1"/>
  <c r="Z153" i="1" s="1"/>
  <c r="W190" i="1"/>
  <c r="X190" i="1" s="1"/>
  <c r="Y190" i="1" s="1"/>
  <c r="Z190" i="1" s="1"/>
  <c r="W125" i="1"/>
  <c r="X125" i="1" s="1"/>
  <c r="Y125" i="1" s="1"/>
  <c r="Z125" i="1" s="1"/>
  <c r="W49" i="1"/>
  <c r="X49" i="1" s="1"/>
  <c r="Y49" i="1" s="1"/>
  <c r="Z49" i="1" s="1"/>
  <c r="W9" i="1"/>
  <c r="X9" i="1" s="1"/>
  <c r="Y9" i="1" s="1"/>
  <c r="Z9" i="1" s="1"/>
  <c r="W117" i="1"/>
  <c r="X117" i="1" s="1"/>
  <c r="Y117" i="1" s="1"/>
  <c r="Z117" i="1" s="1"/>
  <c r="W200" i="1"/>
  <c r="X200" i="1" s="1"/>
  <c r="Y200" i="1" s="1"/>
  <c r="Z200" i="1" s="1"/>
  <c r="W84" i="1"/>
  <c r="X84" i="1" s="1"/>
  <c r="Y84" i="1" s="1"/>
  <c r="Z84" i="1" s="1"/>
  <c r="W42" i="1"/>
  <c r="X42" i="1" s="1"/>
  <c r="Y42" i="1" s="1"/>
  <c r="Z42" i="1" s="1"/>
  <c r="W160" i="1"/>
  <c r="X160" i="1" s="1"/>
  <c r="Y160" i="1" s="1"/>
  <c r="Z160" i="1" s="1"/>
  <c r="W147" i="1"/>
  <c r="X147" i="1" s="1"/>
  <c r="Y147" i="1" s="1"/>
  <c r="Z147" i="1" s="1"/>
  <c r="W76" i="1"/>
  <c r="X76" i="1" s="1"/>
  <c r="Y76" i="1" s="1"/>
  <c r="Z76" i="1" s="1"/>
  <c r="W221" i="1"/>
  <c r="X221" i="1" s="1"/>
  <c r="Y221" i="1" s="1"/>
  <c r="Z221" i="1" s="1"/>
  <c r="W85" i="1"/>
  <c r="X85" i="1" s="1"/>
  <c r="Y85" i="1" s="1"/>
  <c r="Z85" i="1" s="1"/>
  <c r="B53" i="1"/>
  <c r="B29" i="1"/>
  <c r="C53" i="1" l="1"/>
  <c r="B55" i="1"/>
  <c r="C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tc={500540C7-31E0-4A8A-8043-5316D3A928BC}</author>
  </authors>
  <commentList>
    <comment ref="B12" authorId="0" shapeId="0" xr:uid="{500540C7-31E0-4A8A-8043-5316D3A928BC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 industrial electricity price, https://www.eia.gov/electricity/monthly/epm_table_grapher.php?t=epmt_5_3</t>
      </text>
    </comment>
  </commentList>
</comments>
</file>

<file path=xl/sharedStrings.xml><?xml version="1.0" encoding="utf-8"?>
<sst xmlns="http://schemas.openxmlformats.org/spreadsheetml/2006/main" count="90" uniqueCount="83">
  <si>
    <t>LCOH (Real) Calculation</t>
  </si>
  <si>
    <t>Biomass Cost</t>
  </si>
  <si>
    <t>MC</t>
  </si>
  <si>
    <t>Dry tons needed</t>
  </si>
  <si>
    <t>Variable Fuel Cost</t>
  </si>
  <si>
    <t>Fuel $/kg Co2</t>
  </si>
  <si>
    <t>Total LCOH (no T&amp;S)</t>
  </si>
  <si>
    <t>CO2 T&amp;S cost ($2023/tCO2)</t>
  </si>
  <si>
    <t>CO2 T&amp;S cost ($2022/kg H2)</t>
  </si>
  <si>
    <t>Total LCOH</t>
  </si>
  <si>
    <t>Rev4 Fixed Charge Factors</t>
  </si>
  <si>
    <t>FCR</t>
  </si>
  <si>
    <t>TASC/TOC</t>
  </si>
  <si>
    <t>Financial Type</t>
  </si>
  <si>
    <t>LCOE Capital component = FCR * TASC/TOC * TOC</t>
  </si>
  <si>
    <t>IOU 3-year Fixed Charge Rate (NGCC/NG Reforming)</t>
  </si>
  <si>
    <t>(33-yr IOU)</t>
  </si>
  <si>
    <t>FCR's and TASC/TOC factors are from Rev3 (September 2019 version) of the Cost Estimating Methodology QGESS; they assume plant startup in 2023, and values are in the real dollar years of TOC and O&amp;M (i.e. 2018$).</t>
  </si>
  <si>
    <t>IOU 5-year Fixed Charge Rate (PC/IGCC/Coal Gasification)</t>
  </si>
  <si>
    <t>(35-yr IOU)</t>
  </si>
  <si>
    <t>Rev4 Fuel Costs (2018 cost in 2018 dollars)</t>
  </si>
  <si>
    <t xml:space="preserve">   Illinois No. 6 Coal Delivered to Midwest</t>
  </si>
  <si>
    <t>$/MMBtu</t>
  </si>
  <si>
    <t>$/ton</t>
  </si>
  <si>
    <t>These fuel prices are from the January 2019 version update of the Fuel Pricing QGESS provided by Gavin Pickenpaugh. They will be referred to as only 2018$ fuel costs.</t>
  </si>
  <si>
    <t xml:space="preserve">   Natural Gas Delivered to Midwest</t>
  </si>
  <si>
    <t xml:space="preserve">   Woody Biomass (Torrefied) Delivered to East Texas</t>
  </si>
  <si>
    <t>This price is a calculated levelized price based on the reference price of delivered SYP (torrefied) provided in the report "Comprehensive Analysis of Coal and Biomass Conversion to Jet Fuel: Oxygen Blown, Transport Reactor Integrated Gasifier (TRIG) and Fischer-Tropsch (F-T) Catalyst Configurations," NETL, 2014. The price has been escalated from 2007$ to 2018$</t>
  </si>
  <si>
    <t xml:space="preserve">   Woody Biomass (Raw)</t>
  </si>
  <si>
    <t>Rev4 Other Costs (2018 cost in 2018 dollars)</t>
  </si>
  <si>
    <t>CO₂ T&amp;S in Texas to East Texas Basin</t>
  </si>
  <si>
    <t>$/tonne CO₂</t>
  </si>
  <si>
    <t>T&amp;S cost is from the August 2019 update to the T&amp;S QGESS, using the final LCOE Financial Parameters/Methodology, and reported in 2018$.</t>
  </si>
  <si>
    <t>Grid Electricity US Average</t>
  </si>
  <si>
    <t>$/MWh</t>
  </si>
  <si>
    <t>Export Steam</t>
  </si>
  <si>
    <t>Case</t>
  </si>
  <si>
    <t>Biomass Gasification Net-Zero Scenario</t>
  </si>
  <si>
    <t>Case Description</t>
  </si>
  <si>
    <t>Capacity Factor (%)</t>
  </si>
  <si>
    <t>Total Over Night Cost, $/1,000</t>
  </si>
  <si>
    <t>Total Over Night Cost, $M</t>
  </si>
  <si>
    <t>Tons per year</t>
  </si>
  <si>
    <t>Fuel Consumption, TPD or MMBtu/day</t>
  </si>
  <si>
    <t>First Year Fuel Cost, $ (100% CF)</t>
  </si>
  <si>
    <t>First Year Fixed O&amp;M Cost, $</t>
  </si>
  <si>
    <t>First Year Variable O&amp;M Cost, $ (100% CF)</t>
  </si>
  <si>
    <t>Gross Plant Output, kW</t>
  </si>
  <si>
    <r>
      <t>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Production Rate, 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/day</t>
    </r>
  </si>
  <si>
    <r>
      <t>Annual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Production, 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(100%)</t>
    </r>
  </si>
  <si>
    <r>
      <t>Rev4 Method for Rev4 LCOH; LCOH, $/kg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[No T&amp;S]</t>
    </r>
  </si>
  <si>
    <r>
      <t>BEC, $/[kg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/day]</t>
    </r>
  </si>
  <si>
    <r>
      <t>TPC, $/[kg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/day]</t>
    </r>
  </si>
  <si>
    <r>
      <t>TOC, $/[kg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/day]</t>
    </r>
  </si>
  <si>
    <r>
      <t>TASC, $/[kg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/day]</t>
    </r>
  </si>
  <si>
    <r>
      <t>Eng'g CM, H.O. &amp; Fee, $/[kg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/day]</t>
    </r>
  </si>
  <si>
    <t>Eng'g CM, H.O. &amp; Fee, % of TOC</t>
  </si>
  <si>
    <r>
      <t>Process Contingency, $/[kg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/day]</t>
    </r>
  </si>
  <si>
    <t>Process Contingency, % of TOC</t>
  </si>
  <si>
    <r>
      <t>Project Contingency, $/[kg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/day]</t>
    </r>
  </si>
  <si>
    <t>Project Contingency, % of TOC</t>
  </si>
  <si>
    <r>
      <t>Owner's Costs, $/[kg 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/day]</t>
    </r>
  </si>
  <si>
    <t>CO₂ T&amp;S, $/tonne CO₂</t>
  </si>
  <si>
    <t>CO₂ Captured, metric tons/hr</t>
  </si>
  <si>
    <t>metric tons/yr</t>
  </si>
  <si>
    <t>ratio of h2 to co2</t>
  </si>
  <si>
    <t>CO₂ Captured, million metric tons per year (100% CF)</t>
  </si>
  <si>
    <r>
      <t>CO₂ Emissions, lb/kg H</t>
    </r>
    <r>
      <rPr>
        <vertAlign val="subscript"/>
        <sz val="10"/>
        <color theme="1"/>
        <rFont val="Arial"/>
        <family val="2"/>
      </rPr>
      <t>2</t>
    </r>
  </si>
  <si>
    <t>Levelized Cost of Hydrogen</t>
  </si>
  <si>
    <r>
      <t>LCOH ($/kg H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</si>
  <si>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t>2018$</t>
  </si>
  <si>
    <t>2022$</t>
  </si>
  <si>
    <t>Capital</t>
  </si>
  <si>
    <t>Fixed O&amp;M</t>
  </si>
  <si>
    <t>Variable O&amp;M</t>
  </si>
  <si>
    <t>Fuel</t>
  </si>
  <si>
    <t>Total [excluding T&amp;S]</t>
  </si>
  <si>
    <t>CO₂ T&amp;S</t>
  </si>
  <si>
    <t>Total [including T&amp;S]</t>
  </si>
  <si>
    <t>2018 CPI</t>
  </si>
  <si>
    <t>2022 CPI</t>
  </si>
  <si>
    <t>2023 CPI</t>
  </si>
  <si>
    <t>https://www.minneapolisfed.org/about-us/monetary-policy/inflation-calculator/consumer-price-index-1913-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</si>
</sst>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"/>
    <numFmt numFmtId="166" formatCode="0.000"/>
    <numFmt numFmtId="167" formatCode="#,##0.0"/>
    <numFmt numFmtId="168" formatCode="&quot;$&quot;#,##0"/>
    <numFmt numFmtId="169" formatCode="_(* #,##0_);_(* \(#,##0\);_(* &quot;-&quot;??_);_(@_)"/>
    <numFmt numFmtId="170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vertAlign val="subscript"/>
      <sz val="10"/>
      <color theme="1"/>
      <name val="Arial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3" applyFont="1"/>
    <xf numFmtId="164" fontId="0" fillId="0" borderId="0" xfId="0" applyNumberFormat="1"/>
    <xf numFmtId="0" fontId="0" fillId="2" borderId="0" xfId="0" applyFill="1"/>
    <xf numFmtId="0" fontId="4" fillId="3" borderId="1" xfId="0" applyFont="1" applyFill="1" applyBorder="1"/>
    <xf numFmtId="0" fontId="4" fillId="3" borderId="2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0" xfId="0" applyFont="1" applyFill="1"/>
    <xf numFmtId="44" fontId="0" fillId="0" borderId="0" xfId="2" applyFont="1"/>
    <xf numFmtId="9" fontId="0" fillId="0" borderId="0" xfId="3" applyFont="1"/>
    <xf numFmtId="3" fontId="0" fillId="0" borderId="0" xfId="0" applyNumberFormat="1"/>
    <xf numFmtId="44" fontId="0" fillId="0" borderId="0" xfId="0" applyNumberFormat="1"/>
    <xf numFmtId="43" fontId="0" fillId="0" borderId="0" xfId="0" applyNumberFormat="1"/>
    <xf numFmtId="0" fontId="3" fillId="0" borderId="4" xfId="0" applyFont="1" applyBorder="1"/>
    <xf numFmtId="165" fontId="5" fillId="0" borderId="0" xfId="0" applyNumberFormat="1" applyFont="1"/>
    <xf numFmtId="166" fontId="5" fillId="0" borderId="0" xfId="0" applyNumberFormat="1" applyFont="1"/>
    <xf numFmtId="0" fontId="6" fillId="0" borderId="0" xfId="0" applyFont="1"/>
    <xf numFmtId="0" fontId="6" fillId="0" borderId="5" xfId="0" applyFont="1" applyBorder="1"/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3" borderId="2" xfId="0" applyFont="1" applyFill="1" applyBorder="1"/>
    <xf numFmtId="165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3" fillId="0" borderId="5" xfId="0" applyNumberFormat="1" applyFont="1" applyBorder="1" applyAlignment="1">
      <alignment horizontal="left"/>
    </xf>
    <xf numFmtId="0" fontId="3" fillId="0" borderId="6" xfId="0" applyFont="1" applyBorder="1"/>
    <xf numFmtId="4" fontId="5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left"/>
    </xf>
    <xf numFmtId="165" fontId="3" fillId="0" borderId="7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3" fillId="0" borderId="9" xfId="0" applyFont="1" applyBorder="1"/>
    <xf numFmtId="167" fontId="5" fillId="0" borderId="10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left"/>
    </xf>
    <xf numFmtId="165" fontId="3" fillId="0" borderId="10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wrapText="1"/>
    </xf>
    <xf numFmtId="0" fontId="6" fillId="4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9" fontId="3" fillId="0" borderId="0" xfId="3" applyFont="1" applyFill="1" applyAlignment="1">
      <alignment horizontal="center"/>
    </xf>
    <xf numFmtId="9" fontId="3" fillId="0" borderId="0" xfId="3" applyFont="1" applyFill="1" applyBorder="1" applyAlignment="1">
      <alignment horizontal="center"/>
    </xf>
    <xf numFmtId="168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9" fontId="0" fillId="0" borderId="0" xfId="1" applyNumberFormat="1" applyFont="1"/>
    <xf numFmtId="3" fontId="9" fillId="0" borderId="0" xfId="0" applyNumberFormat="1" applyFont="1" applyAlignment="1">
      <alignment horizontal="center"/>
    </xf>
    <xf numFmtId="1" fontId="0" fillId="0" borderId="0" xfId="0" applyNumberFormat="1"/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10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6" xfId="0" applyFont="1" applyBorder="1"/>
    <xf numFmtId="6" fontId="0" fillId="0" borderId="13" xfId="0" applyNumberFormat="1" applyBorder="1"/>
    <xf numFmtId="0" fontId="6" fillId="0" borderId="4" xfId="0" applyFont="1" applyBorder="1" applyAlignment="1">
      <alignment horizontal="left" indent="1"/>
    </xf>
    <xf numFmtId="2" fontId="3" fillId="0" borderId="13" xfId="0" applyNumberFormat="1" applyFont="1" applyBorder="1" applyAlignment="1">
      <alignment horizontal="center"/>
    </xf>
    <xf numFmtId="0" fontId="6" fillId="0" borderId="9" xfId="0" applyFont="1" applyBorder="1" applyAlignment="1">
      <alignment horizontal="left" indent="1"/>
    </xf>
    <xf numFmtId="2" fontId="4" fillId="5" borderId="9" xfId="0" applyNumberFormat="1" applyFont="1" applyFill="1" applyBorder="1" applyAlignment="1">
      <alignment horizontal="left"/>
    </xf>
    <xf numFmtId="2" fontId="4" fillId="5" borderId="14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 indent="1"/>
    </xf>
    <xf numFmtId="4" fontId="3" fillId="0" borderId="13" xfId="0" applyNumberFormat="1" applyFont="1" applyBorder="1" applyAlignment="1">
      <alignment horizontal="center"/>
    </xf>
    <xf numFmtId="0" fontId="4" fillId="0" borderId="0" xfId="0" applyFont="1"/>
    <xf numFmtId="167" fontId="4" fillId="0" borderId="0" xfId="0" applyNumberFormat="1" applyFont="1" applyAlignment="1">
      <alignment horizontal="center" vertical="center"/>
    </xf>
    <xf numFmtId="9" fontId="0" fillId="0" borderId="0" xfId="0" applyNumberFormat="1"/>
    <xf numFmtId="44" fontId="0" fillId="0" borderId="0" xfId="2" applyFont="1" applyFill="1" applyBorder="1"/>
    <xf numFmtId="170" fontId="0" fillId="0" borderId="0" xfId="0" applyNumberFormat="1" applyAlignment="1">
      <alignment horizontal="center"/>
    </xf>
    <xf numFmtId="17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GIS%20Work%20Files/GIS%20drive%2010_24/GIS%20Drive%20Files/GassificationTool_Jan2026.xlsm" TargetMode="External"/><Relationship Id="rId2" Type="http://schemas.openxmlformats.org/officeDocument/2006/relationships/externalLinkPath" Target="file:///E:\GIS%20Work%20Files\GIS%20drive%2010_24\GIS%20Drive%20Files\GassificationTool_Jan2026.xlsm" TargetMode="External"/><Relationship Id="rId1" Type="http://schemas.openxmlformats.org/officeDocument/2006/relationships/externalLinkPath" Target="/GIS%20Work%20Files/GIS%20drive%2010_24/GIS%20Drive%20Files/GassificationTool_Jan20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ria.toetz\AppData\Local\Microsoft\Windows\INetCache\Content.Outlook\2VCQUNPV\11-13-01-05_H2BMG_CE_Rev0_20231208EMA.xlsm" TargetMode="External"/><Relationship Id="rId1" Type="http://schemas.openxmlformats.org/officeDocument/2006/relationships/externalLinkPath" Target="file:///C:\Users\victoria.toetz\AppData\Local\Microsoft\Windows\INetCache\Content.Outlook\2VCQUNPV\11-13-01-05_H2BMG_CE_Rev0_20231208EM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PROD75-FS6/Common/PROJECTS/DOE/Market%20Based%20-%20Update%202009%20-%20Bituminous%20Baseline%20Vol%201/estimate%20files/Case%209/Bituminous%20Baseline%20-%20Case%209%20-%20SubPC%20-%202009-Jun-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ldoe.sharepoint.com/Common/Subsurface/205.010%20-%20HEEI%20CO2/CO2_S_COM%20results/CO2_S_COM_v4_HEEI_real_djm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https://mykeylogic.sharepoint.com/PROD75-FS6/Common/Common/TEA/MESA/CLIN2/Sub_Clin%20201/Activity%20008%20-%20Gasification/Sub-Activity%2017/H2%20Sub-Activity/Models/Gasification/201_001_Case%206%202x3%20WGS%20(75%25%20recovery)_TL_RevE_20210412_egl.xlsm?985A9235" TargetMode="External"/><Relationship Id="rId1" Type="http://schemas.openxmlformats.org/officeDocument/2006/relationships/externalLinkPath" Target="file:///\\985A9235\201_001_Case%206%202x3%20WGS%20(75%25%20recovery)_TL_RevE_20210412_egl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PROD75-FS6/Common/Common/TEA/MESA/CLIN2/Sub_Clin%20201/Activity%20008%20-%20Gasification/Sub-Activity%2017/H2%20Sub-Activity/Models/SMR/201_001_Case%201_RevF_20210310_sdm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Users/bwall/Desktop/200629%20-%20MESA/2300.202/2300.202.031%20-%20Hydrogen%20Earthshot%20Technology%20Initiative%20Analysis/CO2%20pipeline%20transport%20LC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Users/bwall/Desktop/200629%20-%20MESA/2300.202/2300.202.031%20-%20Hydrogen%20Earthshot%20Technology%20Initiative%20Analysis/201.008.017_LCOH%20Spreadsheet_RevU_20211007_egl.xlsm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https://netldoe.sharepoint.com/Common/Subsurface/205.001%20-%20Onshore%20Storage%20of%20CO2/Sub-Activity%2026%20CCUS%20Ecosystem/Task%202%20-%20Upgrade%20CTS%20Tool/Existing%20CTS%20Tools/from%20HyBlend%20(CO2_T_COM%20only)/CO2_T_COM%20screening%20tool%20DRAFT%20v3_2.xlsx?25369161" TargetMode="External"/><Relationship Id="rId1" Type="http://schemas.openxmlformats.org/officeDocument/2006/relationships/externalLinkPath" Target="file:///\\25369161\CO2_T_COM%20screening%20tool%20DRAFT%20v3_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keylogic.sharepoint.com/PROD75-FS6/Common/Common/TEA/MESA/CLIN2/Sub_Clin%20201/Activity%20001%20-%20Multi%20Program%20Support/Task%201%20-%20Bit%20Baseline/Models/PC/201_001_B11A_TL_RevBW_20181107_MJT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tldoe.sharepoint.com/Common/Subsurface/205.010%20-%20HEEI%20CO2/CO2_T_COM%20results/CO2_T_COM_v3b_2021_08_16_djm_tw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sion"/>
      <sheetName val="Tab Key"/>
      <sheetName val="CO2 Cases"/>
      <sheetName val="T+S Costs"/>
      <sheetName val="Source Site Coordinates"/>
      <sheetName val="Transport Dist Calculator"/>
      <sheetName val="Source Types"/>
      <sheetName val="Input Output Interface"/>
      <sheetName val="Overview READ FIRST"/>
      <sheetName val="Inputs_Outputs"/>
      <sheetName val="Map of Counties w 1 plant"/>
      <sheetName val="Map of Transportation Costs"/>
      <sheetName val="Map of Plant LCA"/>
      <sheetName val="Map of Plant LCOH"/>
      <sheetName val="All Data "/>
      <sheetName val="Prices by Scenario"/>
      <sheetName val="Choices"/>
      <sheetName val="Transportation"/>
      <sheetName val="LOCH Calc COE Calc"/>
      <sheetName val="Abbv List"/>
      <sheetName val="READ_ME_FIRST"/>
      <sheetName val="User Guide"/>
      <sheetName val="LCA"/>
      <sheetName val="Net-Zero O&amp;M"/>
      <sheetName val="Net-Zero Cap"/>
      <sheetName val="Escalation Rates"/>
      <sheetName val="CIS"/>
      <sheetName val="CO2_T_COM Results"/>
      <sheetName val="CO2_S_COM Results"/>
      <sheetName val="75 oil CO2_E_COM cases"/>
      <sheetName val="OilFldData orig"/>
      <sheetName val="45Q worksheet"/>
      <sheetName val="CO2 Source Annual Cash Flows"/>
    </sheetNames>
    <sheetDataSet>
      <sheetData sheetId="0"/>
      <sheetData sheetId="1"/>
      <sheetData sheetId="2"/>
      <sheetData sheetId="3">
        <row r="2">
          <cell r="F2" t="str">
            <v>Abbeville County, SC</v>
          </cell>
          <cell r="N2">
            <v>22.973858618474587</v>
          </cell>
        </row>
        <row r="3">
          <cell r="F3" t="str">
            <v>Acadia Parish, LA</v>
          </cell>
          <cell r="N3">
            <v>11.336562912539595</v>
          </cell>
        </row>
        <row r="4">
          <cell r="F4" t="str">
            <v>Accomack County, VA</v>
          </cell>
          <cell r="N4">
            <v>35.111084197037073</v>
          </cell>
        </row>
        <row r="5">
          <cell r="F5" t="str">
            <v>Ada County, ID</v>
          </cell>
          <cell r="N5">
            <v>24.923214632391844</v>
          </cell>
        </row>
        <row r="6">
          <cell r="F6" t="str">
            <v>Adair County, IA</v>
          </cell>
          <cell r="N6">
            <v>21.176957495707075</v>
          </cell>
        </row>
        <row r="7">
          <cell r="F7" t="str">
            <v>Adair County, KY</v>
          </cell>
          <cell r="N7">
            <v>16.488907195684771</v>
          </cell>
        </row>
        <row r="8">
          <cell r="F8" t="str">
            <v>Adair County, MO</v>
          </cell>
          <cell r="N8">
            <v>16.219932420745955</v>
          </cell>
        </row>
        <row r="9">
          <cell r="F9" t="str">
            <v>Adair County, OK</v>
          </cell>
          <cell r="N9">
            <v>21.716963167387018</v>
          </cell>
        </row>
        <row r="10">
          <cell r="F10" t="str">
            <v>Adams County, CO</v>
          </cell>
          <cell r="N10">
            <v>16.917113419462968</v>
          </cell>
        </row>
        <row r="11">
          <cell r="F11" t="str">
            <v>Adams County, IA</v>
          </cell>
          <cell r="N11">
            <v>16.917113419462968</v>
          </cell>
        </row>
        <row r="12">
          <cell r="F12" t="str">
            <v>Adams County, ID</v>
          </cell>
          <cell r="N12">
            <v>26.855902958002801</v>
          </cell>
        </row>
        <row r="13">
          <cell r="F13" t="str">
            <v>Adams County, IL</v>
          </cell>
          <cell r="N13">
            <v>11.996768599899189</v>
          </cell>
        </row>
        <row r="14">
          <cell r="F14" t="str">
            <v>Adams County, IN</v>
          </cell>
          <cell r="N14">
            <v>10.503820905589633</v>
          </cell>
        </row>
        <row r="15">
          <cell r="F15" t="str">
            <v>Adams County, MS</v>
          </cell>
          <cell r="N15">
            <v>13.413598268282946</v>
          </cell>
        </row>
        <row r="16">
          <cell r="F16" t="str">
            <v>Adams County, ND</v>
          </cell>
          <cell r="N16">
            <v>13.413598268282946</v>
          </cell>
        </row>
        <row r="17">
          <cell r="F17" t="str">
            <v>Adams County, NE</v>
          </cell>
          <cell r="N17">
            <v>17.412507802755631</v>
          </cell>
        </row>
        <row r="18">
          <cell r="F18" t="str">
            <v>Adams County, OH</v>
          </cell>
          <cell r="N18">
            <v>15.696235439417624</v>
          </cell>
        </row>
        <row r="19">
          <cell r="F19" t="str">
            <v>Adams County, PA</v>
          </cell>
          <cell r="N19">
            <v>16.13273252107226</v>
          </cell>
        </row>
        <row r="20">
          <cell r="F20" t="str">
            <v>Adams County, WA</v>
          </cell>
          <cell r="N20">
            <v>31.348340063058007</v>
          </cell>
        </row>
        <row r="21">
          <cell r="F21" t="str">
            <v>Adams County, WI</v>
          </cell>
          <cell r="N21">
            <v>20.234439013299454</v>
          </cell>
        </row>
        <row r="22">
          <cell r="F22" t="str">
            <v>Addison County, VT</v>
          </cell>
          <cell r="N22">
            <v>29.901846806821112</v>
          </cell>
        </row>
        <row r="23">
          <cell r="F23" t="str">
            <v>Aiken County, SC</v>
          </cell>
          <cell r="N23">
            <v>22.70071857709695</v>
          </cell>
        </row>
        <row r="24">
          <cell r="F24" t="str">
            <v>Aitkin County, MN</v>
          </cell>
          <cell r="N24">
            <v>27.432116664142587</v>
          </cell>
        </row>
        <row r="25">
          <cell r="F25" t="str">
            <v>Alachua County, FL</v>
          </cell>
          <cell r="N25">
            <v>14.779148158364093</v>
          </cell>
        </row>
        <row r="26">
          <cell r="F26" t="str">
            <v>Alamance County, NC</v>
          </cell>
          <cell r="N26">
            <v>22.16002357542008</v>
          </cell>
        </row>
        <row r="27">
          <cell r="F27" t="str">
            <v>Alameda County, CA</v>
          </cell>
          <cell r="N27">
            <v>9.435023964747149</v>
          </cell>
        </row>
        <row r="28">
          <cell r="F28" t="str">
            <v>Alamosa County, CO</v>
          </cell>
          <cell r="N28">
            <v>13.596557664220434</v>
          </cell>
        </row>
        <row r="29">
          <cell r="F29" t="str">
            <v>Albany County, NY</v>
          </cell>
          <cell r="N29">
            <v>24.241059007118999</v>
          </cell>
        </row>
        <row r="30">
          <cell r="F30" t="str">
            <v>Albany County, WY</v>
          </cell>
          <cell r="N30">
            <v>14.575715345573352</v>
          </cell>
        </row>
        <row r="31">
          <cell r="F31" t="str">
            <v>Albemarle County, VA</v>
          </cell>
          <cell r="N31">
            <v>17.51664287200018</v>
          </cell>
        </row>
        <row r="32">
          <cell r="F32" t="str">
            <v>Alcona County, MI</v>
          </cell>
          <cell r="N32">
            <v>17.884789079484165</v>
          </cell>
        </row>
        <row r="33">
          <cell r="F33" t="str">
            <v>Alcorn County, MS</v>
          </cell>
          <cell r="N33">
            <v>18.042603180051394</v>
          </cell>
        </row>
        <row r="34">
          <cell r="F34" t="str">
            <v>Alexander County, IL</v>
          </cell>
          <cell r="N34">
            <v>16.267637685750266</v>
          </cell>
        </row>
        <row r="35">
          <cell r="F35" t="str">
            <v>Alexander County, NC</v>
          </cell>
          <cell r="N35">
            <v>26.515888445810887</v>
          </cell>
        </row>
        <row r="36">
          <cell r="F36" t="str">
            <v>Alfalfa County, OK</v>
          </cell>
          <cell r="N36">
            <v>11.655015074503076</v>
          </cell>
        </row>
        <row r="37">
          <cell r="F37" t="str">
            <v>Alger County, MI</v>
          </cell>
          <cell r="N37">
            <v>21.900256318977814</v>
          </cell>
        </row>
        <row r="38">
          <cell r="F38" t="str">
            <v>Allamakee County, IA</v>
          </cell>
          <cell r="N38">
            <v>20.180013905212103</v>
          </cell>
        </row>
        <row r="39">
          <cell r="F39" t="str">
            <v>Allegan County, MI</v>
          </cell>
          <cell r="N39">
            <v>15.696235439417624</v>
          </cell>
        </row>
        <row r="40">
          <cell r="F40" t="str">
            <v>Allegany County, MD</v>
          </cell>
          <cell r="N40">
            <v>18.047008588604374</v>
          </cell>
        </row>
        <row r="41">
          <cell r="F41" t="str">
            <v>Allegany County, NY</v>
          </cell>
          <cell r="N41">
            <v>24.008611198918672</v>
          </cell>
        </row>
        <row r="42">
          <cell r="F42" t="str">
            <v>Alleghany County, NC</v>
          </cell>
          <cell r="N42">
            <v>25.824322790197272</v>
          </cell>
        </row>
        <row r="43">
          <cell r="F43" t="str">
            <v>Alleghany County, VA</v>
          </cell>
          <cell r="N43">
            <v>21.642495075967709</v>
          </cell>
        </row>
        <row r="44">
          <cell r="F44" t="str">
            <v>Allegheny County, PA</v>
          </cell>
          <cell r="N44">
            <v>22.203722335245534</v>
          </cell>
        </row>
        <row r="45">
          <cell r="F45" t="str">
            <v>Allen County, IN</v>
          </cell>
          <cell r="N45">
            <v>10.766903241970251</v>
          </cell>
        </row>
        <row r="46">
          <cell r="F46" t="str">
            <v>Allen County, KS</v>
          </cell>
          <cell r="N46">
            <v>19.212544841149334</v>
          </cell>
        </row>
        <row r="47">
          <cell r="F47" t="str">
            <v>Allen County, KY</v>
          </cell>
          <cell r="N47">
            <v>14.936321697327653</v>
          </cell>
        </row>
        <row r="48">
          <cell r="F48" t="str">
            <v>Allen County, OH</v>
          </cell>
          <cell r="N48">
            <v>12.262318627712713</v>
          </cell>
        </row>
        <row r="49">
          <cell r="F49" t="str">
            <v>Allen Parish, LA</v>
          </cell>
          <cell r="N49">
            <v>10.470428942266473</v>
          </cell>
        </row>
        <row r="50">
          <cell r="F50" t="str">
            <v>Allendale County, SC</v>
          </cell>
          <cell r="N50">
            <v>21.766292119752386</v>
          </cell>
        </row>
        <row r="51">
          <cell r="F51" t="str">
            <v>Alpena County, MI</v>
          </cell>
          <cell r="N51">
            <v>17.30323865169543</v>
          </cell>
        </row>
        <row r="52">
          <cell r="F52" t="str">
            <v>Alpine County, CA</v>
          </cell>
          <cell r="N52">
            <v>11.243755598070573</v>
          </cell>
        </row>
        <row r="53">
          <cell r="F53" t="str">
            <v>Amador County, CA</v>
          </cell>
          <cell r="N53">
            <v>9.435023964747149</v>
          </cell>
        </row>
        <row r="54">
          <cell r="F54" t="str">
            <v>Amelia County, VA</v>
          </cell>
          <cell r="N54">
            <v>16.553464831352709</v>
          </cell>
        </row>
        <row r="55">
          <cell r="F55" t="str">
            <v>Amherst County, VA</v>
          </cell>
          <cell r="N55">
            <v>18.566075662556379</v>
          </cell>
        </row>
        <row r="56">
          <cell r="F56" t="str">
            <v>Amite County, MS</v>
          </cell>
          <cell r="N56">
            <v>13.140458226905306</v>
          </cell>
        </row>
        <row r="57">
          <cell r="F57" t="str">
            <v>Anderson County, KS</v>
          </cell>
          <cell r="N57">
            <v>19.212544841149334</v>
          </cell>
        </row>
        <row r="58">
          <cell r="F58" t="str">
            <v>Anderson County, KY</v>
          </cell>
          <cell r="N58">
            <v>14.255725781461457</v>
          </cell>
        </row>
        <row r="59">
          <cell r="F59" t="str">
            <v>Anderson County, SC</v>
          </cell>
          <cell r="N59">
            <v>23.218247076549318</v>
          </cell>
        </row>
        <row r="60">
          <cell r="F60" t="str">
            <v>Anderson County, TN</v>
          </cell>
          <cell r="N60">
            <v>20.997972065993757</v>
          </cell>
        </row>
        <row r="61">
          <cell r="F61" t="str">
            <v>Anderson County, TX</v>
          </cell>
          <cell r="N61">
            <v>13.000437373231801</v>
          </cell>
        </row>
        <row r="62">
          <cell r="F62" t="str">
            <v>Andrew County, MO</v>
          </cell>
          <cell r="N62">
            <v>21.176957495707075</v>
          </cell>
        </row>
        <row r="63">
          <cell r="F63" t="str">
            <v>Andrews County, TX</v>
          </cell>
          <cell r="N63">
            <v>10.754908214431554</v>
          </cell>
        </row>
        <row r="64">
          <cell r="F64" t="str">
            <v>Androscoggin County, ME</v>
          </cell>
          <cell r="N64">
            <v>32.445099296542345</v>
          </cell>
        </row>
        <row r="65">
          <cell r="F65" t="str">
            <v>Angelina County, TX</v>
          </cell>
          <cell r="N65">
            <v>9.7775217660479736</v>
          </cell>
        </row>
        <row r="66">
          <cell r="F66" t="str">
            <v>Anne Arundel County, MD</v>
          </cell>
          <cell r="N66">
            <v>12.181119781666681</v>
          </cell>
        </row>
        <row r="67">
          <cell r="F67" t="str">
            <v>Anoka County, MN</v>
          </cell>
          <cell r="N67">
            <v>28.972502515827497</v>
          </cell>
        </row>
        <row r="68">
          <cell r="F68" t="str">
            <v>Anson County, NC</v>
          </cell>
          <cell r="N68">
            <v>26.271499987736153</v>
          </cell>
        </row>
        <row r="69">
          <cell r="F69" t="str">
            <v>Antelope County, NE</v>
          </cell>
          <cell r="N69">
            <v>21.14473879921708</v>
          </cell>
        </row>
        <row r="70">
          <cell r="F70" t="str">
            <v>Antrim County, MI</v>
          </cell>
          <cell r="N70">
            <v>17.607860304346673</v>
          </cell>
        </row>
        <row r="71">
          <cell r="F71" t="str">
            <v>Apache County, AZ</v>
          </cell>
          <cell r="N71">
            <v>13.308069569417986</v>
          </cell>
        </row>
        <row r="72">
          <cell r="F72" t="str">
            <v>Appanoose County, IA</v>
          </cell>
          <cell r="N72">
            <v>16.718404215993441</v>
          </cell>
        </row>
        <row r="73">
          <cell r="F73" t="str">
            <v>Appling County, GA</v>
          </cell>
          <cell r="N73">
            <v>17.122402197551224</v>
          </cell>
        </row>
        <row r="74">
          <cell r="F74" t="str">
            <v>Appomattox County, VA</v>
          </cell>
          <cell r="N74">
            <v>18.292935621178739</v>
          </cell>
        </row>
        <row r="75">
          <cell r="F75" t="str">
            <v>Aransas County, TX</v>
          </cell>
          <cell r="N75">
            <v>9.0594748631599753</v>
          </cell>
        </row>
        <row r="76">
          <cell r="F76" t="str">
            <v>Arapahoe County, CO</v>
          </cell>
          <cell r="N76">
            <v>16.974190106152072</v>
          </cell>
        </row>
        <row r="77">
          <cell r="F77" t="str">
            <v>Archer County, TX</v>
          </cell>
          <cell r="N77">
            <v>17.350950074439979</v>
          </cell>
        </row>
        <row r="78">
          <cell r="F78" t="str">
            <v>Archuleta County, CO</v>
          </cell>
          <cell r="N78">
            <v>10.890794008365097</v>
          </cell>
        </row>
        <row r="79">
          <cell r="F79" t="str">
            <v>Arenac County, MI</v>
          </cell>
          <cell r="N79">
            <v>16.260511090076434</v>
          </cell>
        </row>
        <row r="80">
          <cell r="F80" t="str">
            <v>Arkansas County, AR</v>
          </cell>
          <cell r="N80">
            <v>16.613213084817108</v>
          </cell>
        </row>
        <row r="81">
          <cell r="F81" t="str">
            <v>Arlington County, VA</v>
          </cell>
          <cell r="N81">
            <v>13.390790668032652</v>
          </cell>
        </row>
        <row r="82">
          <cell r="F82" t="str">
            <v>Armstrong County, PA</v>
          </cell>
          <cell r="N82">
            <v>21.957601126562832</v>
          </cell>
        </row>
        <row r="83">
          <cell r="F83" t="str">
            <v>Armstrong County, TX</v>
          </cell>
          <cell r="N83">
            <v>15.586754182704045</v>
          </cell>
        </row>
        <row r="84">
          <cell r="F84" t="str">
            <v>Aroostook County, ME</v>
          </cell>
          <cell r="N84">
            <v>38.133233897209202</v>
          </cell>
        </row>
        <row r="85">
          <cell r="F85" t="str">
            <v>Arthur County, NE</v>
          </cell>
          <cell r="N85">
            <v>11.784546199569824</v>
          </cell>
        </row>
        <row r="86">
          <cell r="F86" t="str">
            <v>Ascension Parish, LA</v>
          </cell>
          <cell r="N86">
            <v>13.885402313108948</v>
          </cell>
        </row>
        <row r="87">
          <cell r="F87" t="str">
            <v>Ashe County, NC</v>
          </cell>
          <cell r="N87">
            <v>25.3067942907449</v>
          </cell>
        </row>
        <row r="88">
          <cell r="F88" t="str">
            <v>Ashland County, OH</v>
          </cell>
          <cell r="N88">
            <v>16.707025468669471</v>
          </cell>
        </row>
        <row r="89">
          <cell r="F89" t="str">
            <v>Ashland County, WI</v>
          </cell>
          <cell r="N89">
            <v>26.091482607457429</v>
          </cell>
        </row>
        <row r="90">
          <cell r="F90" t="str">
            <v>Ashley County, AR</v>
          </cell>
          <cell r="N90">
            <v>13.985940041655301</v>
          </cell>
        </row>
        <row r="91">
          <cell r="F91" t="str">
            <v>Ashtabula County, OH</v>
          </cell>
          <cell r="N91">
            <v>21.165578748383105</v>
          </cell>
        </row>
        <row r="92">
          <cell r="F92" t="str">
            <v>Asotin County, WA</v>
          </cell>
          <cell r="N92">
            <v>28.768443779868008</v>
          </cell>
        </row>
        <row r="93">
          <cell r="F93" t="str">
            <v>Assumption Parish, LA</v>
          </cell>
          <cell r="N93">
            <v>15.696103896247653</v>
          </cell>
        </row>
        <row r="94">
          <cell r="F94" t="str">
            <v>Atascosa County, TX</v>
          </cell>
          <cell r="N94">
            <v>10.604080443480377</v>
          </cell>
        </row>
        <row r="95">
          <cell r="F95" t="str">
            <v>Atchison County, KS</v>
          </cell>
          <cell r="N95">
            <v>20.375645696726803</v>
          </cell>
        </row>
        <row r="96">
          <cell r="F96" t="str">
            <v>Atchison County, MO</v>
          </cell>
          <cell r="N96">
            <v>21.372589287221778</v>
          </cell>
        </row>
        <row r="97">
          <cell r="F97" t="str">
            <v>Athens County, OH</v>
          </cell>
          <cell r="N97">
            <v>18.507062507063175</v>
          </cell>
        </row>
        <row r="98">
          <cell r="F98" t="str">
            <v>Atkinson County, GA</v>
          </cell>
          <cell r="N98">
            <v>14.23286807560881</v>
          </cell>
        </row>
        <row r="99">
          <cell r="F99" t="str">
            <v>Atlantic County, NJ</v>
          </cell>
          <cell r="N99">
            <v>13.124584414950363</v>
          </cell>
        </row>
        <row r="100">
          <cell r="F100" t="str">
            <v>Atoka County, OK</v>
          </cell>
          <cell r="N100">
            <v>17.129826059067913</v>
          </cell>
        </row>
        <row r="101">
          <cell r="F101" t="str">
            <v>Attala County, MS</v>
          </cell>
          <cell r="N101">
            <v>11.300356895519093</v>
          </cell>
        </row>
        <row r="102">
          <cell r="F102" t="str">
            <v>Audrain County, MO</v>
          </cell>
          <cell r="N102">
            <v>14.779902790030992</v>
          </cell>
        </row>
        <row r="103">
          <cell r="F103" t="str">
            <v>Audubon County, IA</v>
          </cell>
          <cell r="N103">
            <v>23.655470033187637</v>
          </cell>
        </row>
        <row r="104">
          <cell r="F104" t="str">
            <v>Auglaize County, OH</v>
          </cell>
          <cell r="N104">
            <v>11.722307516194601</v>
          </cell>
        </row>
        <row r="105">
          <cell r="F105" t="str">
            <v>Augusta County, VA</v>
          </cell>
          <cell r="N105">
            <v>18.566075662556379</v>
          </cell>
        </row>
        <row r="106">
          <cell r="F106" t="str">
            <v>Aurora County, SD</v>
          </cell>
          <cell r="N106">
            <v>22.307839654794552</v>
          </cell>
        </row>
        <row r="107">
          <cell r="F107" t="str">
            <v>Austin County, TX</v>
          </cell>
          <cell r="N107">
            <v>8.9144446146220986</v>
          </cell>
        </row>
        <row r="108">
          <cell r="F108" t="str">
            <v>Autauga County, AL</v>
          </cell>
          <cell r="N108">
            <v>11.090305101825685</v>
          </cell>
        </row>
        <row r="109">
          <cell r="F109" t="str">
            <v>Avery County, NC</v>
          </cell>
          <cell r="N109">
            <v>25.565558540471084</v>
          </cell>
        </row>
        <row r="110">
          <cell r="F110" t="str">
            <v>Avoyelles Parish, LA</v>
          </cell>
          <cell r="N110">
            <v>13.949400389530187</v>
          </cell>
        </row>
        <row r="111">
          <cell r="F111" t="str">
            <v>Baca County, CO</v>
          </cell>
          <cell r="N111">
            <v>16.702182119584602</v>
          </cell>
        </row>
        <row r="112">
          <cell r="F112" t="str">
            <v>Bacon County, GA</v>
          </cell>
          <cell r="N112">
            <v>15.268434293294817</v>
          </cell>
        </row>
        <row r="113">
          <cell r="F113" t="str">
            <v>Bailey County, TX</v>
          </cell>
          <cell r="N113">
            <v>11.414875559221832</v>
          </cell>
        </row>
        <row r="114">
          <cell r="F114" t="str">
            <v>Baker County, FL</v>
          </cell>
          <cell r="N114">
            <v>14.520383908637907</v>
          </cell>
        </row>
        <row r="115">
          <cell r="F115" t="str">
            <v>Baker County, GA</v>
          </cell>
          <cell r="N115">
            <v>12.309809672255472</v>
          </cell>
        </row>
        <row r="116">
          <cell r="F116" t="str">
            <v>Baker County, OR</v>
          </cell>
          <cell r="N116">
            <v>28.914912489186161</v>
          </cell>
        </row>
        <row r="117">
          <cell r="F117" t="str">
            <v>Baldwin County, AL</v>
          </cell>
          <cell r="N117">
            <v>9.8438772380508901</v>
          </cell>
        </row>
        <row r="118">
          <cell r="F118" t="str">
            <v>Baldwin County, GA</v>
          </cell>
          <cell r="N118">
            <v>17.884828373859591</v>
          </cell>
        </row>
        <row r="119">
          <cell r="F119" t="str">
            <v>Ballard County, KY</v>
          </cell>
          <cell r="N119">
            <v>15.928251321278033</v>
          </cell>
        </row>
        <row r="120">
          <cell r="F120" t="str">
            <v>Baltimore City County, MD</v>
          </cell>
          <cell r="N120">
            <v>12.837443004820546</v>
          </cell>
        </row>
        <row r="121">
          <cell r="F121" t="str">
            <v>Baltimore County, MD</v>
          </cell>
          <cell r="N121">
            <v>12.837443004820546</v>
          </cell>
        </row>
        <row r="122">
          <cell r="F122" t="str">
            <v>Bamberg County, SC</v>
          </cell>
          <cell r="N122">
            <v>22.973858618474587</v>
          </cell>
        </row>
        <row r="123">
          <cell r="F123" t="str">
            <v>Bandera County, TX</v>
          </cell>
          <cell r="N123">
            <v>14.732652368448935</v>
          </cell>
        </row>
        <row r="124">
          <cell r="F124" t="str">
            <v>Banks County, GA</v>
          </cell>
          <cell r="N124">
            <v>21.627760382342053</v>
          </cell>
        </row>
        <row r="125">
          <cell r="F125" t="str">
            <v>Banner County, NE</v>
          </cell>
          <cell r="N125">
            <v>12.36609662735856</v>
          </cell>
        </row>
        <row r="126">
          <cell r="F126" t="str">
            <v>Bannock County, ID</v>
          </cell>
          <cell r="N126">
            <v>13.527511616196882</v>
          </cell>
        </row>
        <row r="127">
          <cell r="F127" t="str">
            <v>Baraga County, MI</v>
          </cell>
          <cell r="N127">
            <v>25.108385455719329</v>
          </cell>
        </row>
        <row r="128">
          <cell r="F128" t="str">
            <v>Barber County, KS</v>
          </cell>
          <cell r="N128">
            <v>10.350824036749565</v>
          </cell>
        </row>
        <row r="129">
          <cell r="F129" t="str">
            <v>Barbour County, AL</v>
          </cell>
          <cell r="N129">
            <v>12.309809672255472</v>
          </cell>
        </row>
        <row r="130">
          <cell r="F130" t="str">
            <v>Barbour County, WV</v>
          </cell>
          <cell r="N130">
            <v>21.232910900997105</v>
          </cell>
        </row>
        <row r="131">
          <cell r="F131" t="str">
            <v>Barnes County, ND</v>
          </cell>
          <cell r="N131">
            <v>16.410351413670377</v>
          </cell>
        </row>
        <row r="132">
          <cell r="F132" t="str">
            <v>Barnstable County, MA</v>
          </cell>
          <cell r="N132">
            <v>26.100641472721627</v>
          </cell>
        </row>
        <row r="133">
          <cell r="F133" t="str">
            <v>Barnwell County, SC</v>
          </cell>
          <cell r="N133">
            <v>22.010680577827117</v>
          </cell>
        </row>
        <row r="134">
          <cell r="F134" t="str">
            <v>Barren County, KY</v>
          </cell>
          <cell r="N134">
            <v>15.626359696597483</v>
          </cell>
        </row>
        <row r="135">
          <cell r="F135" t="str">
            <v>Barron County, WI</v>
          </cell>
          <cell r="N135">
            <v>26.340718505081171</v>
          </cell>
        </row>
        <row r="136">
          <cell r="F136" t="str">
            <v>Barrow County, GA</v>
          </cell>
          <cell r="N136">
            <v>19.897439205063264</v>
          </cell>
        </row>
        <row r="137">
          <cell r="F137" t="str">
            <v>Barry County, MI</v>
          </cell>
          <cell r="N137">
            <v>15.945471337041369</v>
          </cell>
        </row>
        <row r="138">
          <cell r="F138" t="str">
            <v>Barry County, MO</v>
          </cell>
          <cell r="N138">
            <v>22.855390674274425</v>
          </cell>
        </row>
        <row r="139">
          <cell r="F139" t="str">
            <v>Bartholomew County, IN</v>
          </cell>
          <cell r="N139">
            <v>10.503820905589633</v>
          </cell>
        </row>
        <row r="140">
          <cell r="F140" t="str">
            <v>Barton County, KS</v>
          </cell>
          <cell r="N140">
            <v>10.932374464538299</v>
          </cell>
        </row>
        <row r="141">
          <cell r="F141" t="str">
            <v>Barton County, MO</v>
          </cell>
          <cell r="N141">
            <v>21.137199828354909</v>
          </cell>
        </row>
        <row r="142">
          <cell r="F142" t="str">
            <v>Bartow County, GA</v>
          </cell>
          <cell r="N142">
            <v>19.64390113444129</v>
          </cell>
        </row>
        <row r="143">
          <cell r="F143" t="str">
            <v>Bastrop County, TX</v>
          </cell>
          <cell r="N143">
            <v>11.070609083763163</v>
          </cell>
        </row>
        <row r="144">
          <cell r="F144" t="str">
            <v>Bates County, MO</v>
          </cell>
          <cell r="N144">
            <v>21.137199828354909</v>
          </cell>
        </row>
        <row r="145">
          <cell r="F145" t="str">
            <v>Bath County, KY</v>
          </cell>
          <cell r="N145">
            <v>16.825077216386568</v>
          </cell>
        </row>
        <row r="146">
          <cell r="F146" t="str">
            <v>Bath County, VA</v>
          </cell>
          <cell r="N146">
            <v>20.708068618623145</v>
          </cell>
        </row>
        <row r="147">
          <cell r="F147" t="str">
            <v>Baxter County, AR</v>
          </cell>
          <cell r="N147">
            <v>23.447676225845086</v>
          </cell>
        </row>
        <row r="148">
          <cell r="F148" t="str">
            <v>Bay County, FL</v>
          </cell>
          <cell r="N148">
            <v>12.90165484990899</v>
          </cell>
        </row>
        <row r="149">
          <cell r="F149" t="str">
            <v>Bay County, MI</v>
          </cell>
          <cell r="N149">
            <v>15.471264080934581</v>
          </cell>
        </row>
        <row r="150">
          <cell r="F150" t="str">
            <v>Bayfield County, WI</v>
          </cell>
          <cell r="N150">
            <v>29.456167225377964</v>
          </cell>
        </row>
        <row r="151">
          <cell r="F151" t="str">
            <v>Baylor County, TX</v>
          </cell>
          <cell r="N151">
            <v>16.123926949886386</v>
          </cell>
        </row>
        <row r="152">
          <cell r="F152" t="str">
            <v>Beadle County, SD</v>
          </cell>
          <cell r="N152">
            <v>22.547888955001937</v>
          </cell>
        </row>
        <row r="153">
          <cell r="F153" t="str">
            <v>Bear Lake County, ID</v>
          </cell>
          <cell r="N153">
            <v>11.380080143295823</v>
          </cell>
        </row>
        <row r="154">
          <cell r="F154" t="str">
            <v>Beaufort County, NC</v>
          </cell>
          <cell r="N154">
            <v>18.566075662556379</v>
          </cell>
        </row>
        <row r="155">
          <cell r="F155" t="str">
            <v>Beaufort County, SC</v>
          </cell>
          <cell r="N155">
            <v>22.010680577827117</v>
          </cell>
        </row>
        <row r="156">
          <cell r="F156" t="str">
            <v>Beauregard Parish, LA</v>
          </cell>
          <cell r="N156">
            <v>9.2145346853704435</v>
          </cell>
        </row>
        <row r="157">
          <cell r="F157" t="str">
            <v>Beaver County, OK</v>
          </cell>
          <cell r="N157">
            <v>12.651069140317169</v>
          </cell>
        </row>
        <row r="158">
          <cell r="F158" t="str">
            <v>Beaver County, PA</v>
          </cell>
          <cell r="N158">
            <v>22.540752794126501</v>
          </cell>
        </row>
        <row r="159">
          <cell r="F159" t="str">
            <v>Beaver County, UT</v>
          </cell>
          <cell r="N159">
            <v>17.577080764253246</v>
          </cell>
        </row>
        <row r="160">
          <cell r="F160" t="str">
            <v>Beaverhead County, MT</v>
          </cell>
          <cell r="N160">
            <v>18.220108024375914</v>
          </cell>
        </row>
        <row r="161">
          <cell r="F161" t="str">
            <v>Becker County, MN</v>
          </cell>
          <cell r="N161">
            <v>21.13198702976463</v>
          </cell>
        </row>
        <row r="162">
          <cell r="F162" t="str">
            <v>Beckham County, OK</v>
          </cell>
          <cell r="N162">
            <v>13.496653906724578</v>
          </cell>
        </row>
        <row r="163">
          <cell r="F163" t="str">
            <v>Bedford County, PA</v>
          </cell>
          <cell r="N163">
            <v>18.047008588604374</v>
          </cell>
        </row>
        <row r="164">
          <cell r="F164" t="str">
            <v>Bedford County, TN</v>
          </cell>
          <cell r="N164">
            <v>19.090925484598088</v>
          </cell>
        </row>
        <row r="165">
          <cell r="F165" t="str">
            <v>Bedford County, VA</v>
          </cell>
          <cell r="N165">
            <v>20.708068618623145</v>
          </cell>
        </row>
        <row r="166">
          <cell r="F166" t="str">
            <v>Bee County, TX</v>
          </cell>
          <cell r="N166">
            <v>8.7707635397356007</v>
          </cell>
        </row>
        <row r="167">
          <cell r="F167" t="str">
            <v>Belknap County, NH</v>
          </cell>
          <cell r="N167">
            <v>30.147968015503807</v>
          </cell>
        </row>
        <row r="168">
          <cell r="F168" t="str">
            <v>Bell County, KY</v>
          </cell>
          <cell r="N168">
            <v>20.753583607919026</v>
          </cell>
        </row>
        <row r="169">
          <cell r="F169" t="str">
            <v>Bell County, TX</v>
          </cell>
          <cell r="N169">
            <v>13.030125266441793</v>
          </cell>
        </row>
        <row r="170">
          <cell r="F170" t="str">
            <v>Belmont County, OH</v>
          </cell>
          <cell r="N170">
            <v>20.431717494268749</v>
          </cell>
        </row>
        <row r="171">
          <cell r="F171" t="str">
            <v>Beltrami County, MN</v>
          </cell>
          <cell r="N171">
            <v>23.195106404538947</v>
          </cell>
        </row>
        <row r="172">
          <cell r="F172" t="str">
            <v>Ben Hill County, GA</v>
          </cell>
          <cell r="N172">
            <v>14.147122544481341</v>
          </cell>
        </row>
        <row r="173">
          <cell r="F173" t="str">
            <v>Benewah County, ID</v>
          </cell>
          <cell r="N173">
            <v>29.257905795087364</v>
          </cell>
        </row>
        <row r="174">
          <cell r="F174" t="str">
            <v>Bennett County, SD</v>
          </cell>
          <cell r="N174">
            <v>16.381563866852208</v>
          </cell>
        </row>
        <row r="175">
          <cell r="F175" t="str">
            <v>Bennington County, VT</v>
          </cell>
          <cell r="N175">
            <v>25.854520264038925</v>
          </cell>
        </row>
        <row r="176">
          <cell r="F176" t="str">
            <v>Benson County, ND</v>
          </cell>
          <cell r="N176">
            <v>14.79964151019545</v>
          </cell>
        </row>
        <row r="177">
          <cell r="F177" t="str">
            <v>Bent County, CO</v>
          </cell>
          <cell r="N177">
            <v>14.869707262709031</v>
          </cell>
        </row>
        <row r="178">
          <cell r="F178" t="str">
            <v>Benton County, AR</v>
          </cell>
          <cell r="N178">
            <v>22.2362850780064</v>
          </cell>
        </row>
        <row r="179">
          <cell r="F179" t="str">
            <v>Benton County, IA</v>
          </cell>
          <cell r="N179">
            <v>22.2362850780064</v>
          </cell>
        </row>
        <row r="180">
          <cell r="F180" t="str">
            <v>Benton County, IN</v>
          </cell>
          <cell r="N180">
            <v>10.503820905589633</v>
          </cell>
        </row>
        <row r="181">
          <cell r="F181" t="str">
            <v>Benton County, MN</v>
          </cell>
          <cell r="N181">
            <v>27.432116664142587</v>
          </cell>
        </row>
        <row r="182">
          <cell r="F182" t="str">
            <v>Benton County, MO</v>
          </cell>
          <cell r="N182">
            <v>27.432116664142587</v>
          </cell>
        </row>
        <row r="183">
          <cell r="F183" t="str">
            <v>Benton County, MS</v>
          </cell>
          <cell r="N183">
            <v>17.525074680599019</v>
          </cell>
        </row>
        <row r="184">
          <cell r="F184" t="str">
            <v>Benton County, OR</v>
          </cell>
          <cell r="N184">
            <v>24.512263397220615</v>
          </cell>
        </row>
        <row r="185">
          <cell r="F185" t="str">
            <v>Benton County, TN</v>
          </cell>
          <cell r="N185">
            <v>16.201391362655677</v>
          </cell>
        </row>
        <row r="186">
          <cell r="F186" t="str">
            <v>Benton County, WA</v>
          </cell>
          <cell r="N186">
            <v>31.018088807004094</v>
          </cell>
        </row>
        <row r="187">
          <cell r="F187" t="str">
            <v>Benzie County, MI</v>
          </cell>
          <cell r="N187">
            <v>16.925140150406421</v>
          </cell>
        </row>
        <row r="188">
          <cell r="F188" t="str">
            <v>Bergen County, NJ</v>
          </cell>
          <cell r="N188">
            <v>18.047008588604374</v>
          </cell>
        </row>
        <row r="189">
          <cell r="F189" t="str">
            <v>Berkeley County, SC</v>
          </cell>
          <cell r="N189">
            <v>25.64724664686392</v>
          </cell>
        </row>
        <row r="190">
          <cell r="F190" t="str">
            <v>Berkeley County, WV</v>
          </cell>
          <cell r="N190">
            <v>16.392527130237333</v>
          </cell>
        </row>
        <row r="191">
          <cell r="F191" t="str">
            <v>Berks County, PA</v>
          </cell>
          <cell r="N191">
            <v>16.392527130237333</v>
          </cell>
        </row>
        <row r="192">
          <cell r="F192" t="str">
            <v>Berkshire County, MA</v>
          </cell>
          <cell r="N192">
            <v>24.241059007118999</v>
          </cell>
        </row>
        <row r="193">
          <cell r="F193" t="str">
            <v>Bernalillo County, NM</v>
          </cell>
          <cell r="N193">
            <v>12.76405359628305</v>
          </cell>
        </row>
        <row r="194">
          <cell r="F194" t="str">
            <v>Berrien County, GA</v>
          </cell>
          <cell r="N194">
            <v>13.457084545211512</v>
          </cell>
        </row>
        <row r="195">
          <cell r="F195" t="str">
            <v>Berrien County, MI</v>
          </cell>
          <cell r="N195">
            <v>10.8742464136522</v>
          </cell>
        </row>
        <row r="196">
          <cell r="F196" t="str">
            <v>Bertie County, NC</v>
          </cell>
          <cell r="N196">
            <v>17.51664287200018</v>
          </cell>
        </row>
        <row r="197">
          <cell r="F197" t="str">
            <v>Bexar County, TX</v>
          </cell>
          <cell r="N197">
            <v>11.619160598269474</v>
          </cell>
        </row>
        <row r="198">
          <cell r="F198" t="str">
            <v>Bibb County, AL</v>
          </cell>
          <cell r="N198">
            <v>12.244634443843843</v>
          </cell>
        </row>
        <row r="199">
          <cell r="F199" t="str">
            <v>Bibb County, GA</v>
          </cell>
          <cell r="N199">
            <v>17.065408249726666</v>
          </cell>
        </row>
        <row r="200">
          <cell r="F200" t="str">
            <v>Bienville Parish, LA</v>
          </cell>
          <cell r="N200">
            <v>14.916583323001841</v>
          </cell>
        </row>
        <row r="201">
          <cell r="F201" t="str">
            <v>Big Horn County, MT</v>
          </cell>
          <cell r="N201">
            <v>10.933157226331648</v>
          </cell>
        </row>
        <row r="202">
          <cell r="F202" t="str">
            <v>Big Horn County, WY</v>
          </cell>
          <cell r="N202">
            <v>14.12950327515949</v>
          </cell>
        </row>
        <row r="203">
          <cell r="F203" t="str">
            <v>Big Stone County, MN</v>
          </cell>
          <cell r="N203">
            <v>23.458188740919567</v>
          </cell>
        </row>
        <row r="204">
          <cell r="F204" t="str">
            <v>Billings County, ND</v>
          </cell>
          <cell r="N204">
            <v>14.114584875887786</v>
          </cell>
        </row>
        <row r="205">
          <cell r="F205" t="str">
            <v>Bingham County, ID</v>
          </cell>
          <cell r="N205">
            <v>14.343535575899287</v>
          </cell>
        </row>
        <row r="206">
          <cell r="F206" t="str">
            <v>Black Hawk County, IA</v>
          </cell>
          <cell r="N206">
            <v>19.016913049634631</v>
          </cell>
        </row>
        <row r="207">
          <cell r="F207" t="str">
            <v>Blackford County, IN</v>
          </cell>
          <cell r="N207">
            <v>9.645341702663405</v>
          </cell>
        </row>
        <row r="208">
          <cell r="F208" t="str">
            <v>Bladen County, NC</v>
          </cell>
          <cell r="N208">
            <v>24.833920822590674</v>
          </cell>
        </row>
        <row r="209">
          <cell r="F209" t="str">
            <v>Blaine County, ID</v>
          </cell>
          <cell r="N209">
            <v>18.681347151159429</v>
          </cell>
        </row>
        <row r="210">
          <cell r="F210" t="str">
            <v>Blaine County, MT</v>
          </cell>
          <cell r="N210">
            <v>20.43912054637368</v>
          </cell>
        </row>
        <row r="211">
          <cell r="F211" t="str">
            <v>Blaine County, NE</v>
          </cell>
          <cell r="N211">
            <v>16.644646203232824</v>
          </cell>
        </row>
        <row r="212">
          <cell r="F212" t="str">
            <v>Blaine County, OK</v>
          </cell>
          <cell r="N212">
            <v>12.203925060553878</v>
          </cell>
        </row>
        <row r="213">
          <cell r="F213" t="str">
            <v>Blair County, PA</v>
          </cell>
          <cell r="N213">
            <v>19.824550651312766</v>
          </cell>
        </row>
        <row r="214">
          <cell r="F214" t="str">
            <v>Blanco County, TX</v>
          </cell>
          <cell r="N214">
            <v>13.972157884178127</v>
          </cell>
        </row>
        <row r="215">
          <cell r="F215" t="str">
            <v>Bland County, VA</v>
          </cell>
          <cell r="N215">
            <v>24.803641582943982</v>
          </cell>
        </row>
        <row r="216">
          <cell r="F216" t="str">
            <v>Bleckley County, GA</v>
          </cell>
          <cell r="N216">
            <v>15.268434293294817</v>
          </cell>
        </row>
        <row r="217">
          <cell r="F217" t="str">
            <v>Bledsoe County, TN</v>
          </cell>
          <cell r="N217">
            <v>20.31286777497175</v>
          </cell>
        </row>
        <row r="218">
          <cell r="F218" t="str">
            <v>Blount County, AL</v>
          </cell>
          <cell r="N218">
            <v>16.341735064508459</v>
          </cell>
        </row>
        <row r="219">
          <cell r="F219" t="str">
            <v>Blount County, TN</v>
          </cell>
          <cell r="N219">
            <v>22.478678606093602</v>
          </cell>
        </row>
        <row r="220">
          <cell r="F220" t="str">
            <v>Blue Earth County, MN</v>
          </cell>
          <cell r="N220">
            <v>25.123192541416348</v>
          </cell>
        </row>
        <row r="221">
          <cell r="F221" t="str">
            <v>Boise County, ID</v>
          </cell>
          <cell r="N221">
            <v>23.291166712987042</v>
          </cell>
        </row>
        <row r="222">
          <cell r="F222" t="str">
            <v>Bolivar County, MS</v>
          </cell>
          <cell r="N222">
            <v>13.701114101312044</v>
          </cell>
        </row>
        <row r="223">
          <cell r="F223" t="str">
            <v>Bollinger County, MO</v>
          </cell>
          <cell r="N223">
            <v>16.219932420745955</v>
          </cell>
        </row>
        <row r="224">
          <cell r="F224" t="str">
            <v>Bon Homme County, SD</v>
          </cell>
          <cell r="N224">
            <v>22.307839654794552</v>
          </cell>
        </row>
        <row r="225">
          <cell r="F225" t="str">
            <v>Bond County, IL</v>
          </cell>
          <cell r="N225">
            <v>10.515199652913603</v>
          </cell>
        </row>
        <row r="226">
          <cell r="F226" t="str">
            <v>Bonner County, ID</v>
          </cell>
          <cell r="N226">
            <v>28.210648174821856</v>
          </cell>
        </row>
        <row r="227">
          <cell r="F227" t="str">
            <v>Bonneville County, ID</v>
          </cell>
          <cell r="N227">
            <v>14.08584379915116</v>
          </cell>
        </row>
        <row r="228">
          <cell r="F228" t="str">
            <v>Boone County, AR</v>
          </cell>
          <cell r="N228">
            <v>24.385988026974299</v>
          </cell>
        </row>
        <row r="229">
          <cell r="F229" t="str">
            <v>Boone County, IA</v>
          </cell>
          <cell r="N229">
            <v>20.92772159808333</v>
          </cell>
        </row>
        <row r="230">
          <cell r="F230" t="str">
            <v>Boone County, IL</v>
          </cell>
          <cell r="N230">
            <v>20.92772159808333</v>
          </cell>
        </row>
        <row r="231">
          <cell r="F231" t="str">
            <v>Boone County, IN</v>
          </cell>
          <cell r="N231">
            <v>20.92772159808333</v>
          </cell>
        </row>
        <row r="232">
          <cell r="F232" t="str">
            <v>Boone County, KY</v>
          </cell>
          <cell r="N232">
            <v>12.483588137647219</v>
          </cell>
        </row>
        <row r="233">
          <cell r="F233" t="str">
            <v>Boone County, MO</v>
          </cell>
          <cell r="N233">
            <v>15.956850084365339</v>
          </cell>
        </row>
        <row r="234">
          <cell r="F234" t="str">
            <v>Boone County, NE</v>
          </cell>
          <cell r="N234">
            <v>21.14473879921708</v>
          </cell>
        </row>
        <row r="235">
          <cell r="F235" t="str">
            <v>Boone County, WV</v>
          </cell>
          <cell r="N235">
            <v>20.489742721770661</v>
          </cell>
        </row>
        <row r="236">
          <cell r="F236" t="str">
            <v>Borden County, TX</v>
          </cell>
          <cell r="N236">
            <v>11.551409938043651</v>
          </cell>
        </row>
        <row r="237">
          <cell r="F237" t="str">
            <v>Bosque County, TX</v>
          </cell>
          <cell r="N237">
            <v>13.030125266441793</v>
          </cell>
        </row>
        <row r="238">
          <cell r="F238" t="str">
            <v>Bossier Parish, LA</v>
          </cell>
          <cell r="N238">
            <v>14.834571037844135</v>
          </cell>
        </row>
        <row r="239">
          <cell r="F239" t="str">
            <v>Botetourt County, VA</v>
          </cell>
          <cell r="N239">
            <v>21.642495075967709</v>
          </cell>
        </row>
        <row r="240">
          <cell r="F240" t="str">
            <v>Bottineau County, ND</v>
          </cell>
          <cell r="N240">
            <v>14.79964151019545</v>
          </cell>
        </row>
        <row r="241">
          <cell r="F241" t="str">
            <v>Boulder County, CO</v>
          </cell>
          <cell r="N241">
            <v>16.680198189016394</v>
          </cell>
        </row>
        <row r="242">
          <cell r="F242" t="str">
            <v>Boundary County, ID</v>
          </cell>
          <cell r="N242">
            <v>28.210648174821856</v>
          </cell>
        </row>
        <row r="243">
          <cell r="F243" t="str">
            <v>Bourbon County, KS</v>
          </cell>
          <cell r="N243">
            <v>19.71101663639682</v>
          </cell>
        </row>
        <row r="244">
          <cell r="F244" t="str">
            <v>Bourbon County, KY</v>
          </cell>
          <cell r="N244">
            <v>16.307548716934196</v>
          </cell>
        </row>
        <row r="245">
          <cell r="F245" t="str">
            <v>Bowie County, TX</v>
          </cell>
          <cell r="N245">
            <v>15.108846795097291</v>
          </cell>
        </row>
        <row r="246">
          <cell r="F246" t="str">
            <v>Bowman County, ND</v>
          </cell>
          <cell r="N246">
            <v>14.281565017147781</v>
          </cell>
        </row>
        <row r="247">
          <cell r="F247" t="str">
            <v>Box Butte County, NE</v>
          </cell>
          <cell r="N247">
            <v>12.643025402496054</v>
          </cell>
        </row>
        <row r="248">
          <cell r="F248" t="str">
            <v>Box Elder County, UT</v>
          </cell>
          <cell r="N248">
            <v>14.163639517131399</v>
          </cell>
        </row>
        <row r="249">
          <cell r="F249" t="str">
            <v>Boyd County, KY</v>
          </cell>
          <cell r="N249">
            <v>18.967070172453333</v>
          </cell>
        </row>
        <row r="250">
          <cell r="F250" t="str">
            <v>Boyd County, NE</v>
          </cell>
          <cell r="N250">
            <v>20.646267003969594</v>
          </cell>
        </row>
        <row r="251">
          <cell r="F251" t="str">
            <v>Boyle County, KY</v>
          </cell>
          <cell r="N251">
            <v>16.32583977927095</v>
          </cell>
        </row>
        <row r="252">
          <cell r="F252" t="str">
            <v>Bracken County, KY</v>
          </cell>
          <cell r="N252">
            <v>15.085606426560538</v>
          </cell>
        </row>
        <row r="253">
          <cell r="F253" t="str">
            <v>Bradford County, FL</v>
          </cell>
          <cell r="N253">
            <v>16.576122114795943</v>
          </cell>
        </row>
        <row r="254">
          <cell r="F254" t="str">
            <v>Bradford County, PA</v>
          </cell>
          <cell r="N254">
            <v>21.232910900997105</v>
          </cell>
        </row>
        <row r="255">
          <cell r="F255" t="str">
            <v>Bradley County, AR</v>
          </cell>
          <cell r="N255">
            <v>16.613213084817108</v>
          </cell>
        </row>
        <row r="256">
          <cell r="F256" t="str">
            <v>Bradley County, TN</v>
          </cell>
          <cell r="N256">
            <v>21.376676357179406</v>
          </cell>
        </row>
        <row r="257">
          <cell r="F257" t="str">
            <v>Branch County, MI</v>
          </cell>
          <cell r="N257">
            <v>10.8742464136522</v>
          </cell>
        </row>
        <row r="258">
          <cell r="F258" t="str">
            <v>Brantley County, GA</v>
          </cell>
          <cell r="N258">
            <v>17.122402197551224</v>
          </cell>
        </row>
        <row r="259">
          <cell r="F259" t="str">
            <v>Braxton County, WV</v>
          </cell>
          <cell r="N259">
            <v>22.203722335245534</v>
          </cell>
        </row>
        <row r="260">
          <cell r="F260" t="str">
            <v>Brazoria County, TX</v>
          </cell>
          <cell r="N260">
            <v>9.5299194394208531</v>
          </cell>
        </row>
        <row r="261">
          <cell r="F261" t="str">
            <v>Brazos County, TX</v>
          </cell>
          <cell r="N261">
            <v>10.424924542036415</v>
          </cell>
        </row>
        <row r="262">
          <cell r="F262" t="str">
            <v>Breathitt County, KY</v>
          </cell>
          <cell r="N262">
            <v>19.484598671905704</v>
          </cell>
        </row>
        <row r="263">
          <cell r="F263" t="str">
            <v>Breckinridge County, KY</v>
          </cell>
          <cell r="N263">
            <v>12.171235992000511</v>
          </cell>
        </row>
        <row r="264">
          <cell r="F264" t="str">
            <v>Bremer County, IA</v>
          </cell>
          <cell r="N264">
            <v>19.94462444634523</v>
          </cell>
        </row>
        <row r="265">
          <cell r="F265" t="str">
            <v>Brevard County, FL</v>
          </cell>
          <cell r="N265">
            <v>12.065070474964267</v>
          </cell>
        </row>
        <row r="266">
          <cell r="F266" t="str">
            <v>Brewster County, TX</v>
          </cell>
          <cell r="N266">
            <v>15.030381385307365</v>
          </cell>
        </row>
        <row r="267">
          <cell r="F267" t="str">
            <v>Briscoe County, TX</v>
          </cell>
          <cell r="N267">
            <v>15.861029939957199</v>
          </cell>
        </row>
        <row r="268">
          <cell r="F268" t="str">
            <v>Brist County, VA</v>
          </cell>
          <cell r="N268">
            <v>15.861029939957199</v>
          </cell>
        </row>
        <row r="269">
          <cell r="F269" t="str">
            <v>Bristol County, MA</v>
          </cell>
          <cell r="N269">
            <v>25.375951247155896</v>
          </cell>
        </row>
        <row r="270">
          <cell r="F270" t="str">
            <v>Bristol County, RI</v>
          </cell>
          <cell r="N270">
            <v>25.129830038473195</v>
          </cell>
        </row>
        <row r="271">
          <cell r="F271" t="str">
            <v>Broadwater County, MT</v>
          </cell>
          <cell r="N271">
            <v>16.359000747861664</v>
          </cell>
        </row>
        <row r="272">
          <cell r="F272" t="str">
            <v>Bronx County, NY</v>
          </cell>
          <cell r="N272">
            <v>18.047008588604374</v>
          </cell>
        </row>
        <row r="273">
          <cell r="F273" t="str">
            <v>Brooke County, WV</v>
          </cell>
          <cell r="N273">
            <v>20.735863930453363</v>
          </cell>
        </row>
        <row r="274">
          <cell r="F274" t="str">
            <v>Brookings County, SD</v>
          </cell>
          <cell r="N274">
            <v>24.943322859941254</v>
          </cell>
        </row>
        <row r="275">
          <cell r="F275" t="str">
            <v>Brooks County, GA</v>
          </cell>
          <cell r="N275">
            <v>12.119626702844954</v>
          </cell>
        </row>
        <row r="276">
          <cell r="F276" t="str">
            <v>Brooks County, TX</v>
          </cell>
          <cell r="N276">
            <v>9.8712818591399625</v>
          </cell>
        </row>
        <row r="277">
          <cell r="F277" t="str">
            <v>Broome County, NY</v>
          </cell>
          <cell r="N277">
            <v>21.725153318362505</v>
          </cell>
        </row>
        <row r="278">
          <cell r="F278" t="str">
            <v>Broomfield County, CO</v>
          </cell>
          <cell r="N278">
            <v>16.937889965764519</v>
          </cell>
        </row>
        <row r="279">
          <cell r="F279" t="str">
            <v>Broward County, FL</v>
          </cell>
          <cell r="N279">
            <v>11.235131561505108</v>
          </cell>
        </row>
        <row r="280">
          <cell r="F280" t="str">
            <v>Brown County, IL</v>
          </cell>
          <cell r="N280">
            <v>10.778281989294221</v>
          </cell>
        </row>
        <row r="281">
          <cell r="F281" t="str">
            <v>Brown County, IN</v>
          </cell>
          <cell r="N281">
            <v>10.503820905589633</v>
          </cell>
        </row>
        <row r="282">
          <cell r="F282" t="str">
            <v>Brown County, KS</v>
          </cell>
          <cell r="N282">
            <v>20.375645696726803</v>
          </cell>
        </row>
        <row r="283">
          <cell r="F283" t="str">
            <v>Brown County, MN</v>
          </cell>
          <cell r="N283">
            <v>28.487877159336886</v>
          </cell>
        </row>
        <row r="284">
          <cell r="F284" t="str">
            <v>Brown County, NE</v>
          </cell>
          <cell r="N284">
            <v>16.907728539613444</v>
          </cell>
        </row>
        <row r="285">
          <cell r="F285" t="str">
            <v>Brown County, OH</v>
          </cell>
          <cell r="N285">
            <v>14.768524042707021</v>
          </cell>
        </row>
        <row r="286">
          <cell r="F286" t="str">
            <v>Brown County, SD</v>
          </cell>
          <cell r="N286">
            <v>19.812052340184071</v>
          </cell>
        </row>
        <row r="287">
          <cell r="F287" t="str">
            <v>Brown County, TX</v>
          </cell>
          <cell r="N287">
            <v>17.051360649277985</v>
          </cell>
        </row>
        <row r="288">
          <cell r="F288" t="str">
            <v>Brown County, WI</v>
          </cell>
          <cell r="N288">
            <v>17.672847843277651</v>
          </cell>
        </row>
        <row r="289">
          <cell r="F289" t="str">
            <v>Brule County, SD</v>
          </cell>
          <cell r="N289">
            <v>20.747851916608237</v>
          </cell>
        </row>
        <row r="290">
          <cell r="F290" t="str">
            <v>Brunswick County, NC</v>
          </cell>
          <cell r="N290">
            <v>26.012735738009965</v>
          </cell>
        </row>
        <row r="291">
          <cell r="F291" t="str">
            <v>Brunswick County, VA</v>
          </cell>
          <cell r="N291">
            <v>17.51664287200018</v>
          </cell>
        </row>
        <row r="292">
          <cell r="F292" t="str">
            <v>Bryan County, GA</v>
          </cell>
          <cell r="N292">
            <v>19.135013028754898</v>
          </cell>
        </row>
        <row r="293">
          <cell r="F293" t="str">
            <v>Bryan County, OK</v>
          </cell>
          <cell r="N293">
            <v>16.350305485822101</v>
          </cell>
        </row>
        <row r="294">
          <cell r="F294" t="str">
            <v>Buchanan County, IA</v>
          </cell>
          <cell r="N294">
            <v>18.781523590767762</v>
          </cell>
        </row>
        <row r="295">
          <cell r="F295" t="str">
            <v>Buchanan County, MO</v>
          </cell>
          <cell r="N295">
            <v>21.137199828354909</v>
          </cell>
        </row>
        <row r="296">
          <cell r="F296" t="str">
            <v>Buchanan County, VA</v>
          </cell>
          <cell r="N296">
            <v>21.727222169532656</v>
          </cell>
        </row>
        <row r="297">
          <cell r="F297" t="str">
            <v>Buckingham County, VA</v>
          </cell>
          <cell r="N297">
            <v>17.775407121726367</v>
          </cell>
        </row>
        <row r="298">
          <cell r="F298" t="str">
            <v>Bucks County, PA</v>
          </cell>
          <cell r="N298">
            <v>16.13273252107226</v>
          </cell>
        </row>
        <row r="299">
          <cell r="F299" t="str">
            <v>Buena Vista County, IA</v>
          </cell>
          <cell r="N299">
            <v>24.873956643792607</v>
          </cell>
        </row>
        <row r="300">
          <cell r="F300" t="str">
            <v>Buffalo County, NE</v>
          </cell>
          <cell r="N300">
            <v>18.347758170328405</v>
          </cell>
        </row>
        <row r="301">
          <cell r="F301" t="str">
            <v>Buffalo County, SD</v>
          </cell>
          <cell r="N301">
            <v>20.221687243847001</v>
          </cell>
        </row>
        <row r="302">
          <cell r="F302" t="str">
            <v>Buffalo County, WI</v>
          </cell>
          <cell r="N302">
            <v>23.890859492054506</v>
          </cell>
        </row>
        <row r="303">
          <cell r="F303" t="str">
            <v>Bullitt County, KY</v>
          </cell>
          <cell r="N303">
            <v>13.134414032647983</v>
          </cell>
        </row>
        <row r="304">
          <cell r="F304" t="str">
            <v>Bulloch County, GA</v>
          </cell>
          <cell r="N304">
            <v>19.106770664233245</v>
          </cell>
        </row>
        <row r="305">
          <cell r="F305" t="str">
            <v>Bullock County, AL</v>
          </cell>
          <cell r="N305">
            <v>11.780343101095516</v>
          </cell>
        </row>
        <row r="306">
          <cell r="F306" t="str">
            <v>Buncombe County, NC</v>
          </cell>
          <cell r="N306">
            <v>25.732541227570209</v>
          </cell>
        </row>
        <row r="307">
          <cell r="F307" t="str">
            <v>Bureau County, IL</v>
          </cell>
          <cell r="N307">
            <v>11.996768599899189</v>
          </cell>
        </row>
        <row r="308">
          <cell r="F308" t="str">
            <v>Burke County, GA</v>
          </cell>
          <cell r="N308">
            <v>19.62429916368562</v>
          </cell>
        </row>
        <row r="309">
          <cell r="F309" t="str">
            <v>Burke County, NC</v>
          </cell>
          <cell r="N309">
            <v>26.820167684832953</v>
          </cell>
        </row>
        <row r="310">
          <cell r="F310" t="str">
            <v>Burke County, ND</v>
          </cell>
          <cell r="N310">
            <v>15.353499060470433</v>
          </cell>
        </row>
        <row r="311">
          <cell r="F311" t="str">
            <v>Burleigh County, ND</v>
          </cell>
          <cell r="N311">
            <v>13.318072563209864</v>
          </cell>
        </row>
        <row r="312">
          <cell r="F312" t="str">
            <v>Burleson County, TX</v>
          </cell>
          <cell r="N312">
            <v>10.699200299289569</v>
          </cell>
        </row>
        <row r="313">
          <cell r="F313" t="str">
            <v>Burlington County, NJ</v>
          </cell>
          <cell r="N313">
            <v>13.903968242445583</v>
          </cell>
        </row>
        <row r="314">
          <cell r="F314" t="str">
            <v>Burnet County, TX</v>
          </cell>
          <cell r="N314">
            <v>15.199181008731717</v>
          </cell>
        </row>
        <row r="315">
          <cell r="F315" t="str">
            <v>Burnett County, WI</v>
          </cell>
          <cell r="N315">
            <v>29.457127872318111</v>
          </cell>
        </row>
        <row r="316">
          <cell r="F316" t="str">
            <v>Burt County, NE</v>
          </cell>
          <cell r="N316">
            <v>24.349573619949826</v>
          </cell>
        </row>
        <row r="317">
          <cell r="F317" t="str">
            <v>Butler County, AL</v>
          </cell>
          <cell r="N317">
            <v>9.8438772380508901</v>
          </cell>
        </row>
        <row r="318">
          <cell r="F318" t="str">
            <v>Butler County, IA</v>
          </cell>
          <cell r="N318">
            <v>20.44309624159272</v>
          </cell>
        </row>
        <row r="319">
          <cell r="F319" t="str">
            <v>Butler County, KS</v>
          </cell>
          <cell r="N319">
            <v>14.947841704031948</v>
          </cell>
        </row>
        <row r="320">
          <cell r="F320" t="str">
            <v>Butler County, KY</v>
          </cell>
          <cell r="N320">
            <v>13.709445698706176</v>
          </cell>
        </row>
        <row r="321">
          <cell r="F321" t="str">
            <v>Butler County, MO</v>
          </cell>
          <cell r="N321">
            <v>19.016913049634631</v>
          </cell>
        </row>
        <row r="322">
          <cell r="F322" t="str">
            <v>Butler County, NE</v>
          </cell>
          <cell r="N322">
            <v>21.137199828354909</v>
          </cell>
        </row>
        <row r="323">
          <cell r="F323" t="str">
            <v>Butler County, OH</v>
          </cell>
          <cell r="N323">
            <v>11.722307516194601</v>
          </cell>
        </row>
        <row r="324">
          <cell r="F324" t="str">
            <v>Butler County, PA</v>
          </cell>
          <cell r="N324">
            <v>22.449843543928235</v>
          </cell>
        </row>
        <row r="325">
          <cell r="F325" t="str">
            <v>Butte County, CA</v>
          </cell>
          <cell r="N325">
            <v>12.085026125197748</v>
          </cell>
        </row>
        <row r="326">
          <cell r="F326" t="str">
            <v>Butte County, ID</v>
          </cell>
          <cell r="N326">
            <v>17.893955611095706</v>
          </cell>
        </row>
        <row r="327">
          <cell r="F327" t="str">
            <v>Butte County, SD</v>
          </cell>
          <cell r="N327">
            <v>13.727707466872793</v>
          </cell>
        </row>
        <row r="328">
          <cell r="F328" t="str">
            <v>Butts County, GA</v>
          </cell>
          <cell r="N328">
            <v>17.884828373859591</v>
          </cell>
        </row>
        <row r="329">
          <cell r="F329" t="str">
            <v>Cabarrus County, NC</v>
          </cell>
          <cell r="N329">
            <v>26.271499987736153</v>
          </cell>
        </row>
        <row r="330">
          <cell r="F330" t="str">
            <v>Cabell County, WV</v>
          </cell>
          <cell r="N330">
            <v>18.848934663885991</v>
          </cell>
        </row>
        <row r="331">
          <cell r="F331" t="str">
            <v>Cache County, UT</v>
          </cell>
          <cell r="N331">
            <v>11.981360955708119</v>
          </cell>
        </row>
        <row r="332">
          <cell r="F332" t="str">
            <v>Caddo County, OK</v>
          </cell>
          <cell r="N332">
            <v>14.369259986236687</v>
          </cell>
        </row>
        <row r="333">
          <cell r="F333" t="str">
            <v>Caddo Parish, LA</v>
          </cell>
          <cell r="N333">
            <v>12.770285075359856</v>
          </cell>
        </row>
        <row r="334">
          <cell r="F334" t="str">
            <v>Calaveras County, CA</v>
          </cell>
          <cell r="N334">
            <v>9.435023964747149</v>
          </cell>
        </row>
        <row r="335">
          <cell r="F335" t="str">
            <v>Calcasieu Parish, LA</v>
          </cell>
          <cell r="N335">
            <v>8.925823361946069</v>
          </cell>
        </row>
        <row r="336">
          <cell r="F336" t="str">
            <v>Caldwell County, KY</v>
          </cell>
          <cell r="N336">
            <v>13.771882573559814</v>
          </cell>
        </row>
        <row r="337">
          <cell r="F337" t="str">
            <v>Caldwell County, MO</v>
          </cell>
          <cell r="N337">
            <v>19.94462444634523</v>
          </cell>
        </row>
        <row r="338">
          <cell r="F338" t="str">
            <v>Caldwell County, NC</v>
          </cell>
          <cell r="N338">
            <v>26.068711248272002</v>
          </cell>
        </row>
        <row r="339">
          <cell r="F339" t="str">
            <v>Caldwell County, TX</v>
          </cell>
          <cell r="N339">
            <v>10.796333326510005</v>
          </cell>
        </row>
        <row r="340">
          <cell r="F340" t="str">
            <v>Caldwell Parish, LA</v>
          </cell>
          <cell r="N340">
            <v>15.450699271336934</v>
          </cell>
        </row>
        <row r="341">
          <cell r="F341" t="str">
            <v>Caledonia County, VT</v>
          </cell>
          <cell r="N341">
            <v>31.323880456987823</v>
          </cell>
        </row>
        <row r="342">
          <cell r="F342" t="str">
            <v>Calhoun County, AL</v>
          </cell>
          <cell r="N342">
            <v>16.466851179469781</v>
          </cell>
        </row>
        <row r="343">
          <cell r="F343" t="str">
            <v>Calhoun County, AR</v>
          </cell>
          <cell r="N343">
            <v>17.565960452117544</v>
          </cell>
        </row>
        <row r="344">
          <cell r="F344" t="str">
            <v>Calhoun County, FL</v>
          </cell>
          <cell r="N344">
            <v>11.245800667638404</v>
          </cell>
        </row>
        <row r="345">
          <cell r="F345" t="str">
            <v>Calhoun County, GA</v>
          </cell>
          <cell r="N345">
            <v>12.309809672255472</v>
          </cell>
        </row>
        <row r="346">
          <cell r="F346" t="str">
            <v>Calhoun County, IA</v>
          </cell>
          <cell r="N346">
            <v>12.309809672255472</v>
          </cell>
        </row>
        <row r="347">
          <cell r="F347" t="str">
            <v>Calhoun County, IL</v>
          </cell>
          <cell r="N347">
            <v>11.733686263518571</v>
          </cell>
        </row>
        <row r="348">
          <cell r="F348" t="str">
            <v>Calhoun County, MI</v>
          </cell>
          <cell r="N348">
            <v>10.8742464136522</v>
          </cell>
        </row>
        <row r="349">
          <cell r="F349" t="str">
            <v>Calhoun County, MS</v>
          </cell>
          <cell r="N349">
            <v>13.701114101312044</v>
          </cell>
        </row>
        <row r="350">
          <cell r="F350" t="str">
            <v>Calhoun County, SC</v>
          </cell>
          <cell r="N350">
            <v>23.994539825727877</v>
          </cell>
        </row>
        <row r="351">
          <cell r="F351" t="str">
            <v>Calhoun County, TX</v>
          </cell>
          <cell r="N351">
            <v>10.604080443480377</v>
          </cell>
        </row>
        <row r="352">
          <cell r="F352" t="str">
            <v>Calhoun County, WV</v>
          </cell>
          <cell r="N352">
            <v>20.489742721770661</v>
          </cell>
        </row>
        <row r="353">
          <cell r="F353" t="str">
            <v>Callahan County, TX</v>
          </cell>
          <cell r="N353">
            <v>16.531680267114112</v>
          </cell>
        </row>
        <row r="354">
          <cell r="F354" t="str">
            <v>Callaway County, MO</v>
          </cell>
          <cell r="N354">
            <v>15.707614186741594</v>
          </cell>
        </row>
        <row r="355">
          <cell r="F355" t="str">
            <v>Calloway County, KY</v>
          </cell>
          <cell r="N355">
            <v>14.936321697327653</v>
          </cell>
        </row>
        <row r="356">
          <cell r="F356" t="str">
            <v>Calumet County, WI</v>
          </cell>
          <cell r="N356">
            <v>17.174376048030162</v>
          </cell>
        </row>
        <row r="357">
          <cell r="F357" t="str">
            <v>Calvert County, MD</v>
          </cell>
          <cell r="N357">
            <v>11.647857162854162</v>
          </cell>
        </row>
        <row r="358">
          <cell r="F358" t="str">
            <v>Camas County, ID</v>
          </cell>
          <cell r="N358">
            <v>21.057837981169936</v>
          </cell>
        </row>
        <row r="359">
          <cell r="F359" t="str">
            <v>Cambria County, PA</v>
          </cell>
          <cell r="N359">
            <v>20.316793068678162</v>
          </cell>
        </row>
        <row r="360">
          <cell r="F360" t="str">
            <v>Camden County, GA</v>
          </cell>
          <cell r="N360">
            <v>17.395542238928865</v>
          </cell>
        </row>
        <row r="361">
          <cell r="F361" t="str">
            <v>Camden County, MO</v>
          </cell>
          <cell r="N361">
            <v>19.016913049634631</v>
          </cell>
        </row>
        <row r="362">
          <cell r="F362" t="str">
            <v>Camden County, NC</v>
          </cell>
          <cell r="N362">
            <v>19.016913049634631</v>
          </cell>
        </row>
        <row r="363">
          <cell r="F363" t="str">
            <v>Camden County, NJ</v>
          </cell>
          <cell r="N363">
            <v>13.657847033762881</v>
          </cell>
        </row>
        <row r="364">
          <cell r="F364" t="str">
            <v>Cameron County, PA</v>
          </cell>
          <cell r="N364">
            <v>21.465358709197435</v>
          </cell>
        </row>
        <row r="365">
          <cell r="F365" t="str">
            <v>Cameron County, TX</v>
          </cell>
          <cell r="N365">
            <v>9.3169434112861769</v>
          </cell>
        </row>
        <row r="366">
          <cell r="F366" t="str">
            <v>Cameron Parish, LA</v>
          </cell>
          <cell r="N366">
            <v>9.5032460087948181</v>
          </cell>
        </row>
        <row r="367">
          <cell r="F367" t="str">
            <v>Camp County, TX</v>
          </cell>
          <cell r="N367">
            <v>12.207297994682326</v>
          </cell>
        </row>
        <row r="368">
          <cell r="F368" t="str">
            <v>Campbell County, KY</v>
          </cell>
          <cell r="N368">
            <v>12.742352387373405</v>
          </cell>
        </row>
        <row r="369">
          <cell r="F369" t="str">
            <v>Campbell County, SD</v>
          </cell>
          <cell r="N369">
            <v>17.873550914221617</v>
          </cell>
        </row>
        <row r="370">
          <cell r="F370" t="str">
            <v>Campbell County, TN</v>
          </cell>
          <cell r="N370">
            <v>20.753583607919026</v>
          </cell>
        </row>
        <row r="371">
          <cell r="F371" t="str">
            <v>Campbell County, VA</v>
          </cell>
          <cell r="N371">
            <v>18.839215703934023</v>
          </cell>
        </row>
        <row r="372">
          <cell r="F372" t="str">
            <v>Campbell County, WY</v>
          </cell>
          <cell r="N372">
            <v>14.082723386586538</v>
          </cell>
        </row>
        <row r="373">
          <cell r="F373" t="str">
            <v>Canadian County, OK</v>
          </cell>
          <cell r="N373">
            <v>13.373205920422595</v>
          </cell>
        </row>
        <row r="374">
          <cell r="F374" t="str">
            <v>Candler County, GA</v>
          </cell>
          <cell r="N374">
            <v>18.833630622855608</v>
          </cell>
        </row>
        <row r="375">
          <cell r="F375" t="str">
            <v>Cannon County, TN</v>
          </cell>
          <cell r="N375">
            <v>18.544645401842807</v>
          </cell>
        </row>
        <row r="376">
          <cell r="F376" t="str">
            <v>Canyon County, ID</v>
          </cell>
          <cell r="N376">
            <v>26.097143837577757</v>
          </cell>
        </row>
        <row r="377">
          <cell r="F377" t="str">
            <v>Cape Girardeau County, MO</v>
          </cell>
          <cell r="N377">
            <v>15.956850084365339</v>
          </cell>
        </row>
        <row r="378">
          <cell r="F378" t="str">
            <v>Cape May County, NJ</v>
          </cell>
          <cell r="N378">
            <v>11.921325172501607</v>
          </cell>
        </row>
        <row r="379">
          <cell r="F379" t="str">
            <v>Carbon County, MT</v>
          </cell>
          <cell r="N379">
            <v>9.6733307622296927</v>
          </cell>
        </row>
        <row r="380">
          <cell r="F380" t="str">
            <v>Carbon County, PA</v>
          </cell>
          <cell r="N380">
            <v>17.55476617123897</v>
          </cell>
        </row>
        <row r="381">
          <cell r="F381" t="str">
            <v>Carbon County, UT</v>
          </cell>
          <cell r="N381">
            <v>12.867047733690255</v>
          </cell>
        </row>
        <row r="382">
          <cell r="F382" t="str">
            <v>Carbon County, WY</v>
          </cell>
          <cell r="N382">
            <v>14.12950327515949</v>
          </cell>
        </row>
        <row r="383">
          <cell r="F383" t="str">
            <v>Caribou County, ID</v>
          </cell>
          <cell r="N383">
            <v>12.267685152094927</v>
          </cell>
        </row>
        <row r="384">
          <cell r="F384" t="str">
            <v>Carlisle County, KY</v>
          </cell>
          <cell r="N384">
            <v>16.201391362655677</v>
          </cell>
        </row>
        <row r="385">
          <cell r="F385" t="str">
            <v>Carlton County, MN</v>
          </cell>
          <cell r="N385">
            <v>28.567524642206308</v>
          </cell>
        </row>
        <row r="386">
          <cell r="F386" t="str">
            <v>Caroline County, MD</v>
          </cell>
          <cell r="N386">
            <v>11.073574342594528</v>
          </cell>
        </row>
        <row r="387">
          <cell r="F387" t="str">
            <v>Caroline County, VA</v>
          </cell>
          <cell r="N387">
            <v>13.663930709410295</v>
          </cell>
        </row>
        <row r="388">
          <cell r="F388" t="str">
            <v>Carroll County, AR</v>
          </cell>
          <cell r="N388">
            <v>23.954475923925919</v>
          </cell>
        </row>
        <row r="389">
          <cell r="F389" t="str">
            <v>Carroll County, GA</v>
          </cell>
          <cell r="N389">
            <v>16.739991220847422</v>
          </cell>
        </row>
        <row r="390">
          <cell r="F390" t="str">
            <v>Carroll County, IA</v>
          </cell>
          <cell r="N390">
            <v>16.739991220847422</v>
          </cell>
        </row>
        <row r="391">
          <cell r="F391" t="str">
            <v>Carroll County, IL</v>
          </cell>
          <cell r="N391">
            <v>15.042985126411612</v>
          </cell>
        </row>
        <row r="392">
          <cell r="F392" t="str">
            <v>Carroll County, IN</v>
          </cell>
          <cell r="N392">
            <v>16.36785613595757</v>
          </cell>
        </row>
        <row r="393">
          <cell r="F393" t="str">
            <v>Carroll County, KY</v>
          </cell>
          <cell r="N393">
            <v>12.742352387373405</v>
          </cell>
        </row>
        <row r="394">
          <cell r="F394" t="str">
            <v>Carroll County, MD</v>
          </cell>
          <cell r="N394">
            <v>13.903968242445583</v>
          </cell>
        </row>
        <row r="395">
          <cell r="F395" t="str">
            <v>Carroll County, MO</v>
          </cell>
          <cell r="N395">
            <v>18.781523590767762</v>
          </cell>
        </row>
        <row r="396">
          <cell r="F396" t="str">
            <v>Carroll County, MS</v>
          </cell>
          <cell r="N396">
            <v>18.781523590767762</v>
          </cell>
        </row>
        <row r="397">
          <cell r="F397" t="str">
            <v>Carroll County, NH</v>
          </cell>
          <cell r="N397">
            <v>30.858984840587162</v>
          </cell>
        </row>
        <row r="398">
          <cell r="F398" t="str">
            <v>Carroll County, OH</v>
          </cell>
          <cell r="N398">
            <v>20.168635157888133</v>
          </cell>
        </row>
        <row r="399">
          <cell r="F399" t="str">
            <v>Carroll County, TN</v>
          </cell>
          <cell r="N399">
            <v>16.747671445410958</v>
          </cell>
        </row>
        <row r="400">
          <cell r="F400" t="str">
            <v>Carroll County, VA</v>
          </cell>
          <cell r="N400">
            <v>24.833920822590674</v>
          </cell>
        </row>
        <row r="401">
          <cell r="F401" t="str">
            <v>Carson City County, NV</v>
          </cell>
          <cell r="N401">
            <v>12.208350490696056</v>
          </cell>
        </row>
        <row r="402">
          <cell r="F402" t="str">
            <v>Carson County, TX</v>
          </cell>
          <cell r="N402">
            <v>10.826074165049114</v>
          </cell>
        </row>
        <row r="403">
          <cell r="F403" t="str">
            <v>Carter County, KY</v>
          </cell>
          <cell r="N403">
            <v>17.371357299141852</v>
          </cell>
        </row>
        <row r="404">
          <cell r="F404" t="str">
            <v>Carter County, MO</v>
          </cell>
          <cell r="N404">
            <v>18.781523590767762</v>
          </cell>
        </row>
        <row r="405">
          <cell r="F405" t="str">
            <v>Carter County, MT</v>
          </cell>
          <cell r="N405">
            <v>15.678094860427272</v>
          </cell>
        </row>
        <row r="406">
          <cell r="F406" t="str">
            <v>Carter County, OK</v>
          </cell>
          <cell r="N406">
            <v>17.404101816321067</v>
          </cell>
        </row>
        <row r="407">
          <cell r="F407" t="str">
            <v>Carter County, TN</v>
          </cell>
          <cell r="N407">
            <v>25.048030041018716</v>
          </cell>
        </row>
        <row r="408">
          <cell r="F408" t="str">
            <v>Carteret County, NC</v>
          </cell>
          <cell r="N408">
            <v>21.642495075967709</v>
          </cell>
        </row>
        <row r="409">
          <cell r="F409" t="str">
            <v>Carver County, MN</v>
          </cell>
          <cell r="N409">
            <v>28.487877159336886</v>
          </cell>
        </row>
        <row r="410">
          <cell r="F410" t="str">
            <v>Cascade County, MT</v>
          </cell>
          <cell r="N410">
            <v>19.422669649200508</v>
          </cell>
        </row>
        <row r="411">
          <cell r="F411" t="str">
            <v>Casey County, KY</v>
          </cell>
          <cell r="N411">
            <v>16.598979820648591</v>
          </cell>
        </row>
        <row r="412">
          <cell r="F412" t="str">
            <v>Cass County, IA</v>
          </cell>
          <cell r="N412">
            <v>16.598979820648591</v>
          </cell>
        </row>
        <row r="413">
          <cell r="F413" t="str">
            <v>Cass County, IL</v>
          </cell>
          <cell r="N413">
            <v>9.9613421026386177</v>
          </cell>
        </row>
        <row r="414">
          <cell r="F414" t="str">
            <v>Cass County, IN</v>
          </cell>
          <cell r="N414">
            <v>9.645341702663405</v>
          </cell>
        </row>
        <row r="415">
          <cell r="F415" t="str">
            <v>Cass County, MI</v>
          </cell>
          <cell r="N415">
            <v>12.511554525336457</v>
          </cell>
        </row>
        <row r="416">
          <cell r="F416" t="str">
            <v>Cass County, MN</v>
          </cell>
          <cell r="N416">
            <v>24.621289596497036</v>
          </cell>
        </row>
        <row r="417">
          <cell r="F417" t="str">
            <v>Cass County, MO</v>
          </cell>
          <cell r="N417">
            <v>20.92772159808333</v>
          </cell>
        </row>
        <row r="418">
          <cell r="F418" t="str">
            <v>Cass County, ND</v>
          </cell>
          <cell r="N418">
            <v>17.19959842281223</v>
          </cell>
        </row>
        <row r="419">
          <cell r="F419" t="str">
            <v>Cass County, NE</v>
          </cell>
          <cell r="N419">
            <v>17.19959842281223</v>
          </cell>
        </row>
        <row r="420">
          <cell r="F420" t="str">
            <v>Cass County, TX</v>
          </cell>
          <cell r="N420">
            <v>13.030125266441793</v>
          </cell>
        </row>
        <row r="421">
          <cell r="F421" t="str">
            <v>Cassia County, ID</v>
          </cell>
          <cell r="N421">
            <v>16.949085763019241</v>
          </cell>
        </row>
        <row r="422">
          <cell r="F422" t="str">
            <v>Castro County, TX</v>
          </cell>
          <cell r="N422">
            <v>12.382058492693485</v>
          </cell>
        </row>
        <row r="423">
          <cell r="F423" t="str">
            <v>Caswell County, NC</v>
          </cell>
          <cell r="N423">
            <v>21.642495075967709</v>
          </cell>
        </row>
        <row r="424">
          <cell r="F424" t="str">
            <v>Catahoula Parish, LA</v>
          </cell>
          <cell r="N424">
            <v>13.985940041655301</v>
          </cell>
        </row>
        <row r="425">
          <cell r="F425" t="str">
            <v>Catawba County, NC</v>
          </cell>
          <cell r="N425">
            <v>27.033416945263255</v>
          </cell>
        </row>
        <row r="426">
          <cell r="F426" t="str">
            <v>Catoosa County, GA</v>
          </cell>
          <cell r="N426">
            <v>20.851467633163494</v>
          </cell>
        </row>
        <row r="427">
          <cell r="F427" t="str">
            <v>Catron County, NM</v>
          </cell>
          <cell r="N427">
            <v>16.858489604614405</v>
          </cell>
        </row>
        <row r="428">
          <cell r="F428" t="str">
            <v>Cattaraugus County, NY</v>
          </cell>
          <cell r="N428">
            <v>24.897382230272868</v>
          </cell>
        </row>
        <row r="429">
          <cell r="F429" t="str">
            <v>Cavalier County, ND</v>
          </cell>
          <cell r="N429">
            <v>15.454947139446023</v>
          </cell>
        </row>
        <row r="430">
          <cell r="F430" t="str">
            <v>Cayuga County, NY</v>
          </cell>
          <cell r="N430">
            <v>25.129830038473195</v>
          </cell>
        </row>
        <row r="431">
          <cell r="F431" t="str">
            <v>Cecil County, MD</v>
          </cell>
          <cell r="N431">
            <v>13.124584414950363</v>
          </cell>
        </row>
        <row r="432">
          <cell r="F432" t="str">
            <v>Cedar County, IA</v>
          </cell>
          <cell r="N432">
            <v>15.707614186741594</v>
          </cell>
        </row>
        <row r="433">
          <cell r="F433" t="str">
            <v>Cedar County, MO</v>
          </cell>
          <cell r="N433">
            <v>21.176957495707075</v>
          </cell>
        </row>
        <row r="434">
          <cell r="F434" t="str">
            <v>Cedar County, NE</v>
          </cell>
          <cell r="N434">
            <v>23.05554734766578</v>
          </cell>
        </row>
        <row r="435">
          <cell r="F435" t="str">
            <v>Centre County, PA</v>
          </cell>
          <cell r="N435">
            <v>20.084345260477836</v>
          </cell>
        </row>
        <row r="436">
          <cell r="F436" t="str">
            <v>Cerro Gordo County, IA</v>
          </cell>
          <cell r="N436">
            <v>22.755451513990785</v>
          </cell>
        </row>
        <row r="437">
          <cell r="F437" t="str">
            <v>Chaffee County, CO</v>
          </cell>
          <cell r="N437">
            <v>15.915783654953579</v>
          </cell>
        </row>
        <row r="438">
          <cell r="F438" t="str">
            <v>Chambers County, AL</v>
          </cell>
          <cell r="N438">
            <v>14.971768847718483</v>
          </cell>
        </row>
        <row r="439">
          <cell r="F439" t="str">
            <v>Chambers County, TX</v>
          </cell>
          <cell r="N439">
            <v>8.5968621588552878</v>
          </cell>
        </row>
        <row r="440">
          <cell r="F440" t="str">
            <v>Champaign County, IL</v>
          </cell>
          <cell r="N440">
            <v>10.23827087777611</v>
          </cell>
        </row>
        <row r="441">
          <cell r="F441" t="str">
            <v>Champaign County, OH</v>
          </cell>
          <cell r="N441">
            <v>12.511554525336457</v>
          </cell>
        </row>
        <row r="442">
          <cell r="F442" t="str">
            <v>Chariton County, MO</v>
          </cell>
          <cell r="N442">
            <v>16.718404215993441</v>
          </cell>
        </row>
        <row r="443">
          <cell r="F443" t="str">
            <v>Charles City County, VA</v>
          </cell>
          <cell r="N443">
            <v>13.663930709410295</v>
          </cell>
        </row>
        <row r="444">
          <cell r="F444" t="str">
            <v>Charles County, MD</v>
          </cell>
          <cell r="N444">
            <v>12.181119781666681</v>
          </cell>
        </row>
        <row r="445">
          <cell r="F445" t="str">
            <v>Charles Mix County, SD</v>
          </cell>
          <cell r="N445">
            <v>21.14473879921708</v>
          </cell>
        </row>
        <row r="446">
          <cell r="F446" t="str">
            <v>Charleston County, SC</v>
          </cell>
          <cell r="N446">
            <v>23.505253690797154</v>
          </cell>
        </row>
        <row r="447">
          <cell r="F447" t="str">
            <v>Charlevoix County, MI</v>
          </cell>
          <cell r="N447">
            <v>17.30323865169543</v>
          </cell>
        </row>
        <row r="448">
          <cell r="F448" t="str">
            <v>Charlotte County, FL</v>
          </cell>
          <cell r="N448">
            <v>10.947615728476013</v>
          </cell>
        </row>
        <row r="449">
          <cell r="F449" t="str">
            <v>Charlotte County, VA</v>
          </cell>
          <cell r="N449">
            <v>18.292935621178739</v>
          </cell>
        </row>
        <row r="450">
          <cell r="F450" t="str">
            <v>Charlton County, GA</v>
          </cell>
          <cell r="N450">
            <v>16.576122114795943</v>
          </cell>
        </row>
        <row r="451">
          <cell r="F451" t="str">
            <v>Chase County, KS</v>
          </cell>
          <cell r="N451">
            <v>15.474006376793181</v>
          </cell>
        </row>
        <row r="452">
          <cell r="F452" t="str">
            <v>Chase County, NE</v>
          </cell>
          <cell r="N452">
            <v>12.643025402496054</v>
          </cell>
        </row>
        <row r="453">
          <cell r="F453" t="str">
            <v>Chatham County, GA</v>
          </cell>
          <cell r="N453">
            <v>19.897439205063264</v>
          </cell>
        </row>
        <row r="454">
          <cell r="F454" t="str">
            <v>Chatham County, NC</v>
          </cell>
          <cell r="N454">
            <v>22.433163616797721</v>
          </cell>
        </row>
        <row r="455">
          <cell r="F455" t="str">
            <v>Chattahoochee County, GA</v>
          </cell>
          <cell r="N455">
            <v>14.449014169161892</v>
          </cell>
        </row>
        <row r="456">
          <cell r="F456" t="str">
            <v>Chattooga County, GA</v>
          </cell>
          <cell r="N456">
            <v>19.64390113444129</v>
          </cell>
        </row>
        <row r="457">
          <cell r="F457" t="str">
            <v>Chautauqua County, KS</v>
          </cell>
          <cell r="N457">
            <v>16.401717773503783</v>
          </cell>
        </row>
        <row r="458">
          <cell r="F458" t="str">
            <v>Chautauqua County, NY</v>
          </cell>
          <cell r="N458">
            <v>24.878904276612154</v>
          </cell>
        </row>
        <row r="459">
          <cell r="F459" t="str">
            <v>Chaves County, NM</v>
          </cell>
          <cell r="N459">
            <v>10.147527123261346</v>
          </cell>
        </row>
        <row r="460">
          <cell r="F460" t="str">
            <v>Cheatham County, TN</v>
          </cell>
          <cell r="N460">
            <v>15.626359696597483</v>
          </cell>
        </row>
        <row r="461">
          <cell r="F461" t="str">
            <v>Cheboygan County, MI</v>
          </cell>
          <cell r="N461">
            <v>19.999049554432588</v>
          </cell>
        </row>
        <row r="462">
          <cell r="F462" t="str">
            <v>Chelan County, WA</v>
          </cell>
          <cell r="N462">
            <v>34.074705055566163</v>
          </cell>
        </row>
        <row r="463">
          <cell r="F463" t="str">
            <v>Chemung County, NY</v>
          </cell>
          <cell r="N463">
            <v>21.957601126562832</v>
          </cell>
        </row>
        <row r="464">
          <cell r="F464" t="str">
            <v>Chenango County, NY</v>
          </cell>
          <cell r="N464">
            <v>22.449843543928235</v>
          </cell>
        </row>
        <row r="465">
          <cell r="F465" t="str">
            <v>Cherokee County, AL</v>
          </cell>
          <cell r="N465">
            <v>17.530659761677438</v>
          </cell>
        </row>
        <row r="466">
          <cell r="F466" t="str">
            <v>Cherokee County, GA</v>
          </cell>
          <cell r="N466">
            <v>20.333939133711123</v>
          </cell>
        </row>
        <row r="467">
          <cell r="F467" t="str">
            <v>Cherokee County, IA</v>
          </cell>
          <cell r="N467">
            <v>25.358582000283221</v>
          </cell>
        </row>
        <row r="468">
          <cell r="F468" t="str">
            <v>Cherokee County, KS</v>
          </cell>
          <cell r="N468">
            <v>20.375645696726803</v>
          </cell>
        </row>
        <row r="469">
          <cell r="F469" t="str">
            <v>Cherokee County, NC</v>
          </cell>
          <cell r="N469">
            <v>23.240595563620708</v>
          </cell>
        </row>
        <row r="470">
          <cell r="F470" t="str">
            <v>Cherokee County, OK</v>
          </cell>
          <cell r="N470">
            <v>19.840339565128584</v>
          </cell>
        </row>
        <row r="471">
          <cell r="F471" t="str">
            <v>Cherokee County, SC</v>
          </cell>
          <cell r="N471">
            <v>26.826570781064476</v>
          </cell>
        </row>
        <row r="472">
          <cell r="F472" t="str">
            <v>Cherokee County, TX</v>
          </cell>
          <cell r="N472">
            <v>11.596403103621533</v>
          </cell>
        </row>
        <row r="473">
          <cell r="F473" t="str">
            <v>Cherry County, NE</v>
          </cell>
          <cell r="N473">
            <v>14.12459434948164</v>
          </cell>
        </row>
        <row r="474">
          <cell r="F474" t="str">
            <v>Chesapea County, VA</v>
          </cell>
          <cell r="N474">
            <v>13.95144654243939</v>
          </cell>
        </row>
        <row r="475">
          <cell r="F475" t="str">
            <v>Cheshire County, NH</v>
          </cell>
          <cell r="N475">
            <v>26.100641472721627</v>
          </cell>
        </row>
        <row r="476">
          <cell r="F476" t="str">
            <v>Chester County, PA</v>
          </cell>
          <cell r="N476">
            <v>13.903968242445583</v>
          </cell>
        </row>
        <row r="477">
          <cell r="F477" t="str">
            <v>Chester County, SC</v>
          </cell>
          <cell r="N477">
            <v>26.826570781064476</v>
          </cell>
        </row>
        <row r="478">
          <cell r="F478" t="str">
            <v>Chester County, TN</v>
          </cell>
          <cell r="N478">
            <v>19.364065525975732</v>
          </cell>
        </row>
        <row r="479">
          <cell r="F479" t="str">
            <v>Chesterfield County, SC</v>
          </cell>
          <cell r="N479">
            <v>26.774652695537071</v>
          </cell>
        </row>
        <row r="480">
          <cell r="F480" t="str">
            <v>Chesterfield County, VA</v>
          </cell>
          <cell r="N480">
            <v>16.007184748597425</v>
          </cell>
        </row>
        <row r="481">
          <cell r="F481" t="str">
            <v>Cheyenne County, CO</v>
          </cell>
          <cell r="N481">
            <v>14.369042380454337</v>
          </cell>
        </row>
        <row r="482">
          <cell r="F482" t="str">
            <v>Cheyenne County, KS</v>
          </cell>
          <cell r="N482">
            <v>14.401523124619132</v>
          </cell>
        </row>
        <row r="483">
          <cell r="F483" t="str">
            <v>Cheyenne County, NE</v>
          </cell>
          <cell r="N483">
            <v>15.653047559493224</v>
          </cell>
        </row>
        <row r="484">
          <cell r="F484" t="str">
            <v>Chickasaw County, IA</v>
          </cell>
          <cell r="N484">
            <v>20.44309624159272</v>
          </cell>
        </row>
        <row r="485">
          <cell r="F485" t="str">
            <v>Chickasaw County, MS</v>
          </cell>
          <cell r="N485">
            <v>13.959878351038231</v>
          </cell>
        </row>
        <row r="486">
          <cell r="F486" t="str">
            <v>Chicot County, AR</v>
          </cell>
          <cell r="N486">
            <v>13.43738852714899</v>
          </cell>
        </row>
        <row r="487">
          <cell r="F487" t="str">
            <v>Childress County, TX</v>
          </cell>
          <cell r="N487">
            <v>12.370679745369516</v>
          </cell>
        </row>
        <row r="488">
          <cell r="F488" t="str">
            <v>Chilton County, AL</v>
          </cell>
          <cell r="N488">
            <v>12.082234725776066</v>
          </cell>
        </row>
        <row r="489">
          <cell r="F489" t="str">
            <v>Chippewa County, MI</v>
          </cell>
          <cell r="N489">
            <v>18.16171785462166</v>
          </cell>
        </row>
        <row r="490">
          <cell r="F490" t="str">
            <v>Chippewa County, MN</v>
          </cell>
          <cell r="N490">
            <v>25.119761391744522</v>
          </cell>
        </row>
        <row r="491">
          <cell r="F491" t="str">
            <v>Chippewa County, WI</v>
          </cell>
          <cell r="N491">
            <v>25.123192541416348</v>
          </cell>
        </row>
        <row r="492">
          <cell r="F492" t="str">
            <v>Chisago County, MN</v>
          </cell>
          <cell r="N492">
            <v>28.972502515827497</v>
          </cell>
        </row>
        <row r="493">
          <cell r="F493" t="str">
            <v>Chittenden County, VT</v>
          </cell>
          <cell r="N493">
            <v>30.858984840587162</v>
          </cell>
        </row>
        <row r="494">
          <cell r="F494" t="str">
            <v>Choctaw County, AL</v>
          </cell>
          <cell r="N494">
            <v>10.131393071079987</v>
          </cell>
        </row>
        <row r="495">
          <cell r="F495" t="str">
            <v>Choctaw County, MS</v>
          </cell>
          <cell r="N495">
            <v>12.148528602954926</v>
          </cell>
        </row>
        <row r="496">
          <cell r="F496" t="str">
            <v>Choctaw County, OK</v>
          </cell>
          <cell r="N496">
            <v>15.988599570674076</v>
          </cell>
        </row>
        <row r="497">
          <cell r="F497" t="str">
            <v>Chouteau County, MT</v>
          </cell>
          <cell r="N497">
            <v>19.663870912675634</v>
          </cell>
        </row>
        <row r="498">
          <cell r="F498" t="str">
            <v>Chowan County, NC</v>
          </cell>
          <cell r="N498">
            <v>16.82660487273035</v>
          </cell>
        </row>
        <row r="499">
          <cell r="F499" t="str">
            <v>Christian County, IL</v>
          </cell>
          <cell r="N499">
            <v>12.669483965743556</v>
          </cell>
        </row>
        <row r="500">
          <cell r="F500" t="str">
            <v>Christian County, KY</v>
          </cell>
          <cell r="N500">
            <v>13.771882573559814</v>
          </cell>
        </row>
        <row r="501">
          <cell r="F501" t="str">
            <v>Christian County, MO</v>
          </cell>
          <cell r="N501">
            <v>21.176957495707075</v>
          </cell>
        </row>
        <row r="502">
          <cell r="F502" t="str">
            <v>Churchill County, NV</v>
          </cell>
          <cell r="N502">
            <v>16.452194624869065</v>
          </cell>
        </row>
        <row r="503">
          <cell r="F503" t="str">
            <v>Cibola County, NM</v>
          </cell>
          <cell r="N503">
            <v>12.76405359628305</v>
          </cell>
        </row>
        <row r="504">
          <cell r="F504" t="str">
            <v>Cimarron County, OK</v>
          </cell>
          <cell r="N504">
            <v>15.84965119263323</v>
          </cell>
        </row>
        <row r="505">
          <cell r="F505" t="str">
            <v>Citrus County, FL</v>
          </cell>
          <cell r="N505">
            <v>14.494579264060128</v>
          </cell>
        </row>
        <row r="506">
          <cell r="F506" t="str">
            <v>City of Alexandria County, VA</v>
          </cell>
          <cell r="N506">
            <v>13.390790668032652</v>
          </cell>
        </row>
        <row r="507">
          <cell r="F507" t="str">
            <v>City of Bristol County, VA</v>
          </cell>
          <cell r="N507">
            <v>24.300488875143063</v>
          </cell>
        </row>
        <row r="508">
          <cell r="F508" t="str">
            <v>City of Buena Vista County, VA</v>
          </cell>
          <cell r="N508">
            <v>18.839215703934023</v>
          </cell>
        </row>
        <row r="509">
          <cell r="F509" t="str">
            <v>City of Charlottesville County, VA</v>
          </cell>
          <cell r="N509">
            <v>17.51664287200018</v>
          </cell>
        </row>
        <row r="510">
          <cell r="F510" t="str">
            <v>City of Chesapeake County, VA</v>
          </cell>
          <cell r="N510">
            <v>13.95144654243939</v>
          </cell>
        </row>
        <row r="511">
          <cell r="F511" t="str">
            <v>City of Colonial Heights County, VA</v>
          </cell>
          <cell r="N511">
            <v>14.210210792165576</v>
          </cell>
        </row>
        <row r="512">
          <cell r="F512" t="str">
            <v>City of Covington County, VA</v>
          </cell>
          <cell r="N512">
            <v>21.642495075967709</v>
          </cell>
        </row>
        <row r="513">
          <cell r="F513" t="str">
            <v>City of Danville County, VA</v>
          </cell>
          <cell r="N513">
            <v>21.642495075967709</v>
          </cell>
        </row>
        <row r="514">
          <cell r="F514" t="str">
            <v>City of Emporia County, VA</v>
          </cell>
          <cell r="N514">
            <v>16.82660487273035</v>
          </cell>
        </row>
        <row r="515">
          <cell r="F515" t="str">
            <v>City of Fairfax County, VA</v>
          </cell>
          <cell r="N515">
            <v>13.663930709410295</v>
          </cell>
        </row>
        <row r="516">
          <cell r="F516" t="str">
            <v>City of Falls Church County, VA</v>
          </cell>
          <cell r="N516">
            <v>13.663930709410295</v>
          </cell>
        </row>
        <row r="517">
          <cell r="F517" t="str">
            <v>City of Franklin County, VA</v>
          </cell>
          <cell r="N517">
            <v>16.007184748597425</v>
          </cell>
        </row>
        <row r="518">
          <cell r="F518" t="str">
            <v>City of Fredericksburg County, VA</v>
          </cell>
          <cell r="N518">
            <v>13.663930709410295</v>
          </cell>
        </row>
        <row r="519">
          <cell r="F519" t="str">
            <v>City of Galax County, VA</v>
          </cell>
          <cell r="N519">
            <v>25.078309280665405</v>
          </cell>
        </row>
        <row r="520">
          <cell r="F520" t="str">
            <v>City of Hampton County, VA</v>
          </cell>
          <cell r="N520">
            <v>13.088899043352102</v>
          </cell>
        </row>
        <row r="521">
          <cell r="F521" t="str">
            <v>City of Harrisonburg County, VA</v>
          </cell>
          <cell r="N521">
            <v>18.048547163104008</v>
          </cell>
        </row>
        <row r="522">
          <cell r="F522" t="str">
            <v>City of Hopewell County, VA</v>
          </cell>
          <cell r="N522">
            <v>14.210210792165576</v>
          </cell>
        </row>
        <row r="523">
          <cell r="F523" t="str">
            <v>City of Lexington County, VA</v>
          </cell>
          <cell r="N523">
            <v>20.434928577245504</v>
          </cell>
        </row>
        <row r="524">
          <cell r="F524" t="str">
            <v>City of Lynchburg County, VA</v>
          </cell>
          <cell r="N524">
            <v>18.839215703934023</v>
          </cell>
        </row>
        <row r="525">
          <cell r="F525" t="str">
            <v>City of Manassas County, VA</v>
          </cell>
          <cell r="N525">
            <v>13.95144654243939</v>
          </cell>
        </row>
        <row r="526">
          <cell r="F526" t="str">
            <v>City of Manassas Park County, VA</v>
          </cell>
          <cell r="N526">
            <v>13.95144654243939</v>
          </cell>
        </row>
        <row r="527">
          <cell r="F527" t="str">
            <v>City of Martinsville County, VA</v>
          </cell>
          <cell r="N527">
            <v>22.16002357542008</v>
          </cell>
        </row>
        <row r="528">
          <cell r="F528" t="str">
            <v>City of Newport News County, VA</v>
          </cell>
          <cell r="N528">
            <v>13.390790668032652</v>
          </cell>
        </row>
        <row r="529">
          <cell r="F529" t="str">
            <v>City of Norfolk County, VA</v>
          </cell>
          <cell r="N529">
            <v>13.663930709410295</v>
          </cell>
        </row>
        <row r="530">
          <cell r="F530" t="str">
            <v>City of Norton County, VA</v>
          </cell>
          <cell r="N530">
            <v>21.727222169532656</v>
          </cell>
        </row>
        <row r="531">
          <cell r="F531" t="str">
            <v>City of Petersburg County, VA</v>
          </cell>
          <cell r="N531">
            <v>14.210210792165576</v>
          </cell>
        </row>
        <row r="532">
          <cell r="F532" t="str">
            <v>City of Poquoson County, VA</v>
          </cell>
          <cell r="N532">
            <v>13.088899043352102</v>
          </cell>
        </row>
        <row r="533">
          <cell r="F533" t="str">
            <v>City of Portsmouth County, VA</v>
          </cell>
          <cell r="N533">
            <v>13.663930709410295</v>
          </cell>
        </row>
        <row r="534">
          <cell r="F534" t="str">
            <v>City of Radford County, VA</v>
          </cell>
          <cell r="N534">
            <v>22.936316324598639</v>
          </cell>
        </row>
        <row r="535">
          <cell r="F535" t="str">
            <v>City of Richmond County, VA</v>
          </cell>
          <cell r="N535">
            <v>14.210210792165576</v>
          </cell>
        </row>
        <row r="536">
          <cell r="F536" t="str">
            <v>City of Roanoke County, VA</v>
          </cell>
          <cell r="N536">
            <v>21.915635117345349</v>
          </cell>
        </row>
        <row r="537">
          <cell r="F537" t="str">
            <v>City of Salem County, VA</v>
          </cell>
          <cell r="N537">
            <v>22.16002357542008</v>
          </cell>
        </row>
        <row r="538">
          <cell r="F538" t="str">
            <v>City of Staunton County, VA</v>
          </cell>
          <cell r="N538">
            <v>18.292935621178739</v>
          </cell>
        </row>
        <row r="539">
          <cell r="F539" t="str">
            <v>City of Suffolk County, VA</v>
          </cell>
          <cell r="N539">
            <v>13.95144654243939</v>
          </cell>
        </row>
        <row r="540">
          <cell r="F540" t="str">
            <v>City of Virginia Beach County, VA</v>
          </cell>
          <cell r="N540">
            <v>13.663930709410295</v>
          </cell>
        </row>
        <row r="541">
          <cell r="F541" t="str">
            <v>City of Waynesboro County, VA</v>
          </cell>
          <cell r="N541">
            <v>18.048547163104008</v>
          </cell>
        </row>
        <row r="542">
          <cell r="F542" t="str">
            <v>City of Williamsburg County, VA</v>
          </cell>
          <cell r="N542">
            <v>13.390790668032652</v>
          </cell>
        </row>
        <row r="543">
          <cell r="F543" t="str">
            <v>City of Winchester County, VA</v>
          </cell>
          <cell r="N543">
            <v>16.82660487273035</v>
          </cell>
        </row>
        <row r="544">
          <cell r="F544" t="str">
            <v>Clackamas County, OR</v>
          </cell>
          <cell r="N544">
            <v>28.171790190223824</v>
          </cell>
        </row>
        <row r="545">
          <cell r="F545" t="str">
            <v>Claiborne County, MS</v>
          </cell>
          <cell r="N545">
            <v>11.587872728548188</v>
          </cell>
        </row>
        <row r="546">
          <cell r="F546" t="str">
            <v>Claiborne County, TN</v>
          </cell>
          <cell r="N546">
            <v>20.997972065993757</v>
          </cell>
        </row>
        <row r="547">
          <cell r="F547" t="str">
            <v>Claiborne Parish, LA</v>
          </cell>
          <cell r="N547">
            <v>15.696103896247653</v>
          </cell>
        </row>
        <row r="548">
          <cell r="F548" t="str">
            <v>Clallam County, WA</v>
          </cell>
          <cell r="N548">
            <v>34.551425020938225</v>
          </cell>
        </row>
        <row r="549">
          <cell r="F549" t="str">
            <v>Clare County, MI</v>
          </cell>
          <cell r="N549">
            <v>15.471264080934581</v>
          </cell>
        </row>
        <row r="550">
          <cell r="F550" t="str">
            <v>Clarendon County, SC</v>
          </cell>
          <cell r="N550">
            <v>25.892144323719911</v>
          </cell>
        </row>
        <row r="551">
          <cell r="F551" t="str">
            <v>Clarion County, PA</v>
          </cell>
          <cell r="N551">
            <v>22.449843543928235</v>
          </cell>
        </row>
        <row r="552">
          <cell r="F552" t="str">
            <v>Clark County, AR</v>
          </cell>
          <cell r="N552">
            <v>19.2807254185795</v>
          </cell>
        </row>
        <row r="553">
          <cell r="F553" t="str">
            <v>Clark County, ID</v>
          </cell>
          <cell r="N553">
            <v>15.814984774726728</v>
          </cell>
        </row>
        <row r="554">
          <cell r="F554" t="str">
            <v>Clark County, IL</v>
          </cell>
          <cell r="N554">
            <v>11.442911049624204</v>
          </cell>
        </row>
        <row r="555">
          <cell r="F555" t="str">
            <v>Clark County, IN</v>
          </cell>
          <cell r="N555">
            <v>12.017194299677685</v>
          </cell>
        </row>
        <row r="556">
          <cell r="F556" t="str">
            <v>Clark County, KS</v>
          </cell>
          <cell r="N556">
            <v>10.350824036749565</v>
          </cell>
        </row>
        <row r="557">
          <cell r="F557" t="str">
            <v>Clark County, KY</v>
          </cell>
          <cell r="N557">
            <v>16.580688758311837</v>
          </cell>
        </row>
        <row r="558">
          <cell r="F558" t="str">
            <v>Clark County, MO</v>
          </cell>
          <cell r="N558">
            <v>14.516820453650375</v>
          </cell>
        </row>
        <row r="559">
          <cell r="F559" t="str">
            <v>Clark County, NV</v>
          </cell>
          <cell r="N559">
            <v>18.998284715531305</v>
          </cell>
        </row>
        <row r="560">
          <cell r="F560" t="str">
            <v>Clark County, OH</v>
          </cell>
          <cell r="N560">
            <v>12.511554525336457</v>
          </cell>
        </row>
        <row r="561">
          <cell r="F561" t="str">
            <v>Clark County, SD</v>
          </cell>
          <cell r="N561">
            <v>23.301354906916476</v>
          </cell>
        </row>
        <row r="562">
          <cell r="F562" t="str">
            <v>Clark County, WA</v>
          </cell>
          <cell r="N562">
            <v>29.405653630010345</v>
          </cell>
        </row>
        <row r="563">
          <cell r="F563" t="str">
            <v>Clark County, WI</v>
          </cell>
          <cell r="N563">
            <v>22.394483459371902</v>
          </cell>
        </row>
        <row r="564">
          <cell r="F564" t="str">
            <v>Clarke County, AL</v>
          </cell>
          <cell r="N564">
            <v>10.242133394389853</v>
          </cell>
        </row>
        <row r="565">
          <cell r="F565" t="str">
            <v>Clarke County, GA</v>
          </cell>
          <cell r="N565">
            <v>21.368996132615866</v>
          </cell>
        </row>
        <row r="566">
          <cell r="F566" t="str">
            <v>Clarke County, IA</v>
          </cell>
          <cell r="N566">
            <v>19.94462444634523</v>
          </cell>
        </row>
        <row r="567">
          <cell r="F567" t="str">
            <v>Clarke County, MS</v>
          </cell>
          <cell r="N567">
            <v>11.382086944756555</v>
          </cell>
        </row>
        <row r="568">
          <cell r="F568" t="str">
            <v>Clarke County, VA</v>
          </cell>
          <cell r="N568">
            <v>16.553464831352709</v>
          </cell>
        </row>
        <row r="569">
          <cell r="F569" t="str">
            <v>Clatsop County, OR</v>
          </cell>
          <cell r="N569">
            <v>29.882373595382411</v>
          </cell>
        </row>
        <row r="570">
          <cell r="F570" t="str">
            <v>Clay County, AL</v>
          </cell>
          <cell r="N570">
            <v>15.119792774134801</v>
          </cell>
        </row>
        <row r="571">
          <cell r="F571" t="str">
            <v>Clay County, AR</v>
          </cell>
          <cell r="N571">
            <v>20.136186995551814</v>
          </cell>
        </row>
        <row r="572">
          <cell r="F572" t="str">
            <v>Clay County, FL</v>
          </cell>
          <cell r="N572">
            <v>17.122402197551224</v>
          </cell>
        </row>
        <row r="573">
          <cell r="F573" t="str">
            <v>Clay County, GA</v>
          </cell>
          <cell r="N573">
            <v>12.007918047574922</v>
          </cell>
        </row>
        <row r="574">
          <cell r="F574" t="str">
            <v>Clay County, IA</v>
          </cell>
          <cell r="N574">
            <v>12.007918047574922</v>
          </cell>
        </row>
        <row r="575">
          <cell r="F575" t="str">
            <v>Clay County, IL</v>
          </cell>
          <cell r="N575">
            <v>11.442911049624204</v>
          </cell>
        </row>
        <row r="576">
          <cell r="F576" t="str">
            <v>Clay County, IN</v>
          </cell>
          <cell r="N576">
            <v>11.818409711315224</v>
          </cell>
        </row>
        <row r="577">
          <cell r="F577" t="str">
            <v>Clay County, KS</v>
          </cell>
          <cell r="N577">
            <v>15.737088713173801</v>
          </cell>
        </row>
        <row r="578">
          <cell r="F578" t="str">
            <v>Clay County, KY</v>
          </cell>
          <cell r="N578">
            <v>18.884730693229905</v>
          </cell>
        </row>
        <row r="579">
          <cell r="F579" t="str">
            <v>Clay County, MN</v>
          </cell>
          <cell r="N579">
            <v>19.719650276563414</v>
          </cell>
        </row>
        <row r="580">
          <cell r="F580" t="str">
            <v>Clay County, MO</v>
          </cell>
          <cell r="N580">
            <v>19.719650276563414</v>
          </cell>
        </row>
        <row r="581">
          <cell r="F581" t="str">
            <v>Clay County, MS</v>
          </cell>
          <cell r="N581">
            <v>19.719650276563414</v>
          </cell>
        </row>
        <row r="582">
          <cell r="F582" t="str">
            <v>Clay County, NC</v>
          </cell>
          <cell r="N582">
            <v>19.719650276563414</v>
          </cell>
        </row>
        <row r="583">
          <cell r="F583" t="str">
            <v>Clay County, NE</v>
          </cell>
          <cell r="N583">
            <v>17.675590139136251</v>
          </cell>
        </row>
        <row r="584">
          <cell r="F584" t="str">
            <v>Clay County, SD</v>
          </cell>
          <cell r="N584">
            <v>24.883277263573234</v>
          </cell>
        </row>
        <row r="585">
          <cell r="F585" t="str">
            <v>Clay County, TN</v>
          </cell>
          <cell r="N585">
            <v>16.488907195684771</v>
          </cell>
        </row>
        <row r="586">
          <cell r="F586" t="str">
            <v>Clay County, TX</v>
          </cell>
          <cell r="N586">
            <v>17.678377573574224</v>
          </cell>
        </row>
        <row r="587">
          <cell r="F587" t="str">
            <v>Clay County, WV</v>
          </cell>
          <cell r="N587">
            <v>20.981985139136064</v>
          </cell>
        </row>
        <row r="588">
          <cell r="F588" t="str">
            <v>Clayton County, GA</v>
          </cell>
          <cell r="N588">
            <v>18.833630622855608</v>
          </cell>
        </row>
        <row r="589">
          <cell r="F589" t="str">
            <v>Clayton County, IA</v>
          </cell>
          <cell r="N589">
            <v>18.781523590767762</v>
          </cell>
        </row>
        <row r="590">
          <cell r="F590" t="str">
            <v>Clear Creek County, CO</v>
          </cell>
          <cell r="N590">
            <v>16.555031968452717</v>
          </cell>
        </row>
        <row r="591">
          <cell r="F591" t="str">
            <v>Clearfield County, PA</v>
          </cell>
          <cell r="N591">
            <v>21.232910900997105</v>
          </cell>
        </row>
        <row r="592">
          <cell r="F592" t="str">
            <v>Clearwater County, ID</v>
          </cell>
          <cell r="N592">
            <v>25.020307688562607</v>
          </cell>
        </row>
        <row r="593">
          <cell r="F593" t="str">
            <v>Clearwater County, MN</v>
          </cell>
          <cell r="N593">
            <v>21.13198702976463</v>
          </cell>
        </row>
        <row r="594">
          <cell r="F594" t="str">
            <v>Cleburne County, AL</v>
          </cell>
          <cell r="N594">
            <v>16.466851179469781</v>
          </cell>
        </row>
        <row r="595">
          <cell r="F595" t="str">
            <v>Cleburne County, AR</v>
          </cell>
          <cell r="N595">
            <v>21.723403509428536</v>
          </cell>
        </row>
        <row r="596">
          <cell r="F596" t="str">
            <v>Clermont County, OH</v>
          </cell>
          <cell r="N596">
            <v>14.242359369945788</v>
          </cell>
        </row>
        <row r="597">
          <cell r="F597" t="str">
            <v>Cleveland County, AR</v>
          </cell>
          <cell r="N597">
            <v>17.565960452117544</v>
          </cell>
        </row>
        <row r="598">
          <cell r="F598" t="str">
            <v>Cleveland County, NC</v>
          </cell>
          <cell r="N598">
            <v>27.32972348886539</v>
          </cell>
        </row>
        <row r="599">
          <cell r="F599" t="str">
            <v>Cleveland County, OK</v>
          </cell>
          <cell r="N599">
            <v>14.932247066914217</v>
          </cell>
        </row>
        <row r="600">
          <cell r="F600" t="str">
            <v>Clinch County, GA</v>
          </cell>
          <cell r="N600">
            <v>13.959728034231169</v>
          </cell>
        </row>
        <row r="601">
          <cell r="F601" t="str">
            <v>Clinton County, IA</v>
          </cell>
          <cell r="N601">
            <v>13.959728034231169</v>
          </cell>
        </row>
        <row r="602">
          <cell r="F602" t="str">
            <v>Clinton County, IL</v>
          </cell>
          <cell r="N602">
            <v>11.733686263518571</v>
          </cell>
        </row>
        <row r="603">
          <cell r="F603" t="str">
            <v>Clinton County, IN</v>
          </cell>
          <cell r="N603">
            <v>13.759103287185289</v>
          </cell>
        </row>
        <row r="604">
          <cell r="F604" t="str">
            <v>Clinton County, KY</v>
          </cell>
          <cell r="N604">
            <v>17.820922111022249</v>
          </cell>
        </row>
        <row r="605">
          <cell r="F605" t="str">
            <v>Clinton County, MI</v>
          </cell>
          <cell r="N605">
            <v>11.995807952959046</v>
          </cell>
        </row>
        <row r="606">
          <cell r="F606" t="str">
            <v>Clinton County, MO</v>
          </cell>
          <cell r="N606">
            <v>20.678485700459589</v>
          </cell>
        </row>
        <row r="607">
          <cell r="F607" t="str">
            <v>Clinton County, NY</v>
          </cell>
          <cell r="N607">
            <v>31.091432648787496</v>
          </cell>
        </row>
        <row r="608">
          <cell r="F608" t="str">
            <v>Clinton County, OH</v>
          </cell>
          <cell r="N608">
            <v>14.242359369945788</v>
          </cell>
        </row>
        <row r="609">
          <cell r="F609" t="str">
            <v>Clinton County, PA</v>
          </cell>
          <cell r="N609">
            <v>20.316793068678162</v>
          </cell>
        </row>
        <row r="610">
          <cell r="F610" t="str">
            <v>Cloud County, KS</v>
          </cell>
          <cell r="N610">
            <v>15.474006376793181</v>
          </cell>
        </row>
        <row r="611">
          <cell r="F611" t="str">
            <v>Coahoma County, MS</v>
          </cell>
          <cell r="N611">
            <v>16.029992348847721</v>
          </cell>
        </row>
        <row r="612">
          <cell r="F612" t="str">
            <v>Coal County, OK</v>
          </cell>
          <cell r="N612">
            <v>17.404101816321067</v>
          </cell>
        </row>
        <row r="613">
          <cell r="F613" t="str">
            <v>Cobb County, GA</v>
          </cell>
          <cell r="N613">
            <v>19.399512676366559</v>
          </cell>
        </row>
        <row r="614">
          <cell r="F614" t="str">
            <v>Cochise County, AZ</v>
          </cell>
          <cell r="N614">
            <v>25.061677831096457</v>
          </cell>
        </row>
        <row r="615">
          <cell r="F615" t="str">
            <v>Cochran County, TX</v>
          </cell>
          <cell r="N615">
            <v>10.466196891007179</v>
          </cell>
        </row>
        <row r="616">
          <cell r="F616" t="str">
            <v>Cocke County, TN</v>
          </cell>
          <cell r="N616">
            <v>22.981831313894521</v>
          </cell>
        </row>
        <row r="617">
          <cell r="F617" t="str">
            <v>Coconino County, AZ</v>
          </cell>
          <cell r="N617">
            <v>20.022371974688635</v>
          </cell>
        </row>
        <row r="618">
          <cell r="F618" t="str">
            <v>Codington County, SD</v>
          </cell>
          <cell r="N618">
            <v>23.458188740919567</v>
          </cell>
        </row>
        <row r="619">
          <cell r="F619" t="str">
            <v>Coffee County, AL</v>
          </cell>
          <cell r="N619">
            <v>10.529649227418949</v>
          </cell>
        </row>
        <row r="620">
          <cell r="F620" t="str">
            <v>Coffee County, GA</v>
          </cell>
          <cell r="N620">
            <v>14.520383908637907</v>
          </cell>
        </row>
        <row r="621">
          <cell r="F621" t="str">
            <v>Coffee County, TN</v>
          </cell>
          <cell r="N621">
            <v>19.364065525975732</v>
          </cell>
        </row>
        <row r="622">
          <cell r="F622" t="str">
            <v>Coffey County, KS</v>
          </cell>
          <cell r="N622">
            <v>17.149425466375014</v>
          </cell>
        </row>
        <row r="623">
          <cell r="F623" t="str">
            <v>Coke County, TX</v>
          </cell>
          <cell r="N623">
            <v>12.417543908316777</v>
          </cell>
        </row>
        <row r="624">
          <cell r="F624" t="str">
            <v>Colbert County, AL</v>
          </cell>
          <cell r="N624">
            <v>18.315743221429035</v>
          </cell>
        </row>
        <row r="625">
          <cell r="F625" t="str">
            <v>Cole County, MO</v>
          </cell>
          <cell r="N625">
            <v>16.455321879612825</v>
          </cell>
        </row>
        <row r="626">
          <cell r="F626" t="str">
            <v>Coleman County, TX</v>
          </cell>
          <cell r="N626">
            <v>16.257404509860958</v>
          </cell>
        </row>
        <row r="627">
          <cell r="F627" t="str">
            <v>Coles County, IL</v>
          </cell>
          <cell r="N627">
            <v>10.23827087777611</v>
          </cell>
        </row>
        <row r="628">
          <cell r="F628" t="str">
            <v>Colfax County, NE</v>
          </cell>
          <cell r="N628">
            <v>21.62182518484552</v>
          </cell>
        </row>
        <row r="629">
          <cell r="F629" t="str">
            <v>Colfax County, NM</v>
          </cell>
          <cell r="N629">
            <v>15.789535485182085</v>
          </cell>
        </row>
        <row r="630">
          <cell r="F630" t="str">
            <v>Colleton County, SC</v>
          </cell>
          <cell r="N630">
            <v>23.002100982996236</v>
          </cell>
        </row>
        <row r="631">
          <cell r="F631" t="str">
            <v>Collier County, FL</v>
          </cell>
          <cell r="N631">
            <v>10.631348312144006</v>
          </cell>
        </row>
        <row r="632">
          <cell r="F632" t="str">
            <v>Collin County, TX</v>
          </cell>
          <cell r="N632">
            <v>13.030125266441793</v>
          </cell>
        </row>
        <row r="633">
          <cell r="F633" t="str">
            <v>Collingsworth County, TX</v>
          </cell>
          <cell r="N633">
            <v>11.677772569151017</v>
          </cell>
        </row>
        <row r="634">
          <cell r="F634" t="str">
            <v>Colorado County, TX</v>
          </cell>
          <cell r="N634">
            <v>9.4918672614708477</v>
          </cell>
        </row>
        <row r="635">
          <cell r="F635" t="str">
            <v>Colquitt County, GA</v>
          </cell>
          <cell r="N635">
            <v>12.292645421443673</v>
          </cell>
        </row>
        <row r="636">
          <cell r="F636" t="str">
            <v>Columbia County, AR</v>
          </cell>
          <cell r="N636">
            <v>16.61014567690404</v>
          </cell>
        </row>
        <row r="637">
          <cell r="F637" t="str">
            <v>Columbia County, FL</v>
          </cell>
          <cell r="N637">
            <v>13.959728034231169</v>
          </cell>
        </row>
        <row r="638">
          <cell r="F638" t="str">
            <v>Columbia County, GA</v>
          </cell>
          <cell r="N638">
            <v>21.493152078374742</v>
          </cell>
        </row>
        <row r="639">
          <cell r="F639" t="str">
            <v>Columbia County, NY</v>
          </cell>
          <cell r="N639">
            <v>22.449843543928235</v>
          </cell>
        </row>
        <row r="640">
          <cell r="F640" t="str">
            <v>Columbia County, OR</v>
          </cell>
          <cell r="N640">
            <v>29.644013612696376</v>
          </cell>
        </row>
        <row r="641">
          <cell r="F641" t="str">
            <v>Columbia County, PA</v>
          </cell>
          <cell r="N641">
            <v>18.047008588604374</v>
          </cell>
        </row>
        <row r="642">
          <cell r="F642" t="str">
            <v>Columbia County, WA</v>
          </cell>
          <cell r="N642">
            <v>30.142518974175726</v>
          </cell>
        </row>
        <row r="643">
          <cell r="F643" t="str">
            <v>Columbia County, WI</v>
          </cell>
          <cell r="N643">
            <v>17.935930179658268</v>
          </cell>
        </row>
        <row r="644">
          <cell r="F644" t="str">
            <v>Columbiana County, OH</v>
          </cell>
          <cell r="N644">
            <v>20.667106953135619</v>
          </cell>
        </row>
        <row r="645">
          <cell r="F645" t="str">
            <v>Columbus County, NC</v>
          </cell>
          <cell r="N645">
            <v>25.768347279935234</v>
          </cell>
        </row>
        <row r="646">
          <cell r="F646" t="str">
            <v>Colusa County, CA</v>
          </cell>
          <cell r="N646">
            <v>11.243755598070573</v>
          </cell>
        </row>
        <row r="647">
          <cell r="F647" t="str">
            <v>Comal County, TX</v>
          </cell>
          <cell r="N647">
            <v>11.619160598269474</v>
          </cell>
        </row>
        <row r="648">
          <cell r="F648" t="str">
            <v>Comanche County, KS</v>
          </cell>
          <cell r="N648">
            <v>12.650565310457818</v>
          </cell>
        </row>
        <row r="649">
          <cell r="F649" t="str">
            <v>Comanche County, OK</v>
          </cell>
          <cell r="N649">
            <v>16.996533029398496</v>
          </cell>
        </row>
        <row r="650">
          <cell r="F650" t="str">
            <v>Comanche County, TX</v>
          </cell>
          <cell r="N650">
            <v>16.61014567690404</v>
          </cell>
        </row>
        <row r="651">
          <cell r="F651" t="str">
            <v>Concho County, TX</v>
          </cell>
          <cell r="N651">
            <v>15.304657142560522</v>
          </cell>
        </row>
        <row r="652">
          <cell r="F652" t="str">
            <v>Concordia Parish, LA</v>
          </cell>
          <cell r="N652">
            <v>13.985940041655301</v>
          </cell>
        </row>
        <row r="653">
          <cell r="F653" t="str">
            <v>Conecuh County, AL</v>
          </cell>
          <cell r="N653">
            <v>9.9258659780578462</v>
          </cell>
        </row>
        <row r="654">
          <cell r="F654" t="str">
            <v>Conejos County, CO</v>
          </cell>
          <cell r="N654">
            <v>12.492045609715582</v>
          </cell>
        </row>
        <row r="655">
          <cell r="F655" t="str">
            <v>Contra Costa County, CA</v>
          </cell>
          <cell r="N655">
            <v>11.724951384887564</v>
          </cell>
        </row>
        <row r="656">
          <cell r="F656" t="str">
            <v>Converse County, WY</v>
          </cell>
          <cell r="N656">
            <v>14.415827471546299</v>
          </cell>
        </row>
        <row r="657">
          <cell r="F657" t="str">
            <v>Conway County, AR</v>
          </cell>
          <cell r="N657">
            <v>21.968808134339255</v>
          </cell>
        </row>
        <row r="658">
          <cell r="F658" t="str">
            <v>Cook County, GA</v>
          </cell>
          <cell r="N658">
            <v>12.694658368903147</v>
          </cell>
        </row>
        <row r="659">
          <cell r="F659" t="str">
            <v>Cook County, IL</v>
          </cell>
          <cell r="N659">
            <v>13.491223338701507</v>
          </cell>
        </row>
        <row r="660">
          <cell r="F660" t="str">
            <v>Cook County, MN</v>
          </cell>
          <cell r="N660">
            <v>30.9100432948498</v>
          </cell>
        </row>
        <row r="661">
          <cell r="F661" t="str">
            <v>Cooke County, TX</v>
          </cell>
          <cell r="N661">
            <v>16.350305485822101</v>
          </cell>
        </row>
        <row r="662">
          <cell r="F662" t="str">
            <v>Cooper County, MO</v>
          </cell>
          <cell r="N662">
            <v>16.981486552374061</v>
          </cell>
        </row>
        <row r="663">
          <cell r="F663" t="str">
            <v>Coos County, NH</v>
          </cell>
          <cell r="N663">
            <v>32.445099296542345</v>
          </cell>
        </row>
        <row r="664">
          <cell r="F664" t="str">
            <v>Coos County, OR</v>
          </cell>
          <cell r="N664">
            <v>20.516228393366539</v>
          </cell>
        </row>
        <row r="665">
          <cell r="F665" t="str">
            <v>Coosa County, AL</v>
          </cell>
          <cell r="N665">
            <v>12.642890600182804</v>
          </cell>
        </row>
        <row r="666">
          <cell r="F666" t="str">
            <v>Copiah County, MS</v>
          </cell>
          <cell r="N666">
            <v>10.984089479187087</v>
          </cell>
        </row>
        <row r="667">
          <cell r="F667" t="str">
            <v>Corson County, SD</v>
          </cell>
          <cell r="N667">
            <v>14.544647353528397</v>
          </cell>
        </row>
        <row r="668">
          <cell r="F668" t="str">
            <v>Cortland County, NY</v>
          </cell>
          <cell r="N668">
            <v>24.008611198918672</v>
          </cell>
        </row>
        <row r="669">
          <cell r="F669" t="str">
            <v>Coryell County, TX</v>
          </cell>
          <cell r="N669">
            <v>14.834571037844135</v>
          </cell>
        </row>
        <row r="670">
          <cell r="F670" t="str">
            <v>Coshocton County, OH</v>
          </cell>
          <cell r="N670">
            <v>18.507062507063175</v>
          </cell>
        </row>
        <row r="671">
          <cell r="F671" t="str">
            <v>Costilla County, CO</v>
          </cell>
          <cell r="N671">
            <v>15.369603783403004</v>
          </cell>
        </row>
        <row r="672">
          <cell r="F672" t="str">
            <v>Cottle County, TX</v>
          </cell>
          <cell r="N672">
            <v>12.370679745369516</v>
          </cell>
        </row>
        <row r="673">
          <cell r="F673" t="str">
            <v>Cotton County, OK</v>
          </cell>
          <cell r="N673">
            <v>17.596354699350698</v>
          </cell>
        </row>
        <row r="674">
          <cell r="F674" t="str">
            <v>Cottonwood County, MN</v>
          </cell>
          <cell r="N674">
            <v>28.715312460854463</v>
          </cell>
        </row>
        <row r="675">
          <cell r="F675" t="str">
            <v>Covington County, AL</v>
          </cell>
          <cell r="N675">
            <v>10.131393071079987</v>
          </cell>
        </row>
        <row r="676">
          <cell r="F676" t="str">
            <v>Covington County, MS</v>
          </cell>
          <cell r="N676">
            <v>11.300356895519093</v>
          </cell>
        </row>
        <row r="677">
          <cell r="F677" t="str">
            <v>Coweta County, GA</v>
          </cell>
          <cell r="N677">
            <v>16.984379678922153</v>
          </cell>
        </row>
        <row r="678">
          <cell r="F678" t="str">
            <v>Cowley County, KS</v>
          </cell>
          <cell r="N678">
            <v>14.685991807718391</v>
          </cell>
        </row>
        <row r="679">
          <cell r="F679" t="str">
            <v>Cowlitz County, WA</v>
          </cell>
          <cell r="N679">
            <v>30.120733578068442</v>
          </cell>
        </row>
        <row r="680">
          <cell r="F680" t="str">
            <v>Craig County, OK</v>
          </cell>
          <cell r="N680">
            <v>19.291788050622273</v>
          </cell>
        </row>
        <row r="681">
          <cell r="F681" t="str">
            <v>Craig County, VA</v>
          </cell>
          <cell r="N681">
            <v>22.16002357542008</v>
          </cell>
        </row>
        <row r="682">
          <cell r="F682" t="str">
            <v>Craighead County, AR</v>
          </cell>
          <cell r="N682">
            <v>21.449127752175382</v>
          </cell>
        </row>
        <row r="683">
          <cell r="F683" t="str">
            <v>Crane County, TX</v>
          </cell>
          <cell r="N683">
            <v>12.848065309258269</v>
          </cell>
        </row>
        <row r="684">
          <cell r="F684" t="str">
            <v>Craven County, NC</v>
          </cell>
          <cell r="N684">
            <v>20.952457076697875</v>
          </cell>
        </row>
        <row r="685">
          <cell r="F685" t="str">
            <v>Crawford County, AR</v>
          </cell>
          <cell r="N685">
            <v>21.532673741289621</v>
          </cell>
        </row>
        <row r="686">
          <cell r="F686" t="str">
            <v>Crawford County, GA</v>
          </cell>
          <cell r="N686">
            <v>15.268434293294817</v>
          </cell>
        </row>
        <row r="687">
          <cell r="F687" t="str">
            <v>Crawford County, IA</v>
          </cell>
          <cell r="N687">
            <v>24.624720746168862</v>
          </cell>
        </row>
        <row r="688">
          <cell r="F688" t="str">
            <v>Crawford County, IL</v>
          </cell>
          <cell r="N688">
            <v>24.624720746168862</v>
          </cell>
        </row>
        <row r="689">
          <cell r="F689" t="str">
            <v>Crawford County, IN</v>
          </cell>
          <cell r="N689">
            <v>24.624720746168862</v>
          </cell>
        </row>
        <row r="690">
          <cell r="F690" t="str">
            <v>Crawford County, KS</v>
          </cell>
          <cell r="N690">
            <v>19.71101663639682</v>
          </cell>
        </row>
        <row r="691">
          <cell r="F691" t="str">
            <v>Crawford County, MI</v>
          </cell>
          <cell r="N691">
            <v>17.174376048030162</v>
          </cell>
        </row>
        <row r="692">
          <cell r="F692" t="str">
            <v>Crawford County, MO</v>
          </cell>
          <cell r="N692">
            <v>15.956850084365339</v>
          </cell>
        </row>
        <row r="693">
          <cell r="F693" t="str">
            <v>Crawford County, OH</v>
          </cell>
          <cell r="N693">
            <v>15.945471337041369</v>
          </cell>
        </row>
        <row r="694">
          <cell r="F694" t="str">
            <v>Crawford County, PA</v>
          </cell>
          <cell r="N694">
            <v>22.210889850124858</v>
          </cell>
        </row>
        <row r="695">
          <cell r="F695" t="str">
            <v>Crawford County, WI</v>
          </cell>
          <cell r="N695">
            <v>19.681542109964614</v>
          </cell>
        </row>
        <row r="696">
          <cell r="F696" t="str">
            <v>Creek County, OK</v>
          </cell>
          <cell r="N696">
            <v>16.996533029398496</v>
          </cell>
        </row>
        <row r="697">
          <cell r="F697" t="str">
            <v>Crenshaw County, AL</v>
          </cell>
          <cell r="N697">
            <v>9.9258659780578462</v>
          </cell>
        </row>
        <row r="698">
          <cell r="F698" t="str">
            <v>Crisp County, GA</v>
          </cell>
          <cell r="N698">
            <v>13.457084545211512</v>
          </cell>
        </row>
        <row r="699">
          <cell r="F699" t="str">
            <v>Crittenden County, AR</v>
          </cell>
          <cell r="N699">
            <v>18.359916591534574</v>
          </cell>
        </row>
        <row r="700">
          <cell r="F700" t="str">
            <v>Crittenden County, KY</v>
          </cell>
          <cell r="N700">
            <v>13.771882573559814</v>
          </cell>
        </row>
        <row r="701">
          <cell r="F701" t="str">
            <v>Crockett County, TN</v>
          </cell>
          <cell r="N701">
            <v>19.364065525975732</v>
          </cell>
        </row>
        <row r="702">
          <cell r="F702" t="str">
            <v>Crockett County, TX</v>
          </cell>
          <cell r="N702">
            <v>11.854556827639247</v>
          </cell>
        </row>
        <row r="703">
          <cell r="F703" t="str">
            <v>Crook County, OR</v>
          </cell>
          <cell r="N703">
            <v>24.02152225639643</v>
          </cell>
        </row>
        <row r="704">
          <cell r="F704" t="str">
            <v>Crook County, WY</v>
          </cell>
          <cell r="N704">
            <v>15.814984774726728</v>
          </cell>
        </row>
        <row r="705">
          <cell r="F705" t="str">
            <v>Crosby County, TX</v>
          </cell>
          <cell r="N705">
            <v>11.677772569151017</v>
          </cell>
        </row>
        <row r="706">
          <cell r="F706" t="str">
            <v>Cross County, AR</v>
          </cell>
          <cell r="N706">
            <v>18.634192348787732</v>
          </cell>
        </row>
        <row r="707">
          <cell r="F707" t="str">
            <v>Crow Wing County, MN</v>
          </cell>
          <cell r="N707">
            <v>25.355150850611391</v>
          </cell>
        </row>
        <row r="708">
          <cell r="F708" t="str">
            <v>Crowley County, CO</v>
          </cell>
          <cell r="N708">
            <v>14.869707262709031</v>
          </cell>
        </row>
        <row r="709">
          <cell r="F709" t="str">
            <v>Culberson County, TX</v>
          </cell>
          <cell r="N709">
            <v>12.677384099398713</v>
          </cell>
        </row>
        <row r="710">
          <cell r="F710" t="str">
            <v>Cullman County, AL</v>
          </cell>
          <cell r="N710">
            <v>16.586123522583193</v>
          </cell>
        </row>
        <row r="711">
          <cell r="F711" t="str">
            <v>Culpeper County, VA</v>
          </cell>
          <cell r="N711">
            <v>16.007184748597425</v>
          </cell>
        </row>
        <row r="712">
          <cell r="F712" t="str">
            <v>Cumberland County, IL</v>
          </cell>
          <cell r="N712">
            <v>10.515199652913603</v>
          </cell>
        </row>
        <row r="713">
          <cell r="F713" t="str">
            <v>Cumberland County, KY</v>
          </cell>
          <cell r="N713">
            <v>16.488907195684771</v>
          </cell>
        </row>
        <row r="714">
          <cell r="F714" t="str">
            <v>Cumberland County, ME</v>
          </cell>
          <cell r="N714">
            <v>31.323880456987823</v>
          </cell>
        </row>
        <row r="715">
          <cell r="F715" t="str">
            <v>Cumberland County, NC</v>
          </cell>
          <cell r="N715">
            <v>22.936316324598639</v>
          </cell>
        </row>
        <row r="716">
          <cell r="F716" t="str">
            <v>Cumberland County, NJ</v>
          </cell>
          <cell r="N716">
            <v>12.181119781666681</v>
          </cell>
        </row>
        <row r="717">
          <cell r="F717" t="str">
            <v>Cumberland County, PA</v>
          </cell>
          <cell r="N717">
            <v>17.048850353391199</v>
          </cell>
        </row>
        <row r="718">
          <cell r="F718" t="str">
            <v>Cumberland County, TN</v>
          </cell>
          <cell r="N718">
            <v>20.054103525245562</v>
          </cell>
        </row>
        <row r="719">
          <cell r="F719" t="str">
            <v>Cumberland County, VA</v>
          </cell>
          <cell r="N719">
            <v>16.82660487273035</v>
          </cell>
        </row>
        <row r="720">
          <cell r="F720" t="str">
            <v>Cuming County, NE</v>
          </cell>
          <cell r="N720">
            <v>23.304783245289528</v>
          </cell>
        </row>
        <row r="721">
          <cell r="F721" t="str">
            <v>Currituck County, NC</v>
          </cell>
          <cell r="N721">
            <v>16.007184748597425</v>
          </cell>
        </row>
        <row r="722">
          <cell r="F722" t="str">
            <v>Curry County, NM</v>
          </cell>
          <cell r="N722">
            <v>12.538334163091196</v>
          </cell>
        </row>
        <row r="723">
          <cell r="F723" t="str">
            <v>Curry County, OR</v>
          </cell>
          <cell r="N723">
            <v>19.506703760813927</v>
          </cell>
        </row>
        <row r="724">
          <cell r="F724" t="str">
            <v>Custer County, CO</v>
          </cell>
          <cell r="N724">
            <v>16.187791641521049</v>
          </cell>
        </row>
        <row r="725">
          <cell r="F725" t="str">
            <v>Custer County, ID</v>
          </cell>
          <cell r="N725">
            <v>20.43912054637368</v>
          </cell>
        </row>
        <row r="726">
          <cell r="F726" t="str">
            <v>Custer County, MT</v>
          </cell>
          <cell r="N726">
            <v>15.509546190218648</v>
          </cell>
        </row>
        <row r="727">
          <cell r="F727" t="str">
            <v>Custer County, NE</v>
          </cell>
          <cell r="N727">
            <v>16.907728539613444</v>
          </cell>
        </row>
        <row r="728">
          <cell r="F728" t="str">
            <v>Custer County, OK</v>
          </cell>
          <cell r="N728">
            <v>12.810218839745065</v>
          </cell>
        </row>
        <row r="729">
          <cell r="F729" t="str">
            <v>Custer County, SD</v>
          </cell>
          <cell r="N729">
            <v>16.289298636894603</v>
          </cell>
        </row>
        <row r="730">
          <cell r="F730" t="str">
            <v>Cuyahoga County, OH</v>
          </cell>
          <cell r="N730">
            <v>19.670163362640643</v>
          </cell>
        </row>
        <row r="731">
          <cell r="F731" t="str">
            <v>Dade County, GA</v>
          </cell>
          <cell r="N731">
            <v>20.453211476824531</v>
          </cell>
        </row>
        <row r="732">
          <cell r="F732" t="str">
            <v>Dade County, MO</v>
          </cell>
          <cell r="N732">
            <v>21.871061082469264</v>
          </cell>
        </row>
        <row r="733">
          <cell r="F733" t="str">
            <v>Daggett County, UT</v>
          </cell>
          <cell r="N733">
            <v>12.984546233505057</v>
          </cell>
        </row>
        <row r="734">
          <cell r="F734" t="str">
            <v>Dakota County, MN</v>
          </cell>
          <cell r="N734">
            <v>25.358582000283221</v>
          </cell>
        </row>
        <row r="735">
          <cell r="F735" t="str">
            <v>Dakota County, NE</v>
          </cell>
          <cell r="N735">
            <v>25.118666722440103</v>
          </cell>
        </row>
        <row r="736">
          <cell r="F736" t="str">
            <v>Dale County, AL</v>
          </cell>
          <cell r="N736">
            <v>10.757224173898354</v>
          </cell>
        </row>
        <row r="737">
          <cell r="F737" t="str">
            <v>Dallam County, TX</v>
          </cell>
          <cell r="N737">
            <v>13.496653906724578</v>
          </cell>
        </row>
        <row r="738">
          <cell r="F738" t="str">
            <v>Dallas County, AL</v>
          </cell>
          <cell r="N738">
            <v>10.418908904109083</v>
          </cell>
        </row>
        <row r="739">
          <cell r="F739" t="str">
            <v>Dallas County, AR</v>
          </cell>
          <cell r="N739">
            <v>18.085640834281421</v>
          </cell>
        </row>
        <row r="740">
          <cell r="F740" t="str">
            <v>Dallas County, IA</v>
          </cell>
          <cell r="N740">
            <v>20.678485700459589</v>
          </cell>
        </row>
        <row r="741">
          <cell r="F741" t="str">
            <v>Dallas County, MO</v>
          </cell>
          <cell r="N741">
            <v>19.94462444634523</v>
          </cell>
        </row>
        <row r="742">
          <cell r="F742" t="str">
            <v>Dallas County, TX</v>
          </cell>
          <cell r="N742">
            <v>12.481573751935482</v>
          </cell>
        </row>
        <row r="743">
          <cell r="F743" t="str">
            <v>Dane County, WI</v>
          </cell>
          <cell r="N743">
            <v>17.672847843277651</v>
          </cell>
        </row>
        <row r="744">
          <cell r="F744" t="str">
            <v>Daniels County, MT</v>
          </cell>
          <cell r="N744">
            <v>16.497364667753136</v>
          </cell>
        </row>
        <row r="745">
          <cell r="F745" t="str">
            <v>Dare County, NC</v>
          </cell>
          <cell r="N745">
            <v>17.775407121726367</v>
          </cell>
        </row>
        <row r="746">
          <cell r="F746" t="str">
            <v>Darke County, OH</v>
          </cell>
          <cell r="N746">
            <v>10.766903241970251</v>
          </cell>
        </row>
        <row r="747">
          <cell r="F747" t="str">
            <v>Darlington County, SC</v>
          </cell>
          <cell r="N747">
            <v>27.033416945263255</v>
          </cell>
        </row>
        <row r="748">
          <cell r="F748" t="str">
            <v>Dauphin County, PA</v>
          </cell>
          <cell r="N748">
            <v>17.048850353391199</v>
          </cell>
        </row>
        <row r="749">
          <cell r="F749" t="str">
            <v>Davidson County, NC</v>
          </cell>
          <cell r="N749">
            <v>25.078309280665405</v>
          </cell>
        </row>
        <row r="750">
          <cell r="F750" t="str">
            <v>Davidson County, TN</v>
          </cell>
          <cell r="N750">
            <v>15.928251321278033</v>
          </cell>
        </row>
        <row r="751">
          <cell r="F751" t="str">
            <v>Davie County, NC</v>
          </cell>
          <cell r="N751">
            <v>25.768347279935234</v>
          </cell>
        </row>
        <row r="752">
          <cell r="F752" t="str">
            <v>Daviess County, IN</v>
          </cell>
          <cell r="N752">
            <v>12.262318627712713</v>
          </cell>
        </row>
        <row r="753">
          <cell r="F753" t="str">
            <v>Daviess County, KY</v>
          </cell>
          <cell r="N753">
            <v>12.171235992000511</v>
          </cell>
        </row>
        <row r="754">
          <cell r="F754" t="str">
            <v>Daviess County, MO</v>
          </cell>
          <cell r="N754">
            <v>19.94462444634523</v>
          </cell>
        </row>
        <row r="755">
          <cell r="F755" t="str">
            <v>Davis County, IA</v>
          </cell>
          <cell r="N755">
            <v>15.956850084365339</v>
          </cell>
        </row>
        <row r="756">
          <cell r="F756" t="str">
            <v>Davis County, UT</v>
          </cell>
          <cell r="N756">
            <v>12.05915667368836</v>
          </cell>
        </row>
        <row r="757">
          <cell r="F757" t="str">
            <v>Davison County, SD</v>
          </cell>
          <cell r="N757">
            <v>22.570921991175169</v>
          </cell>
        </row>
        <row r="758">
          <cell r="F758" t="str">
            <v>Dawes County, NE</v>
          </cell>
          <cell r="N758">
            <v>13.861512013101022</v>
          </cell>
        </row>
        <row r="759">
          <cell r="F759" t="str">
            <v>Dawson County, GA</v>
          </cell>
          <cell r="N759">
            <v>21.124607674541135</v>
          </cell>
        </row>
        <row r="760">
          <cell r="F760" t="str">
            <v>Dawson County, MT</v>
          </cell>
          <cell r="N760">
            <v>15.317126717389554</v>
          </cell>
        </row>
        <row r="761">
          <cell r="F761" t="str">
            <v>Dawson County, NE</v>
          </cell>
          <cell r="N761">
            <v>16.907728539613444</v>
          </cell>
        </row>
        <row r="762">
          <cell r="F762" t="str">
            <v>Dawson County, TX</v>
          </cell>
          <cell r="N762">
            <v>10.584227004571998</v>
          </cell>
        </row>
        <row r="763">
          <cell r="F763" t="str">
            <v>Day County, SD</v>
          </cell>
          <cell r="N763">
            <v>21.13198702976463</v>
          </cell>
        </row>
        <row r="764">
          <cell r="F764" t="str">
            <v>De Baca County, NM</v>
          </cell>
          <cell r="N764">
            <v>12.252009966704385</v>
          </cell>
        </row>
        <row r="765">
          <cell r="F765" t="str">
            <v>De Kalb County, IL</v>
          </cell>
          <cell r="N765">
            <v>14.516820453650375</v>
          </cell>
        </row>
        <row r="766">
          <cell r="F766" t="str">
            <v>De Kalb County, IN</v>
          </cell>
          <cell r="N766">
            <v>11.722307516194601</v>
          </cell>
        </row>
        <row r="767">
          <cell r="F767" t="str">
            <v>De Kalb County, TN</v>
          </cell>
          <cell r="N767">
            <v>18.544645401842807</v>
          </cell>
        </row>
        <row r="768">
          <cell r="F768" t="str">
            <v>De Soto Parish, LA</v>
          </cell>
          <cell r="N768">
            <v>12.770285075359856</v>
          </cell>
        </row>
        <row r="769">
          <cell r="F769" t="str">
            <v>De Witt County, IL</v>
          </cell>
          <cell r="N769">
            <v>13.48642385239916</v>
          </cell>
        </row>
        <row r="770">
          <cell r="F770" t="str">
            <v>Deaf Smith County, TX</v>
          </cell>
          <cell r="N770">
            <v>11.114785488473487</v>
          </cell>
        </row>
        <row r="771">
          <cell r="F771" t="str">
            <v>Dearborn County, IN</v>
          </cell>
          <cell r="N771">
            <v>11.722307516194601</v>
          </cell>
        </row>
        <row r="772">
          <cell r="F772" t="str">
            <v>Decatur County, GA</v>
          </cell>
          <cell r="N772">
            <v>10.757224173898354</v>
          </cell>
        </row>
        <row r="773">
          <cell r="F773" t="str">
            <v>Decatur County, IA</v>
          </cell>
          <cell r="N773">
            <v>10.757224173898354</v>
          </cell>
        </row>
        <row r="774">
          <cell r="F774" t="str">
            <v>Decatur County, IN</v>
          </cell>
          <cell r="N774">
            <v>10.503820905589633</v>
          </cell>
        </row>
        <row r="775">
          <cell r="F775" t="str">
            <v>Decatur County, KS</v>
          </cell>
          <cell r="N775">
            <v>15.068069730431034</v>
          </cell>
        </row>
        <row r="776">
          <cell r="F776" t="str">
            <v>Decatur County, TN</v>
          </cell>
          <cell r="N776">
            <v>18.817785443220451</v>
          </cell>
        </row>
        <row r="777">
          <cell r="F777" t="str">
            <v>Deer Lodge County, MT</v>
          </cell>
          <cell r="N777">
            <v>19.422669649200508</v>
          </cell>
        </row>
        <row r="778">
          <cell r="F778" t="str">
            <v>Defiance County, OH</v>
          </cell>
          <cell r="N778">
            <v>12.262318627712713</v>
          </cell>
        </row>
        <row r="779">
          <cell r="F779" t="str">
            <v>DeKalb County, AL</v>
          </cell>
          <cell r="N779">
            <v>19.126372634988918</v>
          </cell>
        </row>
        <row r="780">
          <cell r="F780" t="str">
            <v>DeKalb County, GA</v>
          </cell>
          <cell r="N780">
            <v>19.35115912230798</v>
          </cell>
        </row>
        <row r="781">
          <cell r="F781" t="str">
            <v>DeKalb County, IL</v>
          </cell>
          <cell r="N781">
            <v>14.516820453650375</v>
          </cell>
        </row>
        <row r="782">
          <cell r="F782" t="str">
            <v>DeKalb County, IN</v>
          </cell>
          <cell r="N782">
            <v>11.722307516194601</v>
          </cell>
        </row>
        <row r="783">
          <cell r="F783" t="str">
            <v>DeKalb County, MO</v>
          </cell>
          <cell r="N783">
            <v>20.678485700459589</v>
          </cell>
        </row>
        <row r="784">
          <cell r="F784" t="str">
            <v>DeKalb County, TN</v>
          </cell>
          <cell r="N784">
            <v>18.544645401842807</v>
          </cell>
        </row>
        <row r="785">
          <cell r="F785" t="str">
            <v>Del Norte County, CA</v>
          </cell>
          <cell r="N785">
            <v>16.239769880470067</v>
          </cell>
        </row>
        <row r="786">
          <cell r="F786" t="str">
            <v>Delaware County, IA</v>
          </cell>
          <cell r="N786">
            <v>16.981486552374061</v>
          </cell>
        </row>
        <row r="787">
          <cell r="F787" t="str">
            <v>Delaware County, IN</v>
          </cell>
          <cell r="N787">
            <v>16.981486552374061</v>
          </cell>
        </row>
        <row r="788">
          <cell r="F788" t="str">
            <v>Delaware County, NY</v>
          </cell>
          <cell r="N788">
            <v>21.957601126562832</v>
          </cell>
        </row>
        <row r="789">
          <cell r="F789" t="str">
            <v>Delaware County, OH</v>
          </cell>
          <cell r="N789">
            <v>15.696235439417624</v>
          </cell>
        </row>
        <row r="790">
          <cell r="F790" t="str">
            <v>Delaware County, OK</v>
          </cell>
          <cell r="N790">
            <v>19.840339565128584</v>
          </cell>
        </row>
        <row r="791">
          <cell r="F791" t="str">
            <v>Delaware County, PA</v>
          </cell>
          <cell r="N791">
            <v>13.657847033762881</v>
          </cell>
        </row>
        <row r="792">
          <cell r="F792" t="str">
            <v>Delta County, CO</v>
          </cell>
          <cell r="N792">
            <v>13.596557664220434</v>
          </cell>
        </row>
        <row r="793">
          <cell r="F793" t="str">
            <v>Delta County, MI</v>
          </cell>
          <cell r="N793">
            <v>21.397539868876926</v>
          </cell>
        </row>
        <row r="794">
          <cell r="F794" t="str">
            <v>Delta County, TX</v>
          </cell>
          <cell r="N794">
            <v>12.770285075359856</v>
          </cell>
        </row>
        <row r="795">
          <cell r="F795" t="str">
            <v>Dent County, MO</v>
          </cell>
          <cell r="N795">
            <v>16.718404215993441</v>
          </cell>
        </row>
        <row r="796">
          <cell r="F796" t="str">
            <v>Denton County, TX</v>
          </cell>
          <cell r="N796">
            <v>15.108846795097291</v>
          </cell>
        </row>
        <row r="797">
          <cell r="F797" t="str">
            <v>Denver County, CO</v>
          </cell>
          <cell r="N797">
            <v>18.148307463926244</v>
          </cell>
        </row>
        <row r="798">
          <cell r="F798" t="str">
            <v>Des Moines County, IA</v>
          </cell>
          <cell r="N798">
            <v>12.522933272660428</v>
          </cell>
        </row>
        <row r="799">
          <cell r="F799" t="str">
            <v>Deschutes County, OR</v>
          </cell>
          <cell r="N799">
            <v>22.857764693870507</v>
          </cell>
        </row>
        <row r="800">
          <cell r="F800" t="str">
            <v>Desha County, AR</v>
          </cell>
          <cell r="N800">
            <v>15.790385813057643</v>
          </cell>
        </row>
        <row r="801">
          <cell r="F801" t="str">
            <v>DeSoto County, FL</v>
          </cell>
          <cell r="N801">
            <v>10.631348312144006</v>
          </cell>
        </row>
        <row r="802">
          <cell r="F802" t="str">
            <v>DeSoto County, MS</v>
          </cell>
          <cell r="N802">
            <v>17.525074680599019</v>
          </cell>
        </row>
        <row r="803">
          <cell r="F803" t="str">
            <v>Deuel County, NE</v>
          </cell>
          <cell r="N803">
            <v>16.733069782529448</v>
          </cell>
        </row>
        <row r="804">
          <cell r="F804" t="str">
            <v>Deuel County, SD</v>
          </cell>
          <cell r="N804">
            <v>24.284452058654576</v>
          </cell>
        </row>
        <row r="805">
          <cell r="F805" t="str">
            <v>Dewey County, OK</v>
          </cell>
          <cell r="N805">
            <v>12.203925060553878</v>
          </cell>
        </row>
        <row r="806">
          <cell r="F806" t="str">
            <v>Dewey County, SD</v>
          </cell>
          <cell r="N806">
            <v>15.20927641385838</v>
          </cell>
        </row>
        <row r="807">
          <cell r="F807" t="str">
            <v>DeWitt County, TX</v>
          </cell>
          <cell r="N807">
            <v>8.9485808565940097</v>
          </cell>
        </row>
        <row r="808">
          <cell r="F808" t="str">
            <v>Dickens County, TX</v>
          </cell>
          <cell r="N808">
            <v>12.370679745369516</v>
          </cell>
        </row>
        <row r="809">
          <cell r="F809" t="str">
            <v>Dickenson County, VA</v>
          </cell>
          <cell r="N809">
            <v>21.727222169532656</v>
          </cell>
        </row>
        <row r="810">
          <cell r="F810" t="str">
            <v>Dickey County, ND</v>
          </cell>
          <cell r="N810">
            <v>18.930403267421561</v>
          </cell>
        </row>
        <row r="811">
          <cell r="F811" t="str">
            <v>Dickinson County, IA</v>
          </cell>
          <cell r="N811">
            <v>27.601705078896909</v>
          </cell>
        </row>
        <row r="812">
          <cell r="F812" t="str">
            <v>Dickinson County, KS</v>
          </cell>
          <cell r="N812">
            <v>15.210924040412564</v>
          </cell>
        </row>
        <row r="813">
          <cell r="F813" t="str">
            <v>Dickinson County, MI</v>
          </cell>
          <cell r="N813">
            <v>21.896011664124412</v>
          </cell>
        </row>
        <row r="814">
          <cell r="F814" t="str">
            <v>Dickson County, TN</v>
          </cell>
          <cell r="N814">
            <v>15.928251321278033</v>
          </cell>
        </row>
        <row r="815">
          <cell r="F815" t="str">
            <v>Dillon County, SC</v>
          </cell>
          <cell r="N815">
            <v>26.271499987736153</v>
          </cell>
        </row>
        <row r="816">
          <cell r="F816" t="str">
            <v>Dimmit County, TX</v>
          </cell>
          <cell r="N816">
            <v>12.957077729389031</v>
          </cell>
        </row>
        <row r="817">
          <cell r="F817" t="str">
            <v>Dinwiddie County, VA</v>
          </cell>
          <cell r="N817">
            <v>16.280324789975069</v>
          </cell>
        </row>
        <row r="818">
          <cell r="F818" t="str">
            <v>District of Columbia County, DC</v>
          </cell>
          <cell r="N818">
            <v>13.390790668032652</v>
          </cell>
        </row>
        <row r="819">
          <cell r="F819" t="str">
            <v>Divide County, ND</v>
          </cell>
          <cell r="N819">
            <v>16.252420099064089</v>
          </cell>
        </row>
        <row r="820">
          <cell r="F820" t="str">
            <v>Dixie County, FL</v>
          </cell>
          <cell r="N820">
            <v>13.657836409550619</v>
          </cell>
        </row>
        <row r="821">
          <cell r="F821" t="str">
            <v>Dixon County, NE</v>
          </cell>
          <cell r="N821">
            <v>24.883277263573234</v>
          </cell>
        </row>
        <row r="822">
          <cell r="F822" t="str">
            <v>Doddridge County, WV</v>
          </cell>
          <cell r="N822">
            <v>20.981985139136064</v>
          </cell>
        </row>
        <row r="823">
          <cell r="F823" t="str">
            <v>Dodge County, GA</v>
          </cell>
          <cell r="N823">
            <v>15.009670043568629</v>
          </cell>
        </row>
        <row r="824">
          <cell r="F824" t="str">
            <v>Dodge County, MN</v>
          </cell>
          <cell r="N824">
            <v>24.140095389678251</v>
          </cell>
        </row>
        <row r="825">
          <cell r="F825" t="str">
            <v>Dodge County, NE</v>
          </cell>
          <cell r="N825">
            <v>23.449555100752974</v>
          </cell>
        </row>
        <row r="826">
          <cell r="F826" t="str">
            <v>Dodge County, WI</v>
          </cell>
          <cell r="N826">
            <v>16.925140150406421</v>
          </cell>
        </row>
        <row r="827">
          <cell r="F827" t="str">
            <v>Dolores County, CO</v>
          </cell>
          <cell r="N827">
            <v>11.205750624390586</v>
          </cell>
        </row>
        <row r="828">
          <cell r="F828" t="str">
            <v>Dona Ana County, NM</v>
          </cell>
          <cell r="N828">
            <v>16.861829528531999</v>
          </cell>
        </row>
        <row r="829">
          <cell r="F829" t="str">
            <v>Doniphan County, KS</v>
          </cell>
          <cell r="N829">
            <v>20.874117491974292</v>
          </cell>
        </row>
        <row r="830">
          <cell r="F830" t="str">
            <v>Donley County, TX</v>
          </cell>
          <cell r="N830">
            <v>10.826074165049114</v>
          </cell>
        </row>
        <row r="831">
          <cell r="F831" t="str">
            <v>Dooly County, GA</v>
          </cell>
          <cell r="N831">
            <v>14.147122544481341</v>
          </cell>
        </row>
        <row r="832">
          <cell r="F832" t="str">
            <v>Door County, WI</v>
          </cell>
          <cell r="N832">
            <v>17.935930179658268</v>
          </cell>
        </row>
        <row r="833">
          <cell r="F833" t="str">
            <v>Dorchester County, MD</v>
          </cell>
          <cell r="N833">
            <v>32.371927740952145</v>
          </cell>
        </row>
        <row r="834">
          <cell r="F834" t="str">
            <v>Dorchester County, SC</v>
          </cell>
          <cell r="N834">
            <v>23.505253690797154</v>
          </cell>
        </row>
        <row r="835">
          <cell r="F835" t="str">
            <v>Dougherty County, GA</v>
          </cell>
          <cell r="N835">
            <v>12.87046554666221</v>
          </cell>
        </row>
        <row r="836">
          <cell r="F836" t="str">
            <v>Douglas County, CO</v>
          </cell>
          <cell r="N836">
            <v>17.26051430253888</v>
          </cell>
        </row>
        <row r="837">
          <cell r="F837" t="str">
            <v>Douglas County, GA</v>
          </cell>
          <cell r="N837">
            <v>17.530659761677438</v>
          </cell>
        </row>
        <row r="838">
          <cell r="F838" t="str">
            <v>Douglas County, IL</v>
          </cell>
          <cell r="N838">
            <v>9.9613421026386177</v>
          </cell>
        </row>
        <row r="839">
          <cell r="F839" t="str">
            <v>Douglas County, KS</v>
          </cell>
          <cell r="N839">
            <v>19.475627177529951</v>
          </cell>
        </row>
        <row r="840">
          <cell r="F840" t="str">
            <v>Douglas County, MN</v>
          </cell>
          <cell r="N840">
            <v>23.693578199786433</v>
          </cell>
        </row>
        <row r="841">
          <cell r="F841" t="str">
            <v>Douglas County, MO</v>
          </cell>
          <cell r="N841">
            <v>20.44309624159272</v>
          </cell>
        </row>
        <row r="842">
          <cell r="F842" t="str">
            <v>Douglas County, NE</v>
          </cell>
          <cell r="N842">
            <v>21.871061082469264</v>
          </cell>
        </row>
        <row r="843">
          <cell r="F843" t="str">
            <v>Douglas County, NV</v>
          </cell>
          <cell r="N843">
            <v>12.208350490696056</v>
          </cell>
        </row>
        <row r="844">
          <cell r="F844" t="str">
            <v>Douglas County, OR</v>
          </cell>
          <cell r="N844">
            <v>20.277868410680504</v>
          </cell>
        </row>
        <row r="845">
          <cell r="F845" t="str">
            <v>Douglas County, SD</v>
          </cell>
          <cell r="N845">
            <v>22.072450195927679</v>
          </cell>
        </row>
        <row r="846">
          <cell r="F846" t="str">
            <v>Douglas County, WA</v>
          </cell>
          <cell r="N846">
            <v>33.675855188109857</v>
          </cell>
        </row>
        <row r="847">
          <cell r="F847" t="str">
            <v>Douglas County, WI</v>
          </cell>
          <cell r="N847">
            <v>29.79985769156815</v>
          </cell>
        </row>
        <row r="848">
          <cell r="F848" t="str">
            <v>Drew County, AR</v>
          </cell>
          <cell r="N848">
            <v>16.064661570310797</v>
          </cell>
        </row>
        <row r="849">
          <cell r="F849" t="str">
            <v>Dubois County, IN</v>
          </cell>
          <cell r="N849">
            <v>14.232211188489693</v>
          </cell>
        </row>
        <row r="850">
          <cell r="F850" t="str">
            <v>Dubuque County, IA</v>
          </cell>
          <cell r="N850">
            <v>16.718404215993441</v>
          </cell>
        </row>
        <row r="851">
          <cell r="F851" t="str">
            <v>Duchesne County, UT</v>
          </cell>
          <cell r="N851">
            <v>11.64179133174714</v>
          </cell>
        </row>
        <row r="852">
          <cell r="F852" t="str">
            <v>Dukes County, MA</v>
          </cell>
          <cell r="N852">
            <v>25.375951247155896</v>
          </cell>
        </row>
        <row r="853">
          <cell r="F853" t="str">
            <v>Dundy County, NE</v>
          </cell>
          <cell r="N853">
            <v>13.861512013101022</v>
          </cell>
        </row>
        <row r="854">
          <cell r="F854" t="str">
            <v>Dunklin County, MO</v>
          </cell>
          <cell r="N854">
            <v>19.689628415479</v>
          </cell>
        </row>
        <row r="855">
          <cell r="F855" t="str">
            <v>Dunn County, ND</v>
          </cell>
          <cell r="N855">
            <v>13.871930113484847</v>
          </cell>
        </row>
        <row r="856">
          <cell r="F856" t="str">
            <v>Dunn County, WI</v>
          </cell>
          <cell r="N856">
            <v>25.123192541416348</v>
          </cell>
        </row>
        <row r="857">
          <cell r="F857" t="str">
            <v>DuPage County, IL</v>
          </cell>
          <cell r="N857">
            <v>13.74045923632525</v>
          </cell>
        </row>
        <row r="858">
          <cell r="F858" t="str">
            <v>Duplin County, NC</v>
          </cell>
          <cell r="N858">
            <v>22.16002357542008</v>
          </cell>
        </row>
        <row r="859">
          <cell r="F859" t="str">
            <v>Durham County, NC</v>
          </cell>
          <cell r="N859">
            <v>21.642495075967709</v>
          </cell>
        </row>
        <row r="860">
          <cell r="F860" t="str">
            <v>Dutchess County, NY</v>
          </cell>
          <cell r="N860">
            <v>21.465358709197435</v>
          </cell>
        </row>
        <row r="861">
          <cell r="F861" t="str">
            <v>Duval County, FL</v>
          </cell>
          <cell r="N861">
            <v>17.395542238928865</v>
          </cell>
        </row>
        <row r="862">
          <cell r="F862" t="str">
            <v>Duval County, TX</v>
          </cell>
          <cell r="N862">
            <v>9.6056547347105514</v>
          </cell>
        </row>
        <row r="863">
          <cell r="F863" t="str">
            <v>Dyer County, TN</v>
          </cell>
          <cell r="N863">
            <v>19.364065525975732</v>
          </cell>
        </row>
        <row r="864">
          <cell r="F864" t="str">
            <v>Eagle County, CO</v>
          </cell>
          <cell r="N864">
            <v>14.450549125009678</v>
          </cell>
        </row>
        <row r="865">
          <cell r="F865" t="str">
            <v>Early County, GA</v>
          </cell>
          <cell r="N865">
            <v>11.317880048305092</v>
          </cell>
        </row>
        <row r="866">
          <cell r="F866" t="str">
            <v>East Baton Rouge Parish, LA</v>
          </cell>
          <cell r="N866">
            <v>14.145242504190886</v>
          </cell>
        </row>
        <row r="867">
          <cell r="F867" t="str">
            <v>East Carroll Parish, LA</v>
          </cell>
          <cell r="N867">
            <v>12.167058704081741</v>
          </cell>
        </row>
        <row r="868">
          <cell r="F868" t="str">
            <v>East Feliciana Parish, LA</v>
          </cell>
          <cell r="N868">
            <v>13.885402313108948</v>
          </cell>
        </row>
        <row r="869">
          <cell r="F869" t="str">
            <v>Eastland County, TX</v>
          </cell>
          <cell r="N869">
            <v>17.404101816321067</v>
          </cell>
        </row>
        <row r="870">
          <cell r="F870" t="str">
            <v>Eaton County, MI</v>
          </cell>
          <cell r="N870">
            <v>11.178868066303442</v>
          </cell>
        </row>
        <row r="871">
          <cell r="F871" t="str">
            <v>Eau Claire County, WI</v>
          </cell>
          <cell r="N871">
            <v>24.375484848545121</v>
          </cell>
        </row>
        <row r="872">
          <cell r="F872" t="str">
            <v>Echols County, GA</v>
          </cell>
          <cell r="N872">
            <v>13.657836409550619</v>
          </cell>
        </row>
        <row r="873">
          <cell r="F873" t="str">
            <v>Ector County, TX</v>
          </cell>
          <cell r="N873">
            <v>12.025238037498802</v>
          </cell>
        </row>
        <row r="874">
          <cell r="F874" t="str">
            <v>Eddy County, ND</v>
          </cell>
          <cell r="N874">
            <v>12.025238037498802</v>
          </cell>
        </row>
        <row r="875">
          <cell r="F875" t="str">
            <v>Eddy County, NM</v>
          </cell>
          <cell r="N875">
            <v>10.147527123261346</v>
          </cell>
        </row>
        <row r="876">
          <cell r="F876" t="str">
            <v>Edgar County, IL</v>
          </cell>
          <cell r="N876">
            <v>10.778281989294221</v>
          </cell>
        </row>
        <row r="877">
          <cell r="F877" t="str">
            <v>Edgecombe County, NC</v>
          </cell>
          <cell r="N877">
            <v>18.566075662556379</v>
          </cell>
        </row>
        <row r="878">
          <cell r="F878" t="str">
            <v>Edgefield County, SC</v>
          </cell>
          <cell r="N878">
            <v>22.70071857709695</v>
          </cell>
        </row>
        <row r="879">
          <cell r="F879" t="str">
            <v>Edmonson County, KY</v>
          </cell>
          <cell r="N879">
            <v>13.996961531735272</v>
          </cell>
        </row>
        <row r="880">
          <cell r="F880" t="str">
            <v>Edmunds County, SD</v>
          </cell>
          <cell r="N880">
            <v>19.313580544936585</v>
          </cell>
        </row>
        <row r="881">
          <cell r="F881" t="str">
            <v>Edwards County, IL</v>
          </cell>
          <cell r="N881">
            <v>11.740265524540192</v>
          </cell>
        </row>
        <row r="882">
          <cell r="F882" t="str">
            <v>Edwards County, KS</v>
          </cell>
          <cell r="N882">
            <v>14.409063032580896</v>
          </cell>
        </row>
        <row r="883">
          <cell r="F883" t="str">
            <v>Edwards County, TX</v>
          </cell>
          <cell r="N883">
            <v>16.531680267114112</v>
          </cell>
        </row>
        <row r="884">
          <cell r="F884" t="str">
            <v>Effingham County, GA</v>
          </cell>
          <cell r="N884">
            <v>19.897439205063264</v>
          </cell>
        </row>
        <row r="885">
          <cell r="F885" t="str">
            <v>Effingham County, IL</v>
          </cell>
          <cell r="N885">
            <v>10.515199652913603</v>
          </cell>
        </row>
        <row r="886">
          <cell r="F886" t="str">
            <v>El Dorado County, CA</v>
          </cell>
          <cell r="N886">
            <v>10.304336842778561</v>
          </cell>
        </row>
        <row r="887">
          <cell r="F887" t="str">
            <v>El Paso County, CO</v>
          </cell>
          <cell r="N887">
            <v>16.401541713378457</v>
          </cell>
        </row>
        <row r="888">
          <cell r="F888" t="str">
            <v>El Paso County, TX</v>
          </cell>
          <cell r="N888">
            <v>16.428085719720514</v>
          </cell>
        </row>
        <row r="889">
          <cell r="F889" t="str">
            <v>Elbert County, CO</v>
          </cell>
          <cell r="N889">
            <v>15.714363642050115</v>
          </cell>
        </row>
        <row r="890">
          <cell r="F890" t="str">
            <v>Elbert County, GA</v>
          </cell>
          <cell r="N890">
            <v>22.010680577827117</v>
          </cell>
        </row>
        <row r="891">
          <cell r="F891" t="str">
            <v>Elk County, KS</v>
          </cell>
          <cell r="N891">
            <v>16.401717773503783</v>
          </cell>
        </row>
        <row r="892">
          <cell r="F892" t="str">
            <v>Elk County, PA</v>
          </cell>
          <cell r="N892">
            <v>21.957601126562832</v>
          </cell>
        </row>
        <row r="893">
          <cell r="F893" t="str">
            <v>Elkhart County, IN</v>
          </cell>
          <cell r="N893">
            <v>10.8742464136522</v>
          </cell>
        </row>
        <row r="894">
          <cell r="F894" t="str">
            <v>Elko County, NV</v>
          </cell>
          <cell r="N894">
            <v>20.906574342040731</v>
          </cell>
        </row>
        <row r="895">
          <cell r="F895" t="str">
            <v>Elliott County, KY</v>
          </cell>
          <cell r="N895">
            <v>18.884730693229905</v>
          </cell>
        </row>
        <row r="896">
          <cell r="F896" t="str">
            <v>Ellis County, KS</v>
          </cell>
          <cell r="N896">
            <v>12.137014636386393</v>
          </cell>
        </row>
        <row r="897">
          <cell r="F897" t="str">
            <v>Ellis County, OK</v>
          </cell>
          <cell r="N897">
            <v>12.925344897570323</v>
          </cell>
        </row>
        <row r="898">
          <cell r="F898" t="str">
            <v>Ellis County, TX</v>
          </cell>
          <cell r="N898">
            <v>11.904151105086733</v>
          </cell>
        </row>
        <row r="899">
          <cell r="F899" t="str">
            <v>Ellsworth County, KS</v>
          </cell>
          <cell r="N899">
            <v>12.137014636386393</v>
          </cell>
        </row>
        <row r="900">
          <cell r="F900" t="str">
            <v>Elmore County, AL</v>
          </cell>
          <cell r="N900">
            <v>12.082234725776066</v>
          </cell>
        </row>
        <row r="901">
          <cell r="F901" t="str">
            <v>Elmore County, ID</v>
          </cell>
          <cell r="N901">
            <v>22.532407592561999</v>
          </cell>
        </row>
        <row r="902">
          <cell r="F902" t="str">
            <v>Emanuel County, GA</v>
          </cell>
          <cell r="N902">
            <v>18.574866373129421</v>
          </cell>
        </row>
        <row r="903">
          <cell r="F903" t="str">
            <v>Emery County, UT</v>
          </cell>
          <cell r="N903">
            <v>11.64179133174714</v>
          </cell>
        </row>
        <row r="904">
          <cell r="F904" t="str">
            <v>Emmet County, IA</v>
          </cell>
          <cell r="N904">
            <v>24.873956643792607</v>
          </cell>
        </row>
        <row r="905">
          <cell r="F905" t="str">
            <v>Emmet County, MI</v>
          </cell>
          <cell r="N905">
            <v>19.999049554432588</v>
          </cell>
        </row>
        <row r="906">
          <cell r="F906" t="str">
            <v>Emmons County, ND</v>
          </cell>
          <cell r="N906">
            <v>15.353499060470433</v>
          </cell>
        </row>
        <row r="907">
          <cell r="F907" t="str">
            <v>Empor County, VA</v>
          </cell>
          <cell r="N907">
            <v>16.82660487273035</v>
          </cell>
        </row>
        <row r="908">
          <cell r="F908" t="str">
            <v>Erath County, TX</v>
          </cell>
          <cell r="N908">
            <v>15.657398309603602</v>
          </cell>
        </row>
        <row r="909">
          <cell r="F909" t="str">
            <v>Erie County, NY</v>
          </cell>
          <cell r="N909">
            <v>25.615566570235547</v>
          </cell>
        </row>
        <row r="910">
          <cell r="F910" t="str">
            <v>Erie County, OH</v>
          </cell>
          <cell r="N910">
            <v>16.707025468669471</v>
          </cell>
        </row>
        <row r="911">
          <cell r="F911" t="str">
            <v>Erie County, PA</v>
          </cell>
          <cell r="N911">
            <v>22.210889850124858</v>
          </cell>
        </row>
        <row r="912">
          <cell r="F912" t="str">
            <v>Escambia County, AL</v>
          </cell>
          <cell r="N912">
            <v>10.537980824813081</v>
          </cell>
        </row>
        <row r="913">
          <cell r="F913" t="str">
            <v>Escambia County, FL</v>
          </cell>
          <cell r="N913">
            <v>9.8438772380508901</v>
          </cell>
        </row>
        <row r="914">
          <cell r="F914" t="str">
            <v>Esmeralda County, NV</v>
          </cell>
          <cell r="N914">
            <v>16.32325466020087</v>
          </cell>
        </row>
        <row r="915">
          <cell r="F915" t="str">
            <v>Essex County, MA</v>
          </cell>
          <cell r="N915">
            <v>28.794301367748957</v>
          </cell>
        </row>
        <row r="916">
          <cell r="F916" t="str">
            <v>Essex County, NJ</v>
          </cell>
          <cell r="N916">
            <v>17.787213979439301</v>
          </cell>
        </row>
        <row r="917">
          <cell r="F917" t="str">
            <v>Essex County, NY</v>
          </cell>
          <cell r="N917">
            <v>29.901846806821112</v>
          </cell>
        </row>
        <row r="918">
          <cell r="F918" t="str">
            <v>Essex County, VA</v>
          </cell>
          <cell r="N918">
            <v>12.39886104408227</v>
          </cell>
        </row>
        <row r="919">
          <cell r="F919" t="str">
            <v>Essex County, VT</v>
          </cell>
          <cell r="N919">
            <v>12.39886104408227</v>
          </cell>
        </row>
        <row r="920">
          <cell r="F920" t="str">
            <v>Estill County, KY</v>
          </cell>
          <cell r="N920">
            <v>17.371357299141852</v>
          </cell>
        </row>
        <row r="921">
          <cell r="F921" t="str">
            <v>Etowah County, AL</v>
          </cell>
          <cell r="N921">
            <v>16.85926356396083</v>
          </cell>
        </row>
        <row r="922">
          <cell r="F922" t="str">
            <v>Eureka County, NV</v>
          </cell>
          <cell r="N922">
            <v>22.966070092668947</v>
          </cell>
        </row>
        <row r="923">
          <cell r="F923" t="str">
            <v>Evangeline Parish, LA</v>
          </cell>
          <cell r="N923">
            <v>11.336562912539595</v>
          </cell>
        </row>
        <row r="924">
          <cell r="F924" t="str">
            <v>Evans County, GA</v>
          </cell>
          <cell r="N924">
            <v>18.617484529302523</v>
          </cell>
        </row>
        <row r="925">
          <cell r="F925" t="str">
            <v>Fairfax County, VA</v>
          </cell>
          <cell r="N925">
            <v>13.390790668032652</v>
          </cell>
        </row>
        <row r="926">
          <cell r="F926" t="str">
            <v>Fairfield County, CT</v>
          </cell>
          <cell r="N926">
            <v>20.316793068678162</v>
          </cell>
        </row>
        <row r="927">
          <cell r="F927" t="str">
            <v>Fairfield County, OH</v>
          </cell>
          <cell r="N927">
            <v>16.208553673421985</v>
          </cell>
        </row>
        <row r="928">
          <cell r="F928" t="str">
            <v>Fairfield County, SC</v>
          </cell>
          <cell r="N928">
            <v>25.892144323719911</v>
          </cell>
        </row>
        <row r="929">
          <cell r="F929" t="str">
            <v>Fall River County, SD</v>
          </cell>
          <cell r="N929">
            <v>16.644646203232824</v>
          </cell>
        </row>
        <row r="930">
          <cell r="F930" t="str">
            <v>Fallon County, MT</v>
          </cell>
          <cell r="N930">
            <v>16.19672426154699</v>
          </cell>
        </row>
        <row r="931">
          <cell r="F931" t="str">
            <v>Falls County, TX</v>
          </cell>
          <cell r="N931">
            <v>11.904151105086733</v>
          </cell>
        </row>
        <row r="932">
          <cell r="F932" t="str">
            <v>Fannin County, GA</v>
          </cell>
          <cell r="N932">
            <v>21.627760382342053</v>
          </cell>
        </row>
        <row r="933">
          <cell r="F933" t="str">
            <v>Fannin County, TX</v>
          </cell>
          <cell r="N933">
            <v>14.834571037844135</v>
          </cell>
        </row>
        <row r="934">
          <cell r="F934" t="str">
            <v>Faribault County, MN</v>
          </cell>
          <cell r="N934">
            <v>24.624720746168862</v>
          </cell>
        </row>
        <row r="935">
          <cell r="F935" t="str">
            <v>Faulk County, SD</v>
          </cell>
          <cell r="N935">
            <v>19.723215448599515</v>
          </cell>
        </row>
        <row r="936">
          <cell r="F936" t="str">
            <v>Faulkner County, AR</v>
          </cell>
          <cell r="N936">
            <v>21.449127752175382</v>
          </cell>
        </row>
        <row r="937">
          <cell r="F937" t="str">
            <v>Fauquier County, VA</v>
          </cell>
          <cell r="N937">
            <v>16.007184748597425</v>
          </cell>
        </row>
        <row r="938">
          <cell r="F938" t="str">
            <v>Fayette County, AL</v>
          </cell>
          <cell r="N938">
            <v>15.809830773404633</v>
          </cell>
        </row>
        <row r="939">
          <cell r="F939" t="str">
            <v>Fayette County, GA</v>
          </cell>
          <cell r="N939">
            <v>17.257519720299793</v>
          </cell>
        </row>
        <row r="940">
          <cell r="F940" t="str">
            <v>Fayette County, IA</v>
          </cell>
          <cell r="N940">
            <v>19.681542109964614</v>
          </cell>
        </row>
        <row r="941">
          <cell r="F941" t="str">
            <v>Fayette County, IL</v>
          </cell>
          <cell r="N941">
            <v>19.681542109964614</v>
          </cell>
        </row>
        <row r="942">
          <cell r="F942" t="str">
            <v>Fayette County, IN</v>
          </cell>
          <cell r="N942">
            <v>19.681542109964614</v>
          </cell>
        </row>
        <row r="943">
          <cell r="F943" t="str">
            <v>Fayette County, KY</v>
          </cell>
          <cell r="N943">
            <v>16.307548716934196</v>
          </cell>
        </row>
        <row r="944">
          <cell r="F944" t="str">
            <v>Fayette County, OH</v>
          </cell>
          <cell r="N944">
            <v>14.768524042707021</v>
          </cell>
        </row>
        <row r="945">
          <cell r="F945" t="str">
            <v>Fayette County, PA</v>
          </cell>
          <cell r="N945">
            <v>21.232910900997105</v>
          </cell>
        </row>
        <row r="946">
          <cell r="F946" t="str">
            <v>Fayette County, TN</v>
          </cell>
          <cell r="N946">
            <v>18.315743221429035</v>
          </cell>
        </row>
        <row r="947">
          <cell r="F947" t="str">
            <v>Fayette County, TX</v>
          </cell>
          <cell r="N947">
            <v>10.493186436914414</v>
          </cell>
        </row>
        <row r="948">
          <cell r="F948" t="str">
            <v>Fayette County, WV</v>
          </cell>
          <cell r="N948">
            <v>22.540752794126501</v>
          </cell>
        </row>
        <row r="949">
          <cell r="F949" t="str">
            <v>Fentress County, TN</v>
          </cell>
          <cell r="N949">
            <v>18.611590651852261</v>
          </cell>
        </row>
        <row r="950">
          <cell r="F950" t="str">
            <v>Fergus County, MT</v>
          </cell>
          <cell r="N950">
            <v>16.359000747861664</v>
          </cell>
        </row>
        <row r="951">
          <cell r="F951" t="str">
            <v>Ferry County, WA</v>
          </cell>
          <cell r="N951">
            <v>32.211094994174111</v>
          </cell>
        </row>
        <row r="952">
          <cell r="F952" t="str">
            <v>Fillmore County, MN</v>
          </cell>
          <cell r="N952">
            <v>21.176957495707075</v>
          </cell>
        </row>
        <row r="953">
          <cell r="F953" t="str">
            <v>Fillmore County, NE</v>
          </cell>
          <cell r="N953">
            <v>19.212544841149334</v>
          </cell>
        </row>
        <row r="954">
          <cell r="F954" t="str">
            <v>Finney County, KS</v>
          </cell>
          <cell r="N954">
            <v>12.137014636386393</v>
          </cell>
        </row>
        <row r="955">
          <cell r="F955" t="str">
            <v>Fisher County, TX</v>
          </cell>
          <cell r="N955">
            <v>14.756105628054211</v>
          </cell>
        </row>
        <row r="956">
          <cell r="F956" t="str">
            <v>Flagler County, FL</v>
          </cell>
          <cell r="N956">
            <v>14.782095097089226</v>
          </cell>
        </row>
        <row r="957">
          <cell r="F957" t="str">
            <v>Flathead County, MT</v>
          </cell>
          <cell r="N957">
            <v>21.482029559731867</v>
          </cell>
        </row>
        <row r="958">
          <cell r="F958" t="str">
            <v>Fleming County, KY</v>
          </cell>
          <cell r="N958">
            <v>16.580688758311837</v>
          </cell>
        </row>
        <row r="959">
          <cell r="F959" t="str">
            <v>Florence County, SC</v>
          </cell>
          <cell r="N959">
            <v>27.292181194989443</v>
          </cell>
        </row>
        <row r="960">
          <cell r="F960" t="str">
            <v>Florence County, WI</v>
          </cell>
          <cell r="N960">
            <v>21.896011664124412</v>
          </cell>
        </row>
        <row r="961">
          <cell r="F961" t="str">
            <v>Floyd County, GA</v>
          </cell>
          <cell r="N961">
            <v>19.245644978102327</v>
          </cell>
        </row>
        <row r="962">
          <cell r="F962" t="str">
            <v>Floyd County, IA</v>
          </cell>
          <cell r="N962">
            <v>19.245644978102327</v>
          </cell>
        </row>
        <row r="963">
          <cell r="F963" t="str">
            <v>Floyd County, IN</v>
          </cell>
          <cell r="N963">
            <v>11.740265524540192</v>
          </cell>
        </row>
        <row r="964">
          <cell r="F964" t="str">
            <v>Floyd County, KY</v>
          </cell>
          <cell r="N964">
            <v>20.447776712553178</v>
          </cell>
        </row>
        <row r="965">
          <cell r="F965" t="str">
            <v>Floyd County, TX</v>
          </cell>
          <cell r="N965">
            <v>10.508491709282302</v>
          </cell>
        </row>
        <row r="966">
          <cell r="F966" t="str">
            <v>Floyd County, VA</v>
          </cell>
          <cell r="N966">
            <v>22.677552074872452</v>
          </cell>
        </row>
        <row r="967">
          <cell r="F967" t="str">
            <v>Fluvanna County, VA</v>
          </cell>
          <cell r="N967">
            <v>16.82660487273035</v>
          </cell>
        </row>
        <row r="968">
          <cell r="F968" t="str">
            <v>Foard County, TX</v>
          </cell>
          <cell r="N968">
            <v>13.496653906724578</v>
          </cell>
        </row>
        <row r="969">
          <cell r="F969" t="str">
            <v>Fond du Lac County, WI</v>
          </cell>
          <cell r="N969">
            <v>17.174376048030162</v>
          </cell>
        </row>
        <row r="970">
          <cell r="F970" t="str">
            <v>Ford County, IL</v>
          </cell>
          <cell r="N970">
            <v>10.515199652913603</v>
          </cell>
        </row>
        <row r="971">
          <cell r="F971" t="str">
            <v>Ford County, KS</v>
          </cell>
          <cell r="N971">
            <v>14.409063032580896</v>
          </cell>
        </row>
        <row r="972">
          <cell r="F972" t="str">
            <v>Forest County, PA</v>
          </cell>
          <cell r="N972">
            <v>24.008611198918672</v>
          </cell>
        </row>
        <row r="973">
          <cell r="F973" t="str">
            <v>Forest County, WI</v>
          </cell>
          <cell r="N973">
            <v>21.896011664124412</v>
          </cell>
        </row>
        <row r="974">
          <cell r="F974" t="str">
            <v>Forrest County, MS</v>
          </cell>
          <cell r="N974">
            <v>11.386152532248914</v>
          </cell>
        </row>
        <row r="975">
          <cell r="F975" t="str">
            <v>Forsyth County, GA</v>
          </cell>
          <cell r="N975">
            <v>20.607079175088764</v>
          </cell>
        </row>
        <row r="976">
          <cell r="F976" t="str">
            <v>Forsyth County, NC</v>
          </cell>
          <cell r="N976">
            <v>23.195080574324827</v>
          </cell>
        </row>
        <row r="977">
          <cell r="F977" t="str">
            <v>Fort Bend County, TX</v>
          </cell>
          <cell r="N977">
            <v>9.4616469554770326</v>
          </cell>
        </row>
        <row r="978">
          <cell r="F978" t="str">
            <v>Foster County, ND</v>
          </cell>
          <cell r="N978">
            <v>14.333385600139177</v>
          </cell>
        </row>
        <row r="979">
          <cell r="F979" t="str">
            <v>Fountain County, IN</v>
          </cell>
          <cell r="N979">
            <v>10.226892130452139</v>
          </cell>
        </row>
        <row r="980">
          <cell r="F980" t="str">
            <v>Frankl County, VA</v>
          </cell>
          <cell r="N980">
            <v>16.007184748597425</v>
          </cell>
        </row>
        <row r="981">
          <cell r="F981" t="str">
            <v>Franklin County, AL</v>
          </cell>
          <cell r="N981">
            <v>17.132403605338475</v>
          </cell>
        </row>
        <row r="982">
          <cell r="F982" t="str">
            <v>Franklin County, AR</v>
          </cell>
          <cell r="N982">
            <v>21.532673741289621</v>
          </cell>
        </row>
        <row r="983">
          <cell r="F983" t="str">
            <v>Franklin County, FL</v>
          </cell>
          <cell r="N983">
            <v>11.317880048305092</v>
          </cell>
        </row>
        <row r="984">
          <cell r="F984" t="str">
            <v>Franklin County, GA</v>
          </cell>
          <cell r="N984">
            <v>22.70071857709695</v>
          </cell>
        </row>
        <row r="985">
          <cell r="F985" t="str">
            <v>Franklin County, IA</v>
          </cell>
          <cell r="N985">
            <v>22.70071857709695</v>
          </cell>
        </row>
        <row r="986">
          <cell r="F986" t="str">
            <v>Franklin County, ID</v>
          </cell>
          <cell r="N986">
            <v>11.981360955708119</v>
          </cell>
        </row>
        <row r="987">
          <cell r="F987" t="str">
            <v>Franklin County, IL</v>
          </cell>
          <cell r="N987">
            <v>13.48642385239916</v>
          </cell>
        </row>
        <row r="988">
          <cell r="F988" t="str">
            <v>Franklin County, IN</v>
          </cell>
          <cell r="N988">
            <v>10.766903241970251</v>
          </cell>
        </row>
        <row r="989">
          <cell r="F989" t="str">
            <v>Franklin County, KS</v>
          </cell>
          <cell r="N989">
            <v>19.212544841149334</v>
          </cell>
        </row>
        <row r="990">
          <cell r="F990" t="str">
            <v>Franklin County, KY</v>
          </cell>
          <cell r="N990">
            <v>14.255725781461457</v>
          </cell>
        </row>
        <row r="991">
          <cell r="F991" t="str">
            <v>Franklin County, MA</v>
          </cell>
          <cell r="N991">
            <v>25.375951247155896</v>
          </cell>
        </row>
        <row r="992">
          <cell r="F992" t="str">
            <v>Franklin County, ME</v>
          </cell>
          <cell r="N992">
            <v>25.375951247155896</v>
          </cell>
        </row>
        <row r="993">
          <cell r="F993" t="str">
            <v>Franklin County, MO</v>
          </cell>
          <cell r="N993">
            <v>25.375951247155896</v>
          </cell>
        </row>
        <row r="994">
          <cell r="F994" t="str">
            <v>Franklin County, MS</v>
          </cell>
          <cell r="N994">
            <v>12.838566602224756</v>
          </cell>
        </row>
        <row r="995">
          <cell r="F995" t="str">
            <v>Franklin County, NC</v>
          </cell>
          <cell r="N995">
            <v>25.596575047146452</v>
          </cell>
        </row>
        <row r="996">
          <cell r="F996" t="str">
            <v>Franklin County, NE</v>
          </cell>
          <cell r="N996">
            <v>16.650953671127528</v>
          </cell>
        </row>
        <row r="997">
          <cell r="F997" t="str">
            <v>Franklin County, NY</v>
          </cell>
          <cell r="N997">
            <v>30.626537032386835</v>
          </cell>
        </row>
        <row r="998">
          <cell r="F998" t="str">
            <v>Franklin County, OH</v>
          </cell>
          <cell r="N998">
            <v>15.696235439417624</v>
          </cell>
        </row>
        <row r="999">
          <cell r="F999" t="str">
            <v>Franklin County, PA</v>
          </cell>
          <cell r="N999">
            <v>17.048850353391199</v>
          </cell>
        </row>
        <row r="1000">
          <cell r="F1000" t="str">
            <v>Franklin County, TN</v>
          </cell>
          <cell r="N1000">
            <v>20.31286777497175</v>
          </cell>
        </row>
        <row r="1001">
          <cell r="F1001" t="str">
            <v>Franklin County, TX</v>
          </cell>
          <cell r="N1001">
            <v>12.481573751935482</v>
          </cell>
        </row>
        <row r="1002">
          <cell r="F1002" t="str">
            <v>Franklin County, VA</v>
          </cell>
          <cell r="N1002">
            <v>12.481573751935482</v>
          </cell>
        </row>
        <row r="1003">
          <cell r="F1003" t="str">
            <v>Franklin County, VT</v>
          </cell>
          <cell r="N1003">
            <v>31.966530279659317</v>
          </cell>
        </row>
        <row r="1004">
          <cell r="F1004" t="str">
            <v>Franklin County, WA</v>
          </cell>
          <cell r="N1004">
            <v>31.586700045744042</v>
          </cell>
        </row>
        <row r="1005">
          <cell r="F1005" t="str">
            <v>Franklin Parish, LA</v>
          </cell>
          <cell r="N1005">
            <v>13.43738852714899</v>
          </cell>
        </row>
        <row r="1006">
          <cell r="F1006" t="str">
            <v>Frederick County, MD</v>
          </cell>
          <cell r="N1006">
            <v>15.613143302742113</v>
          </cell>
        </row>
        <row r="1007">
          <cell r="F1007" t="str">
            <v>Frederick County, VA</v>
          </cell>
          <cell r="N1007">
            <v>17.51664287200018</v>
          </cell>
        </row>
        <row r="1008">
          <cell r="F1008" t="str">
            <v>Freeborn County, MN</v>
          </cell>
          <cell r="N1008">
            <v>24.140095389678251</v>
          </cell>
        </row>
        <row r="1009">
          <cell r="F1009" t="str">
            <v>Freestone County, TX</v>
          </cell>
          <cell r="N1009">
            <v>13.834306098902395</v>
          </cell>
        </row>
        <row r="1010">
          <cell r="F1010" t="str">
            <v>Fremont County, CO</v>
          </cell>
          <cell r="N1010">
            <v>16.459799628088515</v>
          </cell>
        </row>
        <row r="1011">
          <cell r="F1011" t="str">
            <v>Fremont County, IA</v>
          </cell>
          <cell r="N1011">
            <v>16.459799628088515</v>
          </cell>
        </row>
        <row r="1012">
          <cell r="F1012" t="str">
            <v>Fremont County, ID</v>
          </cell>
          <cell r="N1012">
            <v>14.082723386586538</v>
          </cell>
        </row>
        <row r="1013">
          <cell r="F1013" t="str">
            <v>Fremont County, WY</v>
          </cell>
          <cell r="N1013">
            <v>10.632516820125501</v>
          </cell>
        </row>
        <row r="1014">
          <cell r="F1014" t="str">
            <v>Fresno County, CA</v>
          </cell>
          <cell r="N1014">
            <v>12.78986248820182</v>
          </cell>
        </row>
        <row r="1015">
          <cell r="F1015" t="str">
            <v>Frio County, TX</v>
          </cell>
          <cell r="N1015">
            <v>11.15263195798669</v>
          </cell>
        </row>
        <row r="1016">
          <cell r="F1016" t="str">
            <v>Frontier County, NE</v>
          </cell>
          <cell r="N1016">
            <v>14.650759022242877</v>
          </cell>
        </row>
        <row r="1017">
          <cell r="F1017" t="str">
            <v>Fulton County, AR</v>
          </cell>
          <cell r="N1017">
            <v>21.282341300162276</v>
          </cell>
        </row>
        <row r="1018">
          <cell r="F1018" t="str">
            <v>Fulton County, GA</v>
          </cell>
          <cell r="N1018">
            <v>19.126372634988918</v>
          </cell>
        </row>
        <row r="1019">
          <cell r="F1019" t="str">
            <v>Fulton County, IL</v>
          </cell>
          <cell r="N1019">
            <v>10.23827087777611</v>
          </cell>
        </row>
        <row r="1020">
          <cell r="F1020" t="str">
            <v>Fulton County, IN</v>
          </cell>
          <cell r="N1020">
            <v>10.226892130452139</v>
          </cell>
        </row>
        <row r="1021">
          <cell r="F1021" t="str">
            <v>Fulton County, KY</v>
          </cell>
          <cell r="N1021">
            <v>16.747671445410958</v>
          </cell>
        </row>
        <row r="1022">
          <cell r="F1022" t="str">
            <v>Fulton County, NY</v>
          </cell>
          <cell r="N1022">
            <v>25.375951247155896</v>
          </cell>
        </row>
        <row r="1023">
          <cell r="F1023" t="str">
            <v>Fulton County, OH</v>
          </cell>
          <cell r="N1023">
            <v>12.951212227183397</v>
          </cell>
        </row>
        <row r="1024">
          <cell r="F1024" t="str">
            <v>Fulton County, PA</v>
          </cell>
          <cell r="N1024">
            <v>17.55476617123897</v>
          </cell>
        </row>
        <row r="1025">
          <cell r="F1025" t="str">
            <v>Furnas County, NE</v>
          </cell>
          <cell r="N1025">
            <v>16.650953671127528</v>
          </cell>
        </row>
        <row r="1026">
          <cell r="F1026" t="str">
            <v>Gadsden County, FL</v>
          </cell>
          <cell r="N1026">
            <v>11.044740006927452</v>
          </cell>
        </row>
        <row r="1027">
          <cell r="F1027" t="str">
            <v>Gage County, NE</v>
          </cell>
          <cell r="N1027">
            <v>19.475627177529951</v>
          </cell>
        </row>
        <row r="1028">
          <cell r="F1028" t="str">
            <v>Gaines County, TX</v>
          </cell>
          <cell r="N1028">
            <v>10.466196891007179</v>
          </cell>
        </row>
        <row r="1029">
          <cell r="F1029" t="str">
            <v>Gallatin County, IL</v>
          </cell>
          <cell r="N1029">
            <v>13.235680910282653</v>
          </cell>
        </row>
        <row r="1030">
          <cell r="F1030" t="str">
            <v>Gallatin County, KY</v>
          </cell>
          <cell r="N1030">
            <v>12.742352387373405</v>
          </cell>
        </row>
        <row r="1031">
          <cell r="F1031" t="str">
            <v>Gallatin County, MT</v>
          </cell>
          <cell r="N1031">
            <v>14.354731373154006</v>
          </cell>
        </row>
        <row r="1032">
          <cell r="F1032" t="str">
            <v>Gallia County, OH</v>
          </cell>
          <cell r="N1032">
            <v>18.507062507063175</v>
          </cell>
        </row>
        <row r="1033">
          <cell r="F1033" t="str">
            <v>Galveston County, TX</v>
          </cell>
          <cell r="N1033">
            <v>9.5032460087948181</v>
          </cell>
        </row>
        <row r="1034">
          <cell r="F1034" t="str">
            <v>Garden County, NE</v>
          </cell>
          <cell r="N1034">
            <v>16.483833884905703</v>
          </cell>
        </row>
        <row r="1035">
          <cell r="F1035" t="str">
            <v>Garfield County, CO</v>
          </cell>
          <cell r="N1035">
            <v>13.849268312597381</v>
          </cell>
        </row>
        <row r="1036">
          <cell r="F1036" t="str">
            <v>Garfield County, MT</v>
          </cell>
          <cell r="N1036">
            <v>15.509546190218648</v>
          </cell>
        </row>
        <row r="1037">
          <cell r="F1037" t="str">
            <v>Garfield County, NE</v>
          </cell>
          <cell r="N1037">
            <v>18.347758170328405</v>
          </cell>
        </row>
        <row r="1038">
          <cell r="F1038" t="str">
            <v>Garfield County, OK</v>
          </cell>
          <cell r="N1038">
            <v>12.203925060553878</v>
          </cell>
        </row>
        <row r="1039">
          <cell r="F1039" t="str">
            <v>Garfield County, UT</v>
          </cell>
          <cell r="N1039">
            <v>14.398882184359678</v>
          </cell>
        </row>
        <row r="1040">
          <cell r="F1040" t="str">
            <v>Garfield County, WA</v>
          </cell>
          <cell r="N1040">
            <v>29.245163745240074</v>
          </cell>
        </row>
        <row r="1041">
          <cell r="F1041" t="str">
            <v>Garland County, AR</v>
          </cell>
          <cell r="N1041">
            <v>20.362576120553349</v>
          </cell>
        </row>
        <row r="1042">
          <cell r="F1042" t="str">
            <v>Garrard County, KY</v>
          </cell>
          <cell r="N1042">
            <v>16.598979820648591</v>
          </cell>
        </row>
        <row r="1043">
          <cell r="F1043" t="str">
            <v>Garrett County, MD</v>
          </cell>
          <cell r="N1043">
            <v>19.824550651312766</v>
          </cell>
        </row>
        <row r="1044">
          <cell r="F1044" t="str">
            <v>Garvin County, OK</v>
          </cell>
          <cell r="N1044">
            <v>17.545084543904807</v>
          </cell>
        </row>
        <row r="1045">
          <cell r="F1045" t="str">
            <v>Garza County, TX</v>
          </cell>
          <cell r="N1045">
            <v>12.417543908316777</v>
          </cell>
        </row>
        <row r="1046">
          <cell r="F1046" t="str">
            <v>Gasconade County, MO</v>
          </cell>
          <cell r="N1046">
            <v>15.042985126411612</v>
          </cell>
        </row>
        <row r="1047">
          <cell r="F1047" t="str">
            <v>Gaston County, NC</v>
          </cell>
          <cell r="N1047">
            <v>27.292181194989443</v>
          </cell>
        </row>
        <row r="1048">
          <cell r="F1048" t="str">
            <v>Gates County, NC</v>
          </cell>
          <cell r="N1048">
            <v>16.280324789975069</v>
          </cell>
        </row>
        <row r="1049">
          <cell r="F1049" t="str">
            <v>Geary County, KS</v>
          </cell>
          <cell r="N1049">
            <v>16.401717773503783</v>
          </cell>
        </row>
        <row r="1050">
          <cell r="F1050" t="str">
            <v>Geauga County, OH</v>
          </cell>
          <cell r="N1050">
            <v>20.431717494268749</v>
          </cell>
        </row>
        <row r="1051">
          <cell r="F1051" t="str">
            <v>Gem County, ID</v>
          </cell>
          <cell r="N1051">
            <v>26.097143837577757</v>
          </cell>
        </row>
        <row r="1052">
          <cell r="F1052" t="str">
            <v>Genesee County, MI</v>
          </cell>
          <cell r="N1052">
            <v>13.491223338701507</v>
          </cell>
        </row>
        <row r="1053">
          <cell r="F1053" t="str">
            <v>Genesee County, NY</v>
          </cell>
          <cell r="N1053">
            <v>25.854520264038925</v>
          </cell>
        </row>
        <row r="1054">
          <cell r="F1054" t="str">
            <v>Geneva County, AL</v>
          </cell>
          <cell r="N1054">
            <v>10.153440924537254</v>
          </cell>
        </row>
        <row r="1055">
          <cell r="F1055" t="str">
            <v>Gentry County, MO</v>
          </cell>
          <cell r="N1055">
            <v>20.678485700459589</v>
          </cell>
        </row>
        <row r="1056">
          <cell r="F1056" t="str">
            <v>George County, MS</v>
          </cell>
          <cell r="N1056">
            <v>10.221713408481076</v>
          </cell>
        </row>
        <row r="1057">
          <cell r="F1057" t="str">
            <v>Georgetown County, SC</v>
          </cell>
          <cell r="N1057">
            <v>27.343590061735586</v>
          </cell>
        </row>
        <row r="1058">
          <cell r="F1058" t="str">
            <v>Gibson County, IN</v>
          </cell>
          <cell r="N1058">
            <v>11.158715096751457</v>
          </cell>
        </row>
        <row r="1059">
          <cell r="F1059" t="str">
            <v>Gibson County, TN</v>
          </cell>
          <cell r="N1059">
            <v>18.817785443220451</v>
          </cell>
        </row>
        <row r="1060">
          <cell r="F1060" t="str">
            <v>Gila County, AZ</v>
          </cell>
          <cell r="N1060">
            <v>20.981558032584445</v>
          </cell>
        </row>
        <row r="1061">
          <cell r="F1061" t="str">
            <v>Gilchrist County, FL</v>
          </cell>
          <cell r="N1061">
            <v>13.959728034231169</v>
          </cell>
        </row>
        <row r="1062">
          <cell r="F1062" t="str">
            <v>Giles County, TN</v>
          </cell>
          <cell r="N1062">
            <v>19.364065525975732</v>
          </cell>
        </row>
        <row r="1063">
          <cell r="F1063" t="str">
            <v>Giles County, VA</v>
          </cell>
          <cell r="N1063">
            <v>22.936316324598639</v>
          </cell>
        </row>
        <row r="1064">
          <cell r="F1064" t="str">
            <v>Gillespie County, TX</v>
          </cell>
          <cell r="N1064">
            <v>15.199181008731717</v>
          </cell>
        </row>
        <row r="1065">
          <cell r="F1065" t="str">
            <v>Gilliam County, OR</v>
          </cell>
          <cell r="N1065">
            <v>28.662531331048008</v>
          </cell>
        </row>
        <row r="1066">
          <cell r="F1066" t="str">
            <v>Gilmer County, GA</v>
          </cell>
          <cell r="N1066">
            <v>21.124607674541135</v>
          </cell>
        </row>
        <row r="1067">
          <cell r="F1067" t="str">
            <v>Gilmer County, WV</v>
          </cell>
          <cell r="N1067">
            <v>20.735863930453363</v>
          </cell>
        </row>
        <row r="1068">
          <cell r="F1068" t="str">
            <v>Gilpin County, CO</v>
          </cell>
          <cell r="N1068">
            <v>16.555031968452717</v>
          </cell>
        </row>
        <row r="1069">
          <cell r="F1069" t="str">
            <v>Glacier County, MT</v>
          </cell>
          <cell r="N1069">
            <v>19.663870912675634</v>
          </cell>
        </row>
        <row r="1070">
          <cell r="F1070" t="str">
            <v>Glades County, FL</v>
          </cell>
          <cell r="N1070">
            <v>12.66885372432537</v>
          </cell>
        </row>
        <row r="1071">
          <cell r="F1071" t="str">
            <v>Gladwin County, MI</v>
          </cell>
          <cell r="N1071">
            <v>15.734346417315198</v>
          </cell>
        </row>
        <row r="1072">
          <cell r="F1072" t="str">
            <v>Glascock County, GA</v>
          </cell>
          <cell r="N1072">
            <v>19.35115912230798</v>
          </cell>
        </row>
        <row r="1073">
          <cell r="F1073" t="str">
            <v>Glasscock County, TX</v>
          </cell>
          <cell r="N1073">
            <v>10.006804357723249</v>
          </cell>
        </row>
        <row r="1074">
          <cell r="F1074" t="str">
            <v>Glenn County, CA</v>
          </cell>
          <cell r="N1074">
            <v>12.337407283335899</v>
          </cell>
        </row>
        <row r="1075">
          <cell r="F1075" t="str">
            <v>Gloucester County, NJ</v>
          </cell>
          <cell r="N1075">
            <v>13.384379024115436</v>
          </cell>
        </row>
        <row r="1076">
          <cell r="F1076" t="str">
            <v>Gloucester County, VA</v>
          </cell>
          <cell r="N1076">
            <v>12.39886104408227</v>
          </cell>
        </row>
        <row r="1077">
          <cell r="F1077" t="str">
            <v>Glynn County, GA</v>
          </cell>
          <cell r="N1077">
            <v>18.085580238198695</v>
          </cell>
        </row>
        <row r="1078">
          <cell r="F1078" t="str">
            <v>Gogebic County, MI</v>
          </cell>
          <cell r="N1078">
            <v>25.593010812209943</v>
          </cell>
        </row>
        <row r="1079">
          <cell r="F1079" t="str">
            <v>Golden Valley County, MT</v>
          </cell>
          <cell r="N1079">
            <v>14.082723386586538</v>
          </cell>
        </row>
        <row r="1080">
          <cell r="F1080" t="str">
            <v>Golden Valley County, ND</v>
          </cell>
          <cell r="N1080">
            <v>14.93152476254339</v>
          </cell>
        </row>
        <row r="1081">
          <cell r="F1081" t="str">
            <v>Goliad County, TX</v>
          </cell>
          <cell r="N1081">
            <v>8.6309984008271989</v>
          </cell>
        </row>
        <row r="1082">
          <cell r="F1082" t="str">
            <v>Gonzales County, TX</v>
          </cell>
          <cell r="N1082">
            <v>9.5260035034427588</v>
          </cell>
        </row>
        <row r="1083">
          <cell r="F1083" t="str">
            <v>Goochland County, VA</v>
          </cell>
          <cell r="N1083">
            <v>16.280324789975069</v>
          </cell>
        </row>
        <row r="1084">
          <cell r="F1084" t="str">
            <v>Goodhue County, MN</v>
          </cell>
          <cell r="N1084">
            <v>24.624720746168862</v>
          </cell>
        </row>
        <row r="1085">
          <cell r="F1085" t="str">
            <v>Gooding County, ID</v>
          </cell>
          <cell r="N1085">
            <v>20.814462414241149</v>
          </cell>
        </row>
        <row r="1086">
          <cell r="F1086" t="str">
            <v>Gordon County, GA</v>
          </cell>
          <cell r="N1086">
            <v>20.333939133711123</v>
          </cell>
        </row>
        <row r="1087">
          <cell r="F1087" t="str">
            <v>Goshen County, WY</v>
          </cell>
          <cell r="N1087">
            <v>14.311563232343014</v>
          </cell>
        </row>
        <row r="1088">
          <cell r="F1088" t="str">
            <v>Gosper County, NE</v>
          </cell>
          <cell r="N1088">
            <v>16.907728539613444</v>
          </cell>
        </row>
        <row r="1089">
          <cell r="F1089" t="str">
            <v>Gove County, KS</v>
          </cell>
          <cell r="N1089">
            <v>12.967800961798872</v>
          </cell>
        </row>
        <row r="1090">
          <cell r="F1090" t="str">
            <v>Grady County, GA</v>
          </cell>
          <cell r="N1090">
            <v>12.309809672255472</v>
          </cell>
        </row>
        <row r="1091">
          <cell r="F1091" t="str">
            <v>Grady County, OK</v>
          </cell>
          <cell r="N1091">
            <v>14.932247066914217</v>
          </cell>
        </row>
        <row r="1092">
          <cell r="F1092" t="str">
            <v>Grafton County, NH</v>
          </cell>
          <cell r="N1092">
            <v>30.380415823704141</v>
          </cell>
        </row>
        <row r="1093">
          <cell r="F1093" t="str">
            <v>Graham County, AZ</v>
          </cell>
          <cell r="N1093">
            <v>21.496941586080698</v>
          </cell>
        </row>
        <row r="1094">
          <cell r="F1094" t="str">
            <v>Graham County, KS</v>
          </cell>
          <cell r="N1094">
            <v>13.217036859422617</v>
          </cell>
        </row>
        <row r="1095">
          <cell r="F1095" t="str">
            <v>Graham County, NC</v>
          </cell>
          <cell r="N1095">
            <v>22.981831313894521</v>
          </cell>
        </row>
        <row r="1096">
          <cell r="F1096" t="str">
            <v>Grainger County, TN</v>
          </cell>
          <cell r="N1096">
            <v>21.961150106641231</v>
          </cell>
        </row>
        <row r="1097">
          <cell r="F1097" t="str">
            <v>Grand County, CO</v>
          </cell>
          <cell r="N1097">
            <v>15.696059379292294</v>
          </cell>
        </row>
        <row r="1098">
          <cell r="F1098" t="str">
            <v>Grand County, UT</v>
          </cell>
          <cell r="N1098">
            <v>12.243072144159436</v>
          </cell>
        </row>
        <row r="1099">
          <cell r="F1099" t="str">
            <v>Grand Forks County, ND</v>
          </cell>
          <cell r="N1099">
            <v>16.410351413670377</v>
          </cell>
        </row>
        <row r="1100">
          <cell r="F1100" t="str">
            <v>Grand Isle County, VT</v>
          </cell>
          <cell r="N1100">
            <v>31.323880456987823</v>
          </cell>
        </row>
        <row r="1101">
          <cell r="F1101" t="str">
            <v>Grand Traverse County, MI</v>
          </cell>
          <cell r="N1101">
            <v>16.925140150406421</v>
          </cell>
        </row>
        <row r="1102">
          <cell r="F1102" t="str">
            <v>Granite County, MT</v>
          </cell>
          <cell r="N1102">
            <v>20.181428769625551</v>
          </cell>
        </row>
        <row r="1103">
          <cell r="F1103" t="str">
            <v>Grant County, AR</v>
          </cell>
          <cell r="N1103">
            <v>18.359916591534574</v>
          </cell>
        </row>
        <row r="1104">
          <cell r="F1104" t="str">
            <v>Grant County, IN</v>
          </cell>
          <cell r="N1104">
            <v>13.74045923632525</v>
          </cell>
        </row>
        <row r="1105">
          <cell r="F1105" t="str">
            <v>Grant County, KS</v>
          </cell>
          <cell r="N1105">
            <v>12.967800961798872</v>
          </cell>
        </row>
        <row r="1106">
          <cell r="F1106" t="str">
            <v>Grant County, KY</v>
          </cell>
          <cell r="N1106">
            <v>14.255725781461457</v>
          </cell>
        </row>
        <row r="1107">
          <cell r="F1107" t="str">
            <v>Grant County, MN</v>
          </cell>
          <cell r="N1107">
            <v>23.195106404538947</v>
          </cell>
        </row>
        <row r="1108">
          <cell r="F1108" t="str">
            <v>Grant County, ND</v>
          </cell>
          <cell r="N1108">
            <v>23.195106404538947</v>
          </cell>
        </row>
        <row r="1109">
          <cell r="F1109" t="str">
            <v>Grant County, NE</v>
          </cell>
          <cell r="N1109">
            <v>12.089167852221067</v>
          </cell>
        </row>
        <row r="1110">
          <cell r="F1110" t="str">
            <v>Grant County, NM</v>
          </cell>
          <cell r="N1110">
            <v>20.981558032584445</v>
          </cell>
        </row>
        <row r="1111">
          <cell r="F1111" t="str">
            <v>Grant County, OK</v>
          </cell>
          <cell r="N1111">
            <v>12.521507516320689</v>
          </cell>
        </row>
        <row r="1112">
          <cell r="F1112" t="str">
            <v>Grant County, OR</v>
          </cell>
          <cell r="N1112">
            <v>25.255385696182952</v>
          </cell>
        </row>
        <row r="1113">
          <cell r="F1113" t="str">
            <v>Grant County, SD</v>
          </cell>
          <cell r="N1113">
            <v>23.458188740919567</v>
          </cell>
        </row>
        <row r="1114">
          <cell r="F1114" t="str">
            <v>Grant County, WA</v>
          </cell>
          <cell r="N1114">
            <v>32.700629861258449</v>
          </cell>
        </row>
        <row r="1115">
          <cell r="F1115" t="str">
            <v>Grant County, WI</v>
          </cell>
          <cell r="N1115">
            <v>18.518441254387145</v>
          </cell>
        </row>
        <row r="1116">
          <cell r="F1116" t="str">
            <v>Grant County, WV</v>
          </cell>
          <cell r="N1116">
            <v>18.518441254387145</v>
          </cell>
        </row>
        <row r="1117">
          <cell r="F1117" t="str">
            <v>Grant Parish, LA</v>
          </cell>
          <cell r="N1117">
            <v>13.675124632277029</v>
          </cell>
        </row>
        <row r="1118">
          <cell r="F1118" t="str">
            <v>Granville County, NC</v>
          </cell>
          <cell r="N1118">
            <v>20.434928577245504</v>
          </cell>
        </row>
        <row r="1119">
          <cell r="F1119" t="str">
            <v>Gratiot County, MI</v>
          </cell>
          <cell r="N1119">
            <v>12.951212227183397</v>
          </cell>
        </row>
        <row r="1120">
          <cell r="F1120" t="str">
            <v>Graves County, KY</v>
          </cell>
          <cell r="N1120">
            <v>15.928251321278033</v>
          </cell>
        </row>
        <row r="1121">
          <cell r="F1121" t="str">
            <v>Gray County, KS</v>
          </cell>
          <cell r="N1121">
            <v>11.209303239675792</v>
          </cell>
        </row>
        <row r="1122">
          <cell r="F1122" t="str">
            <v>Gray County, TX</v>
          </cell>
          <cell r="N1122">
            <v>11.403496811897863</v>
          </cell>
        </row>
        <row r="1123">
          <cell r="F1123" t="str">
            <v>Grays Harbor County, WA</v>
          </cell>
          <cell r="N1123">
            <v>32.476291054024529</v>
          </cell>
        </row>
        <row r="1124">
          <cell r="F1124" t="str">
            <v>Grayson County, KY</v>
          </cell>
          <cell r="N1124">
            <v>13.436305657328534</v>
          </cell>
        </row>
        <row r="1125">
          <cell r="F1125" t="str">
            <v>Grayson County, TX</v>
          </cell>
          <cell r="N1125">
            <v>15.383122552350446</v>
          </cell>
        </row>
        <row r="1126">
          <cell r="F1126" t="str">
            <v>Grayson County, VA</v>
          </cell>
          <cell r="N1126">
            <v>25.3067942907449</v>
          </cell>
        </row>
        <row r="1127">
          <cell r="F1127" t="str">
            <v>Greeley County, KS</v>
          </cell>
          <cell r="N1127">
            <v>14.251129843775431</v>
          </cell>
        </row>
        <row r="1128">
          <cell r="F1128" t="str">
            <v>Greeley County, NE</v>
          </cell>
          <cell r="N1128">
            <v>19.109312301956511</v>
          </cell>
        </row>
        <row r="1129">
          <cell r="F1129" t="str">
            <v>Green County, KY</v>
          </cell>
          <cell r="N1129">
            <v>15.928251321278033</v>
          </cell>
        </row>
        <row r="1130">
          <cell r="F1130" t="str">
            <v>Green County, WI</v>
          </cell>
          <cell r="N1130">
            <v>16.455321879612825</v>
          </cell>
        </row>
        <row r="1131">
          <cell r="F1131" t="str">
            <v>Green Lake County, WI</v>
          </cell>
          <cell r="N1131">
            <v>17.672847843277651</v>
          </cell>
        </row>
        <row r="1132">
          <cell r="F1132" t="str">
            <v>Greenbrier County, WV</v>
          </cell>
          <cell r="N1132">
            <v>21.725153318362505</v>
          </cell>
        </row>
        <row r="1133">
          <cell r="F1133" t="str">
            <v>Greene County, AL</v>
          </cell>
          <cell r="N1133">
            <v>11.957118610814746</v>
          </cell>
        </row>
        <row r="1134">
          <cell r="F1134" t="str">
            <v>Greene County, AR</v>
          </cell>
          <cell r="N1134">
            <v>21.036936675251557</v>
          </cell>
        </row>
        <row r="1135">
          <cell r="F1135" t="str">
            <v>Greene County, GA</v>
          </cell>
          <cell r="N1135">
            <v>19.35115912230798</v>
          </cell>
        </row>
        <row r="1136">
          <cell r="F1136" t="str">
            <v>Greene County, IA</v>
          </cell>
          <cell r="N1136">
            <v>19.35115912230798</v>
          </cell>
        </row>
        <row r="1137">
          <cell r="F1137" t="str">
            <v>Greene County, IL</v>
          </cell>
          <cell r="N1137">
            <v>10.515199652913603</v>
          </cell>
        </row>
        <row r="1138">
          <cell r="F1138" t="str">
            <v>Greene County, IN</v>
          </cell>
          <cell r="N1138">
            <v>11.722307516194601</v>
          </cell>
        </row>
        <row r="1139">
          <cell r="F1139" t="str">
            <v>Greene County, MO</v>
          </cell>
          <cell r="N1139">
            <v>18.970025038210267</v>
          </cell>
        </row>
        <row r="1140">
          <cell r="F1140" t="str">
            <v>Greene County, MS</v>
          </cell>
          <cell r="N1140">
            <v>10.418908904109083</v>
          </cell>
        </row>
        <row r="1141">
          <cell r="F1141" t="str">
            <v>Greene County, NC</v>
          </cell>
          <cell r="N1141">
            <v>20.708068618623145</v>
          </cell>
        </row>
        <row r="1142">
          <cell r="F1142" t="str">
            <v>Greene County, NY</v>
          </cell>
          <cell r="N1142">
            <v>20.708068618623145</v>
          </cell>
        </row>
        <row r="1143">
          <cell r="F1143" t="str">
            <v>Greene County, OH</v>
          </cell>
          <cell r="N1143">
            <v>12.511554525336457</v>
          </cell>
        </row>
        <row r="1144">
          <cell r="F1144" t="str">
            <v>Greene County, PA</v>
          </cell>
          <cell r="N1144">
            <v>21.957601126562832</v>
          </cell>
        </row>
        <row r="1145">
          <cell r="F1145" t="str">
            <v>Greene County, TN</v>
          </cell>
          <cell r="N1145">
            <v>22.981831313894521</v>
          </cell>
        </row>
        <row r="1146">
          <cell r="F1146" t="str">
            <v>Greene County, VA</v>
          </cell>
          <cell r="N1146">
            <v>16.82660487273035</v>
          </cell>
        </row>
        <row r="1147">
          <cell r="F1147" t="str">
            <v>Greenlee County, AZ</v>
          </cell>
          <cell r="N1147">
            <v>20.022371974688635</v>
          </cell>
        </row>
        <row r="1148">
          <cell r="F1148" t="str">
            <v>Greensville County, VA</v>
          </cell>
          <cell r="N1148">
            <v>16.82660487273035</v>
          </cell>
        </row>
        <row r="1149">
          <cell r="F1149" t="str">
            <v>Greenup County, KY</v>
          </cell>
          <cell r="N1149">
            <v>17.098217257764208</v>
          </cell>
        </row>
        <row r="1150">
          <cell r="F1150" t="str">
            <v>Greenville County, SC</v>
          </cell>
          <cell r="N1150">
            <v>24.253304075454068</v>
          </cell>
        </row>
        <row r="1151">
          <cell r="F1151" t="str">
            <v>Greenwood County, KS</v>
          </cell>
          <cell r="N1151">
            <v>16.401717773503783</v>
          </cell>
        </row>
        <row r="1152">
          <cell r="F1152" t="str">
            <v>Greenwood County, SC</v>
          </cell>
          <cell r="N1152">
            <v>23.218247076549318</v>
          </cell>
        </row>
        <row r="1153">
          <cell r="F1153" t="str">
            <v>Greer County, OK</v>
          </cell>
          <cell r="N1153">
            <v>13.496653906724578</v>
          </cell>
        </row>
        <row r="1154">
          <cell r="F1154" t="str">
            <v>Gregg County, TX</v>
          </cell>
          <cell r="N1154">
            <v>10.936968171615078</v>
          </cell>
        </row>
        <row r="1155">
          <cell r="F1155" t="str">
            <v>Gregory County, SD</v>
          </cell>
          <cell r="N1155">
            <v>19.109312301956511</v>
          </cell>
        </row>
        <row r="1156">
          <cell r="F1156" t="str">
            <v>Grenada County, MS</v>
          </cell>
          <cell r="N1156">
            <v>13.140458226905306</v>
          </cell>
        </row>
        <row r="1157">
          <cell r="F1157" t="str">
            <v>Griggs County, ND</v>
          </cell>
          <cell r="N1157">
            <v>15.191864803065407</v>
          </cell>
        </row>
        <row r="1158">
          <cell r="F1158" t="str">
            <v>Grimes County, TX</v>
          </cell>
          <cell r="N1158">
            <v>9.4918672614708477</v>
          </cell>
        </row>
        <row r="1159">
          <cell r="F1159" t="str">
            <v>Grundy County, IA</v>
          </cell>
          <cell r="N1159">
            <v>19.94462444634523</v>
          </cell>
        </row>
        <row r="1160">
          <cell r="F1160" t="str">
            <v>Grundy County, IL</v>
          </cell>
          <cell r="N1160">
            <v>19.94462444634523</v>
          </cell>
        </row>
        <row r="1161">
          <cell r="F1161" t="str">
            <v>Grundy County, MO</v>
          </cell>
          <cell r="N1161">
            <v>18.781523590767762</v>
          </cell>
        </row>
        <row r="1162">
          <cell r="F1162" t="str">
            <v>Grundy County, TN</v>
          </cell>
          <cell r="N1162">
            <v>20.054103525245562</v>
          </cell>
        </row>
        <row r="1163">
          <cell r="F1163" t="str">
            <v>Guadalupe County, NM</v>
          </cell>
          <cell r="N1163">
            <v>10.807494468051624</v>
          </cell>
        </row>
        <row r="1164">
          <cell r="F1164" t="str">
            <v>Guadalupe County, TX</v>
          </cell>
          <cell r="N1164">
            <v>10.796333326510005</v>
          </cell>
        </row>
        <row r="1165">
          <cell r="F1165" t="str">
            <v>Guernsey County, OH</v>
          </cell>
          <cell r="N1165">
            <v>19.670163362640643</v>
          </cell>
        </row>
        <row r="1166">
          <cell r="F1166" t="str">
            <v>Guilford County, NC</v>
          </cell>
          <cell r="N1166">
            <v>22.677552074872452</v>
          </cell>
        </row>
        <row r="1167">
          <cell r="F1167" t="str">
            <v>Gulf County, FL</v>
          </cell>
          <cell r="N1167">
            <v>10.469708340869259</v>
          </cell>
        </row>
        <row r="1168">
          <cell r="F1168" t="str">
            <v>Gunnison County, CO</v>
          </cell>
          <cell r="N1168">
            <v>13.596557664220434</v>
          </cell>
        </row>
        <row r="1169">
          <cell r="F1169" t="str">
            <v>Guthrie County, IA</v>
          </cell>
          <cell r="N1169">
            <v>22.755451513990785</v>
          </cell>
        </row>
        <row r="1170">
          <cell r="F1170" t="str">
            <v>Gwinnett County, GA</v>
          </cell>
          <cell r="N1170">
            <v>19.897439205063264</v>
          </cell>
        </row>
        <row r="1171">
          <cell r="F1171" t="str">
            <v>Haakon County, SD</v>
          </cell>
          <cell r="N1171">
            <v>15.20927641385838</v>
          </cell>
        </row>
        <row r="1172">
          <cell r="F1172" t="str">
            <v>Habersham County, GA</v>
          </cell>
          <cell r="N1172">
            <v>21.886524632068241</v>
          </cell>
        </row>
        <row r="1173">
          <cell r="F1173" t="str">
            <v>Hale County, AL</v>
          </cell>
          <cell r="N1173">
            <v>11.683978569437105</v>
          </cell>
        </row>
        <row r="1174">
          <cell r="F1174" t="str">
            <v>Hale County, TX</v>
          </cell>
          <cell r="N1174">
            <v>10.508491709282302</v>
          </cell>
        </row>
        <row r="1175">
          <cell r="F1175" t="str">
            <v>Halifax County, NC</v>
          </cell>
          <cell r="N1175">
            <v>18.048547163104008</v>
          </cell>
        </row>
        <row r="1176">
          <cell r="F1176" t="str">
            <v>Halifax County, VA</v>
          </cell>
          <cell r="N1176">
            <v>20.434928577245504</v>
          </cell>
        </row>
        <row r="1177">
          <cell r="F1177" t="str">
            <v>Hall County, GA</v>
          </cell>
          <cell r="N1177">
            <v>21.124607674541135</v>
          </cell>
        </row>
        <row r="1178">
          <cell r="F1178" t="str">
            <v>Hall County, NE</v>
          </cell>
          <cell r="N1178">
            <v>19.109312301956511</v>
          </cell>
        </row>
        <row r="1179">
          <cell r="F1179" t="str">
            <v>Hall County, TX</v>
          </cell>
          <cell r="N1179">
            <v>10.826074165049114</v>
          </cell>
        </row>
        <row r="1180">
          <cell r="F1180" t="str">
            <v>Hamblen County, TN</v>
          </cell>
          <cell r="N1180">
            <v>22.478678606093602</v>
          </cell>
        </row>
        <row r="1181">
          <cell r="F1181" t="str">
            <v>Hamilton County, FL</v>
          </cell>
          <cell r="N1181">
            <v>12.967798410280787</v>
          </cell>
        </row>
        <row r="1182">
          <cell r="F1182" t="str">
            <v>Hamilton County, IA</v>
          </cell>
          <cell r="N1182">
            <v>20.92772159808333</v>
          </cell>
        </row>
        <row r="1183">
          <cell r="F1183" t="str">
            <v>Hamilton County, IL</v>
          </cell>
          <cell r="N1183">
            <v>20.92772159808333</v>
          </cell>
        </row>
        <row r="1184">
          <cell r="F1184" t="str">
            <v>Hamilton County, IN</v>
          </cell>
          <cell r="N1184">
            <v>20.92772159808333</v>
          </cell>
        </row>
        <row r="1185">
          <cell r="F1185" t="str">
            <v>Hamilton County, KS</v>
          </cell>
          <cell r="N1185">
            <v>15.210924040412564</v>
          </cell>
        </row>
        <row r="1186">
          <cell r="F1186" t="str">
            <v>Hamilton County, NE</v>
          </cell>
          <cell r="N1186">
            <v>19.475627177529951</v>
          </cell>
        </row>
        <row r="1187">
          <cell r="F1187" t="str">
            <v>Hamilton County, NY</v>
          </cell>
          <cell r="N1187">
            <v>26.579210489604652</v>
          </cell>
        </row>
        <row r="1188">
          <cell r="F1188" t="str">
            <v>Hamilton County, OH</v>
          </cell>
          <cell r="N1188">
            <v>11.985389852575219</v>
          </cell>
        </row>
        <row r="1189">
          <cell r="F1189" t="str">
            <v>Hamilton County, TN</v>
          </cell>
          <cell r="N1189">
            <v>21.103536315801762</v>
          </cell>
        </row>
        <row r="1190">
          <cell r="F1190" t="str">
            <v>Hamilton County, TX</v>
          </cell>
          <cell r="N1190">
            <v>15.383122552350446</v>
          </cell>
        </row>
        <row r="1191">
          <cell r="F1191" t="str">
            <v>Hamlin County, SD</v>
          </cell>
          <cell r="N1191">
            <v>24.035216161030831</v>
          </cell>
        </row>
        <row r="1192">
          <cell r="F1192" t="str">
            <v>Hampden County, MA</v>
          </cell>
          <cell r="N1192">
            <v>24.241059007118999</v>
          </cell>
        </row>
        <row r="1193">
          <cell r="F1193" t="str">
            <v>Hampshire County, MA</v>
          </cell>
          <cell r="N1193">
            <v>24.897382230272868</v>
          </cell>
        </row>
        <row r="1194">
          <cell r="F1194" t="str">
            <v>Hampshire County, WV</v>
          </cell>
          <cell r="N1194">
            <v>17.55476617123897</v>
          </cell>
        </row>
        <row r="1195">
          <cell r="F1195" t="str">
            <v>Hampton County, SC</v>
          </cell>
          <cell r="N1195">
            <v>21.766292119752386</v>
          </cell>
        </row>
        <row r="1196">
          <cell r="F1196" t="str">
            <v>Hancock County, GA</v>
          </cell>
          <cell r="N1196">
            <v>19.106770664233245</v>
          </cell>
        </row>
        <row r="1197">
          <cell r="F1197" t="str">
            <v>Hancock County, IA</v>
          </cell>
          <cell r="N1197">
            <v>19.106770664233245</v>
          </cell>
        </row>
        <row r="1198">
          <cell r="F1198" t="str">
            <v>Hancock County, IL</v>
          </cell>
          <cell r="N1198">
            <v>11.996768599899189</v>
          </cell>
        </row>
        <row r="1199">
          <cell r="F1199" t="str">
            <v>Hancock County, IN</v>
          </cell>
          <cell r="N1199">
            <v>18.734635579343397</v>
          </cell>
        </row>
        <row r="1200">
          <cell r="F1200" t="str">
            <v>Hancock County, KY</v>
          </cell>
          <cell r="N1200">
            <v>11.883720158971416</v>
          </cell>
        </row>
        <row r="1201">
          <cell r="F1201" t="str">
            <v>Hancock County, ME</v>
          </cell>
          <cell r="N1201">
            <v>35.179779393016794</v>
          </cell>
        </row>
        <row r="1202">
          <cell r="F1202" t="str">
            <v>Hancock County, MS</v>
          </cell>
          <cell r="N1202">
            <v>12.378082156199294</v>
          </cell>
        </row>
        <row r="1203">
          <cell r="F1203" t="str">
            <v>Hancock County, OH</v>
          </cell>
          <cell r="N1203">
            <v>14.505441706326405</v>
          </cell>
        </row>
        <row r="1204">
          <cell r="F1204" t="str">
            <v>Hancock County, TN</v>
          </cell>
          <cell r="N1204">
            <v>21.727222169532656</v>
          </cell>
        </row>
        <row r="1205">
          <cell r="F1205" t="str">
            <v>Hancock County, WV</v>
          </cell>
          <cell r="N1205">
            <v>20.735863930453363</v>
          </cell>
        </row>
        <row r="1206">
          <cell r="F1206" t="str">
            <v>Hand County, SD</v>
          </cell>
          <cell r="N1206">
            <v>19.986297784980131</v>
          </cell>
        </row>
        <row r="1207">
          <cell r="F1207" t="str">
            <v>Hanover County, VA</v>
          </cell>
          <cell r="N1207">
            <v>13.95144654243939</v>
          </cell>
        </row>
        <row r="1208">
          <cell r="F1208" t="str">
            <v>Hansford County, TX</v>
          </cell>
          <cell r="N1208">
            <v>13.23681371564264</v>
          </cell>
        </row>
        <row r="1209">
          <cell r="F1209" t="str">
            <v>Hanson County, SD</v>
          </cell>
          <cell r="N1209">
            <v>23.05554734766578</v>
          </cell>
        </row>
        <row r="1210">
          <cell r="F1210" t="str">
            <v>Haralson County, GA</v>
          </cell>
          <cell r="N1210">
            <v>16.984379678922153</v>
          </cell>
        </row>
        <row r="1211">
          <cell r="F1211" t="str">
            <v>Hardee County, FL</v>
          </cell>
          <cell r="N1211">
            <v>11.235131561505108</v>
          </cell>
        </row>
        <row r="1212">
          <cell r="F1212" t="str">
            <v>Hardeman County, TN</v>
          </cell>
          <cell r="N1212">
            <v>18.588883262806675</v>
          </cell>
        </row>
        <row r="1213">
          <cell r="F1213" t="str">
            <v>Hardeman County, TX</v>
          </cell>
          <cell r="N1213">
            <v>13.23681371564264</v>
          </cell>
        </row>
        <row r="1214">
          <cell r="F1214" t="str">
            <v>Hardin County, IA</v>
          </cell>
          <cell r="N1214">
            <v>20.44309624159272</v>
          </cell>
        </row>
        <row r="1215">
          <cell r="F1215" t="str">
            <v>Hardin County, IL</v>
          </cell>
          <cell r="N1215">
            <v>20.44309624159272</v>
          </cell>
        </row>
        <row r="1216">
          <cell r="F1216" t="str">
            <v>Hardin County, KY</v>
          </cell>
          <cell r="N1216">
            <v>13.134414032647983</v>
          </cell>
        </row>
        <row r="1217">
          <cell r="F1217" t="str">
            <v>Hardin County, OH</v>
          </cell>
          <cell r="N1217">
            <v>14.242359369945788</v>
          </cell>
        </row>
        <row r="1218">
          <cell r="F1218" t="str">
            <v>Hardin County, TN</v>
          </cell>
          <cell r="N1218">
            <v>20.054103525245562</v>
          </cell>
        </row>
        <row r="1219">
          <cell r="F1219" t="str">
            <v>Hardin County, TX</v>
          </cell>
          <cell r="N1219">
            <v>9.7661430187240033</v>
          </cell>
        </row>
        <row r="1220">
          <cell r="F1220" t="str">
            <v>Harding County, NM</v>
          </cell>
          <cell r="N1220">
            <v>12.339328918721048</v>
          </cell>
        </row>
        <row r="1221">
          <cell r="F1221" t="str">
            <v>Harding County, SD</v>
          </cell>
          <cell r="N1221">
            <v>13.423085814221551</v>
          </cell>
        </row>
        <row r="1222">
          <cell r="F1222" t="str">
            <v>Hardy County, WV</v>
          </cell>
          <cell r="N1222">
            <v>17.787213979439301</v>
          </cell>
        </row>
        <row r="1223">
          <cell r="F1223" t="str">
            <v>Harford County, MD</v>
          </cell>
          <cell r="N1223">
            <v>13.384379024115436</v>
          </cell>
        </row>
        <row r="1224">
          <cell r="F1224" t="str">
            <v>Harlan County, KY</v>
          </cell>
          <cell r="N1224">
            <v>21.209693670080281</v>
          </cell>
        </row>
        <row r="1225">
          <cell r="F1225" t="str">
            <v>Harlan County, NE</v>
          </cell>
          <cell r="N1225">
            <v>16.650953671127528</v>
          </cell>
        </row>
        <row r="1226">
          <cell r="F1226" t="str">
            <v>Harmon County, OK</v>
          </cell>
          <cell r="N1226">
            <v>12.948102392218265</v>
          </cell>
        </row>
        <row r="1227">
          <cell r="F1227" t="str">
            <v>Harnett County, NC</v>
          </cell>
          <cell r="N1227">
            <v>22.433163616797721</v>
          </cell>
        </row>
        <row r="1228">
          <cell r="F1228" t="str">
            <v>Harney County, OR</v>
          </cell>
          <cell r="N1228">
            <v>21.020990709642842</v>
          </cell>
        </row>
        <row r="1229">
          <cell r="F1229" t="str">
            <v>Harper County, KS</v>
          </cell>
          <cell r="N1229">
            <v>11.209303239675792</v>
          </cell>
        </row>
        <row r="1230">
          <cell r="F1230" t="str">
            <v>Harper County, OK</v>
          </cell>
          <cell r="N1230">
            <v>11.380739317249921</v>
          </cell>
        </row>
        <row r="1231">
          <cell r="F1231" t="str">
            <v>Harris County, GA</v>
          </cell>
          <cell r="N1231">
            <v>15.268434293294817</v>
          </cell>
        </row>
        <row r="1232">
          <cell r="F1232" t="str">
            <v>Harris County, TX</v>
          </cell>
          <cell r="N1232">
            <v>9.7775217660479736</v>
          </cell>
        </row>
        <row r="1233">
          <cell r="F1233" t="str">
            <v>Harrison County, IA</v>
          </cell>
          <cell r="N1233">
            <v>24.584963078816696</v>
          </cell>
        </row>
        <row r="1234">
          <cell r="F1234" t="str">
            <v>Harrison County, IN</v>
          </cell>
          <cell r="N1234">
            <v>24.584963078816696</v>
          </cell>
        </row>
        <row r="1235">
          <cell r="F1235" t="str">
            <v>Harrison County, KY</v>
          </cell>
          <cell r="N1235">
            <v>15.358746467938179</v>
          </cell>
        </row>
        <row r="1236">
          <cell r="F1236" t="str">
            <v>Harrison County, MO</v>
          </cell>
          <cell r="N1236">
            <v>15.358746467938179</v>
          </cell>
        </row>
        <row r="1237">
          <cell r="F1237" t="str">
            <v>Harrison County, MS</v>
          </cell>
          <cell r="N1237">
            <v>11.113012490871274</v>
          </cell>
        </row>
        <row r="1238">
          <cell r="F1238" t="str">
            <v>Harrison County, OH</v>
          </cell>
          <cell r="N1238">
            <v>20.168635157888133</v>
          </cell>
        </row>
        <row r="1239">
          <cell r="F1239" t="str">
            <v>Harrison County, TX</v>
          </cell>
          <cell r="N1239">
            <v>12.207297994682326</v>
          </cell>
        </row>
        <row r="1240">
          <cell r="F1240" t="str">
            <v>Harrison County, WV</v>
          </cell>
          <cell r="N1240">
            <v>21.725153318362505</v>
          </cell>
        </row>
        <row r="1241">
          <cell r="F1241" t="str">
            <v>Harrisonbu County, VA</v>
          </cell>
          <cell r="N1241">
            <v>18.048547163104008</v>
          </cell>
        </row>
        <row r="1242">
          <cell r="F1242" t="str">
            <v>Hart County, GA</v>
          </cell>
          <cell r="N1242">
            <v>22.70071857709695</v>
          </cell>
        </row>
        <row r="1243">
          <cell r="F1243" t="str">
            <v>Hart County, KY</v>
          </cell>
          <cell r="N1243">
            <v>13.996961531735272</v>
          </cell>
        </row>
        <row r="1244">
          <cell r="F1244" t="str">
            <v>Hartford County, CT</v>
          </cell>
          <cell r="N1244">
            <v>22.203722335245534</v>
          </cell>
        </row>
        <row r="1245">
          <cell r="F1245" t="str">
            <v>Hartley County, TX</v>
          </cell>
          <cell r="N1245">
            <v>12.67382663496511</v>
          </cell>
        </row>
        <row r="1246">
          <cell r="F1246" t="str">
            <v>Harvey County, KS</v>
          </cell>
          <cell r="N1246">
            <v>12.690872186661379</v>
          </cell>
        </row>
        <row r="1247">
          <cell r="F1247" t="str">
            <v>Haskell County, KS</v>
          </cell>
          <cell r="N1247">
            <v>12.42778985028076</v>
          </cell>
        </row>
        <row r="1248">
          <cell r="F1248" t="str">
            <v>Haskell County, OK</v>
          </cell>
          <cell r="N1248">
            <v>20.362576120553349</v>
          </cell>
        </row>
        <row r="1249">
          <cell r="F1249" t="str">
            <v>Haskell County, TX</v>
          </cell>
          <cell r="N1249">
            <v>15.84965119263323</v>
          </cell>
        </row>
        <row r="1250">
          <cell r="F1250" t="str">
            <v>Hawkins County, TN</v>
          </cell>
          <cell r="N1250">
            <v>22.478678606093602</v>
          </cell>
        </row>
        <row r="1251">
          <cell r="F1251" t="str">
            <v>Hayes County, NE</v>
          </cell>
          <cell r="N1251">
            <v>13.861512013101022</v>
          </cell>
        </row>
        <row r="1252">
          <cell r="F1252" t="str">
            <v>Hays County, TX</v>
          </cell>
          <cell r="N1252">
            <v>11.619160598269474</v>
          </cell>
        </row>
        <row r="1253">
          <cell r="F1253" t="str">
            <v>Haywood County, NC</v>
          </cell>
          <cell r="N1253">
            <v>25.123824269961286</v>
          </cell>
        </row>
        <row r="1254">
          <cell r="F1254" t="str">
            <v>Haywood County, TN</v>
          </cell>
          <cell r="N1254">
            <v>20.31286777497175</v>
          </cell>
        </row>
        <row r="1255">
          <cell r="F1255" t="str">
            <v>Heard County, GA</v>
          </cell>
          <cell r="N1255">
            <v>16.466851179469781</v>
          </cell>
        </row>
        <row r="1256">
          <cell r="F1256" t="str">
            <v>Hemphill County, TX</v>
          </cell>
          <cell r="N1256">
            <v>13.23681371564264</v>
          </cell>
        </row>
        <row r="1257">
          <cell r="F1257" t="str">
            <v>Hempstead County, AR</v>
          </cell>
          <cell r="N1257">
            <v>16.884421434157193</v>
          </cell>
        </row>
        <row r="1258">
          <cell r="F1258" t="str">
            <v>Henderson County, IL</v>
          </cell>
          <cell r="N1258">
            <v>11.996768599899189</v>
          </cell>
        </row>
        <row r="1259">
          <cell r="F1259" t="str">
            <v>Henderson County, KY</v>
          </cell>
          <cell r="N1259">
            <v>12.444376033378152</v>
          </cell>
        </row>
        <row r="1260">
          <cell r="F1260" t="str">
            <v>Henderson County, NC</v>
          </cell>
          <cell r="N1260">
            <v>25.983625252732857</v>
          </cell>
        </row>
        <row r="1261">
          <cell r="F1261" t="str">
            <v>Henderson County, TN</v>
          </cell>
          <cell r="N1261">
            <v>18.817785443220451</v>
          </cell>
        </row>
        <row r="1262">
          <cell r="F1262" t="str">
            <v>Henderson County, TX</v>
          </cell>
          <cell r="N1262">
            <v>10.041963068999518</v>
          </cell>
        </row>
        <row r="1263">
          <cell r="F1263" t="str">
            <v>Hendricks County, IN</v>
          </cell>
          <cell r="N1263">
            <v>12.280276636058304</v>
          </cell>
        </row>
        <row r="1264">
          <cell r="F1264" t="str">
            <v>Hendry County, FL</v>
          </cell>
          <cell r="N1264">
            <v>13.919547598001937</v>
          </cell>
        </row>
        <row r="1265">
          <cell r="F1265" t="str">
            <v>Hennepin County, MN</v>
          </cell>
          <cell r="N1265">
            <v>28.487877159336886</v>
          </cell>
        </row>
        <row r="1266">
          <cell r="F1266" t="str">
            <v>Henrico County, VA</v>
          </cell>
          <cell r="N1266">
            <v>13.95144654243939</v>
          </cell>
        </row>
        <row r="1267">
          <cell r="F1267" t="str">
            <v>Henry County, AL</v>
          </cell>
          <cell r="N1267">
            <v>11.317880048305092</v>
          </cell>
        </row>
        <row r="1268">
          <cell r="F1268" t="str">
            <v>Henry County, GA</v>
          </cell>
          <cell r="N1268">
            <v>18.833630622855608</v>
          </cell>
        </row>
        <row r="1269">
          <cell r="F1269" t="str">
            <v>Henry County, IA</v>
          </cell>
          <cell r="N1269">
            <v>14.516820453650375</v>
          </cell>
        </row>
        <row r="1270">
          <cell r="F1270" t="str">
            <v>Henry County, IL</v>
          </cell>
          <cell r="N1270">
            <v>14.516820453650375</v>
          </cell>
        </row>
        <row r="1271">
          <cell r="F1271" t="str">
            <v>Henry County, IN</v>
          </cell>
          <cell r="N1271">
            <v>14.516820453650375</v>
          </cell>
        </row>
        <row r="1272">
          <cell r="F1272" t="str">
            <v>Henry County, KY</v>
          </cell>
          <cell r="N1272">
            <v>13.709445698706176</v>
          </cell>
        </row>
        <row r="1273">
          <cell r="F1273" t="str">
            <v>Henry County, MO</v>
          </cell>
          <cell r="N1273">
            <v>20.44309624159272</v>
          </cell>
        </row>
        <row r="1274">
          <cell r="F1274" t="str">
            <v>Henry County, OH</v>
          </cell>
          <cell r="N1274">
            <v>13.491223338701507</v>
          </cell>
        </row>
        <row r="1275">
          <cell r="F1275" t="str">
            <v>Henry County, TN</v>
          </cell>
          <cell r="N1275">
            <v>15.928251321278033</v>
          </cell>
        </row>
        <row r="1276">
          <cell r="F1276" t="str">
            <v>Henry County, VA</v>
          </cell>
          <cell r="N1276">
            <v>22.16002357542008</v>
          </cell>
        </row>
        <row r="1277">
          <cell r="F1277" t="str">
            <v>Herkimer County, NY</v>
          </cell>
          <cell r="N1277">
            <v>25.854520264038925</v>
          </cell>
        </row>
        <row r="1278">
          <cell r="F1278" t="str">
            <v>Hernando County, FL</v>
          </cell>
          <cell r="N1278">
            <v>13.919547598001937</v>
          </cell>
        </row>
        <row r="1279">
          <cell r="F1279" t="str">
            <v>Hertford County, NC</v>
          </cell>
          <cell r="N1279">
            <v>16.553464831352709</v>
          </cell>
        </row>
        <row r="1280">
          <cell r="F1280" t="str">
            <v>Hettinger County, ND</v>
          </cell>
          <cell r="N1280">
            <v>14.544647353528397</v>
          </cell>
        </row>
        <row r="1281">
          <cell r="F1281" t="str">
            <v>Hickman County, KY</v>
          </cell>
          <cell r="N1281">
            <v>16.201391362655677</v>
          </cell>
        </row>
        <row r="1282">
          <cell r="F1282" t="str">
            <v>Hickman County, TN</v>
          </cell>
          <cell r="N1282">
            <v>16.488907195684771</v>
          </cell>
        </row>
        <row r="1283">
          <cell r="F1283" t="str">
            <v>Hickory County, MO</v>
          </cell>
          <cell r="N1283">
            <v>20.180013905212103</v>
          </cell>
        </row>
        <row r="1284">
          <cell r="F1284" t="str">
            <v>Hidalgo County, NM</v>
          </cell>
          <cell r="N1284">
            <v>23.37570499633188</v>
          </cell>
        </row>
        <row r="1285">
          <cell r="F1285" t="str">
            <v>Hidalgo County, TX</v>
          </cell>
          <cell r="N1285">
            <v>9.3337506204131309</v>
          </cell>
        </row>
        <row r="1286">
          <cell r="F1286" t="str">
            <v>Highland County, OH</v>
          </cell>
          <cell r="N1286">
            <v>14.768524042707021</v>
          </cell>
        </row>
        <row r="1287">
          <cell r="F1287" t="str">
            <v>Highland County, VA</v>
          </cell>
          <cell r="N1287">
            <v>20.434928577245504</v>
          </cell>
        </row>
        <row r="1288">
          <cell r="F1288" t="str">
            <v>Highlands County, FL</v>
          </cell>
          <cell r="N1288">
            <v>10.631348312144006</v>
          </cell>
        </row>
        <row r="1289">
          <cell r="F1289" t="str">
            <v>Hill County, MT</v>
          </cell>
          <cell r="N1289">
            <v>19.663870912675634</v>
          </cell>
        </row>
        <row r="1290">
          <cell r="F1290" t="str">
            <v>Hill County, TX</v>
          </cell>
          <cell r="N1290">
            <v>12.207297994682326</v>
          </cell>
        </row>
        <row r="1291">
          <cell r="F1291" t="str">
            <v>Hillsborough County, FL</v>
          </cell>
          <cell r="N1291">
            <v>12.956369557354465</v>
          </cell>
        </row>
        <row r="1292">
          <cell r="F1292" t="str">
            <v>Hillsborough County, NH</v>
          </cell>
          <cell r="N1292">
            <v>26.579210489604652</v>
          </cell>
        </row>
        <row r="1293">
          <cell r="F1293" t="str">
            <v>Hillsdale County, MI</v>
          </cell>
          <cell r="N1293">
            <v>11.732725616578428</v>
          </cell>
        </row>
        <row r="1294">
          <cell r="F1294" t="str">
            <v>Hinds County, MS</v>
          </cell>
          <cell r="N1294">
            <v>13.647425994186818</v>
          </cell>
        </row>
        <row r="1295">
          <cell r="F1295" t="str">
            <v>Hinsdale County, CO</v>
          </cell>
          <cell r="N1295">
            <v>11.205750624390586</v>
          </cell>
        </row>
        <row r="1296">
          <cell r="F1296" t="str">
            <v>Hitchcock County, NE</v>
          </cell>
          <cell r="N1296">
            <v>14.401523124619132</v>
          </cell>
        </row>
        <row r="1297">
          <cell r="F1297" t="str">
            <v>Hocking County, OH</v>
          </cell>
          <cell r="N1297">
            <v>16.707025468669471</v>
          </cell>
        </row>
        <row r="1298">
          <cell r="F1298" t="str">
            <v>Hockley County, TX</v>
          </cell>
          <cell r="N1298">
            <v>11.722091147903207</v>
          </cell>
        </row>
        <row r="1299">
          <cell r="F1299" t="str">
            <v>Hodgeman County, KS</v>
          </cell>
          <cell r="N1299">
            <v>10.350824036749565</v>
          </cell>
        </row>
        <row r="1300">
          <cell r="F1300" t="str">
            <v>Hoke County, NC</v>
          </cell>
          <cell r="N1300">
            <v>24.833920822590674</v>
          </cell>
        </row>
        <row r="1301">
          <cell r="F1301" t="str">
            <v>Holmes County, FL</v>
          </cell>
          <cell r="N1301">
            <v>11.780343101095516</v>
          </cell>
        </row>
        <row r="1302">
          <cell r="F1302" t="str">
            <v>Holmes County, MS</v>
          </cell>
          <cell r="N1302">
            <v>11.300356895519093</v>
          </cell>
        </row>
        <row r="1303">
          <cell r="F1303" t="str">
            <v>Holmes County, OH</v>
          </cell>
          <cell r="N1303">
            <v>18.507062507063175</v>
          </cell>
        </row>
        <row r="1304">
          <cell r="F1304" t="str">
            <v>Holt County, MO</v>
          </cell>
          <cell r="N1304">
            <v>21.137199828354909</v>
          </cell>
        </row>
        <row r="1305">
          <cell r="F1305" t="str">
            <v>Holt County, NE</v>
          </cell>
          <cell r="N1305">
            <v>19.109312301956511</v>
          </cell>
        </row>
        <row r="1306">
          <cell r="F1306" t="str">
            <v>Hood County, TX</v>
          </cell>
          <cell r="N1306">
            <v>15.108846795097291</v>
          </cell>
        </row>
        <row r="1307">
          <cell r="F1307" t="str">
            <v>Hood River County, OR</v>
          </cell>
          <cell r="N1307">
            <v>28.662531331048008</v>
          </cell>
        </row>
        <row r="1308">
          <cell r="F1308" t="str">
            <v>Hooker County, NE</v>
          </cell>
          <cell r="N1308">
            <v>12.906107738876671</v>
          </cell>
        </row>
        <row r="1309">
          <cell r="F1309" t="str">
            <v>Hopewe County, VA</v>
          </cell>
          <cell r="N1309">
            <v>14.210210792165576</v>
          </cell>
        </row>
        <row r="1310">
          <cell r="F1310" t="str">
            <v>Hopkins County, KY</v>
          </cell>
          <cell r="N1310">
            <v>13.709445698706176</v>
          </cell>
        </row>
        <row r="1311">
          <cell r="F1311" t="str">
            <v>Hopkins County, TX</v>
          </cell>
          <cell r="N1311">
            <v>12.481573751935482</v>
          </cell>
        </row>
        <row r="1312">
          <cell r="F1312" t="str">
            <v>Horry County, SC</v>
          </cell>
          <cell r="N1312">
            <v>26.774652695537071</v>
          </cell>
        </row>
        <row r="1313">
          <cell r="F1313" t="str">
            <v>Hot Spring County, AR</v>
          </cell>
          <cell r="N1313">
            <v>19.800405800743377</v>
          </cell>
        </row>
        <row r="1314">
          <cell r="F1314" t="str">
            <v>Hot Springs County, WY</v>
          </cell>
          <cell r="N1314">
            <v>12.025020431716451</v>
          </cell>
        </row>
        <row r="1315">
          <cell r="F1315" t="str">
            <v>Houghton County, MI</v>
          </cell>
          <cell r="N1315">
            <v>25.593010812209943</v>
          </cell>
        </row>
        <row r="1316">
          <cell r="F1316" t="str">
            <v>Houston County, AL</v>
          </cell>
          <cell r="N1316">
            <v>10.469708340869259</v>
          </cell>
        </row>
        <row r="1317">
          <cell r="F1317" t="str">
            <v>Houston County, GA</v>
          </cell>
          <cell r="N1317">
            <v>15.009670043568629</v>
          </cell>
        </row>
        <row r="1318">
          <cell r="F1318" t="str">
            <v>Houston County, MN</v>
          </cell>
          <cell r="N1318">
            <v>20.92772159808333</v>
          </cell>
        </row>
        <row r="1319">
          <cell r="F1319" t="str">
            <v>Houston County, TN</v>
          </cell>
          <cell r="N1319">
            <v>15.626359696597483</v>
          </cell>
        </row>
        <row r="1320">
          <cell r="F1320" t="str">
            <v>Houston County, TX</v>
          </cell>
          <cell r="N1320">
            <v>11.047851589115222</v>
          </cell>
        </row>
        <row r="1321">
          <cell r="F1321" t="str">
            <v>Howard County, AR</v>
          </cell>
          <cell r="N1321">
            <v>17.129826059067913</v>
          </cell>
        </row>
        <row r="1322">
          <cell r="F1322" t="str">
            <v>Howard County, IA</v>
          </cell>
          <cell r="N1322">
            <v>17.129826059067913</v>
          </cell>
        </row>
        <row r="1323">
          <cell r="F1323" t="str">
            <v>Howard County, IN</v>
          </cell>
          <cell r="N1323">
            <v>13.74045923632525</v>
          </cell>
        </row>
        <row r="1324">
          <cell r="F1324" t="str">
            <v>Howard County, MD</v>
          </cell>
          <cell r="N1324">
            <v>13.384379024115436</v>
          </cell>
        </row>
        <row r="1325">
          <cell r="F1325" t="str">
            <v>Howard County, MO</v>
          </cell>
          <cell r="N1325">
            <v>16.455321879612825</v>
          </cell>
        </row>
        <row r="1326">
          <cell r="F1326" t="str">
            <v>Howard County, NE</v>
          </cell>
          <cell r="N1326">
            <v>19.109312301956511</v>
          </cell>
        </row>
        <row r="1327">
          <cell r="F1327" t="str">
            <v>Howard County, TX</v>
          </cell>
          <cell r="N1327">
            <v>10.584227004571998</v>
          </cell>
        </row>
        <row r="1328">
          <cell r="F1328" t="str">
            <v>Howell County, MO</v>
          </cell>
          <cell r="N1328">
            <v>20.180013905212103</v>
          </cell>
        </row>
        <row r="1329">
          <cell r="F1329" t="str">
            <v>Hubbard County, MN</v>
          </cell>
          <cell r="N1329">
            <v>23.458188740919567</v>
          </cell>
        </row>
        <row r="1330">
          <cell r="F1330" t="str">
            <v>Hudson County, NJ</v>
          </cell>
          <cell r="N1330">
            <v>17.787213979439301</v>
          </cell>
        </row>
        <row r="1331">
          <cell r="F1331" t="str">
            <v>Hudspeth County, TX</v>
          </cell>
          <cell r="N1331">
            <v>15.20106259516692</v>
          </cell>
        </row>
        <row r="1332">
          <cell r="F1332" t="str">
            <v>Huerfano County, CO</v>
          </cell>
          <cell r="N1332">
            <v>16.459799628088515</v>
          </cell>
        </row>
        <row r="1333">
          <cell r="F1333" t="str">
            <v>Hughes County, OK</v>
          </cell>
          <cell r="N1333">
            <v>18.512267477376461</v>
          </cell>
        </row>
        <row r="1334">
          <cell r="F1334" t="str">
            <v>Hughes County, SD</v>
          </cell>
          <cell r="N1334">
            <v>18.546268154265171</v>
          </cell>
        </row>
        <row r="1335">
          <cell r="F1335" t="str">
            <v>Humboldt County, CA</v>
          </cell>
          <cell r="N1335">
            <v>14.276805317173325</v>
          </cell>
        </row>
        <row r="1336">
          <cell r="F1336" t="str">
            <v>Humboldt County, IA</v>
          </cell>
          <cell r="N1336">
            <v>23.655470033187637</v>
          </cell>
        </row>
        <row r="1337">
          <cell r="F1337" t="str">
            <v>Humboldt County, NV</v>
          </cell>
          <cell r="N1337">
            <v>19.787871512775379</v>
          </cell>
        </row>
        <row r="1338">
          <cell r="F1338" t="str">
            <v>Humphreys County, MS</v>
          </cell>
          <cell r="N1338">
            <v>11.875388561577285</v>
          </cell>
        </row>
        <row r="1339">
          <cell r="F1339" t="str">
            <v>Humphreys County, TN</v>
          </cell>
          <cell r="N1339">
            <v>16.201391362655677</v>
          </cell>
        </row>
        <row r="1340">
          <cell r="F1340" t="str">
            <v>Hunt County, TX</v>
          </cell>
          <cell r="N1340">
            <v>12.481573751935482</v>
          </cell>
        </row>
        <row r="1341">
          <cell r="F1341" t="str">
            <v>Hunterdon County, NJ</v>
          </cell>
          <cell r="N1341">
            <v>17.048850353391199</v>
          </cell>
        </row>
        <row r="1342">
          <cell r="F1342" t="str">
            <v>Huntingdon County, PA</v>
          </cell>
          <cell r="N1342">
            <v>18.047008588604374</v>
          </cell>
        </row>
        <row r="1343">
          <cell r="F1343" t="str">
            <v>Huntington County, IN</v>
          </cell>
          <cell r="N1343">
            <v>9.9499633553146474</v>
          </cell>
        </row>
        <row r="1344">
          <cell r="F1344" t="str">
            <v>Huron County, MI</v>
          </cell>
          <cell r="N1344">
            <v>17.174376048030162</v>
          </cell>
        </row>
        <row r="1345">
          <cell r="F1345" t="str">
            <v>Huron County, OH</v>
          </cell>
          <cell r="N1345">
            <v>16.443943132288855</v>
          </cell>
        </row>
        <row r="1346">
          <cell r="F1346" t="str">
            <v>Hutchinson County, SD</v>
          </cell>
          <cell r="N1346">
            <v>22.806311450042038</v>
          </cell>
        </row>
        <row r="1347">
          <cell r="F1347" t="str">
            <v>Hutchinson County, TX</v>
          </cell>
          <cell r="N1347">
            <v>11.677772569151017</v>
          </cell>
        </row>
        <row r="1348">
          <cell r="F1348" t="str">
            <v>Hyde County, NC</v>
          </cell>
          <cell r="N1348">
            <v>18.292935621178739</v>
          </cell>
        </row>
        <row r="1349">
          <cell r="F1349" t="str">
            <v>Hyde County, SD</v>
          </cell>
          <cell r="N1349">
            <v>19.47397955097577</v>
          </cell>
        </row>
        <row r="1350">
          <cell r="F1350" t="str">
            <v>Iberia Parish, LA</v>
          </cell>
          <cell r="N1350">
            <v>13.949400389530187</v>
          </cell>
        </row>
        <row r="1351">
          <cell r="F1351" t="str">
            <v>Iberville Parish, LA</v>
          </cell>
          <cell r="N1351">
            <v>15.176423514083776</v>
          </cell>
        </row>
        <row r="1352">
          <cell r="F1352" t="str">
            <v>Ida County, IA</v>
          </cell>
          <cell r="N1352">
            <v>24.873956643792607</v>
          </cell>
        </row>
        <row r="1353">
          <cell r="F1353" t="str">
            <v>Idaho County, ID</v>
          </cell>
          <cell r="N1353">
            <v>24.261548568137567</v>
          </cell>
        </row>
        <row r="1354">
          <cell r="F1354" t="str">
            <v>Imperial County, CA</v>
          </cell>
          <cell r="N1354">
            <v>15.632598838278028</v>
          </cell>
        </row>
        <row r="1355">
          <cell r="F1355" t="str">
            <v>Independence County, AR</v>
          </cell>
          <cell r="N1355">
            <v>21.723403509428536</v>
          </cell>
        </row>
        <row r="1356">
          <cell r="F1356" t="str">
            <v>Indian River County, FL</v>
          </cell>
          <cell r="N1356">
            <v>11.795787435911844</v>
          </cell>
        </row>
        <row r="1357">
          <cell r="F1357" t="str">
            <v>Indiana County, PA</v>
          </cell>
          <cell r="N1357">
            <v>21.232910900997105</v>
          </cell>
        </row>
        <row r="1358">
          <cell r="F1358" t="str">
            <v>Ingham County, MI</v>
          </cell>
          <cell r="N1358">
            <v>11.995807952959046</v>
          </cell>
        </row>
        <row r="1359">
          <cell r="F1359" t="str">
            <v>Inyo County, CA</v>
          </cell>
          <cell r="N1359">
            <v>15.341716420487582</v>
          </cell>
        </row>
        <row r="1360">
          <cell r="F1360" t="str">
            <v>Ionia County, MI</v>
          </cell>
          <cell r="N1360">
            <v>11.455796841440936</v>
          </cell>
        </row>
        <row r="1361">
          <cell r="F1361" t="str">
            <v>Iosco County, MI</v>
          </cell>
          <cell r="N1361">
            <v>17.437458384410778</v>
          </cell>
        </row>
        <row r="1362">
          <cell r="F1362" t="str">
            <v>Iowa County, IA</v>
          </cell>
          <cell r="N1362">
            <v>16.455321879612825</v>
          </cell>
        </row>
        <row r="1363">
          <cell r="F1363" t="str">
            <v>Iowa County, WI</v>
          </cell>
          <cell r="N1363">
            <v>18.518441254387145</v>
          </cell>
        </row>
        <row r="1364">
          <cell r="F1364" t="str">
            <v>Iredell County, NC</v>
          </cell>
          <cell r="N1364">
            <v>26.271499987736153</v>
          </cell>
        </row>
        <row r="1365">
          <cell r="F1365" t="str">
            <v>Irion County, TX</v>
          </cell>
          <cell r="N1365">
            <v>11.854556827639247</v>
          </cell>
        </row>
        <row r="1366">
          <cell r="F1366" t="str">
            <v>Iron County, MI</v>
          </cell>
          <cell r="N1366">
            <v>23.972977477655608</v>
          </cell>
        </row>
        <row r="1367">
          <cell r="F1367" t="str">
            <v>Iron County, MO</v>
          </cell>
          <cell r="N1367">
            <v>16.219932420745955</v>
          </cell>
        </row>
        <row r="1368">
          <cell r="F1368" t="str">
            <v>Iron County, UT</v>
          </cell>
          <cell r="N1368">
            <v>18.121096737388186</v>
          </cell>
        </row>
        <row r="1369">
          <cell r="F1369" t="str">
            <v>Iron County, WI</v>
          </cell>
          <cell r="N1369">
            <v>25.842246709833685</v>
          </cell>
        </row>
        <row r="1370">
          <cell r="F1370" t="str">
            <v>Iroquois County, IL</v>
          </cell>
          <cell r="N1370">
            <v>11.733686263518571</v>
          </cell>
        </row>
        <row r="1371">
          <cell r="F1371" t="str">
            <v>Irwin County, GA</v>
          </cell>
          <cell r="N1371">
            <v>13.457084545211512</v>
          </cell>
        </row>
        <row r="1372">
          <cell r="F1372" t="str">
            <v>Isabella County, MI</v>
          </cell>
          <cell r="N1372">
            <v>13.214294563564014</v>
          </cell>
        </row>
        <row r="1373">
          <cell r="F1373" t="str">
            <v>Isanti County, MN</v>
          </cell>
          <cell r="N1373">
            <v>28.816760539830053</v>
          </cell>
        </row>
        <row r="1374">
          <cell r="F1374" t="str">
            <v>Island County, WA</v>
          </cell>
          <cell r="N1374">
            <v>34.551425020938225</v>
          </cell>
        </row>
        <row r="1375">
          <cell r="F1375" t="str">
            <v>Isle of Wight County, VA</v>
          </cell>
          <cell r="N1375">
            <v>13.95144654243939</v>
          </cell>
        </row>
        <row r="1376">
          <cell r="F1376" t="str">
            <v>Issaquena County, MS</v>
          </cell>
          <cell r="N1376">
            <v>11.875388561577285</v>
          </cell>
        </row>
        <row r="1377">
          <cell r="F1377" t="str">
            <v>Itasca County, MN</v>
          </cell>
          <cell r="N1377">
            <v>25.355150850611391</v>
          </cell>
        </row>
        <row r="1378">
          <cell r="F1378" t="str">
            <v>Itawamba County, MS</v>
          </cell>
          <cell r="N1378">
            <v>17.132403605338475</v>
          </cell>
        </row>
        <row r="1379">
          <cell r="F1379" t="str">
            <v>Izard County, AR</v>
          </cell>
          <cell r="N1379">
            <v>22.748328707585067</v>
          </cell>
        </row>
        <row r="1380">
          <cell r="F1380" t="str">
            <v>Jack County, TX</v>
          </cell>
          <cell r="N1380">
            <v>16.884421434157193</v>
          </cell>
        </row>
        <row r="1381">
          <cell r="F1381" t="str">
            <v>Jackson County, AL</v>
          </cell>
          <cell r="N1381">
            <v>19.64390113444129</v>
          </cell>
        </row>
        <row r="1382">
          <cell r="F1382" t="str">
            <v>Jackson County, AR</v>
          </cell>
          <cell r="N1382">
            <v>20.756220575956881</v>
          </cell>
        </row>
        <row r="1383">
          <cell r="F1383" t="str">
            <v>Jackson County, CO</v>
          </cell>
          <cell r="N1383">
            <v>15.008881307963954</v>
          </cell>
        </row>
        <row r="1384">
          <cell r="F1384" t="str">
            <v>Jackson County, FL</v>
          </cell>
          <cell r="N1384">
            <v>10.469708340869259</v>
          </cell>
        </row>
        <row r="1385">
          <cell r="F1385" t="str">
            <v>Jackson County, GA</v>
          </cell>
          <cell r="N1385">
            <v>21.368996132615866</v>
          </cell>
        </row>
        <row r="1386">
          <cell r="F1386" t="str">
            <v>Jackson County, IA</v>
          </cell>
          <cell r="N1386">
            <v>15.956850084365339</v>
          </cell>
        </row>
        <row r="1387">
          <cell r="F1387" t="str">
            <v>Jackson County, IL</v>
          </cell>
          <cell r="N1387">
            <v>15.956850084365339</v>
          </cell>
        </row>
        <row r="1388">
          <cell r="F1388" t="str">
            <v>Jackson County, IN</v>
          </cell>
          <cell r="N1388">
            <v>15.956850084365339</v>
          </cell>
        </row>
        <row r="1389">
          <cell r="F1389" t="str">
            <v>Jackson County, KS</v>
          </cell>
          <cell r="N1389">
            <v>19.212544841149334</v>
          </cell>
        </row>
        <row r="1390">
          <cell r="F1390" t="str">
            <v>Jackson County, KY</v>
          </cell>
          <cell r="N1390">
            <v>18.094062152399889</v>
          </cell>
        </row>
        <row r="1391">
          <cell r="F1391" t="str">
            <v>Jackson County, MI</v>
          </cell>
          <cell r="N1391">
            <v>11.732725616578428</v>
          </cell>
        </row>
        <row r="1392">
          <cell r="F1392" t="str">
            <v>Jackson County, MN</v>
          </cell>
          <cell r="N1392">
            <v>28.238641261713141</v>
          </cell>
        </row>
        <row r="1393">
          <cell r="F1393" t="str">
            <v>Jackson County, MO</v>
          </cell>
          <cell r="N1393">
            <v>20.678485700459589</v>
          </cell>
        </row>
        <row r="1394">
          <cell r="F1394" t="str">
            <v>Jackson County, MS</v>
          </cell>
          <cell r="N1394">
            <v>20.678485700459589</v>
          </cell>
        </row>
        <row r="1395">
          <cell r="F1395" t="str">
            <v>Jackson County, NC</v>
          </cell>
          <cell r="N1395">
            <v>25.207332503554301</v>
          </cell>
        </row>
        <row r="1396">
          <cell r="F1396" t="str">
            <v>Jackson County, OH</v>
          </cell>
          <cell r="N1396">
            <v>16.707025468669471</v>
          </cell>
        </row>
        <row r="1397">
          <cell r="F1397" t="str">
            <v>Jackson County, OK</v>
          </cell>
          <cell r="N1397">
            <v>15.301099678126919</v>
          </cell>
        </row>
        <row r="1398">
          <cell r="F1398" t="str">
            <v>Jackson County, OR</v>
          </cell>
          <cell r="N1398">
            <v>16.772574547650613</v>
          </cell>
        </row>
        <row r="1399">
          <cell r="F1399" t="str">
            <v>Jackson County, SD</v>
          </cell>
          <cell r="N1399">
            <v>16.289298636894603</v>
          </cell>
        </row>
        <row r="1400">
          <cell r="F1400" t="str">
            <v>Jackson County, TN</v>
          </cell>
          <cell r="N1400">
            <v>16.747671445410958</v>
          </cell>
        </row>
        <row r="1401">
          <cell r="F1401" t="str">
            <v>Jackson County, TX</v>
          </cell>
          <cell r="N1401">
            <v>10.459050194942503</v>
          </cell>
        </row>
        <row r="1402">
          <cell r="F1402" t="str">
            <v>Jackson County, WI</v>
          </cell>
          <cell r="N1402">
            <v>22.145247561748157</v>
          </cell>
        </row>
        <row r="1403">
          <cell r="F1403" t="str">
            <v>Jackson County, WV</v>
          </cell>
          <cell r="N1403">
            <v>22.145247561748157</v>
          </cell>
        </row>
        <row r="1404">
          <cell r="F1404" t="str">
            <v>Jackson Parish, LA</v>
          </cell>
          <cell r="N1404">
            <v>15.139641870138222</v>
          </cell>
        </row>
        <row r="1405">
          <cell r="F1405" t="str">
            <v>James City County, VA</v>
          </cell>
          <cell r="N1405">
            <v>13.390790668032652</v>
          </cell>
        </row>
        <row r="1406">
          <cell r="F1406" t="str">
            <v>Jasper County, GA</v>
          </cell>
          <cell r="N1406">
            <v>18.574866373129421</v>
          </cell>
        </row>
        <row r="1407">
          <cell r="F1407" t="str">
            <v>Jasper County, IA</v>
          </cell>
          <cell r="N1407">
            <v>18.574866373129421</v>
          </cell>
        </row>
        <row r="1408">
          <cell r="F1408" t="str">
            <v>Jasper County, IL</v>
          </cell>
          <cell r="N1408">
            <v>11.442911049624204</v>
          </cell>
        </row>
        <row r="1409">
          <cell r="F1409" t="str">
            <v>Jasper County, IN</v>
          </cell>
          <cell r="N1409">
            <v>10.766903241970251</v>
          </cell>
        </row>
        <row r="1410">
          <cell r="F1410" t="str">
            <v>Jasper County, MO</v>
          </cell>
          <cell r="N1410">
            <v>21.137199828354909</v>
          </cell>
        </row>
        <row r="1411">
          <cell r="F1411" t="str">
            <v>Jasper County, MS</v>
          </cell>
          <cell r="N1411">
            <v>21.137199828354909</v>
          </cell>
        </row>
        <row r="1412">
          <cell r="F1412" t="str">
            <v>Jasper County, SC</v>
          </cell>
          <cell r="N1412">
            <v>21.521394442896391</v>
          </cell>
        </row>
        <row r="1413">
          <cell r="F1413" t="str">
            <v>Jasper County, TX</v>
          </cell>
          <cell r="N1413">
            <v>10.188864314906773</v>
          </cell>
        </row>
        <row r="1414">
          <cell r="F1414" t="str">
            <v>Jay County, IN</v>
          </cell>
          <cell r="N1414">
            <v>10.226892130452139</v>
          </cell>
        </row>
        <row r="1415">
          <cell r="F1415" t="str">
            <v>Jeff Davis County, GA</v>
          </cell>
          <cell r="N1415">
            <v>15.268434293294817</v>
          </cell>
        </row>
        <row r="1416">
          <cell r="F1416" t="str">
            <v>Jeff Davis County, TX</v>
          </cell>
          <cell r="N1416">
            <v>12.677384099398713</v>
          </cell>
        </row>
        <row r="1417">
          <cell r="F1417" t="str">
            <v>Jefferson County, AL</v>
          </cell>
          <cell r="N1417">
            <v>15.119792774134801</v>
          </cell>
        </row>
        <row r="1418">
          <cell r="F1418" t="str">
            <v>Jefferson County, AR</v>
          </cell>
          <cell r="N1418">
            <v>17.565960452117544</v>
          </cell>
        </row>
        <row r="1419">
          <cell r="F1419" t="str">
            <v>Jefferson County, CO</v>
          </cell>
          <cell r="N1419">
            <v>18.874257959185861</v>
          </cell>
        </row>
        <row r="1420">
          <cell r="F1420" t="str">
            <v>Jefferson County, FL</v>
          </cell>
          <cell r="N1420">
            <v>12.608912837775678</v>
          </cell>
        </row>
        <row r="1421">
          <cell r="F1421" t="str">
            <v>Jefferson County, GA</v>
          </cell>
          <cell r="N1421">
            <v>19.106770664233245</v>
          </cell>
        </row>
        <row r="1422">
          <cell r="F1422" t="str">
            <v>Jefferson County, IA</v>
          </cell>
          <cell r="N1422">
            <v>15.707614186741594</v>
          </cell>
        </row>
        <row r="1423">
          <cell r="F1423" t="str">
            <v>Jefferson County, ID</v>
          </cell>
          <cell r="N1423">
            <v>15.707614186741594</v>
          </cell>
        </row>
        <row r="1424">
          <cell r="F1424" t="str">
            <v>Jefferson County, IL</v>
          </cell>
          <cell r="N1424">
            <v>15.707614186741594</v>
          </cell>
        </row>
        <row r="1425">
          <cell r="F1425" t="str">
            <v>Jefferson County, IN</v>
          </cell>
          <cell r="N1425">
            <v>15.707614186741594</v>
          </cell>
        </row>
        <row r="1426">
          <cell r="F1426" t="str">
            <v>Jefferson County, KS</v>
          </cell>
          <cell r="N1426">
            <v>19.71101663639682</v>
          </cell>
        </row>
        <row r="1427">
          <cell r="F1427" t="str">
            <v>Jefferson County, KY</v>
          </cell>
          <cell r="N1427">
            <v>12.444376033378152</v>
          </cell>
        </row>
        <row r="1428">
          <cell r="F1428" t="str">
            <v>Jefferson County, MO</v>
          </cell>
          <cell r="N1428">
            <v>12.444376033378152</v>
          </cell>
        </row>
        <row r="1429">
          <cell r="F1429" t="str">
            <v>Jefferson County, MS</v>
          </cell>
          <cell r="N1429">
            <v>12.148528602954926</v>
          </cell>
        </row>
        <row r="1430">
          <cell r="F1430" t="str">
            <v>Jefferson County, MT</v>
          </cell>
          <cell r="N1430">
            <v>17.948100037808448</v>
          </cell>
        </row>
        <row r="1431">
          <cell r="F1431" t="str">
            <v>Jefferson County, NE</v>
          </cell>
          <cell r="N1431">
            <v>17.675590139136251</v>
          </cell>
        </row>
        <row r="1432">
          <cell r="F1432" t="str">
            <v>Jefferson County, NY</v>
          </cell>
          <cell r="N1432">
            <v>29.423277789938084</v>
          </cell>
        </row>
        <row r="1433">
          <cell r="F1433" t="str">
            <v>Jefferson County, OH</v>
          </cell>
          <cell r="N1433">
            <v>20.667106953135619</v>
          </cell>
        </row>
        <row r="1434">
          <cell r="F1434" t="str">
            <v>Jefferson County, OK</v>
          </cell>
          <cell r="N1434">
            <v>17.678377573574224</v>
          </cell>
        </row>
        <row r="1435">
          <cell r="F1435" t="str">
            <v>Jefferson County, OR</v>
          </cell>
          <cell r="N1435">
            <v>24.512263397220615</v>
          </cell>
        </row>
        <row r="1436">
          <cell r="F1436" t="str">
            <v>Jefferson County, PA</v>
          </cell>
          <cell r="N1436">
            <v>21.725153318362505</v>
          </cell>
        </row>
        <row r="1437">
          <cell r="F1437" t="str">
            <v>Jefferson County, TN</v>
          </cell>
          <cell r="N1437">
            <v>22.478678606093602</v>
          </cell>
        </row>
        <row r="1438">
          <cell r="F1438" t="str">
            <v>Jefferson County, TX</v>
          </cell>
          <cell r="N1438">
            <v>9.4918672614708477</v>
          </cell>
        </row>
        <row r="1439">
          <cell r="F1439" t="str">
            <v>Jefferson County, WA</v>
          </cell>
          <cell r="N1439">
            <v>34.074705055566163</v>
          </cell>
        </row>
        <row r="1440">
          <cell r="F1440" t="str">
            <v>Jefferson County, WI</v>
          </cell>
          <cell r="N1440">
            <v>34.074705055566163</v>
          </cell>
        </row>
        <row r="1441">
          <cell r="F1441" t="str">
            <v>Jefferson County, WV</v>
          </cell>
          <cell r="N1441">
            <v>16.13273252107226</v>
          </cell>
        </row>
        <row r="1442">
          <cell r="F1442" t="str">
            <v>Jefferson Davis County, MS</v>
          </cell>
          <cell r="N1442">
            <v>11.300356895519093</v>
          </cell>
        </row>
        <row r="1443">
          <cell r="F1443" t="str">
            <v>Jefferson Davis Parish, LA</v>
          </cell>
          <cell r="N1443">
            <v>10.470428942266473</v>
          </cell>
        </row>
        <row r="1444">
          <cell r="F1444" t="str">
            <v>Jefferson Parish, LA</v>
          </cell>
          <cell r="N1444">
            <v>13.322415232431418</v>
          </cell>
        </row>
        <row r="1445">
          <cell r="F1445" t="str">
            <v>Jenkins County, GA</v>
          </cell>
          <cell r="N1445">
            <v>19.35115912230798</v>
          </cell>
        </row>
        <row r="1446">
          <cell r="F1446" t="str">
            <v>Jennings County, IN</v>
          </cell>
          <cell r="N1446">
            <v>11.431532302300234</v>
          </cell>
        </row>
        <row r="1447">
          <cell r="F1447" t="str">
            <v>Jerauld County, SD</v>
          </cell>
          <cell r="N1447">
            <v>22.284806618621321</v>
          </cell>
        </row>
        <row r="1448">
          <cell r="F1448" t="str">
            <v>Jerome County, ID</v>
          </cell>
          <cell r="N1448">
            <v>18.409339164591962</v>
          </cell>
        </row>
        <row r="1449">
          <cell r="F1449" t="str">
            <v>Jersey County, IL</v>
          </cell>
          <cell r="N1449">
            <v>11.442911049624204</v>
          </cell>
        </row>
        <row r="1450">
          <cell r="F1450" t="str">
            <v>Jessamine County, KY</v>
          </cell>
          <cell r="N1450">
            <v>16.32583977927095</v>
          </cell>
        </row>
        <row r="1451">
          <cell r="F1451" t="str">
            <v>Jewell County, KS</v>
          </cell>
          <cell r="N1451">
            <v>15.737088713173801</v>
          </cell>
        </row>
        <row r="1452">
          <cell r="F1452" t="str">
            <v>Jim Hogg County, TX</v>
          </cell>
          <cell r="N1452">
            <v>8.7707635397356007</v>
          </cell>
        </row>
        <row r="1453">
          <cell r="F1453" t="str">
            <v>Jim Wells County, TX</v>
          </cell>
          <cell r="N1453">
            <v>9.3169434112861769</v>
          </cell>
        </row>
        <row r="1454">
          <cell r="F1454" t="str">
            <v>Jo Daviess County, IL</v>
          </cell>
          <cell r="N1454">
            <v>15.956850084365339</v>
          </cell>
        </row>
        <row r="1455">
          <cell r="F1455" t="str">
            <v>Johnson County, AR</v>
          </cell>
          <cell r="N1455">
            <v>22.052354123453497</v>
          </cell>
        </row>
        <row r="1456">
          <cell r="F1456" t="str">
            <v>Johnson County, GA</v>
          </cell>
          <cell r="N1456">
            <v>17.884828373859591</v>
          </cell>
        </row>
        <row r="1457">
          <cell r="F1457" t="str">
            <v>Johnson County, IA</v>
          </cell>
          <cell r="N1457">
            <v>15.956850084365339</v>
          </cell>
        </row>
        <row r="1458">
          <cell r="F1458" t="str">
            <v>Johnson County, IL</v>
          </cell>
          <cell r="N1458">
            <v>15.956850084365339</v>
          </cell>
        </row>
        <row r="1459">
          <cell r="F1459" t="str">
            <v>Johnson County, IN</v>
          </cell>
          <cell r="N1459">
            <v>15.956850084365339</v>
          </cell>
        </row>
        <row r="1460">
          <cell r="F1460" t="str">
            <v>Johnson County, KS</v>
          </cell>
          <cell r="N1460">
            <v>20.638728033107419</v>
          </cell>
        </row>
        <row r="1461">
          <cell r="F1461" t="str">
            <v>Johnson County, KY</v>
          </cell>
          <cell r="N1461">
            <v>19.484598671905704</v>
          </cell>
        </row>
        <row r="1462">
          <cell r="F1462" t="str">
            <v>Johnson County, MO</v>
          </cell>
          <cell r="N1462">
            <v>20.180013905212103</v>
          </cell>
        </row>
        <row r="1463">
          <cell r="F1463" t="str">
            <v>Johnson County, NE</v>
          </cell>
          <cell r="N1463">
            <v>20.375645696726803</v>
          </cell>
        </row>
        <row r="1464">
          <cell r="F1464" t="str">
            <v>Johnson County, TN</v>
          </cell>
          <cell r="N1464">
            <v>25.048030041018716</v>
          </cell>
        </row>
        <row r="1465">
          <cell r="F1465" t="str">
            <v>Johnson County, TX</v>
          </cell>
          <cell r="N1465">
            <v>12.770285075359856</v>
          </cell>
        </row>
        <row r="1466">
          <cell r="F1466" t="str">
            <v>Johnson County, WY</v>
          </cell>
          <cell r="N1466">
            <v>10.933157226331648</v>
          </cell>
        </row>
        <row r="1467">
          <cell r="F1467" t="str">
            <v>Johnston County, NC</v>
          </cell>
          <cell r="N1467">
            <v>21.642495075967709</v>
          </cell>
        </row>
        <row r="1468">
          <cell r="F1468" t="str">
            <v>Johnston County, OK</v>
          </cell>
          <cell r="N1468">
            <v>17.129826059067913</v>
          </cell>
        </row>
        <row r="1469">
          <cell r="F1469" t="str">
            <v>Jones County, GA</v>
          </cell>
          <cell r="N1469">
            <v>17.611688332481947</v>
          </cell>
        </row>
        <row r="1470">
          <cell r="F1470" t="str">
            <v>Jones County, IA</v>
          </cell>
          <cell r="N1470">
            <v>16.219932420745955</v>
          </cell>
        </row>
        <row r="1471">
          <cell r="F1471" t="str">
            <v>Jones County, MS</v>
          </cell>
          <cell r="N1471">
            <v>11.747175191083773</v>
          </cell>
        </row>
        <row r="1472">
          <cell r="F1472" t="str">
            <v>Jones County, NC</v>
          </cell>
          <cell r="N1472">
            <v>21.642495075967709</v>
          </cell>
        </row>
        <row r="1473">
          <cell r="F1473" t="str">
            <v>Jones County, SD</v>
          </cell>
          <cell r="N1473">
            <v>18.283185817884551</v>
          </cell>
        </row>
        <row r="1474">
          <cell r="F1474" t="str">
            <v>Jones County, TX</v>
          </cell>
          <cell r="N1474">
            <v>15.99756431877902</v>
          </cell>
        </row>
        <row r="1475">
          <cell r="F1475" t="str">
            <v>Josephine County, OR</v>
          </cell>
          <cell r="N1475">
            <v>18.328925022835882</v>
          </cell>
        </row>
        <row r="1476">
          <cell r="F1476" t="str">
            <v>Juab County, UT</v>
          </cell>
          <cell r="N1476">
            <v>15.51554655026823</v>
          </cell>
        </row>
        <row r="1477">
          <cell r="F1477" t="str">
            <v>Judith Basin County, MT</v>
          </cell>
          <cell r="N1477">
            <v>16.359000747861664</v>
          </cell>
        </row>
        <row r="1478">
          <cell r="F1478" t="str">
            <v>Juneau County, WI</v>
          </cell>
          <cell r="N1478">
            <v>20.678485700459589</v>
          </cell>
        </row>
        <row r="1479">
          <cell r="F1479" t="str">
            <v>Juniata County, PA</v>
          </cell>
          <cell r="N1479">
            <v>17.787213979439301</v>
          </cell>
        </row>
        <row r="1480">
          <cell r="F1480" t="str">
            <v>Kalamazoo County, MI</v>
          </cell>
          <cell r="N1480">
            <v>14.768524042707021</v>
          </cell>
        </row>
        <row r="1481">
          <cell r="F1481" t="str">
            <v>Kalkaska County, MI</v>
          </cell>
          <cell r="N1481">
            <v>16.925140150406421</v>
          </cell>
        </row>
        <row r="1482">
          <cell r="F1482" t="str">
            <v>Kanabec County, MN</v>
          </cell>
          <cell r="N1482">
            <v>28.332135183339439</v>
          </cell>
        </row>
        <row r="1483">
          <cell r="F1483" t="str">
            <v>Kanawha County, WV</v>
          </cell>
          <cell r="N1483">
            <v>20.489742721770661</v>
          </cell>
        </row>
        <row r="1484">
          <cell r="F1484" t="str">
            <v>Kandiyohi County, MN</v>
          </cell>
          <cell r="N1484">
            <v>25.604386748235136</v>
          </cell>
        </row>
        <row r="1485">
          <cell r="F1485" t="str">
            <v>Kane County, IL</v>
          </cell>
          <cell r="N1485">
            <v>14.779902790030992</v>
          </cell>
        </row>
        <row r="1486">
          <cell r="F1486" t="str">
            <v>Kane County, UT</v>
          </cell>
          <cell r="N1486">
            <v>17.30507277768578</v>
          </cell>
        </row>
        <row r="1487">
          <cell r="F1487" t="str">
            <v>Kankakee County, IL</v>
          </cell>
          <cell r="N1487">
            <v>12.262318627712713</v>
          </cell>
        </row>
        <row r="1488">
          <cell r="F1488" t="str">
            <v>Karnes County, TX</v>
          </cell>
          <cell r="N1488">
            <v>9.5260035034427588</v>
          </cell>
        </row>
        <row r="1489">
          <cell r="F1489" t="str">
            <v>Kaufman County, TX</v>
          </cell>
          <cell r="N1489">
            <v>11.211243928868235</v>
          </cell>
        </row>
        <row r="1490">
          <cell r="F1490" t="str">
            <v>Kay County, OK</v>
          </cell>
          <cell r="N1490">
            <v>14.066113096641093</v>
          </cell>
        </row>
        <row r="1491">
          <cell r="F1491" t="str">
            <v>Kearney County, NE</v>
          </cell>
          <cell r="N1491">
            <v>17.149425466375014</v>
          </cell>
        </row>
        <row r="1492">
          <cell r="F1492" t="str">
            <v>Kearny County, KS</v>
          </cell>
          <cell r="N1492">
            <v>12.967800961798872</v>
          </cell>
        </row>
        <row r="1493">
          <cell r="F1493" t="str">
            <v>Keith County, NE</v>
          </cell>
          <cell r="N1493">
            <v>11.784546199569824</v>
          </cell>
        </row>
        <row r="1494">
          <cell r="F1494" t="str">
            <v>Kemper County, MS</v>
          </cell>
          <cell r="N1494">
            <v>12.148528602954926</v>
          </cell>
        </row>
        <row r="1495">
          <cell r="F1495" t="str">
            <v>Kendall County, IL</v>
          </cell>
          <cell r="N1495">
            <v>12.522933272660428</v>
          </cell>
        </row>
        <row r="1496">
          <cell r="F1496" t="str">
            <v>Kendall County, TX</v>
          </cell>
          <cell r="N1496">
            <v>13.972157884178127</v>
          </cell>
        </row>
        <row r="1497">
          <cell r="F1497" t="str">
            <v>Kenedy County, TX</v>
          </cell>
          <cell r="N1497">
            <v>8.1644697605444136</v>
          </cell>
        </row>
        <row r="1498">
          <cell r="F1498" t="str">
            <v>Kennebec County, ME</v>
          </cell>
          <cell r="N1498">
            <v>33.142442721143333</v>
          </cell>
        </row>
        <row r="1499">
          <cell r="F1499" t="str">
            <v>Kenosha County, WI</v>
          </cell>
          <cell r="N1499">
            <v>13.491223338701507</v>
          </cell>
        </row>
        <row r="1500">
          <cell r="F1500" t="str">
            <v>Kent County, DE</v>
          </cell>
          <cell r="N1500">
            <v>11.838205169675534</v>
          </cell>
        </row>
        <row r="1501">
          <cell r="F1501" t="str">
            <v>Kent County, MD</v>
          </cell>
          <cell r="N1501">
            <v>12.181119781666681</v>
          </cell>
        </row>
        <row r="1502">
          <cell r="F1502" t="str">
            <v>Kent County, MI</v>
          </cell>
          <cell r="N1502">
            <v>11.178868066303442</v>
          </cell>
        </row>
        <row r="1503">
          <cell r="F1503" t="str">
            <v>Kent County, RI</v>
          </cell>
          <cell r="N1503">
            <v>24.241059007118999</v>
          </cell>
        </row>
        <row r="1504">
          <cell r="F1504" t="str">
            <v>Kent County, TX</v>
          </cell>
          <cell r="N1504">
            <v>13.23681371564264</v>
          </cell>
        </row>
        <row r="1505">
          <cell r="F1505" t="str">
            <v>Kenton County, KY</v>
          </cell>
          <cell r="N1505">
            <v>12.742352387373405</v>
          </cell>
        </row>
        <row r="1506">
          <cell r="F1506" t="str">
            <v>Keokuk County, IA</v>
          </cell>
          <cell r="N1506">
            <v>16.219932420745955</v>
          </cell>
        </row>
        <row r="1507">
          <cell r="F1507" t="str">
            <v>Kern County, CA</v>
          </cell>
          <cell r="N1507">
            <v>11.622542658971831</v>
          </cell>
        </row>
        <row r="1508">
          <cell r="F1508" t="str">
            <v>Kerr County, TX</v>
          </cell>
          <cell r="N1508">
            <v>15.473456765984874</v>
          </cell>
        </row>
        <row r="1509">
          <cell r="F1509" t="str">
            <v>Kershaw County, SC</v>
          </cell>
          <cell r="N1509">
            <v>26.826570781064476</v>
          </cell>
        </row>
        <row r="1510">
          <cell r="F1510" t="str">
            <v>Kewaunee County, WI</v>
          </cell>
          <cell r="N1510">
            <v>17.437458384410778</v>
          </cell>
        </row>
        <row r="1511">
          <cell r="F1511" t="str">
            <v>Keweenaw County, MI</v>
          </cell>
          <cell r="N1511">
            <v>27.591142648053285</v>
          </cell>
        </row>
        <row r="1512">
          <cell r="F1512" t="str">
            <v>Keya Paha County, NE</v>
          </cell>
          <cell r="N1512">
            <v>18.084675833947788</v>
          </cell>
        </row>
        <row r="1513">
          <cell r="F1513" t="str">
            <v>Kidder County, ND</v>
          </cell>
          <cell r="N1513">
            <v>14.135012449865467</v>
          </cell>
        </row>
        <row r="1514">
          <cell r="F1514" t="str">
            <v>Kimball County, NE</v>
          </cell>
          <cell r="N1514">
            <v>12.36609662735856</v>
          </cell>
        </row>
        <row r="1515">
          <cell r="F1515" t="str">
            <v>Kimble County, TX</v>
          </cell>
          <cell r="N1515">
            <v>16.531680267114112</v>
          </cell>
        </row>
        <row r="1516">
          <cell r="F1516" t="str">
            <v>King and Queen County, VA</v>
          </cell>
          <cell r="N1516">
            <v>13.088899043352102</v>
          </cell>
        </row>
        <row r="1517">
          <cell r="F1517" t="str">
            <v>King County, TX</v>
          </cell>
          <cell r="N1517">
            <v>13.23681371564264</v>
          </cell>
        </row>
        <row r="1518">
          <cell r="F1518" t="str">
            <v>King County, WA</v>
          </cell>
          <cell r="N1518">
            <v>32.953011019396598</v>
          </cell>
        </row>
        <row r="1519">
          <cell r="F1519" t="str">
            <v>King George County, VA</v>
          </cell>
          <cell r="N1519">
            <v>13.088899043352102</v>
          </cell>
        </row>
        <row r="1520">
          <cell r="F1520" t="str">
            <v>King William County, VA</v>
          </cell>
          <cell r="N1520">
            <v>13.390790668032652</v>
          </cell>
        </row>
        <row r="1521">
          <cell r="F1521" t="str">
            <v>Kingfisher County, OK</v>
          </cell>
          <cell r="N1521">
            <v>12.521507516320689</v>
          </cell>
        </row>
        <row r="1522">
          <cell r="F1522" t="str">
            <v>Kingman County, KS</v>
          </cell>
          <cell r="N1522">
            <v>10.932374464538299</v>
          </cell>
        </row>
        <row r="1523">
          <cell r="F1523" t="str">
            <v>Kings County, CA</v>
          </cell>
          <cell r="N1523">
            <v>10.686686170383883</v>
          </cell>
        </row>
        <row r="1524">
          <cell r="F1524" t="str">
            <v>Kings County, NY</v>
          </cell>
          <cell r="N1524">
            <v>17.55476617123897</v>
          </cell>
        </row>
        <row r="1525">
          <cell r="F1525" t="str">
            <v>Kingsbury County, SD</v>
          </cell>
          <cell r="N1525">
            <v>23.946379269446279</v>
          </cell>
        </row>
        <row r="1526">
          <cell r="F1526" t="str">
            <v>Kinney County, TX</v>
          </cell>
          <cell r="N1526">
            <v>15.526608507865962</v>
          </cell>
        </row>
        <row r="1527">
          <cell r="F1527" t="str">
            <v>Kiowa County, CO</v>
          </cell>
          <cell r="N1527">
            <v>15.21369875979542</v>
          </cell>
        </row>
        <row r="1528">
          <cell r="F1528" t="str">
            <v>Kiowa County, KS</v>
          </cell>
          <cell r="N1528">
            <v>13.19057642197593</v>
          </cell>
        </row>
        <row r="1529">
          <cell r="F1529" t="str">
            <v>Kiowa County, OK</v>
          </cell>
          <cell r="N1529">
            <v>14.932247066914217</v>
          </cell>
        </row>
        <row r="1530">
          <cell r="F1530" t="str">
            <v>Kit Carson County, CO</v>
          </cell>
          <cell r="N1530">
            <v>14.054085764428848</v>
          </cell>
        </row>
        <row r="1531">
          <cell r="F1531" t="str">
            <v>Kitsap County, WA</v>
          </cell>
          <cell r="N1531">
            <v>33.597985090194101</v>
          </cell>
        </row>
        <row r="1532">
          <cell r="F1532" t="str">
            <v>Kittitas County, WA</v>
          </cell>
          <cell r="N1532">
            <v>32.476291054024529</v>
          </cell>
        </row>
        <row r="1533">
          <cell r="F1533" t="str">
            <v>Kittson County, MN</v>
          </cell>
          <cell r="N1533">
            <v>19.193485603802177</v>
          </cell>
        </row>
        <row r="1534">
          <cell r="F1534" t="str">
            <v>Klamath County, OR</v>
          </cell>
          <cell r="N1534">
            <v>18.595327356426154</v>
          </cell>
        </row>
        <row r="1535">
          <cell r="F1535" t="str">
            <v>Kleberg County, TX</v>
          </cell>
          <cell r="N1535">
            <v>8.7106496320949915</v>
          </cell>
        </row>
        <row r="1536">
          <cell r="F1536" t="str">
            <v>Klickitat County, WA</v>
          </cell>
          <cell r="N1536">
            <v>29.644013612696376</v>
          </cell>
        </row>
        <row r="1537">
          <cell r="F1537" t="str">
            <v>Knott County, KY</v>
          </cell>
          <cell r="N1537">
            <v>20.692165170627909</v>
          </cell>
        </row>
        <row r="1538">
          <cell r="F1538" t="str">
            <v>Knox County, IL</v>
          </cell>
          <cell r="N1538">
            <v>11.442911049624204</v>
          </cell>
        </row>
        <row r="1539">
          <cell r="F1539" t="str">
            <v>Knox County, IN</v>
          </cell>
          <cell r="N1539">
            <v>13.223341516018539</v>
          </cell>
        </row>
        <row r="1540">
          <cell r="F1540" t="str">
            <v>Knox County, KY</v>
          </cell>
          <cell r="N1540">
            <v>18.884730693229905</v>
          </cell>
        </row>
        <row r="1541">
          <cell r="F1541" t="str">
            <v>Knox County, ME</v>
          </cell>
          <cell r="N1541">
            <v>33.142442721143333</v>
          </cell>
        </row>
        <row r="1542">
          <cell r="F1542" t="str">
            <v>Knox County, MO</v>
          </cell>
          <cell r="N1542">
            <v>15.042985126411612</v>
          </cell>
        </row>
        <row r="1543">
          <cell r="F1543" t="str">
            <v>Knox County, NE</v>
          </cell>
          <cell r="N1543">
            <v>22.072450195927679</v>
          </cell>
        </row>
        <row r="1544">
          <cell r="F1544" t="str">
            <v>Knox County, OH</v>
          </cell>
          <cell r="N1544">
            <v>16.443943132288855</v>
          </cell>
        </row>
        <row r="1545">
          <cell r="F1545" t="str">
            <v>Knox County, TN</v>
          </cell>
          <cell r="N1545">
            <v>21.376676357179406</v>
          </cell>
        </row>
        <row r="1546">
          <cell r="F1546" t="str">
            <v>Knox County, TX</v>
          </cell>
          <cell r="N1546">
            <v>15.301099678126919</v>
          </cell>
        </row>
        <row r="1547">
          <cell r="F1547" t="str">
            <v>Koochiching County, MN</v>
          </cell>
          <cell r="N1547">
            <v>25.119761391744522</v>
          </cell>
        </row>
        <row r="1548">
          <cell r="F1548" t="str">
            <v>Kootenai County, ID</v>
          </cell>
          <cell r="N1548">
            <v>29.141201813078982</v>
          </cell>
        </row>
        <row r="1549">
          <cell r="F1549" t="str">
            <v>Kosciusko County, IN</v>
          </cell>
          <cell r="N1549">
            <v>10.503820905589633</v>
          </cell>
        </row>
        <row r="1550">
          <cell r="F1550" t="str">
            <v>Kossuth County, IA</v>
          </cell>
          <cell r="N1550">
            <v>24.140095389678251</v>
          </cell>
        </row>
        <row r="1551">
          <cell r="F1551" t="str">
            <v>La Crosse County, WI</v>
          </cell>
          <cell r="N1551">
            <v>21.176957495707075</v>
          </cell>
        </row>
        <row r="1552">
          <cell r="F1552" t="str">
            <v>La Paz County, AZ</v>
          </cell>
          <cell r="N1552">
            <v>19.685462786859645</v>
          </cell>
        </row>
        <row r="1553">
          <cell r="F1553" t="str">
            <v>La Plata County, CO</v>
          </cell>
          <cell r="N1553">
            <v>10.945894949226819</v>
          </cell>
        </row>
        <row r="1554">
          <cell r="F1554" t="str">
            <v>La Porte County, IN</v>
          </cell>
          <cell r="N1554">
            <v>11.722307516194601</v>
          </cell>
        </row>
        <row r="1555">
          <cell r="F1555" t="str">
            <v>La Salle County, IL</v>
          </cell>
          <cell r="N1555">
            <v>11.996768599899189</v>
          </cell>
        </row>
        <row r="1556">
          <cell r="F1556" t="str">
            <v>La Salle County, TX</v>
          </cell>
          <cell r="N1556">
            <v>10.329804686227224</v>
          </cell>
        </row>
        <row r="1557">
          <cell r="F1557" t="str">
            <v>La Salle Parish, LA</v>
          </cell>
          <cell r="N1557">
            <v>14.22367614678334</v>
          </cell>
        </row>
        <row r="1558">
          <cell r="F1558" t="str">
            <v>Labette County, KS</v>
          </cell>
          <cell r="N1558">
            <v>18.867616312294533</v>
          </cell>
        </row>
        <row r="1559">
          <cell r="F1559" t="str">
            <v>Lac qui Parle County, MN</v>
          </cell>
          <cell r="N1559">
            <v>24.533687956278321</v>
          </cell>
        </row>
        <row r="1560">
          <cell r="F1560" t="str">
            <v>Lackawanna County, PA</v>
          </cell>
          <cell r="N1560">
            <v>19.824550651312766</v>
          </cell>
        </row>
        <row r="1561">
          <cell r="F1561" t="str">
            <v>Laclede County, MO</v>
          </cell>
          <cell r="N1561">
            <v>19.016913049634631</v>
          </cell>
        </row>
        <row r="1562">
          <cell r="F1562" t="str">
            <v>Lafayette County, AR</v>
          </cell>
          <cell r="N1562">
            <v>15.657398309603602</v>
          </cell>
        </row>
        <row r="1563">
          <cell r="F1563" t="str">
            <v>Lafayette County, FL</v>
          </cell>
          <cell r="N1563">
            <v>12.694658368903147</v>
          </cell>
        </row>
        <row r="1564">
          <cell r="F1564" t="str">
            <v>Lafayette County, MO</v>
          </cell>
          <cell r="N1564">
            <v>19.94462444634523</v>
          </cell>
        </row>
        <row r="1565">
          <cell r="F1565" t="str">
            <v>Lafayette County, MS</v>
          </cell>
          <cell r="N1565">
            <v>19.94462444634523</v>
          </cell>
        </row>
        <row r="1566">
          <cell r="F1566" t="str">
            <v>Lafayette County, WI</v>
          </cell>
          <cell r="N1566">
            <v>16.455321879612825</v>
          </cell>
        </row>
        <row r="1567">
          <cell r="F1567" t="str">
            <v>Lafayette Parish, LA</v>
          </cell>
          <cell r="N1567">
            <v>12.859444056582237</v>
          </cell>
        </row>
        <row r="1568">
          <cell r="F1568" t="str">
            <v>Lafourche Parish, LA</v>
          </cell>
          <cell r="N1568">
            <v>13.885402313108948</v>
          </cell>
        </row>
        <row r="1569">
          <cell r="F1569" t="str">
            <v>Lagrange County, IN</v>
          </cell>
          <cell r="N1569">
            <v>11.178868066303442</v>
          </cell>
        </row>
        <row r="1570">
          <cell r="F1570" t="str">
            <v>Lake County, CA</v>
          </cell>
          <cell r="N1570">
            <v>9.6638385934259858</v>
          </cell>
        </row>
        <row r="1571">
          <cell r="F1571" t="str">
            <v>Lake County, CO</v>
          </cell>
          <cell r="N1571">
            <v>15.996699785498441</v>
          </cell>
        </row>
        <row r="1572">
          <cell r="F1572" t="str">
            <v>Lake County, FL</v>
          </cell>
          <cell r="N1572">
            <v>12.956369557354465</v>
          </cell>
        </row>
        <row r="1573">
          <cell r="F1573" t="str">
            <v>Lake County, IL</v>
          </cell>
          <cell r="N1573">
            <v>13.491223338701507</v>
          </cell>
        </row>
        <row r="1574">
          <cell r="F1574" t="str">
            <v>Lake County, IN</v>
          </cell>
          <cell r="N1574">
            <v>12.262318627712713</v>
          </cell>
        </row>
        <row r="1575">
          <cell r="F1575" t="str">
            <v>Lake County, MI</v>
          </cell>
          <cell r="N1575">
            <v>13.74045923632525</v>
          </cell>
        </row>
        <row r="1576">
          <cell r="F1576" t="str">
            <v>Lake County, MN</v>
          </cell>
          <cell r="N1576">
            <v>29.79985769156815</v>
          </cell>
        </row>
        <row r="1577">
          <cell r="F1577" t="str">
            <v>Lake County, MT</v>
          </cell>
          <cell r="N1577">
            <v>23.529247563897542</v>
          </cell>
        </row>
        <row r="1578">
          <cell r="F1578" t="str">
            <v>Lake County, OH</v>
          </cell>
          <cell r="N1578">
            <v>20.234439013299454</v>
          </cell>
        </row>
        <row r="1579">
          <cell r="F1579" t="str">
            <v>Lake County, OR</v>
          </cell>
          <cell r="N1579">
            <v>19.506703760813927</v>
          </cell>
        </row>
        <row r="1580">
          <cell r="F1580" t="str">
            <v>Lake County, SD</v>
          </cell>
          <cell r="N1580">
            <v>24.694086962317506</v>
          </cell>
        </row>
        <row r="1581">
          <cell r="F1581" t="str">
            <v>Lake County, TN</v>
          </cell>
          <cell r="N1581">
            <v>19.090925484598088</v>
          </cell>
        </row>
        <row r="1582">
          <cell r="F1582" t="str">
            <v>Lake of the Woods County, MN</v>
          </cell>
          <cell r="N1582">
            <v>23.458188740919567</v>
          </cell>
        </row>
        <row r="1583">
          <cell r="F1583" t="str">
            <v>Lamar County, AL</v>
          </cell>
          <cell r="N1583">
            <v>15.809830773404633</v>
          </cell>
        </row>
        <row r="1584">
          <cell r="F1584" t="str">
            <v>Lamar County, GA</v>
          </cell>
          <cell r="N1584">
            <v>17.257519720299793</v>
          </cell>
        </row>
        <row r="1585">
          <cell r="F1585" t="str">
            <v>Lamar County, MS</v>
          </cell>
          <cell r="N1585">
            <v>11.143391941722671</v>
          </cell>
        </row>
        <row r="1586">
          <cell r="F1586" t="str">
            <v>Lamar County, TX</v>
          </cell>
          <cell r="N1586">
            <v>15.108846795097291</v>
          </cell>
        </row>
        <row r="1587">
          <cell r="F1587" t="str">
            <v>Lamb County, TX</v>
          </cell>
          <cell r="N1587">
            <v>11.114785488473487</v>
          </cell>
        </row>
        <row r="1588">
          <cell r="F1588" t="str">
            <v>Lamoille County, VT</v>
          </cell>
          <cell r="N1588">
            <v>31.091432648787496</v>
          </cell>
        </row>
        <row r="1589">
          <cell r="F1589" t="str">
            <v>LaMoure County, ND</v>
          </cell>
          <cell r="N1589">
            <v>16.673433750050993</v>
          </cell>
        </row>
        <row r="1590">
          <cell r="F1590" t="str">
            <v>Lampasas County, TX</v>
          </cell>
          <cell r="N1590">
            <v>15.959000906176836</v>
          </cell>
        </row>
        <row r="1591">
          <cell r="F1591" t="str">
            <v>Lancaster County, NE</v>
          </cell>
          <cell r="N1591">
            <v>20.638728033107419</v>
          </cell>
        </row>
        <row r="1592">
          <cell r="F1592" t="str">
            <v>Lancaster County, PA</v>
          </cell>
          <cell r="N1592">
            <v>15.613143302742113</v>
          </cell>
        </row>
        <row r="1593">
          <cell r="F1593" t="str">
            <v>Lancaster County, SC</v>
          </cell>
          <cell r="N1593">
            <v>27.32972348886539</v>
          </cell>
        </row>
        <row r="1594">
          <cell r="F1594" t="str">
            <v>Lancaster County, VA</v>
          </cell>
          <cell r="N1594">
            <v>12.12572100270463</v>
          </cell>
        </row>
        <row r="1595">
          <cell r="F1595" t="str">
            <v>Lander County, NV</v>
          </cell>
          <cell r="N1595">
            <v>20.303255066271632</v>
          </cell>
        </row>
        <row r="1596">
          <cell r="F1596" t="str">
            <v>Lane County, KS</v>
          </cell>
          <cell r="N1596">
            <v>12.137014636386393</v>
          </cell>
        </row>
        <row r="1597">
          <cell r="F1597" t="str">
            <v>Lane County, OR</v>
          </cell>
          <cell r="N1597">
            <v>22.857764693870507</v>
          </cell>
        </row>
        <row r="1598">
          <cell r="F1598" t="str">
            <v>Langlade County, WI</v>
          </cell>
          <cell r="N1598">
            <v>21.397539868876926</v>
          </cell>
        </row>
        <row r="1599">
          <cell r="F1599" t="str">
            <v>Lanier County, GA</v>
          </cell>
          <cell r="N1599">
            <v>11.722307516194601</v>
          </cell>
        </row>
        <row r="1600">
          <cell r="F1600" t="str">
            <v>Lapeer County, MI</v>
          </cell>
          <cell r="N1600">
            <v>11.722307516194601</v>
          </cell>
        </row>
        <row r="1601">
          <cell r="F1601" t="str">
            <v>LaPorte County, IN</v>
          </cell>
          <cell r="N1601">
            <v>11.722307516194601</v>
          </cell>
        </row>
        <row r="1602">
          <cell r="F1602" t="str">
            <v>Laramie County, WY</v>
          </cell>
          <cell r="N1602">
            <v>14.597887428729823</v>
          </cell>
        </row>
        <row r="1603">
          <cell r="F1603" t="str">
            <v>Larimer County, CO</v>
          </cell>
          <cell r="N1603">
            <v>15.821225599855968</v>
          </cell>
        </row>
        <row r="1604">
          <cell r="F1604" t="str">
            <v>Larue County, KY</v>
          </cell>
          <cell r="N1604">
            <v>13.709445698706176</v>
          </cell>
        </row>
        <row r="1605">
          <cell r="F1605" t="str">
            <v>Las Animas County, CO</v>
          </cell>
          <cell r="N1605">
            <v>14.22367614678334</v>
          </cell>
        </row>
        <row r="1606">
          <cell r="F1606" t="str">
            <v>LaSalle County, IL</v>
          </cell>
          <cell r="N1606">
            <v>14.22367614678334</v>
          </cell>
        </row>
        <row r="1607">
          <cell r="F1607" t="str">
            <v>LaSalle Parish, LA</v>
          </cell>
          <cell r="N1607">
            <v>14.22367614678334</v>
          </cell>
        </row>
        <row r="1608">
          <cell r="F1608" t="str">
            <v>Lassen County, CA</v>
          </cell>
          <cell r="N1608">
            <v>12.005374893929956</v>
          </cell>
        </row>
        <row r="1609">
          <cell r="F1609" t="str">
            <v>Latah County, ID</v>
          </cell>
          <cell r="N1609">
            <v>29.000214018339239</v>
          </cell>
        </row>
        <row r="1610">
          <cell r="F1610" t="str">
            <v>Latimer County, OK</v>
          </cell>
          <cell r="N1610">
            <v>19.2807254185795</v>
          </cell>
        </row>
        <row r="1611">
          <cell r="F1611" t="str">
            <v>Lauderdale County, AL</v>
          </cell>
          <cell r="N1611">
            <v>19.93568297737216</v>
          </cell>
        </row>
        <row r="1612">
          <cell r="F1612" t="str">
            <v>Lauderdale County, MS</v>
          </cell>
          <cell r="N1612">
            <v>11.683978569437105</v>
          </cell>
        </row>
        <row r="1613">
          <cell r="F1613" t="str">
            <v>Lauderdale County, TN</v>
          </cell>
          <cell r="N1613">
            <v>20.31286777497175</v>
          </cell>
        </row>
        <row r="1614">
          <cell r="F1614" t="str">
            <v>Laurel County, KY</v>
          </cell>
          <cell r="N1614">
            <v>18.33845061047462</v>
          </cell>
        </row>
        <row r="1615">
          <cell r="F1615" t="str">
            <v>Laurens County, GA</v>
          </cell>
          <cell r="N1615">
            <v>17.33854829110431</v>
          </cell>
        </row>
        <row r="1616">
          <cell r="F1616" t="str">
            <v>Laurens County, SC</v>
          </cell>
          <cell r="N1616">
            <v>23.735775576001693</v>
          </cell>
        </row>
        <row r="1617">
          <cell r="F1617" t="str">
            <v>Lavaca County, TX</v>
          </cell>
          <cell r="N1617">
            <v>8.9485808565940097</v>
          </cell>
        </row>
        <row r="1618">
          <cell r="F1618" t="str">
            <v>Lawrence County, AL</v>
          </cell>
          <cell r="N1618">
            <v>17.530659761677438</v>
          </cell>
        </row>
        <row r="1619">
          <cell r="F1619" t="str">
            <v>Lawrence County, AR</v>
          </cell>
          <cell r="N1619">
            <v>21.542181491244211</v>
          </cell>
        </row>
        <row r="1620">
          <cell r="F1620" t="str">
            <v>Lawrence County, IL</v>
          </cell>
          <cell r="N1620">
            <v>11.158715096751457</v>
          </cell>
        </row>
        <row r="1621">
          <cell r="F1621" t="str">
            <v>Lawrence County, IN</v>
          </cell>
          <cell r="N1621">
            <v>11.722307516194601</v>
          </cell>
        </row>
        <row r="1622">
          <cell r="F1622" t="str">
            <v>Lawrence County, KY</v>
          </cell>
          <cell r="N1622">
            <v>19.484598671905704</v>
          </cell>
        </row>
        <row r="1623">
          <cell r="F1623" t="str">
            <v>Lawrence County, MO</v>
          </cell>
          <cell r="N1623">
            <v>19.484598671905704</v>
          </cell>
        </row>
        <row r="1624">
          <cell r="F1624" t="str">
            <v>Lawrence County, MS</v>
          </cell>
          <cell r="N1624">
            <v>11.300356895519093</v>
          </cell>
        </row>
        <row r="1625">
          <cell r="F1625" t="str">
            <v>Lawrence County, OH</v>
          </cell>
          <cell r="N1625">
            <v>18.507062507063175</v>
          </cell>
        </row>
        <row r="1626">
          <cell r="F1626" t="str">
            <v>Lawrence County, PA</v>
          </cell>
          <cell r="N1626">
            <v>22.210889850124858</v>
          </cell>
        </row>
        <row r="1627">
          <cell r="F1627" t="str">
            <v>Lawrence County, SD</v>
          </cell>
          <cell r="N1627">
            <v>15.20927641385838</v>
          </cell>
        </row>
        <row r="1628">
          <cell r="F1628" t="str">
            <v>Lawrence County, TN</v>
          </cell>
          <cell r="N1628">
            <v>19.364065525975732</v>
          </cell>
        </row>
        <row r="1629">
          <cell r="F1629" t="str">
            <v>Le Flore County, OK</v>
          </cell>
          <cell r="N1629">
            <v>19.555001175832658</v>
          </cell>
        </row>
        <row r="1630">
          <cell r="F1630" t="str">
            <v>Le Sueur County, MN</v>
          </cell>
          <cell r="N1630">
            <v>25.358582000283221</v>
          </cell>
        </row>
        <row r="1631">
          <cell r="F1631" t="str">
            <v>Lea County, NM</v>
          </cell>
          <cell r="N1631">
            <v>11.508680364071214</v>
          </cell>
        </row>
        <row r="1632">
          <cell r="F1632" t="str">
            <v>Leake County, MS</v>
          </cell>
          <cell r="N1632">
            <v>13.934941827215914</v>
          </cell>
        </row>
        <row r="1633">
          <cell r="F1633" t="str">
            <v>Leavenworth County, KS</v>
          </cell>
          <cell r="N1633">
            <v>20.638728033107419</v>
          </cell>
        </row>
        <row r="1634">
          <cell r="F1634" t="str">
            <v>Lebanon County, PA</v>
          </cell>
          <cell r="N1634">
            <v>16.392527130237333</v>
          </cell>
        </row>
        <row r="1635">
          <cell r="F1635" t="str">
            <v>Lee County, AL</v>
          </cell>
          <cell r="N1635">
            <v>14.698628806340839</v>
          </cell>
        </row>
        <row r="1636">
          <cell r="F1636" t="str">
            <v>Lee County, AR</v>
          </cell>
          <cell r="N1636">
            <v>17.565960452117544</v>
          </cell>
        </row>
        <row r="1637">
          <cell r="F1637" t="str">
            <v>Lee County, FL</v>
          </cell>
          <cell r="N1637">
            <v>10.631348312144006</v>
          </cell>
        </row>
        <row r="1638">
          <cell r="F1638" t="str">
            <v>Lee County, GA</v>
          </cell>
          <cell r="N1638">
            <v>12.896428670804774</v>
          </cell>
        </row>
        <row r="1639">
          <cell r="F1639" t="str">
            <v>Lee County, IA</v>
          </cell>
          <cell r="N1639">
            <v>14.253738117269759</v>
          </cell>
        </row>
        <row r="1640">
          <cell r="F1640" t="str">
            <v>Lee County, IL</v>
          </cell>
          <cell r="N1640">
            <v>14.253738117269759</v>
          </cell>
        </row>
        <row r="1641">
          <cell r="F1641" t="str">
            <v>Lee County, KY</v>
          </cell>
          <cell r="N1641">
            <v>18.33845061047462</v>
          </cell>
        </row>
        <row r="1642">
          <cell r="F1642" t="str">
            <v>Lee County, MS</v>
          </cell>
          <cell r="N1642">
            <v>16.576272431603002</v>
          </cell>
        </row>
        <row r="1643">
          <cell r="F1643" t="str">
            <v>Lee County, NC</v>
          </cell>
          <cell r="N1643">
            <v>22.677552074872452</v>
          </cell>
        </row>
        <row r="1644">
          <cell r="F1644" t="str">
            <v>Lee County, SC</v>
          </cell>
          <cell r="N1644">
            <v>27.070959239139206</v>
          </cell>
        </row>
        <row r="1645">
          <cell r="F1645" t="str">
            <v>Lee County, TX</v>
          </cell>
          <cell r="N1645">
            <v>11.036472841791252</v>
          </cell>
        </row>
        <row r="1646">
          <cell r="F1646" t="str">
            <v>Lee County, VA</v>
          </cell>
          <cell r="N1646">
            <v>21.468457919806468</v>
          </cell>
        </row>
        <row r="1647">
          <cell r="F1647" t="str">
            <v>Leelanau County, MI</v>
          </cell>
          <cell r="N1647">
            <v>17.437458384410778</v>
          </cell>
        </row>
        <row r="1648">
          <cell r="F1648" t="str">
            <v>Leflore County, MS</v>
          </cell>
          <cell r="N1648">
            <v>12.838566602224756</v>
          </cell>
        </row>
        <row r="1649">
          <cell r="F1649" t="str">
            <v>Lehigh County, PA</v>
          </cell>
          <cell r="N1649">
            <v>17.048850353391199</v>
          </cell>
        </row>
        <row r="1650">
          <cell r="F1650" t="str">
            <v>Lemhi County, ID</v>
          </cell>
          <cell r="N1650">
            <v>19.938053202696764</v>
          </cell>
        </row>
        <row r="1651">
          <cell r="F1651" t="str">
            <v>Lenawee County, MI</v>
          </cell>
          <cell r="N1651">
            <v>12.951212227183397</v>
          </cell>
        </row>
        <row r="1652">
          <cell r="F1652" t="str">
            <v>Lenoir County, NC</v>
          </cell>
          <cell r="N1652">
            <v>20.952457076697875</v>
          </cell>
        </row>
        <row r="1653">
          <cell r="F1653" t="str">
            <v>Leon County, FL</v>
          </cell>
          <cell r="N1653">
            <v>11.803359286512949</v>
          </cell>
        </row>
        <row r="1654">
          <cell r="F1654" t="str">
            <v>Leon County, TX</v>
          </cell>
          <cell r="N1654">
            <v>11.585024356297563</v>
          </cell>
        </row>
        <row r="1655">
          <cell r="F1655" t="str">
            <v>Leslie County, KY</v>
          </cell>
          <cell r="N1655">
            <v>20.692165170627909</v>
          </cell>
        </row>
        <row r="1656">
          <cell r="F1656" t="str">
            <v>Letcher County, KY</v>
          </cell>
          <cell r="N1656">
            <v>21.209693670080281</v>
          </cell>
        </row>
        <row r="1657">
          <cell r="F1657" t="str">
            <v>Levy County, FL</v>
          </cell>
          <cell r="N1657">
            <v>14.23286807560881</v>
          </cell>
        </row>
        <row r="1658">
          <cell r="F1658" t="str">
            <v>Lewis and Clark County, MT</v>
          </cell>
          <cell r="N1658">
            <v>19.938053202696764</v>
          </cell>
        </row>
        <row r="1659">
          <cell r="F1659" t="str">
            <v>Lewis County, ID</v>
          </cell>
          <cell r="N1659">
            <v>28.255771107733537</v>
          </cell>
        </row>
        <row r="1660">
          <cell r="F1660" t="str">
            <v>Lewis County, KY</v>
          </cell>
          <cell r="N1660">
            <v>16.580688758311837</v>
          </cell>
        </row>
        <row r="1661">
          <cell r="F1661" t="str">
            <v>Lewis County, MO</v>
          </cell>
          <cell r="N1661">
            <v>14.253738117269759</v>
          </cell>
        </row>
        <row r="1662">
          <cell r="F1662" t="str">
            <v>Lewis County, NY</v>
          </cell>
          <cell r="N1662">
            <v>26.579210489604652</v>
          </cell>
        </row>
        <row r="1663">
          <cell r="F1663" t="str">
            <v>Lewis County, TN</v>
          </cell>
          <cell r="N1663">
            <v>18.817785443220451</v>
          </cell>
        </row>
        <row r="1664">
          <cell r="F1664" t="str">
            <v>Lewis County, WA</v>
          </cell>
          <cell r="N1664">
            <v>31.270469965142247</v>
          </cell>
        </row>
        <row r="1665">
          <cell r="F1665" t="str">
            <v>Lewis County, WV</v>
          </cell>
          <cell r="N1665">
            <v>21.957601126562832</v>
          </cell>
        </row>
        <row r="1666">
          <cell r="F1666" t="str">
            <v>Lexingt County, VA</v>
          </cell>
          <cell r="N1666">
            <v>20.434928577245504</v>
          </cell>
        </row>
        <row r="1667">
          <cell r="F1667" t="str">
            <v>Lexington County, SC</v>
          </cell>
          <cell r="N1667">
            <v>23.491387117926962</v>
          </cell>
        </row>
        <row r="1668">
          <cell r="F1668" t="str">
            <v>Liberty County, FL</v>
          </cell>
          <cell r="N1668">
            <v>10.757224173898354</v>
          </cell>
        </row>
        <row r="1669">
          <cell r="F1669" t="str">
            <v>Liberty County, GA</v>
          </cell>
          <cell r="N1669">
            <v>19.135013028754898</v>
          </cell>
        </row>
        <row r="1670">
          <cell r="F1670" t="str">
            <v>Liberty County, MT</v>
          </cell>
          <cell r="N1670">
            <v>23.259413880783736</v>
          </cell>
        </row>
        <row r="1671">
          <cell r="F1671" t="str">
            <v>Liberty County, TX</v>
          </cell>
          <cell r="N1671">
            <v>8.5968621588552878</v>
          </cell>
        </row>
        <row r="1672">
          <cell r="F1672" t="str">
            <v>Licking County, OH</v>
          </cell>
          <cell r="N1672">
            <v>16.443943132288855</v>
          </cell>
        </row>
        <row r="1673">
          <cell r="F1673" t="str">
            <v>Limestone County, AL</v>
          </cell>
          <cell r="N1673">
            <v>19.245644978102327</v>
          </cell>
        </row>
        <row r="1674">
          <cell r="F1674" t="str">
            <v>Limestone County, TX</v>
          </cell>
          <cell r="N1674">
            <v>10.648256848190705</v>
          </cell>
        </row>
        <row r="1675">
          <cell r="F1675" t="str">
            <v>Lincoln County, AR</v>
          </cell>
          <cell r="N1675">
            <v>16.613213084817108</v>
          </cell>
        </row>
        <row r="1676">
          <cell r="F1676" t="str">
            <v>Lincoln County, CO</v>
          </cell>
          <cell r="N1676">
            <v>16.201517237329909</v>
          </cell>
        </row>
        <row r="1677">
          <cell r="F1677" t="str">
            <v>Lincoln County, GA</v>
          </cell>
          <cell r="N1677">
            <v>21.766292119752386</v>
          </cell>
        </row>
        <row r="1678">
          <cell r="F1678" t="str">
            <v>Lincoln County, ID</v>
          </cell>
          <cell r="N1678">
            <v>18.409339164591962</v>
          </cell>
        </row>
        <row r="1679">
          <cell r="F1679" t="str">
            <v>Lincoln County, KS</v>
          </cell>
          <cell r="N1679">
            <v>12.690872186661379</v>
          </cell>
        </row>
        <row r="1680">
          <cell r="F1680" t="str">
            <v>Lincoln County, KY</v>
          </cell>
          <cell r="N1680">
            <v>16.872119862026231</v>
          </cell>
        </row>
        <row r="1681">
          <cell r="F1681" t="str">
            <v>Lincoln County, ME</v>
          </cell>
          <cell r="N1681">
            <v>16.872119862026231</v>
          </cell>
        </row>
        <row r="1682">
          <cell r="F1682" t="str">
            <v>Lincoln County, MN</v>
          </cell>
          <cell r="N1682">
            <v>16.872119862026231</v>
          </cell>
        </row>
        <row r="1683">
          <cell r="F1683" t="str">
            <v>Lincoln County, MO</v>
          </cell>
          <cell r="N1683">
            <v>12.273697375036683</v>
          </cell>
        </row>
        <row r="1684">
          <cell r="F1684" t="str">
            <v>Lincoln County, MS</v>
          </cell>
          <cell r="N1684">
            <v>12.273697375036683</v>
          </cell>
        </row>
        <row r="1685">
          <cell r="F1685" t="str">
            <v>Lincoln County, MT</v>
          </cell>
          <cell r="N1685">
            <v>25.290141371676413</v>
          </cell>
        </row>
        <row r="1686">
          <cell r="F1686" t="str">
            <v>Lincoln County, NC</v>
          </cell>
          <cell r="N1686">
            <v>25.290141371676413</v>
          </cell>
        </row>
        <row r="1687">
          <cell r="F1687" t="str">
            <v>Lincoln County, NE</v>
          </cell>
          <cell r="N1687">
            <v>13.861512013101022</v>
          </cell>
        </row>
        <row r="1688">
          <cell r="F1688" t="str">
            <v>Lincoln County, NM</v>
          </cell>
          <cell r="N1688">
            <v>12.796025939839321</v>
          </cell>
        </row>
        <row r="1689">
          <cell r="F1689" t="str">
            <v>Lincoln County, NV</v>
          </cell>
          <cell r="N1689">
            <v>25.330895344842659</v>
          </cell>
        </row>
        <row r="1690">
          <cell r="F1690" t="str">
            <v>Lincoln County, OK</v>
          </cell>
          <cell r="N1690">
            <v>14.932247066914217</v>
          </cell>
        </row>
        <row r="1691">
          <cell r="F1691" t="str">
            <v>Lincoln County, OR</v>
          </cell>
          <cell r="N1691">
            <v>25.017025713496921</v>
          </cell>
        </row>
        <row r="1692">
          <cell r="F1692" t="str">
            <v>Lincoln County, SD</v>
          </cell>
          <cell r="N1692">
            <v>25.783295782770086</v>
          </cell>
        </row>
        <row r="1693">
          <cell r="F1693" t="str">
            <v>Lincoln County, TN</v>
          </cell>
          <cell r="N1693">
            <v>20.054103525245562</v>
          </cell>
        </row>
        <row r="1694">
          <cell r="F1694" t="str">
            <v>Lincoln County, WA</v>
          </cell>
          <cell r="N1694">
            <v>31.586700045744042</v>
          </cell>
        </row>
        <row r="1695">
          <cell r="F1695" t="str">
            <v>Lincoln County, WI</v>
          </cell>
          <cell r="N1695">
            <v>22.145247561748157</v>
          </cell>
        </row>
        <row r="1696">
          <cell r="F1696" t="str">
            <v>Lincoln County, WV</v>
          </cell>
          <cell r="N1696">
            <v>22.145247561748157</v>
          </cell>
        </row>
        <row r="1697">
          <cell r="F1697" t="str">
            <v>Lincoln County, WY</v>
          </cell>
          <cell r="N1697">
            <v>12.903813053029443</v>
          </cell>
        </row>
        <row r="1698">
          <cell r="F1698" t="str">
            <v>Lincoln Parish, LA</v>
          </cell>
          <cell r="N1698">
            <v>15.696103896247653</v>
          </cell>
        </row>
        <row r="1699">
          <cell r="F1699" t="str">
            <v>Linn County, IA</v>
          </cell>
          <cell r="N1699">
            <v>16.455321879612825</v>
          </cell>
        </row>
        <row r="1700">
          <cell r="F1700" t="str">
            <v>Linn County, KS</v>
          </cell>
          <cell r="N1700">
            <v>20.375645696726803</v>
          </cell>
        </row>
        <row r="1701">
          <cell r="F1701" t="str">
            <v>Linn County, MO</v>
          </cell>
          <cell r="N1701">
            <v>16.981486552374061</v>
          </cell>
        </row>
        <row r="1702">
          <cell r="F1702" t="str">
            <v>Linn County, OR</v>
          </cell>
          <cell r="N1702">
            <v>24.259882239082465</v>
          </cell>
        </row>
        <row r="1703">
          <cell r="F1703" t="str">
            <v>Lipscomb County, TX</v>
          </cell>
          <cell r="N1703">
            <v>13.214056220994699</v>
          </cell>
        </row>
        <row r="1704">
          <cell r="F1704" t="str">
            <v>Litchfield County, CT</v>
          </cell>
          <cell r="N1704">
            <v>21.725153318362505</v>
          </cell>
        </row>
        <row r="1705">
          <cell r="F1705" t="str">
            <v>Little River County, AR</v>
          </cell>
          <cell r="N1705">
            <v>15.657398309603602</v>
          </cell>
        </row>
        <row r="1706">
          <cell r="F1706" t="str">
            <v>Live Oak County, TX</v>
          </cell>
          <cell r="N1706">
            <v>8.7707635397356007</v>
          </cell>
        </row>
        <row r="1707">
          <cell r="F1707" t="str">
            <v>Livingston County, IL</v>
          </cell>
          <cell r="N1707">
            <v>10.778281989294221</v>
          </cell>
        </row>
        <row r="1708">
          <cell r="F1708" t="str">
            <v>Livingston County, KY</v>
          </cell>
          <cell r="N1708">
            <v>22.936316324598639</v>
          </cell>
        </row>
        <row r="1709">
          <cell r="F1709" t="str">
            <v>Livingston County, MI</v>
          </cell>
          <cell r="N1709">
            <v>22.936316324598639</v>
          </cell>
        </row>
        <row r="1710">
          <cell r="F1710" t="str">
            <v>Livingston County, MO</v>
          </cell>
          <cell r="N1710">
            <v>18.781523590767762</v>
          </cell>
        </row>
        <row r="1711">
          <cell r="F1711" t="str">
            <v>Livingston County, NY</v>
          </cell>
          <cell r="N1711">
            <v>25.129830038473195</v>
          </cell>
        </row>
        <row r="1712">
          <cell r="F1712" t="str">
            <v>Livingston Parish, LA</v>
          </cell>
          <cell r="N1712">
            <v>22.936316324598639</v>
          </cell>
        </row>
        <row r="1713">
          <cell r="F1713" t="str">
            <v>Llano County, TX</v>
          </cell>
          <cell r="N1713">
            <v>15.473456765984874</v>
          </cell>
        </row>
        <row r="1714">
          <cell r="F1714" t="str">
            <v>Logan County, AR</v>
          </cell>
          <cell r="N1714">
            <v>22.936316324598639</v>
          </cell>
        </row>
        <row r="1715">
          <cell r="F1715" t="str">
            <v>Logan County, CO</v>
          </cell>
          <cell r="N1715">
            <v>22.936316324598639</v>
          </cell>
        </row>
        <row r="1716">
          <cell r="F1716" t="str">
            <v>Logan County, IL</v>
          </cell>
          <cell r="N1716">
            <v>22.936316324598639</v>
          </cell>
        </row>
        <row r="1717">
          <cell r="F1717" t="str">
            <v>Logan County, KS</v>
          </cell>
          <cell r="N1717">
            <v>22.936316324598639</v>
          </cell>
        </row>
        <row r="1718">
          <cell r="F1718" t="str">
            <v>Logan County, KY</v>
          </cell>
          <cell r="N1718">
            <v>22.936316324598639</v>
          </cell>
        </row>
        <row r="1719">
          <cell r="F1719" t="str">
            <v>Logan County, ND</v>
          </cell>
          <cell r="N1719">
            <v>22.936316324598639</v>
          </cell>
        </row>
        <row r="1720">
          <cell r="F1720" t="str">
            <v>Logan County, NE</v>
          </cell>
          <cell r="N1720">
            <v>22.936316324598639</v>
          </cell>
        </row>
        <row r="1721">
          <cell r="F1721" t="str">
            <v>Logan County, OH</v>
          </cell>
          <cell r="N1721">
            <v>22.936316324598639</v>
          </cell>
        </row>
        <row r="1722">
          <cell r="F1722" t="str">
            <v>Logan County, OK</v>
          </cell>
          <cell r="N1722">
            <v>22.936316324598639</v>
          </cell>
        </row>
        <row r="1723">
          <cell r="F1723" t="str">
            <v>Logan County, WV</v>
          </cell>
          <cell r="N1723">
            <v>22.936316324598639</v>
          </cell>
        </row>
        <row r="1724">
          <cell r="F1724" t="str">
            <v>Long County, GA</v>
          </cell>
          <cell r="N1724">
            <v>22.936316324598639</v>
          </cell>
        </row>
        <row r="1725">
          <cell r="F1725" t="str">
            <v>Lonoke County, AR</v>
          </cell>
          <cell r="N1725">
            <v>22.936316324598639</v>
          </cell>
        </row>
        <row r="1726">
          <cell r="F1726" t="str">
            <v>Lorain County, OH</v>
          </cell>
          <cell r="N1726">
            <v>22.936316324598639</v>
          </cell>
        </row>
        <row r="1727">
          <cell r="F1727" t="str">
            <v>Los Alamos County, NM</v>
          </cell>
          <cell r="N1727">
            <v>22.936316324598639</v>
          </cell>
        </row>
        <row r="1728">
          <cell r="F1728" t="str">
            <v>Los Angeles County, CA</v>
          </cell>
          <cell r="N1728">
            <v>22.936316324598639</v>
          </cell>
        </row>
        <row r="1729">
          <cell r="F1729" t="str">
            <v>Loudon County, TN</v>
          </cell>
          <cell r="N1729">
            <v>22.936316324598639</v>
          </cell>
        </row>
        <row r="1730">
          <cell r="F1730" t="str">
            <v>Loudoun County, VA</v>
          </cell>
          <cell r="N1730">
            <v>22.936316324598639</v>
          </cell>
        </row>
        <row r="1731">
          <cell r="F1731" t="str">
            <v>Louisa County, IA</v>
          </cell>
          <cell r="N1731">
            <v>22.936316324598639</v>
          </cell>
        </row>
        <row r="1732">
          <cell r="F1732" t="str">
            <v>Louisa County, VA</v>
          </cell>
          <cell r="N1732">
            <v>22.936316324598639</v>
          </cell>
        </row>
        <row r="1733">
          <cell r="F1733" t="str">
            <v>Loup County, NE</v>
          </cell>
          <cell r="N1733">
            <v>17.835439936324043</v>
          </cell>
        </row>
        <row r="1734">
          <cell r="F1734" t="str">
            <v>Love County, OK</v>
          </cell>
          <cell r="N1734">
            <v>16.884421434157193</v>
          </cell>
        </row>
        <row r="1735">
          <cell r="F1735" t="str">
            <v>Loving County, TX</v>
          </cell>
          <cell r="N1735">
            <v>10.584227004571998</v>
          </cell>
        </row>
        <row r="1736">
          <cell r="F1736" t="str">
            <v>Lower Keys in Monroe County, FL</v>
          </cell>
          <cell r="N1736">
            <v>13.775639364680329</v>
          </cell>
        </row>
        <row r="1737">
          <cell r="F1737" t="str">
            <v>Lowndes County, AL</v>
          </cell>
          <cell r="N1737">
            <v>10.242133394389853</v>
          </cell>
        </row>
        <row r="1738">
          <cell r="F1738" t="str">
            <v>Lowndes County, GA</v>
          </cell>
          <cell r="N1738">
            <v>12.407142535874051</v>
          </cell>
        </row>
        <row r="1739">
          <cell r="F1739" t="str">
            <v>Lowndes County, MS</v>
          </cell>
          <cell r="N1739">
            <v>13.701114101312044</v>
          </cell>
        </row>
        <row r="1740">
          <cell r="F1740" t="str">
            <v>Lubbock County, TX</v>
          </cell>
          <cell r="N1740">
            <v>11.677772569151017</v>
          </cell>
        </row>
        <row r="1741">
          <cell r="F1741" t="str">
            <v>Lucas County, IA</v>
          </cell>
          <cell r="N1741">
            <v>18.781523590767762</v>
          </cell>
        </row>
        <row r="1742">
          <cell r="F1742" t="str">
            <v>Lucas County, OH</v>
          </cell>
          <cell r="N1742">
            <v>13.74045923632525</v>
          </cell>
        </row>
        <row r="1743">
          <cell r="F1743" t="str">
            <v>Luce County, MI</v>
          </cell>
          <cell r="N1743">
            <v>19.380204465226626</v>
          </cell>
        </row>
        <row r="1744">
          <cell r="F1744" t="str">
            <v>Lumpkin County, GA</v>
          </cell>
          <cell r="N1744">
            <v>21.368996132615866</v>
          </cell>
        </row>
        <row r="1745">
          <cell r="F1745" t="str">
            <v>Luna County, NM</v>
          </cell>
          <cell r="N1745">
            <v>20.197506416438312</v>
          </cell>
        </row>
        <row r="1746">
          <cell r="F1746" t="str">
            <v>Lunenburg County, VA</v>
          </cell>
          <cell r="N1746">
            <v>17.775407121726367</v>
          </cell>
        </row>
        <row r="1747">
          <cell r="F1747" t="str">
            <v>Luzerne County, PA</v>
          </cell>
          <cell r="N1747">
            <v>18.306803197769447</v>
          </cell>
        </row>
        <row r="1748">
          <cell r="F1748" t="str">
            <v>Lycoming County, PA</v>
          </cell>
          <cell r="N1748">
            <v>20.084345260477836</v>
          </cell>
        </row>
        <row r="1749">
          <cell r="F1749" t="str">
            <v>Lyman County, SD</v>
          </cell>
          <cell r="N1749">
            <v>19.723215448599515</v>
          </cell>
        </row>
        <row r="1750">
          <cell r="F1750" t="str">
            <v>Lynn County, TX</v>
          </cell>
          <cell r="N1750">
            <v>12.1288325848924</v>
          </cell>
        </row>
        <row r="1751">
          <cell r="F1751" t="str">
            <v>Lyon County, IA</v>
          </cell>
          <cell r="N1751">
            <v>26.50331059812757</v>
          </cell>
        </row>
        <row r="1752">
          <cell r="F1752" t="str">
            <v>Lyon County, KS</v>
          </cell>
          <cell r="N1752">
            <v>16.650953671127528</v>
          </cell>
        </row>
        <row r="1753">
          <cell r="F1753" t="str">
            <v>Lyon County, KY</v>
          </cell>
          <cell r="N1753">
            <v>14.08814998989182</v>
          </cell>
        </row>
        <row r="1754">
          <cell r="F1754" t="str">
            <v>Lyon County, MN</v>
          </cell>
          <cell r="N1754">
            <v>25.853622645858877</v>
          </cell>
        </row>
        <row r="1755">
          <cell r="F1755" t="str">
            <v>Lyon County, NV</v>
          </cell>
          <cell r="N1755">
            <v>14.255568494861732</v>
          </cell>
        </row>
        <row r="1756">
          <cell r="F1756" t="str">
            <v>Mackinac County, MI</v>
          </cell>
          <cell r="N1756">
            <v>17.884789079484165</v>
          </cell>
        </row>
        <row r="1757">
          <cell r="F1757" t="str">
            <v>Macomb County, MI</v>
          </cell>
          <cell r="N1757">
            <v>15.997428753695818</v>
          </cell>
        </row>
        <row r="1758">
          <cell r="F1758" t="str">
            <v>Macon County, AL</v>
          </cell>
          <cell r="N1758">
            <v>12.355374767153709</v>
          </cell>
        </row>
        <row r="1759">
          <cell r="F1759" t="str">
            <v>Macon County, GA</v>
          </cell>
          <cell r="N1759">
            <v>14.449014169161892</v>
          </cell>
        </row>
        <row r="1760">
          <cell r="F1760" t="str">
            <v>Macon County, IL</v>
          </cell>
          <cell r="N1760">
            <v>12.946412740881048</v>
          </cell>
        </row>
        <row r="1761">
          <cell r="F1761" t="str">
            <v>Macon County, MO</v>
          </cell>
          <cell r="N1761">
            <v>15.956850084365339</v>
          </cell>
        </row>
        <row r="1762">
          <cell r="F1762" t="str">
            <v>Macon County, NC</v>
          </cell>
          <cell r="N1762">
            <v>24.253304075454068</v>
          </cell>
        </row>
        <row r="1763">
          <cell r="F1763" t="str">
            <v>Macon County, TN</v>
          </cell>
          <cell r="N1763">
            <v>15.928251321278033</v>
          </cell>
        </row>
        <row r="1764">
          <cell r="F1764" t="str">
            <v>Macoupin County, IL</v>
          </cell>
          <cell r="N1764">
            <v>10.23827087777611</v>
          </cell>
        </row>
        <row r="1765">
          <cell r="F1765" t="str">
            <v>Madera County, CA</v>
          </cell>
          <cell r="N1765">
            <v>10.686686170383883</v>
          </cell>
        </row>
        <row r="1766">
          <cell r="F1766" t="str">
            <v>Madison County, AL</v>
          </cell>
          <cell r="N1766">
            <v>19.245644978102327</v>
          </cell>
        </row>
        <row r="1767">
          <cell r="F1767" t="str">
            <v>Madison County, AR</v>
          </cell>
          <cell r="N1767">
            <v>23.694635732843984</v>
          </cell>
        </row>
        <row r="1768">
          <cell r="F1768" t="str">
            <v>Madison County, FL</v>
          </cell>
          <cell r="N1768">
            <v>11.803359286512949</v>
          </cell>
        </row>
        <row r="1769">
          <cell r="F1769" t="str">
            <v>Madison County, GA</v>
          </cell>
          <cell r="N1769">
            <v>21.627760382342053</v>
          </cell>
        </row>
        <row r="1770">
          <cell r="F1770" t="str">
            <v>Madison County, IA</v>
          </cell>
          <cell r="N1770">
            <v>20.44309624159272</v>
          </cell>
        </row>
        <row r="1771">
          <cell r="F1771" t="str">
            <v>Madison County, ID</v>
          </cell>
          <cell r="N1771">
            <v>20.44309624159272</v>
          </cell>
        </row>
        <row r="1772">
          <cell r="F1772" t="str">
            <v>Madison County, IL</v>
          </cell>
          <cell r="N1772">
            <v>20.44309624159272</v>
          </cell>
        </row>
        <row r="1773">
          <cell r="F1773" t="str">
            <v>Madison County, IN</v>
          </cell>
          <cell r="N1773">
            <v>20.44309624159272</v>
          </cell>
        </row>
        <row r="1774">
          <cell r="F1774" t="str">
            <v>Madison County, KY</v>
          </cell>
          <cell r="N1774">
            <v>17.098217257764208</v>
          </cell>
        </row>
        <row r="1775">
          <cell r="F1775" t="str">
            <v>Madison County, MO</v>
          </cell>
          <cell r="N1775">
            <v>16.219932420745955</v>
          </cell>
        </row>
        <row r="1776">
          <cell r="F1776" t="str">
            <v>Madison County, MS</v>
          </cell>
          <cell r="N1776">
            <v>16.219932420745955</v>
          </cell>
        </row>
        <row r="1777">
          <cell r="F1777" t="str">
            <v>Madison County, MT</v>
          </cell>
          <cell r="N1777">
            <v>15.571609207797941</v>
          </cell>
        </row>
        <row r="1778">
          <cell r="F1778" t="str">
            <v>Madison County, NC</v>
          </cell>
          <cell r="N1778">
            <v>15.571609207797941</v>
          </cell>
        </row>
        <row r="1779">
          <cell r="F1779" t="str">
            <v>Madison County, NE</v>
          </cell>
          <cell r="N1779">
            <v>22.072450195927679</v>
          </cell>
        </row>
        <row r="1780">
          <cell r="F1780" t="str">
            <v>Madison County, NY</v>
          </cell>
          <cell r="N1780">
            <v>24.897382230272868</v>
          </cell>
        </row>
        <row r="1781">
          <cell r="F1781" t="str">
            <v>Madison County, OH</v>
          </cell>
          <cell r="N1781">
            <v>14.505441706326405</v>
          </cell>
        </row>
        <row r="1782">
          <cell r="F1782" t="str">
            <v>Madison County, TN</v>
          </cell>
          <cell r="N1782">
            <v>19.364065525975732</v>
          </cell>
        </row>
        <row r="1783">
          <cell r="F1783" t="str">
            <v>Madison County, TX</v>
          </cell>
          <cell r="N1783">
            <v>10.359545524766329</v>
          </cell>
        </row>
        <row r="1784">
          <cell r="F1784" t="str">
            <v>Madison County, VA</v>
          </cell>
          <cell r="N1784">
            <v>16.553464831352709</v>
          </cell>
        </row>
        <row r="1785">
          <cell r="F1785" t="str">
            <v>Madison Parish, LA</v>
          </cell>
          <cell r="N1785">
            <v>12.167058704081741</v>
          </cell>
        </row>
        <row r="1786">
          <cell r="F1786" t="str">
            <v>Magoffin County, KY</v>
          </cell>
          <cell r="N1786">
            <v>19.484598671905704</v>
          </cell>
        </row>
        <row r="1787">
          <cell r="F1787" t="str">
            <v>Mahaska County, IA</v>
          </cell>
          <cell r="N1787">
            <v>16.718404215993441</v>
          </cell>
        </row>
        <row r="1788">
          <cell r="F1788" t="str">
            <v>Mahnomen County, MN</v>
          </cell>
          <cell r="N1788">
            <v>20.633515234517141</v>
          </cell>
        </row>
        <row r="1789">
          <cell r="F1789" t="str">
            <v>Mahoning County, OH</v>
          </cell>
          <cell r="N1789">
            <v>20.91634285075936</v>
          </cell>
        </row>
        <row r="1790">
          <cell r="F1790" t="str">
            <v>Mainland Monroe County, FL</v>
          </cell>
          <cell r="N1790">
            <v>12.485825435181676</v>
          </cell>
        </row>
        <row r="1791">
          <cell r="F1791" t="str">
            <v>Major County, OK</v>
          </cell>
          <cell r="N1791">
            <v>12.925344897570323</v>
          </cell>
        </row>
        <row r="1792">
          <cell r="F1792" t="str">
            <v>Malheur County, OR</v>
          </cell>
          <cell r="N1792">
            <v>24.02152225639643</v>
          </cell>
        </row>
        <row r="1793">
          <cell r="F1793" t="str">
            <v>Manatee County, FL</v>
          </cell>
          <cell r="N1793">
            <v>12.787717059862226</v>
          </cell>
        </row>
        <row r="1794">
          <cell r="F1794" t="str">
            <v>Manistee County, MI</v>
          </cell>
          <cell r="N1794">
            <v>15.734346417315198</v>
          </cell>
        </row>
        <row r="1795">
          <cell r="F1795" t="str">
            <v>Manitowoc County, WI</v>
          </cell>
          <cell r="N1795">
            <v>16.925140150406421</v>
          </cell>
        </row>
        <row r="1796">
          <cell r="F1796" t="str">
            <v>Marathon County, WI</v>
          </cell>
          <cell r="N1796">
            <v>21.660622205257543</v>
          </cell>
        </row>
        <row r="1797">
          <cell r="F1797" t="str">
            <v>Marengo County, AL</v>
          </cell>
          <cell r="N1797">
            <v>10.131393071079987</v>
          </cell>
        </row>
        <row r="1798">
          <cell r="F1798" t="str">
            <v>Maricopa County, AZ</v>
          </cell>
          <cell r="N1798">
            <v>24.037590571939127</v>
          </cell>
        </row>
        <row r="1799">
          <cell r="F1799" t="str">
            <v>Maries County, MO</v>
          </cell>
          <cell r="N1799">
            <v>16.455321879612825</v>
          </cell>
        </row>
        <row r="1800">
          <cell r="F1800" t="str">
            <v>Marin County, CA</v>
          </cell>
          <cell r="N1800">
            <v>10.570739176368834</v>
          </cell>
        </row>
        <row r="1801">
          <cell r="F1801" t="str">
            <v>Marinette County, WI</v>
          </cell>
          <cell r="N1801">
            <v>20.89906807362944</v>
          </cell>
        </row>
        <row r="1802">
          <cell r="F1802" t="str">
            <v>Marion County, AL</v>
          </cell>
          <cell r="N1802">
            <v>16.586123522583193</v>
          </cell>
        </row>
        <row r="1803">
          <cell r="F1803" t="str">
            <v>Marion County, AR</v>
          </cell>
          <cell r="N1803">
            <v>23.693080850755802</v>
          </cell>
        </row>
        <row r="1804">
          <cell r="F1804" t="str">
            <v>Marion County, FL</v>
          </cell>
          <cell r="N1804">
            <v>14.494579264060128</v>
          </cell>
        </row>
        <row r="1805">
          <cell r="F1805" t="str">
            <v>Marion County, GA</v>
          </cell>
          <cell r="N1805">
            <v>14.449014169161892</v>
          </cell>
        </row>
        <row r="1806">
          <cell r="F1806" t="str">
            <v>Marion County, IA</v>
          </cell>
          <cell r="N1806">
            <v>14.449014169161892</v>
          </cell>
        </row>
        <row r="1807">
          <cell r="F1807" t="str">
            <v>Marion County, IL</v>
          </cell>
          <cell r="N1807">
            <v>11.442911049624204</v>
          </cell>
        </row>
        <row r="1808">
          <cell r="F1808" t="str">
            <v>Marion County, IN</v>
          </cell>
          <cell r="N1808">
            <v>12.944905696388286</v>
          </cell>
        </row>
        <row r="1809">
          <cell r="F1809" t="str">
            <v>Marion County, KS</v>
          </cell>
          <cell r="N1809">
            <v>13.217036859422617</v>
          </cell>
        </row>
        <row r="1810">
          <cell r="F1810" t="str">
            <v>Marion County, KY</v>
          </cell>
          <cell r="N1810">
            <v>14.255725781461457</v>
          </cell>
        </row>
        <row r="1811">
          <cell r="F1811" t="str">
            <v>Marion County, MO</v>
          </cell>
          <cell r="N1811">
            <v>14.253738117269759</v>
          </cell>
        </row>
        <row r="1812">
          <cell r="F1812" t="str">
            <v>Marion County, MS</v>
          </cell>
          <cell r="N1812">
            <v>14.253738117269759</v>
          </cell>
        </row>
        <row r="1813">
          <cell r="F1813" t="str">
            <v>Marion County, OH</v>
          </cell>
          <cell r="N1813">
            <v>15.031606379087641</v>
          </cell>
        </row>
        <row r="1814">
          <cell r="F1814" t="str">
            <v>Marion County, OR</v>
          </cell>
          <cell r="N1814">
            <v>25.255385696182952</v>
          </cell>
        </row>
        <row r="1815">
          <cell r="F1815" t="str">
            <v>Marion County, SC</v>
          </cell>
          <cell r="N1815">
            <v>26.774652695537071</v>
          </cell>
        </row>
        <row r="1816">
          <cell r="F1816" t="str">
            <v>Marion County, TN</v>
          </cell>
          <cell r="N1816">
            <v>20.830396274424121</v>
          </cell>
        </row>
        <row r="1817">
          <cell r="F1817" t="str">
            <v>Marion County, TX</v>
          </cell>
          <cell r="N1817">
            <v>12.481573751935482</v>
          </cell>
        </row>
        <row r="1818">
          <cell r="F1818" t="str">
            <v>Marion County, WV</v>
          </cell>
          <cell r="N1818">
            <v>21.725153318362505</v>
          </cell>
        </row>
        <row r="1819">
          <cell r="F1819" t="str">
            <v>Mariposa County, CA</v>
          </cell>
          <cell r="N1819">
            <v>11.243755598070573</v>
          </cell>
        </row>
        <row r="1820">
          <cell r="F1820" t="str">
            <v>Marlboro County, SC</v>
          </cell>
          <cell r="N1820">
            <v>26.271499987736153</v>
          </cell>
        </row>
        <row r="1821">
          <cell r="F1821" t="str">
            <v>Marquette County, MI</v>
          </cell>
          <cell r="N1821">
            <v>23.603368286073394</v>
          </cell>
        </row>
        <row r="1822">
          <cell r="F1822" t="str">
            <v>Marquette County, WI</v>
          </cell>
          <cell r="N1822">
            <v>18.199012516038884</v>
          </cell>
        </row>
        <row r="1823">
          <cell r="F1823" t="str">
            <v>Marshall County, AL</v>
          </cell>
          <cell r="N1823">
            <v>17.530659761677438</v>
          </cell>
        </row>
        <row r="1824">
          <cell r="F1824" t="str">
            <v>Marshall County, IA</v>
          </cell>
          <cell r="N1824">
            <v>19.681542109964614</v>
          </cell>
        </row>
        <row r="1825">
          <cell r="F1825" t="str">
            <v>Marshall County, IL</v>
          </cell>
          <cell r="N1825">
            <v>19.681542109964614</v>
          </cell>
        </row>
        <row r="1826">
          <cell r="F1826" t="str">
            <v>Marshall County, IN</v>
          </cell>
          <cell r="N1826">
            <v>19.681542109964614</v>
          </cell>
        </row>
        <row r="1827">
          <cell r="F1827" t="str">
            <v>Marshall County, KS</v>
          </cell>
          <cell r="N1827">
            <v>17.675590139136251</v>
          </cell>
        </row>
        <row r="1828">
          <cell r="F1828" t="str">
            <v>Marshall County, KY</v>
          </cell>
          <cell r="N1828">
            <v>14.663181655950012</v>
          </cell>
        </row>
        <row r="1829">
          <cell r="F1829" t="str">
            <v>Marshall County, MN</v>
          </cell>
          <cell r="N1829">
            <v>19.456567940182794</v>
          </cell>
        </row>
        <row r="1830">
          <cell r="F1830" t="str">
            <v>Marshall County, MS</v>
          </cell>
          <cell r="N1830">
            <v>17.525074680599019</v>
          </cell>
        </row>
        <row r="1831">
          <cell r="F1831" t="str">
            <v>Marshall County, OK</v>
          </cell>
          <cell r="N1831">
            <v>16.61014567690404</v>
          </cell>
        </row>
        <row r="1832">
          <cell r="F1832" t="str">
            <v>Marshall County, SD</v>
          </cell>
          <cell r="N1832">
            <v>20.338217012945307</v>
          </cell>
        </row>
        <row r="1833">
          <cell r="F1833" t="str">
            <v>Marshall County, TN</v>
          </cell>
          <cell r="N1833">
            <v>18.817785443220451</v>
          </cell>
        </row>
        <row r="1834">
          <cell r="F1834" t="str">
            <v>Marshall County, WV</v>
          </cell>
          <cell r="N1834">
            <v>20.735863930453363</v>
          </cell>
        </row>
        <row r="1835">
          <cell r="F1835" t="str">
            <v>Martin County, FL</v>
          </cell>
          <cell r="N1835">
            <v>11.235131561505108</v>
          </cell>
        </row>
        <row r="1836">
          <cell r="F1836" t="str">
            <v>Martin County, IN</v>
          </cell>
          <cell r="N1836">
            <v>12.262318627712713</v>
          </cell>
        </row>
        <row r="1837">
          <cell r="F1837" t="str">
            <v>Martin County, KY</v>
          </cell>
          <cell r="N1837">
            <v>20.447776712553178</v>
          </cell>
        </row>
        <row r="1838">
          <cell r="F1838" t="str">
            <v>Martin County, MN</v>
          </cell>
          <cell r="N1838">
            <v>25.123192541416348</v>
          </cell>
        </row>
        <row r="1839">
          <cell r="F1839" t="str">
            <v>Martin County, NC</v>
          </cell>
          <cell r="N1839">
            <v>18.292935621178739</v>
          </cell>
        </row>
        <row r="1840">
          <cell r="F1840" t="str">
            <v>Martin County, TX</v>
          </cell>
          <cell r="N1840">
            <v>9.6892219019564365</v>
          </cell>
        </row>
        <row r="1841">
          <cell r="F1841" t="str">
            <v>Martinsvil County, VA</v>
          </cell>
          <cell r="N1841">
            <v>22.16002357542008</v>
          </cell>
        </row>
        <row r="1842">
          <cell r="F1842" t="str">
            <v>Mason County, IL</v>
          </cell>
          <cell r="N1842">
            <v>9.6567204499873753</v>
          </cell>
        </row>
        <row r="1843">
          <cell r="F1843" t="str">
            <v>Mason County, KY</v>
          </cell>
          <cell r="N1843">
            <v>16.048784467208009</v>
          </cell>
        </row>
        <row r="1844">
          <cell r="F1844" t="str">
            <v>Mason County, MI</v>
          </cell>
          <cell r="N1844">
            <v>13.74045923632525</v>
          </cell>
        </row>
        <row r="1845">
          <cell r="F1845" t="str">
            <v>Mason County, TX</v>
          </cell>
          <cell r="N1845">
            <v>16.267412905401905</v>
          </cell>
        </row>
        <row r="1846">
          <cell r="F1846" t="str">
            <v>Mason County, WA</v>
          </cell>
          <cell r="N1846">
            <v>32.700629861258449</v>
          </cell>
        </row>
        <row r="1847">
          <cell r="F1847" t="str">
            <v>Mason County, WV</v>
          </cell>
          <cell r="N1847">
            <v>18.848934663885991</v>
          </cell>
        </row>
        <row r="1848">
          <cell r="F1848" t="str">
            <v>Massac County, IL</v>
          </cell>
          <cell r="N1848">
            <v>14.772222300007805</v>
          </cell>
        </row>
        <row r="1849">
          <cell r="F1849" t="str">
            <v>Matagorda County, TX</v>
          </cell>
          <cell r="N1849">
            <v>8.9485808565940097</v>
          </cell>
        </row>
        <row r="1850">
          <cell r="F1850" t="str">
            <v>Mathews County, VA</v>
          </cell>
          <cell r="N1850">
            <v>12.12572100270463</v>
          </cell>
        </row>
        <row r="1851">
          <cell r="F1851" t="str">
            <v>Maury County, TN</v>
          </cell>
          <cell r="N1851">
            <v>18.544645401842807</v>
          </cell>
        </row>
        <row r="1852">
          <cell r="F1852" t="str">
            <v>Maverick County, TX</v>
          </cell>
          <cell r="N1852">
            <v>14.472812177366997</v>
          </cell>
        </row>
        <row r="1853">
          <cell r="F1853" t="str">
            <v>Mayes County, OK</v>
          </cell>
          <cell r="N1853">
            <v>19.291788050622273</v>
          </cell>
        </row>
        <row r="1854">
          <cell r="F1854" t="str">
            <v>McClain County, OK</v>
          </cell>
          <cell r="N1854">
            <v>15.192087257996153</v>
          </cell>
        </row>
        <row r="1855">
          <cell r="F1855" t="str">
            <v>McCone County, MT</v>
          </cell>
          <cell r="N1855">
            <v>19.486546416264623</v>
          </cell>
        </row>
        <row r="1856">
          <cell r="F1856" t="str">
            <v>McCook County, SD</v>
          </cell>
          <cell r="N1856">
            <v>24.694086962317506</v>
          </cell>
        </row>
        <row r="1857">
          <cell r="F1857" t="str">
            <v>McCormick County, SC</v>
          </cell>
          <cell r="N1857">
            <v>22.010680577827117</v>
          </cell>
        </row>
        <row r="1858">
          <cell r="F1858" t="str">
            <v>McCracken County, KY</v>
          </cell>
          <cell r="N1858">
            <v>15.626359696597483</v>
          </cell>
        </row>
        <row r="1859">
          <cell r="F1859" t="str">
            <v>McCreary County, KY</v>
          </cell>
          <cell r="N1859">
            <v>18.33845061047462</v>
          </cell>
        </row>
        <row r="1860">
          <cell r="F1860" t="str">
            <v>McCulloch County, TX</v>
          </cell>
          <cell r="N1860">
            <v>16.777084892024831</v>
          </cell>
        </row>
        <row r="1861">
          <cell r="F1861" t="str">
            <v>McCurtain County, OK</v>
          </cell>
          <cell r="N1861">
            <v>16.61014567690404</v>
          </cell>
        </row>
        <row r="1862">
          <cell r="F1862" t="str">
            <v>McDonald County, MO</v>
          </cell>
          <cell r="N1862">
            <v>21.372589287221778</v>
          </cell>
        </row>
        <row r="1863">
          <cell r="F1863" t="str">
            <v>McDonough County, IL</v>
          </cell>
          <cell r="N1863">
            <v>11.442911049624204</v>
          </cell>
        </row>
        <row r="1864">
          <cell r="F1864" t="str">
            <v>McDowell County, NC</v>
          </cell>
          <cell r="N1864">
            <v>26.068711248272002</v>
          </cell>
        </row>
        <row r="1865">
          <cell r="F1865" t="str">
            <v>McDowell County, WV</v>
          </cell>
          <cell r="N1865">
            <v>22.540752794126501</v>
          </cell>
        </row>
        <row r="1866">
          <cell r="F1866" t="str">
            <v>McDuffie County, GA</v>
          </cell>
          <cell r="N1866">
            <v>19.897439205063264</v>
          </cell>
        </row>
        <row r="1867">
          <cell r="F1867" t="str">
            <v>McHenry County, IL</v>
          </cell>
          <cell r="N1867">
            <v>15.734346417315198</v>
          </cell>
        </row>
        <row r="1868">
          <cell r="F1868" t="str">
            <v>McHenry County, ND</v>
          </cell>
          <cell r="N1868">
            <v>13.318072563209864</v>
          </cell>
        </row>
        <row r="1869">
          <cell r="F1869" t="str">
            <v>McIntosh County, GA</v>
          </cell>
          <cell r="N1869">
            <v>18.861872987377254</v>
          </cell>
        </row>
        <row r="1870">
          <cell r="F1870" t="str">
            <v>McIntosh County, ND</v>
          </cell>
          <cell r="N1870">
            <v>17.19959842281223</v>
          </cell>
        </row>
        <row r="1871">
          <cell r="F1871" t="str">
            <v>McIntosh County, OK</v>
          </cell>
          <cell r="N1871">
            <v>19.046383425711554</v>
          </cell>
        </row>
        <row r="1872">
          <cell r="F1872" t="str">
            <v>McKean County, PA</v>
          </cell>
          <cell r="N1872">
            <v>22.449843543928235</v>
          </cell>
        </row>
        <row r="1873">
          <cell r="F1873" t="str">
            <v>McKenzie County, ND</v>
          </cell>
          <cell r="N1873">
            <v>14.114584875887786</v>
          </cell>
        </row>
        <row r="1874">
          <cell r="F1874" t="str">
            <v>McKinley County, NM</v>
          </cell>
          <cell r="N1874">
            <v>10.945894949226819</v>
          </cell>
        </row>
        <row r="1875">
          <cell r="F1875" t="str">
            <v>McLean County, IL</v>
          </cell>
          <cell r="N1875">
            <v>9.6567204499873753</v>
          </cell>
        </row>
        <row r="1876">
          <cell r="F1876" t="str">
            <v>McLean County, KY</v>
          </cell>
          <cell r="N1876">
            <v>13.134414032647983</v>
          </cell>
        </row>
        <row r="1877">
          <cell r="F1877" t="str">
            <v>McLean County, ND</v>
          </cell>
          <cell r="N1877">
            <v>13.912371949152277</v>
          </cell>
        </row>
        <row r="1878">
          <cell r="F1878" t="str">
            <v>McLennan County, TX</v>
          </cell>
          <cell r="N1878">
            <v>12.207297994682326</v>
          </cell>
        </row>
        <row r="1879">
          <cell r="F1879" t="str">
            <v>McLeod County, MN</v>
          </cell>
          <cell r="N1879">
            <v>28.567524642206308</v>
          </cell>
        </row>
        <row r="1880">
          <cell r="F1880" t="str">
            <v>McMinn County, TN</v>
          </cell>
          <cell r="N1880">
            <v>21.376676357179406</v>
          </cell>
        </row>
        <row r="1881">
          <cell r="F1881" t="str">
            <v>McMullen County, TX</v>
          </cell>
          <cell r="N1881">
            <v>9.0594748631599753</v>
          </cell>
        </row>
        <row r="1882">
          <cell r="F1882" t="str">
            <v>McNairy County, TN</v>
          </cell>
          <cell r="N1882">
            <v>18.588883262806675</v>
          </cell>
        </row>
        <row r="1883">
          <cell r="F1883" t="str">
            <v>McPherson County, KS</v>
          </cell>
          <cell r="N1883">
            <v>12.42778985028076</v>
          </cell>
        </row>
        <row r="1884">
          <cell r="F1884" t="str">
            <v>McPherson County, NE</v>
          </cell>
          <cell r="N1884">
            <v>12.906107738876671</v>
          </cell>
        </row>
        <row r="1885">
          <cell r="F1885" t="str">
            <v>McPherson County, SD</v>
          </cell>
          <cell r="N1885">
            <v>18.399715586982857</v>
          </cell>
        </row>
        <row r="1886">
          <cell r="F1886" t="str">
            <v>Meade County, KS</v>
          </cell>
          <cell r="N1886">
            <v>11.209303239675792</v>
          </cell>
        </row>
        <row r="1887">
          <cell r="F1887" t="str">
            <v>Meade County, KY</v>
          </cell>
          <cell r="N1887">
            <v>12.171235992000511</v>
          </cell>
        </row>
        <row r="1888">
          <cell r="F1888" t="str">
            <v>Meade County, SD</v>
          </cell>
          <cell r="N1888">
            <v>13.727707466872793</v>
          </cell>
        </row>
        <row r="1889">
          <cell r="F1889" t="str">
            <v>Meagher County, MT</v>
          </cell>
          <cell r="N1889">
            <v>16.086992761294198</v>
          </cell>
        </row>
        <row r="1890">
          <cell r="F1890" t="str">
            <v>Mecklenburg County, NC</v>
          </cell>
          <cell r="N1890">
            <v>26.774652695537071</v>
          </cell>
        </row>
        <row r="1891">
          <cell r="F1891" t="str">
            <v>Mecklenburg County, VA</v>
          </cell>
          <cell r="N1891">
            <v>18.292935621178739</v>
          </cell>
        </row>
        <row r="1892">
          <cell r="F1892" t="str">
            <v>Mecosta County, MI</v>
          </cell>
          <cell r="N1892">
            <v>12.951212227183397</v>
          </cell>
        </row>
        <row r="1893">
          <cell r="F1893" t="str">
            <v>Medina County, OH</v>
          </cell>
          <cell r="N1893">
            <v>18.770144843443791</v>
          </cell>
        </row>
        <row r="1894">
          <cell r="F1894" t="str">
            <v>Medina County, TX</v>
          </cell>
          <cell r="N1894">
            <v>13.505629243895342</v>
          </cell>
        </row>
        <row r="1895">
          <cell r="F1895" t="str">
            <v>Meeker County, MN</v>
          </cell>
          <cell r="N1895">
            <v>27.432116664142587</v>
          </cell>
        </row>
        <row r="1896">
          <cell r="F1896" t="str">
            <v>Meigs County, OH</v>
          </cell>
          <cell r="N1896">
            <v>18.770144843443791</v>
          </cell>
        </row>
        <row r="1897">
          <cell r="F1897" t="str">
            <v>Meigs County, TN</v>
          </cell>
          <cell r="N1897">
            <v>20.830396274424121</v>
          </cell>
        </row>
        <row r="1898">
          <cell r="F1898" t="str">
            <v>Mellette County, SD</v>
          </cell>
          <cell r="N1898">
            <v>18.084675833947788</v>
          </cell>
        </row>
        <row r="1899">
          <cell r="F1899" t="str">
            <v>Menard County, IL</v>
          </cell>
          <cell r="N1899">
            <v>14.441828126623509</v>
          </cell>
        </row>
        <row r="1900">
          <cell r="F1900" t="str">
            <v>Menard County, TX</v>
          </cell>
          <cell r="N1900">
            <v>15.99756431877902</v>
          </cell>
        </row>
        <row r="1901">
          <cell r="F1901" t="str">
            <v>Mendocino County, CA</v>
          </cell>
          <cell r="N1901">
            <v>10.491087945101041</v>
          </cell>
        </row>
        <row r="1902">
          <cell r="F1902" t="str">
            <v>Menifee County, KY</v>
          </cell>
          <cell r="N1902">
            <v>17.371357299141852</v>
          </cell>
        </row>
        <row r="1903">
          <cell r="F1903" t="str">
            <v>Menominee County, MI</v>
          </cell>
          <cell r="N1903">
            <v>20.89906807362944</v>
          </cell>
        </row>
        <row r="1904">
          <cell r="F1904" t="str">
            <v>Menominee County, WI</v>
          </cell>
          <cell r="N1904">
            <v>20.234439013299454</v>
          </cell>
        </row>
        <row r="1905">
          <cell r="F1905" t="str">
            <v>Merced County, CA</v>
          </cell>
          <cell r="N1905">
            <v>10.304336842778561</v>
          </cell>
        </row>
        <row r="1906">
          <cell r="F1906" t="str">
            <v>Mercer County, IL</v>
          </cell>
          <cell r="N1906">
            <v>12.522933272660428</v>
          </cell>
        </row>
        <row r="1907">
          <cell r="F1907" t="str">
            <v>Mercer County, KY</v>
          </cell>
          <cell r="N1907">
            <v>16.052699737893306</v>
          </cell>
        </row>
        <row r="1908">
          <cell r="F1908" t="str">
            <v>Mercer County, MO</v>
          </cell>
          <cell r="N1908">
            <v>19.016913049634631</v>
          </cell>
        </row>
        <row r="1909">
          <cell r="F1909" t="str">
            <v>Mercer County, ND</v>
          </cell>
          <cell r="N1909">
            <v>16.950362525188485</v>
          </cell>
        </row>
        <row r="1910">
          <cell r="F1910" t="str">
            <v>Mercer County, NJ</v>
          </cell>
          <cell r="N1910">
            <v>16.950362525188485</v>
          </cell>
        </row>
        <row r="1911">
          <cell r="F1911" t="str">
            <v>Mercer County, OH</v>
          </cell>
          <cell r="N1911">
            <v>10.766903241970251</v>
          </cell>
        </row>
        <row r="1912">
          <cell r="F1912" t="str">
            <v>Mercer County, PA</v>
          </cell>
          <cell r="N1912">
            <v>22.210889850124858</v>
          </cell>
        </row>
        <row r="1913">
          <cell r="F1913" t="str">
            <v>Mercer County, WV</v>
          </cell>
          <cell r="N1913">
            <v>23.661971633681024</v>
          </cell>
        </row>
        <row r="1914">
          <cell r="F1914" t="str">
            <v>Meriwether County, GA</v>
          </cell>
          <cell r="N1914">
            <v>16.466851179469781</v>
          </cell>
        </row>
        <row r="1915">
          <cell r="F1915" t="str">
            <v>Merrick County, NE</v>
          </cell>
          <cell r="N1915">
            <v>20.638728033107419</v>
          </cell>
        </row>
        <row r="1916">
          <cell r="F1916" t="str">
            <v>Merrimack County, NH</v>
          </cell>
          <cell r="N1916">
            <v>29.423277789938084</v>
          </cell>
        </row>
        <row r="1917">
          <cell r="F1917" t="str">
            <v>Mesa County, CO</v>
          </cell>
          <cell r="N1917">
            <v>14.347554987602477</v>
          </cell>
        </row>
        <row r="1918">
          <cell r="F1918" t="str">
            <v>Metcalfe County, KY</v>
          </cell>
          <cell r="N1918">
            <v>15.928251321278033</v>
          </cell>
        </row>
        <row r="1919">
          <cell r="F1919" t="str">
            <v>Miami County, IN</v>
          </cell>
          <cell r="N1919">
            <v>13.214294563564014</v>
          </cell>
        </row>
        <row r="1920">
          <cell r="F1920" t="str">
            <v>Miami County, KS</v>
          </cell>
          <cell r="N1920">
            <v>20.375645696726803</v>
          </cell>
        </row>
        <row r="1921">
          <cell r="F1921" t="str">
            <v>Miami County, OH</v>
          </cell>
          <cell r="N1921">
            <v>11.722307516194601</v>
          </cell>
        </row>
        <row r="1922">
          <cell r="F1922" t="str">
            <v>Miami-Dade County, FL</v>
          </cell>
          <cell r="N1922">
            <v>12.485825435181676</v>
          </cell>
        </row>
        <row r="1923">
          <cell r="F1923" t="str">
            <v>Middle Keys in Monroe County, FL</v>
          </cell>
          <cell r="N1923">
            <v>12.884340282290131</v>
          </cell>
        </row>
        <row r="1924">
          <cell r="F1924" t="str">
            <v>Middlesex County, CT</v>
          </cell>
          <cell r="N1924">
            <v>21.725153318362505</v>
          </cell>
        </row>
        <row r="1925">
          <cell r="F1925" t="str">
            <v>Middlesex County, MA</v>
          </cell>
          <cell r="N1925">
            <v>26.100641472721627</v>
          </cell>
        </row>
        <row r="1926">
          <cell r="F1926" t="str">
            <v>Middlesex County, NJ</v>
          </cell>
          <cell r="N1926">
            <v>17.048850353391199</v>
          </cell>
        </row>
        <row r="1927">
          <cell r="F1927" t="str">
            <v>Middlesex County, VA</v>
          </cell>
          <cell r="N1927">
            <v>12.12572100270463</v>
          </cell>
        </row>
        <row r="1928">
          <cell r="F1928" t="str">
            <v>Midland County, MI</v>
          </cell>
          <cell r="N1928">
            <v>13.74045923632525</v>
          </cell>
        </row>
        <row r="1929">
          <cell r="F1929" t="str">
            <v>Midland County, TX</v>
          </cell>
          <cell r="N1929">
            <v>12.848065309258269</v>
          </cell>
        </row>
        <row r="1930">
          <cell r="F1930" t="str">
            <v>Mifflin County, PA</v>
          </cell>
          <cell r="N1930">
            <v>18.047008588604374</v>
          </cell>
        </row>
        <row r="1931">
          <cell r="F1931" t="str">
            <v>Milam County, TX</v>
          </cell>
          <cell r="N1931">
            <v>11.585024356297563</v>
          </cell>
        </row>
        <row r="1932">
          <cell r="F1932" t="str">
            <v>Millard County, UT</v>
          </cell>
          <cell r="N1932">
            <v>15.51554655026823</v>
          </cell>
        </row>
        <row r="1933">
          <cell r="F1933" t="str">
            <v>Mille Lacs County, MN</v>
          </cell>
          <cell r="N1933">
            <v>27.667506123009456</v>
          </cell>
        </row>
        <row r="1934">
          <cell r="F1934" t="str">
            <v>Miller County, AR</v>
          </cell>
          <cell r="N1934">
            <v>15.383122552350446</v>
          </cell>
        </row>
        <row r="1935">
          <cell r="F1935" t="str">
            <v>Miller County, GA</v>
          </cell>
          <cell r="N1935">
            <v>11.317880048305092</v>
          </cell>
        </row>
        <row r="1936">
          <cell r="F1936" t="str">
            <v>Miller County, MO</v>
          </cell>
          <cell r="N1936">
            <v>16.981486552374061</v>
          </cell>
        </row>
        <row r="1937">
          <cell r="F1937" t="str">
            <v>Mills County, IA</v>
          </cell>
          <cell r="N1937">
            <v>23.449555100752974</v>
          </cell>
        </row>
        <row r="1938">
          <cell r="F1938" t="str">
            <v>Mills County, TX</v>
          </cell>
          <cell r="N1938">
            <v>16.884421434157193</v>
          </cell>
        </row>
        <row r="1939">
          <cell r="F1939" t="str">
            <v>Milwaukee County, WI</v>
          </cell>
          <cell r="N1939">
            <v>13.74045923632525</v>
          </cell>
        </row>
        <row r="1940">
          <cell r="F1940" t="str">
            <v>Miner County, SD</v>
          </cell>
          <cell r="N1940">
            <v>23.946379269446279</v>
          </cell>
        </row>
        <row r="1941">
          <cell r="F1941" t="str">
            <v>Mineral County, CO</v>
          </cell>
          <cell r="N1941">
            <v>11.492074820777393</v>
          </cell>
        </row>
        <row r="1942">
          <cell r="F1942" t="str">
            <v>Mineral County, MT</v>
          </cell>
          <cell r="N1942">
            <v>24.77693212163382</v>
          </cell>
        </row>
        <row r="1943">
          <cell r="F1943" t="str">
            <v>Mineral County, NV</v>
          </cell>
          <cell r="N1943">
            <v>15.758770525892476</v>
          </cell>
        </row>
        <row r="1944">
          <cell r="F1944" t="str">
            <v>Mineral County, WV</v>
          </cell>
          <cell r="N1944">
            <v>18.047008588604374</v>
          </cell>
        </row>
        <row r="1945">
          <cell r="F1945" t="str">
            <v>Mingo County, WV</v>
          </cell>
          <cell r="N1945">
            <v>20.257294913570334</v>
          </cell>
        </row>
        <row r="1946">
          <cell r="F1946" t="str">
            <v>Minidoka County, ID</v>
          </cell>
          <cell r="N1946">
            <v>17.636263834347581</v>
          </cell>
        </row>
        <row r="1947">
          <cell r="F1947" t="str">
            <v>Minnehaha County, SD</v>
          </cell>
          <cell r="N1947">
            <v>26.018685241636955</v>
          </cell>
        </row>
        <row r="1948">
          <cell r="F1948" t="str">
            <v>Missaukee County, MI</v>
          </cell>
          <cell r="N1948">
            <v>15.997428753695818</v>
          </cell>
        </row>
        <row r="1949">
          <cell r="F1949" t="str">
            <v>Mississippi County, AR</v>
          </cell>
          <cell r="N1949">
            <v>20.756220575956881</v>
          </cell>
        </row>
        <row r="1950">
          <cell r="F1950" t="str">
            <v>Mississippi County, MO</v>
          </cell>
          <cell r="N1950">
            <v>16.516873583374007</v>
          </cell>
        </row>
        <row r="1951">
          <cell r="F1951" t="str">
            <v>Missoula County, MT</v>
          </cell>
          <cell r="N1951">
            <v>23.259413880783736</v>
          </cell>
        </row>
        <row r="1952">
          <cell r="F1952" t="str">
            <v>Mitchell County, GA</v>
          </cell>
          <cell r="N1952">
            <v>12.119626702844954</v>
          </cell>
        </row>
        <row r="1953">
          <cell r="F1953" t="str">
            <v>Mitchell County, IA</v>
          </cell>
          <cell r="N1953">
            <v>22.755451513990785</v>
          </cell>
        </row>
        <row r="1954">
          <cell r="F1954" t="str">
            <v>Mitchell County, KS</v>
          </cell>
          <cell r="N1954">
            <v>14.947841704031948</v>
          </cell>
        </row>
        <row r="1955">
          <cell r="F1955" t="str">
            <v>Mitchell County, NC</v>
          </cell>
          <cell r="N1955">
            <v>25.3067942907449</v>
          </cell>
        </row>
        <row r="1956">
          <cell r="F1956" t="str">
            <v>Mitchell County, TX</v>
          </cell>
          <cell r="N1956">
            <v>11.854556827639247</v>
          </cell>
        </row>
        <row r="1957">
          <cell r="F1957" t="str">
            <v>Mobile County, AL</v>
          </cell>
          <cell r="N1957">
            <v>10.131393071079987</v>
          </cell>
        </row>
        <row r="1958">
          <cell r="F1958" t="str">
            <v>Modoc County, CA</v>
          </cell>
          <cell r="N1958">
            <v>15.48262640605561</v>
          </cell>
        </row>
        <row r="1959">
          <cell r="F1959" t="str">
            <v>Moffat County, CO</v>
          </cell>
          <cell r="N1959">
            <v>13.849268312597381</v>
          </cell>
        </row>
        <row r="1960">
          <cell r="F1960" t="str">
            <v>Mohave County, AZ</v>
          </cell>
          <cell r="N1960">
            <v>20.716229893852155</v>
          </cell>
        </row>
        <row r="1961">
          <cell r="F1961" t="str">
            <v>Moniteau County, MO</v>
          </cell>
          <cell r="N1961">
            <v>16.718404215993441</v>
          </cell>
        </row>
        <row r="1962">
          <cell r="F1962" t="str">
            <v>Monmouth County, NJ</v>
          </cell>
          <cell r="N1962">
            <v>16.392527130237333</v>
          </cell>
        </row>
        <row r="1963">
          <cell r="F1963" t="str">
            <v>Mono County, CA</v>
          </cell>
          <cell r="N1963">
            <v>13.336688330834484</v>
          </cell>
        </row>
        <row r="1964">
          <cell r="F1964" t="str">
            <v>Monona County, IA</v>
          </cell>
          <cell r="N1964">
            <v>25.06958843530731</v>
          </cell>
        </row>
        <row r="1965">
          <cell r="F1965" t="str">
            <v>Monongalia County, WV</v>
          </cell>
          <cell r="N1965">
            <v>21.465358709197435</v>
          </cell>
        </row>
        <row r="1966">
          <cell r="F1966" t="str">
            <v>Monroe County, AL</v>
          </cell>
          <cell r="N1966">
            <v>11.113012490871274</v>
          </cell>
        </row>
        <row r="1967">
          <cell r="F1967" t="str">
            <v>Monroe County, AR</v>
          </cell>
          <cell r="N1967">
            <v>17.840236209370701</v>
          </cell>
        </row>
        <row r="1968">
          <cell r="F1968" t="str">
            <v>Monroe County, GA</v>
          </cell>
          <cell r="N1968">
            <v>17.33854829110431</v>
          </cell>
        </row>
        <row r="1969">
          <cell r="F1969" t="str">
            <v>Monroe County, IA</v>
          </cell>
          <cell r="N1969">
            <v>17.33854829110431</v>
          </cell>
        </row>
        <row r="1970">
          <cell r="F1970" t="str">
            <v>Monroe County, IL</v>
          </cell>
          <cell r="N1970">
            <v>12.522933272660428</v>
          </cell>
        </row>
        <row r="1971">
          <cell r="F1971" t="str">
            <v>Monroe County, IN</v>
          </cell>
          <cell r="N1971">
            <v>17.031523612247817</v>
          </cell>
        </row>
        <row r="1972">
          <cell r="F1972" t="str">
            <v>Monroe County, KY</v>
          </cell>
          <cell r="N1972">
            <v>16.201391362655677</v>
          </cell>
        </row>
        <row r="1973">
          <cell r="F1973" t="str">
            <v>Monroe County, MI</v>
          </cell>
          <cell r="N1973">
            <v>13.74045923632525</v>
          </cell>
        </row>
        <row r="1974">
          <cell r="F1974" t="str">
            <v>Monroe County, MO</v>
          </cell>
          <cell r="N1974">
            <v>14.779902790030992</v>
          </cell>
        </row>
        <row r="1975">
          <cell r="F1975" t="str">
            <v>Monroe County, MS</v>
          </cell>
          <cell r="N1975">
            <v>14.779902790030992</v>
          </cell>
        </row>
        <row r="1976">
          <cell r="F1976" t="str">
            <v>Monroe County, NY</v>
          </cell>
          <cell r="N1976">
            <v>25.854520264038925</v>
          </cell>
        </row>
        <row r="1977">
          <cell r="F1977" t="str">
            <v>Monroe County, OH</v>
          </cell>
          <cell r="N1977">
            <v>20.431717494268749</v>
          </cell>
        </row>
        <row r="1978">
          <cell r="F1978" t="str">
            <v>Monroe County, PA</v>
          </cell>
          <cell r="N1978">
            <v>17.787213979439301</v>
          </cell>
        </row>
        <row r="1979">
          <cell r="F1979" t="str">
            <v>Monroe County, TN</v>
          </cell>
          <cell r="N1979">
            <v>22.478678606093602</v>
          </cell>
        </row>
        <row r="1980">
          <cell r="F1980" t="str">
            <v>Monroe County, WI</v>
          </cell>
          <cell r="N1980">
            <v>20.92772159808333</v>
          </cell>
        </row>
        <row r="1981">
          <cell r="F1981" t="str">
            <v>Monroe County, WV</v>
          </cell>
          <cell r="N1981">
            <v>20.92772159808333</v>
          </cell>
        </row>
        <row r="1982">
          <cell r="F1982" t="str">
            <v>Montague County, TX</v>
          </cell>
          <cell r="N1982">
            <v>16.884421434157193</v>
          </cell>
        </row>
        <row r="1983">
          <cell r="F1983" t="str">
            <v>Montcalm County, MI</v>
          </cell>
          <cell r="N1983">
            <v>11.995807952959046</v>
          </cell>
        </row>
        <row r="1984">
          <cell r="F1984" t="str">
            <v>Monterey County, CA</v>
          </cell>
          <cell r="N1984">
            <v>11.555999048415297</v>
          </cell>
        </row>
        <row r="1985">
          <cell r="F1985" t="str">
            <v>Montezuma County, CO</v>
          </cell>
          <cell r="N1985">
            <v>10.890794008365097</v>
          </cell>
        </row>
        <row r="1986">
          <cell r="F1986" t="str">
            <v>Montgomery County, AL</v>
          </cell>
          <cell r="N1986">
            <v>10.817165060448044</v>
          </cell>
        </row>
        <row r="1987">
          <cell r="F1987" t="str">
            <v>Montgomery County, AR</v>
          </cell>
          <cell r="N1987">
            <v>19.555001175832658</v>
          </cell>
        </row>
        <row r="1988">
          <cell r="F1988" t="str">
            <v>Montgomery County, GA</v>
          </cell>
          <cell r="N1988">
            <v>17.33854829110431</v>
          </cell>
        </row>
        <row r="1989">
          <cell r="F1989" t="str">
            <v>Montgomery County, IA</v>
          </cell>
          <cell r="N1989">
            <v>17.33854829110431</v>
          </cell>
        </row>
        <row r="1990">
          <cell r="F1990" t="str">
            <v>Montgomery County, IL</v>
          </cell>
          <cell r="N1990">
            <v>9.9613421026386177</v>
          </cell>
        </row>
        <row r="1991">
          <cell r="F1991" t="str">
            <v>Montgomery County, IN</v>
          </cell>
          <cell r="N1991">
            <v>9.645341702663405</v>
          </cell>
        </row>
        <row r="1992">
          <cell r="F1992" t="str">
            <v>Montgomery County, KS</v>
          </cell>
          <cell r="N1992">
            <v>17.149425466375014</v>
          </cell>
        </row>
        <row r="1993">
          <cell r="F1993" t="str">
            <v>Montgomery County, KY</v>
          </cell>
          <cell r="N1993">
            <v>16.825077216386568</v>
          </cell>
        </row>
        <row r="1994">
          <cell r="F1994" t="str">
            <v>Montgomery County, MD</v>
          </cell>
          <cell r="N1994">
            <v>13.657847033762881</v>
          </cell>
        </row>
        <row r="1995">
          <cell r="F1995" t="str">
            <v>Montgomery County, MO</v>
          </cell>
          <cell r="N1995">
            <v>14.516820453650375</v>
          </cell>
        </row>
        <row r="1996">
          <cell r="F1996" t="str">
            <v>Montgomery County, MS</v>
          </cell>
          <cell r="N1996">
            <v>14.516820453650375</v>
          </cell>
        </row>
        <row r="1997">
          <cell r="F1997" t="str">
            <v>Montgomery County, NC</v>
          </cell>
          <cell r="N1997">
            <v>25.078309280665405</v>
          </cell>
        </row>
        <row r="1998">
          <cell r="F1998" t="str">
            <v>Montgomery County, NY</v>
          </cell>
          <cell r="N1998">
            <v>25.078309280665405</v>
          </cell>
        </row>
        <row r="1999">
          <cell r="F1999" t="str">
            <v>Montgomery County, OH</v>
          </cell>
          <cell r="N1999">
            <v>11.722307516194601</v>
          </cell>
        </row>
        <row r="2000">
          <cell r="F2000" t="str">
            <v>Montgomery County, PA</v>
          </cell>
          <cell r="N2000">
            <v>15.872937911907187</v>
          </cell>
        </row>
        <row r="2001">
          <cell r="F2001" t="str">
            <v>Montgomery County, TN</v>
          </cell>
          <cell r="N2001">
            <v>14.663181655950012</v>
          </cell>
        </row>
        <row r="2002">
          <cell r="F2002" t="str">
            <v>Montgomery County, TX</v>
          </cell>
          <cell r="N2002">
            <v>8.5968621588552878</v>
          </cell>
        </row>
        <row r="2003">
          <cell r="F2003" t="str">
            <v>Montgomery County, VA</v>
          </cell>
          <cell r="N2003">
            <v>22.677552074872452</v>
          </cell>
        </row>
        <row r="2004">
          <cell r="F2004" t="str">
            <v>Montmorency County, MI</v>
          </cell>
          <cell r="N2004">
            <v>18.199012516038884</v>
          </cell>
        </row>
        <row r="2005">
          <cell r="F2005" t="str">
            <v>Montour County, PA</v>
          </cell>
          <cell r="N2005">
            <v>18.047008588604374</v>
          </cell>
        </row>
        <row r="2006">
          <cell r="F2006" t="str">
            <v>Montrose County, CO</v>
          </cell>
          <cell r="N2006">
            <v>12.737585075060011</v>
          </cell>
        </row>
        <row r="2007">
          <cell r="F2007" t="str">
            <v>Moody County, SD</v>
          </cell>
          <cell r="N2007">
            <v>25.853622645858877</v>
          </cell>
        </row>
        <row r="2008">
          <cell r="F2008" t="str">
            <v>Moore County, NC</v>
          </cell>
          <cell r="N2008">
            <v>23.195080574324827</v>
          </cell>
        </row>
        <row r="2009">
          <cell r="F2009" t="str">
            <v>Moore County, TN</v>
          </cell>
          <cell r="N2009">
            <v>19.364065525975732</v>
          </cell>
        </row>
        <row r="2010">
          <cell r="F2010" t="str">
            <v>Moore County, TX</v>
          </cell>
          <cell r="N2010">
            <v>11.677772569151017</v>
          </cell>
        </row>
        <row r="2011">
          <cell r="F2011" t="str">
            <v>Mora County, NM</v>
          </cell>
          <cell r="N2011">
            <v>13.198301507881474</v>
          </cell>
        </row>
        <row r="2012">
          <cell r="F2012" t="str">
            <v>Morehouse Parish, LA</v>
          </cell>
          <cell r="N2012">
            <v>13.726099850573362</v>
          </cell>
        </row>
        <row r="2013">
          <cell r="F2013" t="str">
            <v>Morgan County, AL</v>
          </cell>
          <cell r="N2013">
            <v>17.530659761677438</v>
          </cell>
        </row>
        <row r="2014">
          <cell r="F2014" t="str">
            <v>Morgan County, CO</v>
          </cell>
          <cell r="N2014">
            <v>14.311563232343014</v>
          </cell>
        </row>
        <row r="2015">
          <cell r="F2015" t="str">
            <v>Morgan County, GA</v>
          </cell>
          <cell r="N2015">
            <v>19.35115912230798</v>
          </cell>
        </row>
        <row r="2016">
          <cell r="F2016" t="str">
            <v>Morgan County, IL</v>
          </cell>
          <cell r="N2016">
            <v>9.9613421026386177</v>
          </cell>
        </row>
        <row r="2017">
          <cell r="F2017" t="str">
            <v>Morgan County, IN</v>
          </cell>
          <cell r="N2017">
            <v>9.9499633553146474</v>
          </cell>
        </row>
        <row r="2018">
          <cell r="F2018" t="str">
            <v>Morgan County, KY</v>
          </cell>
          <cell r="N2018">
            <v>18.884730693229905</v>
          </cell>
        </row>
        <row r="2019">
          <cell r="F2019" t="str">
            <v>Morgan County, MO</v>
          </cell>
          <cell r="N2019">
            <v>18.518441254387145</v>
          </cell>
        </row>
        <row r="2020">
          <cell r="F2020" t="str">
            <v>Morgan County, OH</v>
          </cell>
          <cell r="N2020">
            <v>18.770144843443791</v>
          </cell>
        </row>
        <row r="2021">
          <cell r="F2021" t="str">
            <v>Morgan County, TN</v>
          </cell>
          <cell r="N2021">
            <v>20.31286777497175</v>
          </cell>
        </row>
        <row r="2022">
          <cell r="F2022" t="str">
            <v>Morgan County, UT</v>
          </cell>
          <cell r="N2022">
            <v>12.539693138662395</v>
          </cell>
        </row>
        <row r="2023">
          <cell r="F2023" t="str">
            <v>Morgan County, WV</v>
          </cell>
          <cell r="N2023">
            <v>17.294971562073901</v>
          </cell>
        </row>
        <row r="2024">
          <cell r="F2024" t="str">
            <v>Morrill County, NE</v>
          </cell>
          <cell r="N2024">
            <v>14.988418499163242</v>
          </cell>
        </row>
        <row r="2025">
          <cell r="F2025" t="str">
            <v>Morris County, KS</v>
          </cell>
          <cell r="N2025">
            <v>15.737088713173801</v>
          </cell>
        </row>
        <row r="2026">
          <cell r="F2026" t="str">
            <v>Morris County, NJ</v>
          </cell>
          <cell r="N2026">
            <v>17.787213979439301</v>
          </cell>
        </row>
        <row r="2027">
          <cell r="F2027" t="str">
            <v>Morris County, TX</v>
          </cell>
          <cell r="N2027">
            <v>12.770285075359856</v>
          </cell>
        </row>
        <row r="2028">
          <cell r="F2028" t="str">
            <v>Morrison County, MN</v>
          </cell>
          <cell r="N2028">
            <v>25.355150850611391</v>
          </cell>
        </row>
        <row r="2029">
          <cell r="F2029" t="str">
            <v>Morrow County, OH</v>
          </cell>
          <cell r="N2029">
            <v>15.945471337041369</v>
          </cell>
        </row>
        <row r="2030">
          <cell r="F2030" t="str">
            <v>Morrow County, OR</v>
          </cell>
          <cell r="N2030">
            <v>28.914912489186161</v>
          </cell>
        </row>
        <row r="2031">
          <cell r="F2031" t="str">
            <v>Morton County, KS</v>
          </cell>
          <cell r="N2031">
            <v>15.474006376793181</v>
          </cell>
        </row>
        <row r="2032">
          <cell r="F2032" t="str">
            <v>Morton County, ND</v>
          </cell>
          <cell r="N2032">
            <v>13.595001338347355</v>
          </cell>
        </row>
        <row r="2033">
          <cell r="F2033" t="str">
            <v>Motley County, TX</v>
          </cell>
          <cell r="N2033">
            <v>11.403496811897863</v>
          </cell>
        </row>
        <row r="2034">
          <cell r="F2034" t="str">
            <v>Moultrie County, IL</v>
          </cell>
          <cell r="N2034">
            <v>12.364862313092313</v>
          </cell>
        </row>
        <row r="2035">
          <cell r="F2035" t="str">
            <v>Mountrail County, ND</v>
          </cell>
          <cell r="N2035">
            <v>13.871930113484847</v>
          </cell>
        </row>
        <row r="2036">
          <cell r="F2036" t="str">
            <v>Mower County, MN</v>
          </cell>
          <cell r="N2036">
            <v>22.990840972857654</v>
          </cell>
        </row>
        <row r="2037">
          <cell r="F2037" t="str">
            <v>Muhlenberg County, KY</v>
          </cell>
          <cell r="N2037">
            <v>13.709445698706176</v>
          </cell>
        </row>
        <row r="2038">
          <cell r="F2038" t="str">
            <v>Multnomah County, OR</v>
          </cell>
          <cell r="N2038">
            <v>28.914912489186161</v>
          </cell>
        </row>
        <row r="2039">
          <cell r="F2039" t="str">
            <v>Murray County, GA</v>
          </cell>
          <cell r="N2039">
            <v>20.970739976276903</v>
          </cell>
        </row>
        <row r="2040">
          <cell r="F2040" t="str">
            <v>Murray County, MN</v>
          </cell>
          <cell r="N2040">
            <v>27.981451206740104</v>
          </cell>
        </row>
        <row r="2041">
          <cell r="F2041" t="str">
            <v>Murray County, OK</v>
          </cell>
          <cell r="N2041">
            <v>17.678377573574224</v>
          </cell>
        </row>
        <row r="2042">
          <cell r="F2042" t="str">
            <v>Muscatine County, IA</v>
          </cell>
          <cell r="N2042">
            <v>14.779902790030992</v>
          </cell>
        </row>
        <row r="2043">
          <cell r="F2043" t="str">
            <v>Muscogee County, GA</v>
          </cell>
          <cell r="N2043">
            <v>14.722154210539534</v>
          </cell>
        </row>
        <row r="2044">
          <cell r="F2044" t="str">
            <v>Muskegon County, MI</v>
          </cell>
          <cell r="N2044">
            <v>11.732725616578428</v>
          </cell>
        </row>
        <row r="2045">
          <cell r="F2045" t="str">
            <v>Muskingum County, OH</v>
          </cell>
          <cell r="N2045">
            <v>18.507062507063175</v>
          </cell>
        </row>
        <row r="2046">
          <cell r="F2046" t="str">
            <v>Muskogee County, OK</v>
          </cell>
          <cell r="N2046">
            <v>19.291788050622273</v>
          </cell>
        </row>
        <row r="2047">
          <cell r="F2047" t="str">
            <v>Musselshell County, MT</v>
          </cell>
          <cell r="N2047">
            <v>14.354731373154006</v>
          </cell>
        </row>
        <row r="2048">
          <cell r="F2048" t="str">
            <v>Nacogdoches County, TX</v>
          </cell>
          <cell r="N2048">
            <v>10.648256848190705</v>
          </cell>
        </row>
        <row r="2049">
          <cell r="F2049" t="str">
            <v>Nance County, NE</v>
          </cell>
          <cell r="N2049">
            <v>20.874117491974292</v>
          </cell>
        </row>
        <row r="2050">
          <cell r="F2050" t="str">
            <v>Nantucket County, MA</v>
          </cell>
          <cell r="N2050">
            <v>25.854520264038925</v>
          </cell>
        </row>
        <row r="2051">
          <cell r="F2051" t="str">
            <v>Napa County, CA</v>
          </cell>
          <cell r="N2051">
            <v>10.023913333736171</v>
          </cell>
        </row>
        <row r="2052">
          <cell r="F2052" t="str">
            <v>Nash County, NC</v>
          </cell>
          <cell r="N2052">
            <v>18.839215703934023</v>
          </cell>
        </row>
        <row r="2053">
          <cell r="F2053" t="str">
            <v>Nassau County, FL</v>
          </cell>
          <cell r="N2053">
            <v>17.122402197551224</v>
          </cell>
        </row>
        <row r="2054">
          <cell r="F2054" t="str">
            <v>Nassau County, NY</v>
          </cell>
          <cell r="N2054">
            <v>18.047008588604374</v>
          </cell>
        </row>
        <row r="2055">
          <cell r="F2055" t="str">
            <v>Natchitoches Parish, LA</v>
          </cell>
          <cell r="N2055">
            <v>11.596403103621533</v>
          </cell>
        </row>
        <row r="2056">
          <cell r="F2056" t="str">
            <v>Natrona County, WY</v>
          </cell>
          <cell r="N2056">
            <v>11.749181186034052</v>
          </cell>
        </row>
        <row r="2057">
          <cell r="F2057" t="str">
            <v>Navajo County, AZ</v>
          </cell>
          <cell r="N2057">
            <v>16.60079782786628</v>
          </cell>
        </row>
        <row r="2058">
          <cell r="F2058" t="str">
            <v>Navarro County, TX</v>
          </cell>
          <cell r="N2058">
            <v>10.648256848190705</v>
          </cell>
        </row>
        <row r="2059">
          <cell r="F2059" t="str">
            <v>Nelson County, KY</v>
          </cell>
          <cell r="N2059">
            <v>13.709445698706176</v>
          </cell>
        </row>
        <row r="2060">
          <cell r="F2060" t="str">
            <v>Nelson County, ND</v>
          </cell>
          <cell r="N2060">
            <v>14.914936027927913</v>
          </cell>
        </row>
        <row r="2061">
          <cell r="F2061" t="str">
            <v>Nelson County, VA</v>
          </cell>
          <cell r="N2061">
            <v>18.048547163104008</v>
          </cell>
        </row>
        <row r="2062">
          <cell r="F2062" t="str">
            <v>Nemaha County, KS</v>
          </cell>
          <cell r="N2062">
            <v>19.475627177529951</v>
          </cell>
        </row>
        <row r="2063">
          <cell r="F2063" t="str">
            <v>Nemaha County, NE</v>
          </cell>
          <cell r="N2063">
            <v>20.874117491974292</v>
          </cell>
        </row>
        <row r="2064">
          <cell r="F2064" t="str">
            <v>Neosho County, KS</v>
          </cell>
          <cell r="N2064">
            <v>19.13069864867515</v>
          </cell>
        </row>
        <row r="2065">
          <cell r="F2065" t="str">
            <v>Neshoba County, MS</v>
          </cell>
          <cell r="N2065">
            <v>11.300356895519093</v>
          </cell>
        </row>
        <row r="2066">
          <cell r="F2066" t="str">
            <v>Ness County, KS</v>
          </cell>
          <cell r="N2066">
            <v>11.209303239675792</v>
          </cell>
        </row>
        <row r="2067">
          <cell r="F2067" t="str">
            <v>Nevada County, AR</v>
          </cell>
          <cell r="N2067">
            <v>17.129826059067913</v>
          </cell>
        </row>
        <row r="2068">
          <cell r="F2068" t="str">
            <v>Nevada County, CA</v>
          </cell>
          <cell r="N2068">
            <v>9.9442621024683788</v>
          </cell>
        </row>
        <row r="2069">
          <cell r="F2069" t="str">
            <v>New Castle County, DE</v>
          </cell>
          <cell r="N2069">
            <v>13.390790668032652</v>
          </cell>
        </row>
        <row r="2070">
          <cell r="F2070" t="str">
            <v>New Hanover County, NC</v>
          </cell>
          <cell r="N2070">
            <v>25.078309280665405</v>
          </cell>
        </row>
        <row r="2071">
          <cell r="F2071" t="str">
            <v>New Haven County, CT</v>
          </cell>
          <cell r="N2071">
            <v>21.465358709197435</v>
          </cell>
        </row>
        <row r="2072">
          <cell r="F2072" t="str">
            <v>New Kent County, VA</v>
          </cell>
          <cell r="N2072">
            <v>13.390790668032652</v>
          </cell>
        </row>
        <row r="2073">
          <cell r="F2073" t="str">
            <v>New London County, CT</v>
          </cell>
          <cell r="N2073">
            <v>22.203722335245534</v>
          </cell>
        </row>
        <row r="2074">
          <cell r="F2074" t="str">
            <v>New Madrid County, MO</v>
          </cell>
          <cell r="N2074">
            <v>18.483481199138144</v>
          </cell>
        </row>
        <row r="2075">
          <cell r="F2075" t="str">
            <v>New York (Manhattan) County, NY</v>
          </cell>
          <cell r="N2075">
            <v>17.787213979439301</v>
          </cell>
        </row>
        <row r="2076">
          <cell r="F2076" t="str">
            <v>Newaygo County, MI</v>
          </cell>
          <cell r="N2076">
            <v>12.660437013289028</v>
          </cell>
        </row>
        <row r="2077">
          <cell r="F2077" t="str">
            <v>Newberry County, SC</v>
          </cell>
          <cell r="N2077">
            <v>23.735775576001693</v>
          </cell>
        </row>
        <row r="2078">
          <cell r="F2078" t="str">
            <v>Newport County, RI</v>
          </cell>
          <cell r="N2078">
            <v>24.897382230272868</v>
          </cell>
        </row>
        <row r="2079">
          <cell r="F2079" t="str">
            <v>Newton County, AR</v>
          </cell>
          <cell r="N2079">
            <v>24.491148045521903</v>
          </cell>
        </row>
        <row r="2080">
          <cell r="F2080" t="str">
            <v>Newton County, GA</v>
          </cell>
          <cell r="N2080">
            <v>19.106770664233245</v>
          </cell>
        </row>
        <row r="2081">
          <cell r="F2081" t="str">
            <v>Newton County, IN</v>
          </cell>
          <cell r="N2081">
            <v>11.431532302300234</v>
          </cell>
        </row>
        <row r="2082">
          <cell r="F2082" t="str">
            <v>Newton County, MO</v>
          </cell>
          <cell r="N2082">
            <v>21.137199828354909</v>
          </cell>
        </row>
        <row r="2083">
          <cell r="F2083" t="str">
            <v>Newton County, MS</v>
          </cell>
          <cell r="N2083">
            <v>21.137199828354909</v>
          </cell>
        </row>
        <row r="2084">
          <cell r="F2084" t="str">
            <v>Newton County, TX</v>
          </cell>
          <cell r="N2084">
            <v>8.925823361946069</v>
          </cell>
        </row>
        <row r="2085">
          <cell r="F2085" t="str">
            <v>Nez Perce County, ID</v>
          </cell>
          <cell r="N2085">
            <v>28.756838451410452</v>
          </cell>
        </row>
        <row r="2086">
          <cell r="F2086" t="str">
            <v>Niagara County, NY</v>
          </cell>
          <cell r="N2086">
            <v>25.861687778918249</v>
          </cell>
        </row>
        <row r="2087">
          <cell r="F2087" t="str">
            <v>Nicholas County, KY</v>
          </cell>
          <cell r="N2087">
            <v>16.048784467208009</v>
          </cell>
        </row>
        <row r="2088">
          <cell r="F2088" t="str">
            <v>Nicholas County, WV</v>
          </cell>
          <cell r="N2088">
            <v>22.203722335245534</v>
          </cell>
        </row>
        <row r="2089">
          <cell r="F2089" t="str">
            <v>Nicollet County, MN</v>
          </cell>
          <cell r="N2089">
            <v>28.238641261713141</v>
          </cell>
        </row>
        <row r="2090">
          <cell r="F2090" t="str">
            <v>Niobrara County, WY</v>
          </cell>
          <cell r="N2090">
            <v>16.121866006062113</v>
          </cell>
        </row>
        <row r="2091">
          <cell r="F2091" t="str">
            <v>Noble County, IN</v>
          </cell>
          <cell r="N2091">
            <v>11.431532302300234</v>
          </cell>
        </row>
        <row r="2092">
          <cell r="F2092" t="str">
            <v>Noble County, OH</v>
          </cell>
          <cell r="N2092">
            <v>19.670163362640643</v>
          </cell>
        </row>
        <row r="2093">
          <cell r="F2093" t="str">
            <v>Noble County, OK</v>
          </cell>
          <cell r="N2093">
            <v>13.373205920422595</v>
          </cell>
        </row>
        <row r="2094">
          <cell r="F2094" t="str">
            <v>Nobles County, MN</v>
          </cell>
          <cell r="N2094">
            <v>27.48640774986567</v>
          </cell>
        </row>
        <row r="2095">
          <cell r="F2095" t="str">
            <v>Nodaway County, MO</v>
          </cell>
          <cell r="N2095">
            <v>21.176957495707075</v>
          </cell>
        </row>
        <row r="2096">
          <cell r="F2096" t="str">
            <v>Nolan County, TX</v>
          </cell>
          <cell r="N2096">
            <v>12.677384099398713</v>
          </cell>
        </row>
        <row r="2097">
          <cell r="F2097" t="str">
            <v>Norfolk County, MA</v>
          </cell>
          <cell r="N2097">
            <v>25.854520264038925</v>
          </cell>
        </row>
        <row r="2098">
          <cell r="F2098" t="str">
            <v>Norman County, MN</v>
          </cell>
          <cell r="N2098">
            <v>19.456567940182794</v>
          </cell>
        </row>
        <row r="2099">
          <cell r="F2099" t="str">
            <v>Northampton County, NC</v>
          </cell>
          <cell r="N2099">
            <v>17.51664287200018</v>
          </cell>
        </row>
        <row r="2100">
          <cell r="F2100" t="str">
            <v>Northampton County, PA</v>
          </cell>
          <cell r="N2100">
            <v>17.294971562073901</v>
          </cell>
        </row>
        <row r="2101">
          <cell r="F2101" t="str">
            <v>Northampton County, VA</v>
          </cell>
          <cell r="N2101">
            <v>11.838205169675534</v>
          </cell>
        </row>
        <row r="2102">
          <cell r="F2102" t="str">
            <v>Northumberland County, PA</v>
          </cell>
          <cell r="N2102">
            <v>17.787213979439301</v>
          </cell>
        </row>
        <row r="2103">
          <cell r="F2103" t="str">
            <v>Northumberland County, VA</v>
          </cell>
          <cell r="N2103">
            <v>11.550689336646439</v>
          </cell>
        </row>
        <row r="2104">
          <cell r="F2104" t="str">
            <v>Norton County, KS</v>
          </cell>
          <cell r="N2104">
            <v>15.474006376793181</v>
          </cell>
        </row>
        <row r="2105">
          <cell r="F2105" t="str">
            <v>Nottoway County, VA</v>
          </cell>
          <cell r="N2105">
            <v>16.82660487273035</v>
          </cell>
        </row>
        <row r="2106">
          <cell r="F2106" t="str">
            <v>Nowata County, OK</v>
          </cell>
          <cell r="N2106">
            <v>18.122148719209065</v>
          </cell>
        </row>
        <row r="2107">
          <cell r="F2107" t="str">
            <v>Noxubee County, MS</v>
          </cell>
          <cell r="N2107">
            <v>13.140458226905306</v>
          </cell>
        </row>
        <row r="2108">
          <cell r="F2108" t="str">
            <v>Nuckolls County, NE</v>
          </cell>
          <cell r="N2108">
            <v>16.914036007508145</v>
          </cell>
        </row>
        <row r="2109">
          <cell r="F2109" t="str">
            <v>Nueces County, TX</v>
          </cell>
          <cell r="N2109">
            <v>9.3169434112861769</v>
          </cell>
        </row>
        <row r="2110">
          <cell r="F2110" t="str">
            <v>Nye County, NV</v>
          </cell>
          <cell r="N2110">
            <v>19.916623324855312</v>
          </cell>
        </row>
        <row r="2111">
          <cell r="F2111" t="str">
            <v>Oakland County, MI</v>
          </cell>
          <cell r="N2111">
            <v>13.74045923632525</v>
          </cell>
        </row>
        <row r="2112">
          <cell r="F2112" t="str">
            <v>Obion County, TN</v>
          </cell>
          <cell r="N2112">
            <v>18.544645401842807</v>
          </cell>
        </row>
        <row r="2113">
          <cell r="F2113" t="str">
            <v>O'Brien County, IA</v>
          </cell>
          <cell r="N2113">
            <v>27.251018290998797</v>
          </cell>
        </row>
        <row r="2114">
          <cell r="F2114" t="str">
            <v>Ocean County, NJ</v>
          </cell>
          <cell r="N2114">
            <v>15.613143302742113</v>
          </cell>
        </row>
        <row r="2115">
          <cell r="F2115" t="str">
            <v>Oceana County, MI</v>
          </cell>
          <cell r="N2115">
            <v>12.951212227183397</v>
          </cell>
        </row>
        <row r="2116">
          <cell r="F2116" t="str">
            <v>Ochiltree County, TX</v>
          </cell>
          <cell r="N2116">
            <v>13.496653906724578</v>
          </cell>
        </row>
        <row r="2117">
          <cell r="F2117" t="str">
            <v>Oconee County, GA</v>
          </cell>
          <cell r="N2117">
            <v>19.897439205063264</v>
          </cell>
        </row>
        <row r="2118">
          <cell r="F2118" t="str">
            <v>Oconee County, SC</v>
          </cell>
          <cell r="N2118">
            <v>23.491387117926962</v>
          </cell>
        </row>
        <row r="2119">
          <cell r="F2119" t="str">
            <v>Oconto County, WI</v>
          </cell>
          <cell r="N2119">
            <v>19.999049554432588</v>
          </cell>
        </row>
        <row r="2120">
          <cell r="F2120" t="str">
            <v>Ogemaw County, MI</v>
          </cell>
          <cell r="N2120">
            <v>16.925140150406421</v>
          </cell>
        </row>
        <row r="2121">
          <cell r="F2121" t="str">
            <v>Oglala Lakota County, SD</v>
          </cell>
          <cell r="N2121">
            <v>16.644646203232824</v>
          </cell>
        </row>
        <row r="2122">
          <cell r="F2122" t="str">
            <v>Ogle County, IL</v>
          </cell>
          <cell r="N2122">
            <v>14.779902790030992</v>
          </cell>
        </row>
        <row r="2123">
          <cell r="F2123" t="str">
            <v>Oglethorpe County, GA</v>
          </cell>
          <cell r="N2123">
            <v>21.493152078374742</v>
          </cell>
        </row>
        <row r="2124">
          <cell r="F2124" t="str">
            <v>Ohio County, IN</v>
          </cell>
          <cell r="N2124">
            <v>11.985389852575219</v>
          </cell>
        </row>
        <row r="2125">
          <cell r="F2125" t="str">
            <v>Ohio County, KY</v>
          </cell>
          <cell r="N2125">
            <v>13.134414032647983</v>
          </cell>
        </row>
        <row r="2126">
          <cell r="F2126" t="str">
            <v>Ohio County, WV</v>
          </cell>
          <cell r="N2126">
            <v>20.735863930453363</v>
          </cell>
        </row>
        <row r="2127">
          <cell r="F2127" t="str">
            <v>Okaloosa County, FL</v>
          </cell>
          <cell r="N2127">
            <v>10.418908904109083</v>
          </cell>
        </row>
        <row r="2128">
          <cell r="F2128" t="str">
            <v>Okanogan County, WA</v>
          </cell>
          <cell r="N2128">
            <v>34.152575153481919</v>
          </cell>
        </row>
        <row r="2129">
          <cell r="F2129" t="str">
            <v>Okeechobee County, FL</v>
          </cell>
          <cell r="N2129">
            <v>10.947615728476013</v>
          </cell>
        </row>
        <row r="2130">
          <cell r="F2130" t="str">
            <v>Okfuskee County, OK</v>
          </cell>
          <cell r="N2130">
            <v>17.545084543904807</v>
          </cell>
        </row>
        <row r="2131">
          <cell r="F2131" t="str">
            <v>Oklahoma County, OK</v>
          </cell>
          <cell r="N2131">
            <v>14.369259986236687</v>
          </cell>
        </row>
        <row r="2132">
          <cell r="F2132" t="str">
            <v>Okmulgee County, OK</v>
          </cell>
          <cell r="N2132">
            <v>17.819360301157964</v>
          </cell>
        </row>
        <row r="2133">
          <cell r="F2133" t="str">
            <v>Oktibbeha County, MS</v>
          </cell>
          <cell r="N2133">
            <v>13.140458226905306</v>
          </cell>
        </row>
        <row r="2134">
          <cell r="F2134" t="str">
            <v>Oldham County, KY</v>
          </cell>
          <cell r="N2134">
            <v>13.134414032647983</v>
          </cell>
        </row>
        <row r="2135">
          <cell r="F2135" t="str">
            <v>Oldham County, TX</v>
          </cell>
          <cell r="N2135">
            <v>11.403496811897863</v>
          </cell>
        </row>
        <row r="2136">
          <cell r="F2136" t="str">
            <v>Oliver County, ND</v>
          </cell>
          <cell r="N2136">
            <v>14.114584875887786</v>
          </cell>
        </row>
        <row r="2137">
          <cell r="F2137" t="str">
            <v>Olmsted County, MN</v>
          </cell>
          <cell r="N2137">
            <v>23.655470033187637</v>
          </cell>
        </row>
        <row r="2138">
          <cell r="F2138" t="str">
            <v>Oneida County, ID</v>
          </cell>
          <cell r="N2138">
            <v>13.799519602764351</v>
          </cell>
        </row>
        <row r="2139">
          <cell r="F2139" t="str">
            <v>Oneida County, NY</v>
          </cell>
          <cell r="N2139">
            <v>25.608399055356227</v>
          </cell>
        </row>
        <row r="2140">
          <cell r="F2140" t="str">
            <v>Oneida County, WI</v>
          </cell>
          <cell r="N2140">
            <v>23.972977477655608</v>
          </cell>
        </row>
        <row r="2141">
          <cell r="F2141" t="str">
            <v>Onondaga County, NY</v>
          </cell>
          <cell r="N2141">
            <v>25.129830038473195</v>
          </cell>
        </row>
        <row r="2142">
          <cell r="F2142" t="str">
            <v>Onslow County, NC</v>
          </cell>
          <cell r="N2142">
            <v>22.16002357542008</v>
          </cell>
        </row>
        <row r="2143">
          <cell r="F2143" t="str">
            <v>Ontario County, NY</v>
          </cell>
          <cell r="N2143">
            <v>25.129830038473195</v>
          </cell>
        </row>
        <row r="2144">
          <cell r="F2144" t="str">
            <v>Ontonagon County, MI</v>
          </cell>
          <cell r="N2144">
            <v>25.593010812209943</v>
          </cell>
        </row>
        <row r="2145">
          <cell r="F2145" t="str">
            <v>Orange County, CA</v>
          </cell>
          <cell r="N2145">
            <v>15.874521087668125</v>
          </cell>
        </row>
        <row r="2146">
          <cell r="F2146" t="str">
            <v>Orange County, FL</v>
          </cell>
          <cell r="N2146">
            <v>12.065070474964267</v>
          </cell>
        </row>
        <row r="2147">
          <cell r="F2147" t="str">
            <v>Orange County, IN</v>
          </cell>
          <cell r="N2147">
            <v>12.511554525336457</v>
          </cell>
        </row>
        <row r="2148">
          <cell r="F2148" t="str">
            <v>Orange County, NC</v>
          </cell>
          <cell r="N2148">
            <v>21.915635117345349</v>
          </cell>
        </row>
        <row r="2149">
          <cell r="F2149" t="str">
            <v>Orange County, NY</v>
          </cell>
          <cell r="N2149">
            <v>20.084345260477836</v>
          </cell>
        </row>
        <row r="2150">
          <cell r="F2150" t="str">
            <v>Orange County, TX</v>
          </cell>
          <cell r="N2150">
            <v>10.630927815345748</v>
          </cell>
        </row>
        <row r="2151">
          <cell r="F2151" t="str">
            <v>Orange County, VA</v>
          </cell>
          <cell r="N2151">
            <v>16.280324789975069</v>
          </cell>
        </row>
        <row r="2152">
          <cell r="F2152" t="str">
            <v>Orange County, VT</v>
          </cell>
          <cell r="N2152">
            <v>16.280324789975069</v>
          </cell>
        </row>
        <row r="2153">
          <cell r="F2153" t="str">
            <v>Orangeburg County, SC</v>
          </cell>
          <cell r="N2153">
            <v>23.491387117926962</v>
          </cell>
        </row>
        <row r="2154">
          <cell r="F2154" t="str">
            <v>Oregon County, MO</v>
          </cell>
          <cell r="N2154">
            <v>19.94462444634523</v>
          </cell>
        </row>
        <row r="2155">
          <cell r="F2155" t="str">
            <v>Orleans County, NY</v>
          </cell>
          <cell r="N2155">
            <v>19.94462444634523</v>
          </cell>
        </row>
        <row r="2156">
          <cell r="F2156" t="str">
            <v>Orleans County, VT</v>
          </cell>
          <cell r="N2156">
            <v>32.198978087859643</v>
          </cell>
        </row>
        <row r="2157">
          <cell r="F2157" t="str">
            <v>Orleans Parish, LA</v>
          </cell>
          <cell r="N2157">
            <v>12.052085409364171</v>
          </cell>
        </row>
        <row r="2158">
          <cell r="F2158" t="str">
            <v>Osage County, KS</v>
          </cell>
          <cell r="N2158">
            <v>17.412507802755631</v>
          </cell>
        </row>
        <row r="2159">
          <cell r="F2159" t="str">
            <v>Osage County, MO</v>
          </cell>
          <cell r="N2159">
            <v>15.956850084365339</v>
          </cell>
        </row>
        <row r="2160">
          <cell r="F2160" t="str">
            <v>Osage County, OK</v>
          </cell>
          <cell r="N2160">
            <v>15.192087257996153</v>
          </cell>
        </row>
        <row r="2161">
          <cell r="F2161" t="str">
            <v>Osborne County, KS</v>
          </cell>
          <cell r="N2161">
            <v>12.967800961798872</v>
          </cell>
        </row>
        <row r="2162">
          <cell r="F2162" t="str">
            <v>Osceola County, FL</v>
          </cell>
          <cell r="N2162">
            <v>12.485825435181676</v>
          </cell>
        </row>
        <row r="2163">
          <cell r="F2163" t="str">
            <v>Osceola County, IA</v>
          </cell>
          <cell r="N2163">
            <v>27.251018290998797</v>
          </cell>
        </row>
        <row r="2164">
          <cell r="F2164" t="str">
            <v>Osceola County, MI</v>
          </cell>
          <cell r="N2164">
            <v>13.74045923632525</v>
          </cell>
        </row>
        <row r="2165">
          <cell r="F2165" t="str">
            <v>Oscoda County, MI</v>
          </cell>
          <cell r="N2165">
            <v>17.437458384410778</v>
          </cell>
        </row>
        <row r="2166">
          <cell r="F2166" t="str">
            <v>Oswego County, NY</v>
          </cell>
          <cell r="N2166">
            <v>25.854520264038925</v>
          </cell>
        </row>
        <row r="2167">
          <cell r="F2167" t="str">
            <v>Otero County, CO</v>
          </cell>
          <cell r="N2167">
            <v>15.442355655482647</v>
          </cell>
        </row>
        <row r="2168">
          <cell r="F2168" t="str">
            <v>Otero County, NM</v>
          </cell>
          <cell r="N2168">
            <v>12.796025939839321</v>
          </cell>
        </row>
        <row r="2169">
          <cell r="F2169" t="str">
            <v>Otoe County, NE</v>
          </cell>
          <cell r="N2169">
            <v>20.874117491974292</v>
          </cell>
        </row>
        <row r="2170">
          <cell r="F2170" t="str">
            <v>Otsego County, MI</v>
          </cell>
          <cell r="N2170">
            <v>17.935930179658268</v>
          </cell>
        </row>
        <row r="2171">
          <cell r="F2171" t="str">
            <v>Otsego County, NY</v>
          </cell>
          <cell r="N2171">
            <v>24.008611198918672</v>
          </cell>
        </row>
        <row r="2172">
          <cell r="F2172" t="str">
            <v>Ottawa County, KS</v>
          </cell>
          <cell r="N2172">
            <v>14.947841704031948</v>
          </cell>
        </row>
        <row r="2173">
          <cell r="F2173" t="str">
            <v>Ottawa County, MI</v>
          </cell>
          <cell r="N2173">
            <v>11.178868066303442</v>
          </cell>
        </row>
        <row r="2174">
          <cell r="F2174" t="str">
            <v>Ottawa County, OH</v>
          </cell>
          <cell r="N2174">
            <v>15.945471337041369</v>
          </cell>
        </row>
        <row r="2175">
          <cell r="F2175" t="str">
            <v>Ottawa County, OK</v>
          </cell>
          <cell r="N2175">
            <v>19.840339565128584</v>
          </cell>
        </row>
        <row r="2176">
          <cell r="F2176" t="str">
            <v>Otter Tail County, MN</v>
          </cell>
          <cell r="N2176">
            <v>21.658151702525863</v>
          </cell>
        </row>
        <row r="2177">
          <cell r="F2177" t="str">
            <v>Ouachita County, AR</v>
          </cell>
          <cell r="N2177">
            <v>17.678377573574224</v>
          </cell>
        </row>
        <row r="2178">
          <cell r="F2178" t="str">
            <v>Ouachita Parish, LA</v>
          </cell>
          <cell r="N2178">
            <v>15.139641870138222</v>
          </cell>
        </row>
        <row r="2179">
          <cell r="F2179" t="str">
            <v>Ouray County, CO</v>
          </cell>
          <cell r="N2179">
            <v>11.778399017164201</v>
          </cell>
        </row>
        <row r="2180">
          <cell r="F2180" t="str">
            <v>Outagamie County, WI</v>
          </cell>
          <cell r="N2180">
            <v>17.935930179658268</v>
          </cell>
        </row>
        <row r="2181">
          <cell r="F2181" t="str">
            <v>Overton County, TN</v>
          </cell>
          <cell r="N2181">
            <v>18.33845061047462</v>
          </cell>
        </row>
        <row r="2182">
          <cell r="F2182" t="str">
            <v>Owen County, IN</v>
          </cell>
          <cell r="N2182">
            <v>10.766903241970251</v>
          </cell>
        </row>
        <row r="2183">
          <cell r="F2183" t="str">
            <v>Owen County, KY</v>
          </cell>
          <cell r="N2183">
            <v>13.996961531735272</v>
          </cell>
        </row>
        <row r="2184">
          <cell r="F2184" t="str">
            <v>Owsley County, KY</v>
          </cell>
          <cell r="N2184">
            <v>18.611590651852261</v>
          </cell>
        </row>
        <row r="2185">
          <cell r="F2185" t="str">
            <v>Owyhee County, ID</v>
          </cell>
          <cell r="N2185">
            <v>23.03347493623891</v>
          </cell>
        </row>
        <row r="2186">
          <cell r="F2186" t="str">
            <v>Oxford County, ME</v>
          </cell>
          <cell r="N2186">
            <v>32.445099296542345</v>
          </cell>
        </row>
        <row r="2187">
          <cell r="F2187" t="str">
            <v>Ozark County, MO</v>
          </cell>
          <cell r="N2187">
            <v>20.92772159808333</v>
          </cell>
        </row>
        <row r="2188">
          <cell r="F2188" t="str">
            <v>Ozaukee County, WI</v>
          </cell>
          <cell r="N2188">
            <v>15.471264080934581</v>
          </cell>
        </row>
        <row r="2189">
          <cell r="F2189" t="str">
            <v>Pacific County, WA</v>
          </cell>
          <cell r="N2189">
            <v>31.508829947828279</v>
          </cell>
        </row>
        <row r="2190">
          <cell r="F2190" t="str">
            <v>Page County, IA</v>
          </cell>
          <cell r="N2190">
            <v>22.990840972857654</v>
          </cell>
        </row>
        <row r="2191">
          <cell r="F2191" t="str">
            <v>Page County, VA</v>
          </cell>
          <cell r="N2191">
            <v>17.51664287200018</v>
          </cell>
        </row>
        <row r="2192">
          <cell r="F2192" t="str">
            <v>Palm Beach County, FL</v>
          </cell>
          <cell r="N2192">
            <v>10.947615728476013</v>
          </cell>
        </row>
        <row r="2193">
          <cell r="F2193" t="str">
            <v>Palo Alto County, IA</v>
          </cell>
          <cell r="N2193">
            <v>24.624720746168862</v>
          </cell>
        </row>
        <row r="2194">
          <cell r="F2194" t="str">
            <v>Palo Pinto County, TX</v>
          </cell>
          <cell r="N2194">
            <v>16.61014567690404</v>
          </cell>
        </row>
        <row r="2195">
          <cell r="F2195" t="str">
            <v>Pamlico County, NC</v>
          </cell>
          <cell r="N2195">
            <v>20.708068618623145</v>
          </cell>
        </row>
        <row r="2196">
          <cell r="F2196" t="str">
            <v>Panola County, MS</v>
          </cell>
          <cell r="N2196">
            <v>16.029992348847721</v>
          </cell>
        </row>
        <row r="2197">
          <cell r="F2197" t="str">
            <v>Panola County, TX</v>
          </cell>
          <cell r="N2197">
            <v>11.211243928868235</v>
          </cell>
        </row>
        <row r="2198">
          <cell r="F2198" t="str">
            <v>Park County, CO</v>
          </cell>
          <cell r="N2198">
            <v>17.404669476164983</v>
          </cell>
        </row>
        <row r="2199">
          <cell r="F2199" t="str">
            <v>Park County, MT</v>
          </cell>
          <cell r="N2199">
            <v>13.538707413451602</v>
          </cell>
        </row>
        <row r="2200">
          <cell r="F2200" t="str">
            <v>Park County, WY</v>
          </cell>
          <cell r="N2200">
            <v>9.387006565842885</v>
          </cell>
        </row>
        <row r="2201">
          <cell r="F2201" t="str">
            <v>Parke County, IN</v>
          </cell>
          <cell r="N2201">
            <v>10.503820905589633</v>
          </cell>
        </row>
        <row r="2202">
          <cell r="F2202" t="str">
            <v>Parker County, TX</v>
          </cell>
          <cell r="N2202">
            <v>15.383122552350446</v>
          </cell>
        </row>
        <row r="2203">
          <cell r="F2203" t="str">
            <v>Parmer County, TX</v>
          </cell>
          <cell r="N2203">
            <v>11.114785488473487</v>
          </cell>
        </row>
        <row r="2204">
          <cell r="F2204" t="str">
            <v>Pasco County, FL</v>
          </cell>
          <cell r="N2204">
            <v>13.229509598732106</v>
          </cell>
        </row>
        <row r="2205">
          <cell r="F2205" t="str">
            <v>Pasquotank County, NC</v>
          </cell>
          <cell r="N2205">
            <v>16.280324789975069</v>
          </cell>
        </row>
        <row r="2206">
          <cell r="F2206" t="str">
            <v>Passaic County, NJ</v>
          </cell>
          <cell r="N2206">
            <v>18.047008588604374</v>
          </cell>
        </row>
        <row r="2207">
          <cell r="F2207" t="str">
            <v>Patrick County, VA</v>
          </cell>
          <cell r="N2207">
            <v>22.936316324598639</v>
          </cell>
        </row>
        <row r="2208">
          <cell r="F2208" t="str">
            <v>Paulding County, GA</v>
          </cell>
          <cell r="N2208">
            <v>17.530659761677438</v>
          </cell>
        </row>
        <row r="2209">
          <cell r="F2209" t="str">
            <v>Paulding County, OH</v>
          </cell>
          <cell r="N2209">
            <v>11.722307516194601</v>
          </cell>
        </row>
        <row r="2210">
          <cell r="F2210" t="str">
            <v>Pawnee County, KS</v>
          </cell>
          <cell r="N2210">
            <v>14.935227705342134</v>
          </cell>
        </row>
        <row r="2211">
          <cell r="F2211" t="str">
            <v>Pawnee County, NE</v>
          </cell>
          <cell r="N2211">
            <v>19.71101663639682</v>
          </cell>
        </row>
        <row r="2212">
          <cell r="F2212" t="str">
            <v>Pawnee County, OK</v>
          </cell>
          <cell r="N2212">
            <v>14.643535743489842</v>
          </cell>
        </row>
        <row r="2213">
          <cell r="F2213" t="str">
            <v>Payette County, ID</v>
          </cell>
          <cell r="N2213">
            <v>26.354835614325886</v>
          </cell>
        </row>
        <row r="2214">
          <cell r="F2214" t="str">
            <v>Payne County, OK</v>
          </cell>
          <cell r="N2214">
            <v>14.369259986236687</v>
          </cell>
        </row>
        <row r="2215">
          <cell r="F2215" t="str">
            <v>Peach County, GA</v>
          </cell>
          <cell r="N2215">
            <v>15.009670043568629</v>
          </cell>
        </row>
        <row r="2216">
          <cell r="F2216" t="str">
            <v>Pearl River County, MS</v>
          </cell>
          <cell r="N2216">
            <v>12.378082156199294</v>
          </cell>
        </row>
        <row r="2217">
          <cell r="F2217" t="str">
            <v>Pecos County, TX</v>
          </cell>
          <cell r="N2217">
            <v>10.584227004571998</v>
          </cell>
        </row>
        <row r="2218">
          <cell r="F2218" t="str">
            <v>Pembina County, ND</v>
          </cell>
          <cell r="N2218">
            <v>16.950362525188485</v>
          </cell>
        </row>
        <row r="2219">
          <cell r="F2219" t="str">
            <v>Pemiscot County, MO</v>
          </cell>
          <cell r="N2219">
            <v>19.689628415479</v>
          </cell>
        </row>
        <row r="2220">
          <cell r="F2220" t="str">
            <v>Pend Oreille County, WA</v>
          </cell>
          <cell r="N2220">
            <v>29.364796377393837</v>
          </cell>
        </row>
        <row r="2221">
          <cell r="F2221" t="str">
            <v>Pender County, NC</v>
          </cell>
          <cell r="N2221">
            <v>22.936316324598639</v>
          </cell>
        </row>
        <row r="2222">
          <cell r="F2222" t="str">
            <v>Pendleton County, KY</v>
          </cell>
          <cell r="N2222">
            <v>14.812466385182898</v>
          </cell>
        </row>
        <row r="2223">
          <cell r="F2223" t="str">
            <v>Pendleton County, WV</v>
          </cell>
          <cell r="N2223">
            <v>18.306803197769447</v>
          </cell>
        </row>
        <row r="2224">
          <cell r="F2224" t="str">
            <v>Pennington County, MN</v>
          </cell>
          <cell r="N2224">
            <v>23.458188740919567</v>
          </cell>
        </row>
        <row r="2225">
          <cell r="F2225" t="str">
            <v>Pennington County, SD</v>
          </cell>
          <cell r="N2225">
            <v>15.500051627752748</v>
          </cell>
        </row>
        <row r="2226">
          <cell r="F2226" t="str">
            <v>Penobscot County, ME</v>
          </cell>
          <cell r="N2226">
            <v>35.877122817617781</v>
          </cell>
        </row>
        <row r="2227">
          <cell r="F2227" t="str">
            <v>Peoria County, IL</v>
          </cell>
          <cell r="N2227">
            <v>10.515199652913603</v>
          </cell>
        </row>
        <row r="2228">
          <cell r="F2228" t="str">
            <v>Pepin County, WI</v>
          </cell>
          <cell r="N2228">
            <v>24.375484848545121</v>
          </cell>
        </row>
        <row r="2229">
          <cell r="F2229" t="str">
            <v>Perkins County, NE</v>
          </cell>
          <cell r="N2229">
            <v>12.36609662735856</v>
          </cell>
        </row>
        <row r="2230">
          <cell r="F2230" t="str">
            <v>Perkins County, SD</v>
          </cell>
          <cell r="N2230">
            <v>18.399715586982857</v>
          </cell>
        </row>
        <row r="2231">
          <cell r="F2231" t="str">
            <v>Perquimans County, NC</v>
          </cell>
          <cell r="N2231">
            <v>16.553464831352709</v>
          </cell>
        </row>
        <row r="2232">
          <cell r="F2232" t="str">
            <v>Perry County, AL</v>
          </cell>
          <cell r="N2232">
            <v>11.382086944756555</v>
          </cell>
        </row>
        <row r="2233">
          <cell r="F2233" t="str">
            <v>Perry County, AR</v>
          </cell>
          <cell r="N2233">
            <v>21.287269116378901</v>
          </cell>
        </row>
        <row r="2234">
          <cell r="F2234" t="str">
            <v>Perry County, IL</v>
          </cell>
          <cell r="N2234">
            <v>13.48642385239916</v>
          </cell>
        </row>
        <row r="2235">
          <cell r="F2235" t="str">
            <v>Perry County, IN</v>
          </cell>
          <cell r="N2235">
            <v>11.4633367494027</v>
          </cell>
        </row>
        <row r="2236">
          <cell r="F2236" t="str">
            <v>Perry County, KY</v>
          </cell>
          <cell r="N2236">
            <v>20.447776712553178</v>
          </cell>
        </row>
        <row r="2237">
          <cell r="F2237" t="str">
            <v>Perry County, MO</v>
          </cell>
          <cell r="N2237">
            <v>20.447776712553178</v>
          </cell>
        </row>
        <row r="2238">
          <cell r="F2238" t="str">
            <v>Perry County, MS</v>
          </cell>
          <cell r="N2238">
            <v>11.113012490871274</v>
          </cell>
        </row>
        <row r="2239">
          <cell r="F2239" t="str">
            <v>Perry County, OH</v>
          </cell>
          <cell r="N2239">
            <v>16.970107805050091</v>
          </cell>
        </row>
        <row r="2240">
          <cell r="F2240" t="str">
            <v>Perry County, PA</v>
          </cell>
          <cell r="N2240">
            <v>17.294971562073901</v>
          </cell>
        </row>
        <row r="2241">
          <cell r="F2241" t="str">
            <v>Perry County, TN</v>
          </cell>
          <cell r="N2241">
            <v>18.544645401842807</v>
          </cell>
        </row>
        <row r="2242">
          <cell r="F2242" t="str">
            <v>Pershing County, NV</v>
          </cell>
          <cell r="N2242">
            <v>16.724202611436532</v>
          </cell>
        </row>
        <row r="2243">
          <cell r="F2243" t="str">
            <v>Person County, NC</v>
          </cell>
          <cell r="N2243">
            <v>20.708068618623145</v>
          </cell>
        </row>
        <row r="2244">
          <cell r="F2244" t="str">
            <v>Petersbu County, VA</v>
          </cell>
          <cell r="N2244">
            <v>14.210210792165576</v>
          </cell>
        </row>
        <row r="2245">
          <cell r="F2245" t="str">
            <v>Petroleum County, MT</v>
          </cell>
          <cell r="N2245">
            <v>16.086992761294198</v>
          </cell>
        </row>
        <row r="2246">
          <cell r="F2246" t="str">
            <v>Pettis County, MO</v>
          </cell>
          <cell r="N2246">
            <v>19.016913049634631</v>
          </cell>
        </row>
        <row r="2247">
          <cell r="F2247" t="str">
            <v>Phelps County, MO</v>
          </cell>
          <cell r="N2247">
            <v>16.718404215993441</v>
          </cell>
        </row>
        <row r="2248">
          <cell r="F2248" t="str">
            <v>Phelps County, NE</v>
          </cell>
          <cell r="N2248">
            <v>17.149425466375014</v>
          </cell>
        </row>
        <row r="2249">
          <cell r="F2249" t="str">
            <v>Philadelphia County, PA</v>
          </cell>
          <cell r="N2249">
            <v>13.903968242445583</v>
          </cell>
        </row>
        <row r="2250">
          <cell r="F2250" t="str">
            <v>Phillips County, AR</v>
          </cell>
          <cell r="N2250">
            <v>16.613213084817108</v>
          </cell>
        </row>
        <row r="2251">
          <cell r="F2251" t="str">
            <v>Phillips County, CO</v>
          </cell>
          <cell r="N2251">
            <v>12.207080388899975</v>
          </cell>
        </row>
        <row r="2252">
          <cell r="F2252" t="str">
            <v>Phillips County, KS</v>
          </cell>
          <cell r="N2252">
            <v>15.474006376793181</v>
          </cell>
        </row>
        <row r="2253">
          <cell r="F2253" t="str">
            <v>Phillips County, MT</v>
          </cell>
          <cell r="N2253">
            <v>18.280582149993016</v>
          </cell>
        </row>
        <row r="2254">
          <cell r="F2254" t="str">
            <v>Piatt County, IL</v>
          </cell>
          <cell r="N2254">
            <v>13.223341516018539</v>
          </cell>
        </row>
        <row r="2255">
          <cell r="F2255" t="str">
            <v>Pickaway County, OH</v>
          </cell>
          <cell r="N2255">
            <v>15.696235439417624</v>
          </cell>
        </row>
        <row r="2256">
          <cell r="F2256" t="str">
            <v>Pickens County, AL</v>
          </cell>
          <cell r="N2256">
            <v>13.959878351038231</v>
          </cell>
        </row>
        <row r="2257">
          <cell r="F2257" t="str">
            <v>Pickens County, GA</v>
          </cell>
          <cell r="N2257">
            <v>20.851467633163494</v>
          </cell>
        </row>
        <row r="2258">
          <cell r="F2258" t="str">
            <v>Pickens County, SC</v>
          </cell>
          <cell r="N2258">
            <v>23.994539825727877</v>
          </cell>
        </row>
        <row r="2259">
          <cell r="F2259" t="str">
            <v>Pickett County, TN</v>
          </cell>
          <cell r="N2259">
            <v>18.094062152399889</v>
          </cell>
        </row>
        <row r="2260">
          <cell r="F2260" t="str">
            <v>Pierce County, GA</v>
          </cell>
          <cell r="N2260">
            <v>16.849262156173584</v>
          </cell>
        </row>
        <row r="2261">
          <cell r="F2261" t="str">
            <v>Pierce County, ND</v>
          </cell>
          <cell r="N2261">
            <v>16.849262156173584</v>
          </cell>
        </row>
        <row r="2262">
          <cell r="F2262" t="str">
            <v>Pierce County, NE</v>
          </cell>
          <cell r="N2262">
            <v>16.542237477317091</v>
          </cell>
        </row>
        <row r="2263">
          <cell r="F2263" t="str">
            <v>Pierce County, WA</v>
          </cell>
          <cell r="N2263">
            <v>31.985549913200344</v>
          </cell>
        </row>
        <row r="2264">
          <cell r="F2264" t="str">
            <v>Pierce County, WI</v>
          </cell>
          <cell r="N2264">
            <v>25.123192541416348</v>
          </cell>
        </row>
        <row r="2265">
          <cell r="F2265" t="str">
            <v>Pike County, AL</v>
          </cell>
          <cell r="N2265">
            <v>10.817165060448044</v>
          </cell>
        </row>
        <row r="2266">
          <cell r="F2266" t="str">
            <v>Pike County, AR</v>
          </cell>
          <cell r="N2266">
            <v>17.404101816321067</v>
          </cell>
        </row>
        <row r="2267">
          <cell r="F2267" t="str">
            <v>Pike County, GA</v>
          </cell>
          <cell r="N2267">
            <v>16.984379678922153</v>
          </cell>
        </row>
        <row r="2268">
          <cell r="F2268" t="str">
            <v>Pike County, IL</v>
          </cell>
          <cell r="N2268">
            <v>11.442911049624204</v>
          </cell>
        </row>
        <row r="2269">
          <cell r="F2269" t="str">
            <v>Pike County, IN</v>
          </cell>
          <cell r="N2269">
            <v>14.151052912729142</v>
          </cell>
        </row>
        <row r="2270">
          <cell r="F2270" t="str">
            <v>Pike County, KY</v>
          </cell>
          <cell r="N2270">
            <v>20.96530521200555</v>
          </cell>
        </row>
        <row r="2271">
          <cell r="F2271" t="str">
            <v>Pike County, MO</v>
          </cell>
          <cell r="N2271">
            <v>12.273697375036683</v>
          </cell>
        </row>
        <row r="2272">
          <cell r="F2272" t="str">
            <v>Pike County, MS</v>
          </cell>
          <cell r="N2272">
            <v>12.273697375036683</v>
          </cell>
        </row>
        <row r="2273">
          <cell r="F2273" t="str">
            <v>Pike County, OH</v>
          </cell>
          <cell r="N2273">
            <v>15.945471337041369</v>
          </cell>
        </row>
        <row r="2274">
          <cell r="F2274" t="str">
            <v>Pike County, PA</v>
          </cell>
          <cell r="N2274">
            <v>19.824550651312766</v>
          </cell>
        </row>
        <row r="2275">
          <cell r="F2275" t="str">
            <v>Pima County, AZ</v>
          </cell>
          <cell r="N2275">
            <v>26.579196071946541</v>
          </cell>
        </row>
        <row r="2276">
          <cell r="F2276" t="str">
            <v>Pinal County, AZ</v>
          </cell>
          <cell r="N2276">
            <v>24.81830226416767</v>
          </cell>
        </row>
        <row r="2277">
          <cell r="F2277" t="str">
            <v>Pine County, MN</v>
          </cell>
          <cell r="N2277">
            <v>28.816760539830053</v>
          </cell>
        </row>
        <row r="2278">
          <cell r="F2278" t="str">
            <v>Pinellas County, FL</v>
          </cell>
          <cell r="N2278">
            <v>13.60713718399515</v>
          </cell>
        </row>
        <row r="2279">
          <cell r="F2279" t="str">
            <v>Pipestone County, MN</v>
          </cell>
          <cell r="N2279">
            <v>25.355150850611391</v>
          </cell>
        </row>
        <row r="2280">
          <cell r="F2280" t="str">
            <v>Piscataquis County, ME</v>
          </cell>
          <cell r="N2280">
            <v>36.123244026300483</v>
          </cell>
        </row>
        <row r="2281">
          <cell r="F2281" t="str">
            <v>Pitkin County, CO</v>
          </cell>
          <cell r="N2281">
            <v>15.008881307963954</v>
          </cell>
        </row>
        <row r="2282">
          <cell r="F2282" t="str">
            <v>Pitt County, NC</v>
          </cell>
          <cell r="N2282">
            <v>18.839215703934023</v>
          </cell>
        </row>
        <row r="2283">
          <cell r="F2283" t="str">
            <v>Pittsburg County, OK</v>
          </cell>
          <cell r="N2283">
            <v>19.291788050622273</v>
          </cell>
        </row>
        <row r="2284">
          <cell r="F2284" t="str">
            <v>Pittsylvania County, VA</v>
          </cell>
          <cell r="N2284">
            <v>20.952457076697875</v>
          </cell>
        </row>
        <row r="2285">
          <cell r="F2285" t="str">
            <v>Piute County, UT</v>
          </cell>
          <cell r="N2285">
            <v>14.398882184359678</v>
          </cell>
        </row>
        <row r="2286">
          <cell r="F2286" t="str">
            <v>Placer County, CA</v>
          </cell>
          <cell r="N2286">
            <v>10.224685611510768</v>
          </cell>
        </row>
        <row r="2287">
          <cell r="F2287" t="str">
            <v>Plaquemines Parish, LA</v>
          </cell>
          <cell r="N2287">
            <v>13.322415232431418</v>
          </cell>
        </row>
        <row r="2288">
          <cell r="F2288" t="str">
            <v>Platte County, MO</v>
          </cell>
          <cell r="N2288">
            <v>21.137199828354909</v>
          </cell>
        </row>
        <row r="2289">
          <cell r="F2289" t="str">
            <v>Platte County, NE</v>
          </cell>
          <cell r="N2289">
            <v>21.62182518484552</v>
          </cell>
        </row>
        <row r="2290">
          <cell r="F2290" t="str">
            <v>Platte County, WY</v>
          </cell>
          <cell r="N2290">
            <v>13.974434533161055</v>
          </cell>
        </row>
        <row r="2291">
          <cell r="F2291" t="str">
            <v>Pleasants County, WV</v>
          </cell>
          <cell r="N2291">
            <v>20.257294913570334</v>
          </cell>
        </row>
        <row r="2292">
          <cell r="F2292" t="str">
            <v>Plumas County, CA</v>
          </cell>
          <cell r="N2292">
            <v>10.224685611510768</v>
          </cell>
        </row>
        <row r="2293">
          <cell r="F2293" t="str">
            <v>Plymouth County, IA</v>
          </cell>
          <cell r="N2293">
            <v>26.05268558704541</v>
          </cell>
        </row>
        <row r="2294">
          <cell r="F2294" t="str">
            <v>Plymouth County, MA</v>
          </cell>
          <cell r="N2294">
            <v>25.854520264038925</v>
          </cell>
        </row>
        <row r="2295">
          <cell r="F2295" t="str">
            <v>Pocahontas County, IA</v>
          </cell>
          <cell r="N2295">
            <v>24.140095389678251</v>
          </cell>
        </row>
        <row r="2296">
          <cell r="F2296" t="str">
            <v>Pocahontas County, WV</v>
          </cell>
          <cell r="N2296">
            <v>20.973116291832032</v>
          </cell>
        </row>
        <row r="2297">
          <cell r="F2297" t="str">
            <v>Poinsett County, AR</v>
          </cell>
          <cell r="N2297">
            <v>20.510815951046165</v>
          </cell>
        </row>
        <row r="2298">
          <cell r="F2298" t="str">
            <v>Pointe Coupee Parish, LA</v>
          </cell>
          <cell r="N2298">
            <v>14.22367614678334</v>
          </cell>
        </row>
        <row r="2299">
          <cell r="F2299" t="str">
            <v>Polk County, AR</v>
          </cell>
          <cell r="N2299">
            <v>17.678377573574224</v>
          </cell>
        </row>
        <row r="2300">
          <cell r="F2300" t="str">
            <v>Polk County, FL</v>
          </cell>
          <cell r="N2300">
            <v>12.485825435181676</v>
          </cell>
        </row>
        <row r="2301">
          <cell r="F2301" t="str">
            <v>Polk County, GA</v>
          </cell>
          <cell r="N2301">
            <v>17.530659761677438</v>
          </cell>
        </row>
        <row r="2302">
          <cell r="F2302" t="str">
            <v>Polk County, IA</v>
          </cell>
          <cell r="N2302">
            <v>20.180013905212103</v>
          </cell>
        </row>
        <row r="2303">
          <cell r="F2303" t="str">
            <v>Polk County, MN</v>
          </cell>
          <cell r="N2303">
            <v>28.238641261713141</v>
          </cell>
        </row>
        <row r="2304">
          <cell r="F2304" t="str">
            <v>Polk County, MO</v>
          </cell>
          <cell r="N2304">
            <v>20.678485700459589</v>
          </cell>
        </row>
        <row r="2305">
          <cell r="F2305" t="str">
            <v>Polk County, NC</v>
          </cell>
          <cell r="N2305">
            <v>26.228013710807588</v>
          </cell>
        </row>
        <row r="2306">
          <cell r="F2306" t="str">
            <v>Polk County, NE</v>
          </cell>
          <cell r="N2306">
            <v>26.228013710807588</v>
          </cell>
        </row>
        <row r="2307">
          <cell r="F2307" t="str">
            <v>Polk County, OR</v>
          </cell>
          <cell r="N2307">
            <v>25.255385696182952</v>
          </cell>
        </row>
        <row r="2308">
          <cell r="F2308" t="str">
            <v>Polk County, TN</v>
          </cell>
          <cell r="N2308">
            <v>21.886524632068241</v>
          </cell>
        </row>
        <row r="2309">
          <cell r="F2309" t="str">
            <v>Polk County, TX</v>
          </cell>
          <cell r="N2309">
            <v>8.925823361946069</v>
          </cell>
        </row>
        <row r="2310">
          <cell r="F2310" t="str">
            <v>Polk County, WI</v>
          </cell>
          <cell r="N2310">
            <v>28.723266618203755</v>
          </cell>
        </row>
        <row r="2311">
          <cell r="F2311" t="str">
            <v>Pondera County, MT</v>
          </cell>
          <cell r="N2311">
            <v>23.502789447712523</v>
          </cell>
        </row>
        <row r="2312">
          <cell r="F2312" t="str">
            <v>Pontotoc County, MS</v>
          </cell>
          <cell r="N2312">
            <v>16.029992348847721</v>
          </cell>
        </row>
        <row r="2313">
          <cell r="F2313" t="str">
            <v>Pontotoc County, OK</v>
          </cell>
          <cell r="N2313">
            <v>18.512267477376461</v>
          </cell>
        </row>
        <row r="2314">
          <cell r="F2314" t="str">
            <v>Pope County, AR</v>
          </cell>
          <cell r="N2314">
            <v>22.052354123453497</v>
          </cell>
        </row>
        <row r="2315">
          <cell r="F2315" t="str">
            <v>Pope County, IL</v>
          </cell>
          <cell r="N2315">
            <v>14.509139963627184</v>
          </cell>
        </row>
        <row r="2316">
          <cell r="F2316" t="str">
            <v>Pope County, MN</v>
          </cell>
          <cell r="N2316">
            <v>13.088899043352102</v>
          </cell>
        </row>
        <row r="2317">
          <cell r="F2317" t="str">
            <v>Poquos County, VA</v>
          </cell>
          <cell r="N2317">
            <v>13.088899043352102</v>
          </cell>
        </row>
        <row r="2318">
          <cell r="F2318" t="str">
            <v>Portage County, OH</v>
          </cell>
          <cell r="N2318">
            <v>20.168635157888133</v>
          </cell>
        </row>
        <row r="2319">
          <cell r="F2319" t="str">
            <v>Portage County, WI</v>
          </cell>
          <cell r="N2319">
            <v>20.89906807362944</v>
          </cell>
        </row>
        <row r="2320">
          <cell r="F2320" t="str">
            <v>Porter County, IN</v>
          </cell>
          <cell r="N2320">
            <v>11.985389852575219</v>
          </cell>
        </row>
        <row r="2321">
          <cell r="F2321" t="str">
            <v>Portsmou County, VA</v>
          </cell>
          <cell r="N2321">
            <v>13.663930709410295</v>
          </cell>
        </row>
        <row r="2322">
          <cell r="F2322" t="str">
            <v>Posey County, IN</v>
          </cell>
          <cell r="N2322">
            <v>12.017194299677685</v>
          </cell>
        </row>
        <row r="2323">
          <cell r="F2323" t="str">
            <v>Pottawatomie County, KS</v>
          </cell>
          <cell r="N2323">
            <v>17.149425466375014</v>
          </cell>
        </row>
        <row r="2324">
          <cell r="F2324" t="str">
            <v>Pottawatomie County, OK</v>
          </cell>
          <cell r="N2324">
            <v>16.996533029398496</v>
          </cell>
        </row>
        <row r="2325">
          <cell r="F2325" t="str">
            <v>Pottawattamie County, IA</v>
          </cell>
          <cell r="N2325">
            <v>24.349573619949826</v>
          </cell>
        </row>
        <row r="2326">
          <cell r="F2326" t="str">
            <v>Potter County, PA</v>
          </cell>
          <cell r="N2326">
            <v>21.725153318362505</v>
          </cell>
        </row>
        <row r="2327">
          <cell r="F2327" t="str">
            <v>Potter County, SD</v>
          </cell>
          <cell r="N2327">
            <v>18.020103481503934</v>
          </cell>
        </row>
        <row r="2328">
          <cell r="F2328" t="str">
            <v>Potter County, TX</v>
          </cell>
          <cell r="N2328">
            <v>10.826074165049114</v>
          </cell>
        </row>
        <row r="2329">
          <cell r="F2329" t="str">
            <v>Powder River County, MT</v>
          </cell>
          <cell r="N2329">
            <v>14.354731373154006</v>
          </cell>
        </row>
        <row r="2330">
          <cell r="F2330" t="str">
            <v>Powell County, KY</v>
          </cell>
          <cell r="N2330">
            <v>17.098217257764208</v>
          </cell>
        </row>
        <row r="2331">
          <cell r="F2331" t="str">
            <v>Powell County, MT</v>
          </cell>
          <cell r="N2331">
            <v>20.181428769625551</v>
          </cell>
        </row>
        <row r="2332">
          <cell r="F2332" t="str">
            <v>Power County, ID</v>
          </cell>
          <cell r="N2332">
            <v>14.343535575899287</v>
          </cell>
        </row>
        <row r="2333">
          <cell r="F2333" t="str">
            <v>Poweshiek County, IA</v>
          </cell>
          <cell r="N2333">
            <v>16.981486552374061</v>
          </cell>
        </row>
        <row r="2334">
          <cell r="F2334" t="str">
            <v>Powhatan County, VA</v>
          </cell>
          <cell r="N2334">
            <v>16.280324789975069</v>
          </cell>
        </row>
        <row r="2335">
          <cell r="F2335" t="str">
            <v>Prairie County, AR</v>
          </cell>
          <cell r="N2335">
            <v>18.359916591534574</v>
          </cell>
        </row>
        <row r="2336">
          <cell r="F2336" t="str">
            <v>Prairie County, MT</v>
          </cell>
          <cell r="N2336">
            <v>15.575189596795189</v>
          </cell>
        </row>
        <row r="2337">
          <cell r="F2337" t="str">
            <v>Pratt County, KS</v>
          </cell>
          <cell r="N2337">
            <v>13.19057642197593</v>
          </cell>
        </row>
        <row r="2338">
          <cell r="F2338" t="str">
            <v>Preble County, OH</v>
          </cell>
          <cell r="N2338">
            <v>10.766903241970251</v>
          </cell>
        </row>
        <row r="2339">
          <cell r="F2339" t="str">
            <v>Prentiss County, MS</v>
          </cell>
          <cell r="N2339">
            <v>17.525074680599019</v>
          </cell>
        </row>
        <row r="2340">
          <cell r="F2340" t="str">
            <v>Presidio County, TX</v>
          </cell>
          <cell r="N2340">
            <v>15.99756431877902</v>
          </cell>
        </row>
        <row r="2341">
          <cell r="F2341" t="str">
            <v>Presque Isle County, MI</v>
          </cell>
          <cell r="N2341">
            <v>20.234439013299454</v>
          </cell>
        </row>
        <row r="2342">
          <cell r="F2342" t="str">
            <v>Preston County, WV</v>
          </cell>
          <cell r="N2342">
            <v>20.973116291832032</v>
          </cell>
        </row>
        <row r="2343">
          <cell r="F2343" t="str">
            <v>Price County, WI</v>
          </cell>
          <cell r="N2343">
            <v>25.108385455719329</v>
          </cell>
        </row>
        <row r="2344">
          <cell r="F2344" t="str">
            <v>Prince Edward County, VA</v>
          </cell>
          <cell r="N2344">
            <v>17.775407121726367</v>
          </cell>
        </row>
        <row r="2345">
          <cell r="F2345" t="str">
            <v>Prince George County, VA</v>
          </cell>
          <cell r="N2345">
            <v>14.210210792165576</v>
          </cell>
        </row>
        <row r="2346">
          <cell r="F2346" t="str">
            <v>Prince Georges County, MD</v>
          </cell>
          <cell r="N2346">
            <v>12.837443004820546</v>
          </cell>
        </row>
        <row r="2347">
          <cell r="F2347" t="str">
            <v>Prince George's County, MD</v>
          </cell>
          <cell r="N2347">
            <v>12.837443004820546</v>
          </cell>
        </row>
        <row r="2348">
          <cell r="F2348" t="str">
            <v>Prince William County, VA</v>
          </cell>
          <cell r="N2348">
            <v>13.390790668032652</v>
          </cell>
        </row>
        <row r="2349">
          <cell r="F2349" t="str">
            <v>Providence County, RI</v>
          </cell>
          <cell r="N2349">
            <v>25.129830038473195</v>
          </cell>
        </row>
        <row r="2350">
          <cell r="F2350" t="str">
            <v>Prowers County, CO</v>
          </cell>
          <cell r="N2350">
            <v>14.869707262709031</v>
          </cell>
        </row>
        <row r="2351">
          <cell r="F2351" t="str">
            <v>Pueblo County, CO</v>
          </cell>
          <cell r="N2351">
            <v>16.702182119584602</v>
          </cell>
        </row>
        <row r="2352">
          <cell r="F2352" t="str">
            <v>Pulaski County, AR</v>
          </cell>
          <cell r="N2352">
            <v>20.236540193793008</v>
          </cell>
        </row>
        <row r="2353">
          <cell r="F2353" t="str">
            <v>Pulaski County, GA</v>
          </cell>
          <cell r="N2353">
            <v>14.722154210539534</v>
          </cell>
        </row>
        <row r="2354">
          <cell r="F2354" t="str">
            <v>Pulaski County, IL</v>
          </cell>
          <cell r="N2354">
            <v>15.990708910612771</v>
          </cell>
        </row>
        <row r="2355">
          <cell r="F2355" t="str">
            <v>Pulaski County, IN</v>
          </cell>
          <cell r="N2355">
            <v>10.503820905589633</v>
          </cell>
        </row>
        <row r="2356">
          <cell r="F2356" t="str">
            <v>Pulaski County, KY</v>
          </cell>
          <cell r="N2356">
            <v>17.820922111022249</v>
          </cell>
        </row>
        <row r="2357">
          <cell r="F2357" t="str">
            <v>Pulaski County, MO</v>
          </cell>
          <cell r="N2357">
            <v>18.518441254387145</v>
          </cell>
        </row>
        <row r="2358">
          <cell r="F2358" t="str">
            <v>Pulaski County, VA</v>
          </cell>
          <cell r="N2358">
            <v>23.195080574324827</v>
          </cell>
        </row>
        <row r="2359">
          <cell r="F2359" t="str">
            <v>Pushmataha County, OK</v>
          </cell>
          <cell r="N2359">
            <v>17.129826059067913</v>
          </cell>
        </row>
        <row r="2360">
          <cell r="F2360" t="str">
            <v>Putnam County, FL</v>
          </cell>
          <cell r="N2360">
            <v>16.837833303247258</v>
          </cell>
        </row>
        <row r="2361">
          <cell r="F2361" t="str">
            <v>Putnam County, GA</v>
          </cell>
          <cell r="N2361">
            <v>18.833630622855608</v>
          </cell>
        </row>
        <row r="2362">
          <cell r="F2362" t="str">
            <v>Putnam County, IL</v>
          </cell>
          <cell r="N2362">
            <v>11.442911049624204</v>
          </cell>
        </row>
        <row r="2363">
          <cell r="F2363" t="str">
            <v>Putnam County, IN</v>
          </cell>
          <cell r="N2363">
            <v>9.9499633553146474</v>
          </cell>
        </row>
        <row r="2364">
          <cell r="F2364" t="str">
            <v>Putnam County, MO</v>
          </cell>
          <cell r="N2364">
            <v>16.718404215993441</v>
          </cell>
        </row>
        <row r="2365">
          <cell r="F2365" t="str">
            <v>Putnam County, NY</v>
          </cell>
          <cell r="N2365">
            <v>20.973116291832032</v>
          </cell>
        </row>
        <row r="2366">
          <cell r="F2366" t="str">
            <v>Putnam County, OH</v>
          </cell>
          <cell r="N2366">
            <v>12.262318627712713</v>
          </cell>
        </row>
        <row r="2367">
          <cell r="F2367" t="str">
            <v>Putnam County, TN</v>
          </cell>
          <cell r="N2367">
            <v>18.611590651852261</v>
          </cell>
        </row>
        <row r="2368">
          <cell r="F2368" t="str">
            <v>Putnam County, WV</v>
          </cell>
          <cell r="N2368">
            <v>19.765052496204934</v>
          </cell>
        </row>
        <row r="2369">
          <cell r="F2369" t="str">
            <v>Quay County, NM</v>
          </cell>
          <cell r="N2369">
            <v>13.186922760557504</v>
          </cell>
        </row>
        <row r="2370">
          <cell r="F2370" t="str">
            <v>Queen Anne's County, MD</v>
          </cell>
          <cell r="N2370">
            <v>11.647857162854162</v>
          </cell>
        </row>
        <row r="2371">
          <cell r="F2371" t="str">
            <v>Queens County, NY</v>
          </cell>
          <cell r="N2371">
            <v>17.787213979439301</v>
          </cell>
        </row>
        <row r="2372">
          <cell r="F2372" t="str">
            <v>Quitman County, GA</v>
          </cell>
          <cell r="N2372">
            <v>12.582949713633113</v>
          </cell>
        </row>
        <row r="2373">
          <cell r="F2373" t="str">
            <v>Quitman County, MS</v>
          </cell>
          <cell r="N2373">
            <v>15.75685230747008</v>
          </cell>
        </row>
        <row r="2374">
          <cell r="F2374" t="str">
            <v>Rabun County, GA</v>
          </cell>
          <cell r="N2374">
            <v>22.936316324598639</v>
          </cell>
        </row>
        <row r="2375">
          <cell r="F2375" t="str">
            <v>Racine County, WI</v>
          </cell>
          <cell r="N2375">
            <v>22.936316324598639</v>
          </cell>
        </row>
        <row r="2376">
          <cell r="F2376" t="str">
            <v>Radfo County, VA</v>
          </cell>
          <cell r="N2376">
            <v>22.936316324598639</v>
          </cell>
        </row>
        <row r="2377">
          <cell r="F2377" t="str">
            <v>Rains County, TX</v>
          </cell>
          <cell r="N2377">
            <v>11.211243928868235</v>
          </cell>
        </row>
        <row r="2378">
          <cell r="F2378" t="str">
            <v>Raleigh County, WV</v>
          </cell>
          <cell r="N2378">
            <v>22.540752794126501</v>
          </cell>
        </row>
        <row r="2379">
          <cell r="F2379" t="str">
            <v>Ralls County, MO</v>
          </cell>
          <cell r="N2379">
            <v>12.522933272660428</v>
          </cell>
        </row>
        <row r="2380">
          <cell r="F2380" t="str">
            <v>Ramsey County, MN</v>
          </cell>
          <cell r="N2380">
            <v>28.332135183339439</v>
          </cell>
        </row>
        <row r="2381">
          <cell r="F2381" t="str">
            <v>Ramsey County, ND</v>
          </cell>
          <cell r="N2381">
            <v>14.333385600139177</v>
          </cell>
        </row>
        <row r="2382">
          <cell r="F2382" t="str">
            <v>Randall County, TX</v>
          </cell>
          <cell r="N2382">
            <v>13.24819246296661</v>
          </cell>
        </row>
        <row r="2383">
          <cell r="F2383" t="str">
            <v>Randolph County, AL</v>
          </cell>
          <cell r="N2383">
            <v>15.518048930473764</v>
          </cell>
        </row>
        <row r="2384">
          <cell r="F2384" t="str">
            <v>Randolph County, AR</v>
          </cell>
          <cell r="N2384">
            <v>21.036936675251557</v>
          </cell>
        </row>
        <row r="2385">
          <cell r="F2385" t="str">
            <v>Randolph County, GA</v>
          </cell>
          <cell r="N2385">
            <v>12.582949713633113</v>
          </cell>
        </row>
        <row r="2386">
          <cell r="F2386" t="str">
            <v>Randolph County, IL</v>
          </cell>
          <cell r="N2386">
            <v>14.253738117269759</v>
          </cell>
        </row>
        <row r="2387">
          <cell r="F2387" t="str">
            <v>Randolph County, IN</v>
          </cell>
          <cell r="N2387">
            <v>9.9499633553146474</v>
          </cell>
        </row>
        <row r="2388">
          <cell r="F2388" t="str">
            <v>Randolph County, MO</v>
          </cell>
          <cell r="N2388">
            <v>15.956850084365339</v>
          </cell>
        </row>
        <row r="2389">
          <cell r="F2389" t="str">
            <v>Randolph County, NC</v>
          </cell>
          <cell r="N2389">
            <v>23.195080574324827</v>
          </cell>
        </row>
        <row r="2390">
          <cell r="F2390" t="str">
            <v>Randolph County, WV</v>
          </cell>
          <cell r="N2390">
            <v>20.316793068678162</v>
          </cell>
        </row>
        <row r="2391">
          <cell r="F2391" t="str">
            <v>Rankin County, MS</v>
          </cell>
          <cell r="N2391">
            <v>13.305353933277031</v>
          </cell>
        </row>
        <row r="2392">
          <cell r="F2392" t="str">
            <v>Ransom County, ND</v>
          </cell>
          <cell r="N2392">
            <v>18.930403267421561</v>
          </cell>
        </row>
        <row r="2393">
          <cell r="F2393" t="str">
            <v>Rapides Parish, LA</v>
          </cell>
          <cell r="N2393">
            <v>11.596403103621533</v>
          </cell>
        </row>
        <row r="2394">
          <cell r="F2394" t="str">
            <v>Rappahannock County, VA</v>
          </cell>
          <cell r="N2394">
            <v>16.553464831352709</v>
          </cell>
        </row>
        <row r="2395">
          <cell r="F2395" t="str">
            <v>Ravalli County, MT</v>
          </cell>
          <cell r="N2395">
            <v>22.328860242526609</v>
          </cell>
        </row>
        <row r="2396">
          <cell r="F2396" t="str">
            <v>Rawlins County, KS</v>
          </cell>
          <cell r="N2396">
            <v>14.251129843775431</v>
          </cell>
        </row>
        <row r="2397">
          <cell r="F2397" t="str">
            <v>Ray County, MO</v>
          </cell>
          <cell r="N2397">
            <v>19.94462444634523</v>
          </cell>
        </row>
        <row r="2398">
          <cell r="F2398" t="str">
            <v>Reagan County, TX</v>
          </cell>
          <cell r="N2398">
            <v>10.295515681147624</v>
          </cell>
        </row>
        <row r="2399">
          <cell r="F2399" t="str">
            <v>Real County, TX</v>
          </cell>
          <cell r="N2399">
            <v>15.526608507865962</v>
          </cell>
        </row>
        <row r="2400">
          <cell r="F2400" t="str">
            <v>Red Lake County, MN</v>
          </cell>
          <cell r="N2400">
            <v>25.604386748235136</v>
          </cell>
        </row>
        <row r="2401">
          <cell r="F2401" t="str">
            <v>Red River County, TX</v>
          </cell>
          <cell r="N2401">
            <v>19.193485603802177</v>
          </cell>
        </row>
        <row r="2402">
          <cell r="F2402" t="str">
            <v>Red River Parish, LA</v>
          </cell>
          <cell r="N2402">
            <v>13.675124632277029</v>
          </cell>
        </row>
        <row r="2403">
          <cell r="F2403" t="str">
            <v>Red Willow County, NE</v>
          </cell>
          <cell r="N2403">
            <v>16.023474004655384</v>
          </cell>
        </row>
        <row r="2404">
          <cell r="F2404" t="str">
            <v>Redwood County, MN</v>
          </cell>
          <cell r="N2404">
            <v>25.119761391744522</v>
          </cell>
        </row>
        <row r="2405">
          <cell r="F2405" t="str">
            <v>Reeves County, TX</v>
          </cell>
          <cell r="N2405">
            <v>10.858502761825154</v>
          </cell>
        </row>
        <row r="2406">
          <cell r="F2406" t="str">
            <v>Refugio County, TX</v>
          </cell>
          <cell r="N2406">
            <v>9.0594748631599753</v>
          </cell>
        </row>
        <row r="2407">
          <cell r="F2407" t="str">
            <v>Reno County, KS</v>
          </cell>
          <cell r="N2407">
            <v>10.932374464538299</v>
          </cell>
        </row>
        <row r="2408">
          <cell r="F2408" t="str">
            <v>Rensselaer County, NY</v>
          </cell>
          <cell r="N2408">
            <v>25.129830038473195</v>
          </cell>
        </row>
        <row r="2409">
          <cell r="F2409" t="str">
            <v>Renville County, MN</v>
          </cell>
          <cell r="N2409">
            <v>24.533687956278321</v>
          </cell>
        </row>
        <row r="2410">
          <cell r="F2410" t="str">
            <v>Renville County, ND</v>
          </cell>
          <cell r="N2410">
            <v>14.135012449865467</v>
          </cell>
        </row>
        <row r="2411">
          <cell r="F2411" t="str">
            <v>Republic County, KS</v>
          </cell>
          <cell r="N2411">
            <v>16.650953671127528</v>
          </cell>
        </row>
        <row r="2412">
          <cell r="F2412" t="str">
            <v>Reynolds County, MO</v>
          </cell>
          <cell r="N2412">
            <v>16.718404215993441</v>
          </cell>
        </row>
        <row r="2413">
          <cell r="F2413" t="str">
            <v>Rhea County, TN</v>
          </cell>
          <cell r="N2413">
            <v>20.586007816349387</v>
          </cell>
        </row>
        <row r="2414">
          <cell r="F2414" t="str">
            <v>Rice County, KS</v>
          </cell>
          <cell r="N2414">
            <v>11.209303239675792</v>
          </cell>
        </row>
        <row r="2415">
          <cell r="F2415" t="str">
            <v>Rice County, MN</v>
          </cell>
          <cell r="N2415">
            <v>29.79985769156815</v>
          </cell>
        </row>
        <row r="2416">
          <cell r="F2416" t="str">
            <v>Rich County, UT</v>
          </cell>
          <cell r="N2416">
            <v>11.380080143295823</v>
          </cell>
        </row>
        <row r="2417">
          <cell r="F2417" t="str">
            <v>Richardson County, NE</v>
          </cell>
          <cell r="N2417">
            <v>20.638728033107419</v>
          </cell>
        </row>
        <row r="2418">
          <cell r="F2418" t="str">
            <v>Richland County, IL</v>
          </cell>
          <cell r="N2418">
            <v>11.740265524540192</v>
          </cell>
        </row>
        <row r="2419">
          <cell r="F2419" t="str">
            <v>Richland County, MT</v>
          </cell>
          <cell r="N2419">
            <v>14.349933194852076</v>
          </cell>
        </row>
        <row r="2420">
          <cell r="F2420" t="str">
            <v>Richland County, ND</v>
          </cell>
          <cell r="N2420">
            <v>20.3842793368934</v>
          </cell>
        </row>
        <row r="2421">
          <cell r="F2421" t="str">
            <v>Richland County, OH</v>
          </cell>
          <cell r="N2421">
            <v>16.443943132288855</v>
          </cell>
        </row>
        <row r="2422">
          <cell r="F2422" t="str">
            <v>Richland County, SC</v>
          </cell>
          <cell r="N2422">
            <v>24.253304075454068</v>
          </cell>
        </row>
        <row r="2423">
          <cell r="F2423" t="str">
            <v>Richland County, WI</v>
          </cell>
          <cell r="N2423">
            <v>19.681542109964614</v>
          </cell>
        </row>
        <row r="2424">
          <cell r="F2424" t="str">
            <v>Richland Parish, LA</v>
          </cell>
          <cell r="N2424">
            <v>13.43738852714899</v>
          </cell>
        </row>
        <row r="2425">
          <cell r="F2425" t="str">
            <v>Richmond County, GA</v>
          </cell>
          <cell r="N2425">
            <v>21.493152078374742</v>
          </cell>
        </row>
        <row r="2426">
          <cell r="F2426" t="str">
            <v>Richmond County, NC</v>
          </cell>
          <cell r="N2426">
            <v>25.768347279935234</v>
          </cell>
        </row>
        <row r="2427">
          <cell r="F2427" t="str">
            <v>Richmond County, NY</v>
          </cell>
          <cell r="N2427">
            <v>25.768347279935234</v>
          </cell>
        </row>
        <row r="2428">
          <cell r="F2428" t="str">
            <v>Richmond County, VA</v>
          </cell>
          <cell r="N2428">
            <v>12.12572100270463</v>
          </cell>
        </row>
        <row r="2429">
          <cell r="F2429" t="str">
            <v>Riley County, KS</v>
          </cell>
          <cell r="N2429">
            <v>16.650953671127528</v>
          </cell>
        </row>
        <row r="2430">
          <cell r="F2430" t="str">
            <v>Ringgold County, IA</v>
          </cell>
          <cell r="N2430">
            <v>20.44309624159272</v>
          </cell>
        </row>
        <row r="2431">
          <cell r="F2431" t="str">
            <v>Rio Arriba County, NM</v>
          </cell>
          <cell r="N2431">
            <v>10.659570752840011</v>
          </cell>
        </row>
        <row r="2432">
          <cell r="F2432" t="str">
            <v>Rio Blanco County, CO</v>
          </cell>
          <cell r="N2432">
            <v>14.244372697607012</v>
          </cell>
        </row>
        <row r="2433">
          <cell r="F2433" t="str">
            <v>Rio Grande County, CO</v>
          </cell>
          <cell r="N2433">
            <v>12.050407003731671</v>
          </cell>
        </row>
        <row r="2434">
          <cell r="F2434" t="str">
            <v>Ripley County, IN</v>
          </cell>
          <cell r="N2434">
            <v>11.431532302300234</v>
          </cell>
        </row>
        <row r="2435">
          <cell r="F2435" t="str">
            <v>Ripley County, MO</v>
          </cell>
          <cell r="N2435">
            <v>19.681542109964614</v>
          </cell>
        </row>
        <row r="2436">
          <cell r="F2436" t="str">
            <v>Ritchie County, WV</v>
          </cell>
          <cell r="N2436">
            <v>20.489742721770661</v>
          </cell>
        </row>
        <row r="2437">
          <cell r="F2437" t="str">
            <v>Riverside County, CA</v>
          </cell>
          <cell r="N2437">
            <v>12.155347326152375</v>
          </cell>
        </row>
        <row r="2438">
          <cell r="F2438" t="str">
            <v>Roane County, TN</v>
          </cell>
          <cell r="N2438">
            <v>20.830396274424121</v>
          </cell>
        </row>
        <row r="2439">
          <cell r="F2439" t="str">
            <v>Roane County, WV</v>
          </cell>
          <cell r="N2439">
            <v>20.257294913570334</v>
          </cell>
        </row>
        <row r="2440">
          <cell r="F2440" t="str">
            <v>Roanoke County, VA</v>
          </cell>
          <cell r="N2440">
            <v>22.16002357542008</v>
          </cell>
        </row>
        <row r="2441">
          <cell r="F2441" t="str">
            <v>Roberts County, SD</v>
          </cell>
          <cell r="N2441">
            <v>21.395069366145243</v>
          </cell>
        </row>
        <row r="2442">
          <cell r="F2442" t="str">
            <v>Roberts County, TX</v>
          </cell>
          <cell r="N2442">
            <v>12.67382663496511</v>
          </cell>
        </row>
        <row r="2443">
          <cell r="F2443" t="str">
            <v>Robertson County, KY</v>
          </cell>
          <cell r="N2443">
            <v>15.358746467938179</v>
          </cell>
        </row>
        <row r="2444">
          <cell r="F2444" t="str">
            <v>Robertson County, TN</v>
          </cell>
          <cell r="N2444">
            <v>14.663181655950012</v>
          </cell>
        </row>
        <row r="2445">
          <cell r="F2445" t="str">
            <v>Robertson County, TX</v>
          </cell>
          <cell r="N2445">
            <v>10.936968171615078</v>
          </cell>
        </row>
        <row r="2446">
          <cell r="F2446" t="str">
            <v>Robeson County, NC</v>
          </cell>
          <cell r="N2446">
            <v>25.768347279935234</v>
          </cell>
        </row>
        <row r="2447">
          <cell r="F2447" t="str">
            <v>Rock County, MN</v>
          </cell>
          <cell r="N2447">
            <v>23.458188740919567</v>
          </cell>
        </row>
        <row r="2448">
          <cell r="F2448" t="str">
            <v>Rock County, NE</v>
          </cell>
          <cell r="N2448">
            <v>18.084675833947788</v>
          </cell>
        </row>
        <row r="2449">
          <cell r="F2449" t="str">
            <v>Rock County, WI</v>
          </cell>
          <cell r="N2449">
            <v>16.455321879612825</v>
          </cell>
        </row>
        <row r="2450">
          <cell r="F2450" t="str">
            <v>Rock Island County, IL</v>
          </cell>
          <cell r="N2450">
            <v>14.253738117269759</v>
          </cell>
        </row>
        <row r="2451">
          <cell r="F2451" t="str">
            <v>Rockbridge County, VA</v>
          </cell>
          <cell r="N2451">
            <v>20.434928577245504</v>
          </cell>
        </row>
        <row r="2452">
          <cell r="F2452" t="str">
            <v>Rockcastle County, KY</v>
          </cell>
          <cell r="N2452">
            <v>17.820922111022249</v>
          </cell>
        </row>
        <row r="2453">
          <cell r="F2453" t="str">
            <v>Rockdale County, GA</v>
          </cell>
          <cell r="N2453">
            <v>19.106770664233245</v>
          </cell>
        </row>
        <row r="2454">
          <cell r="F2454" t="str">
            <v>Rockingham County, NC</v>
          </cell>
          <cell r="N2454">
            <v>22.433163616797721</v>
          </cell>
        </row>
        <row r="2455">
          <cell r="F2455" t="str">
            <v>Rockingham County, NH</v>
          </cell>
          <cell r="N2455">
            <v>22.433163616797721</v>
          </cell>
        </row>
        <row r="2456">
          <cell r="F2456" t="str">
            <v>Rockingham County, VA</v>
          </cell>
          <cell r="N2456">
            <v>18.048547163104008</v>
          </cell>
        </row>
        <row r="2457">
          <cell r="F2457" t="str">
            <v>Rockland County, NY</v>
          </cell>
          <cell r="N2457">
            <v>19.824550651312766</v>
          </cell>
        </row>
        <row r="2458">
          <cell r="F2458" t="str">
            <v>Rockwall County, TX</v>
          </cell>
          <cell r="N2458">
            <v>12.207297994682326</v>
          </cell>
        </row>
        <row r="2459">
          <cell r="F2459" t="str">
            <v>Roger Mills County, OK</v>
          </cell>
          <cell r="N2459">
            <v>13.373205920422595</v>
          </cell>
        </row>
        <row r="2460">
          <cell r="F2460" t="str">
            <v>Rogers County, OK</v>
          </cell>
          <cell r="N2460">
            <v>18.512267477376461</v>
          </cell>
        </row>
        <row r="2461">
          <cell r="F2461" t="str">
            <v>Rolette County, ND</v>
          </cell>
          <cell r="N2461">
            <v>14.914936027927913</v>
          </cell>
        </row>
        <row r="2462">
          <cell r="F2462" t="str">
            <v>Rooks County, KS</v>
          </cell>
          <cell r="N2462">
            <v>12.967800961798872</v>
          </cell>
        </row>
        <row r="2463">
          <cell r="F2463" t="str">
            <v>Roosevelt County, MT</v>
          </cell>
          <cell r="N2463">
            <v>14.951214007264372</v>
          </cell>
        </row>
        <row r="2464">
          <cell r="F2464" t="str">
            <v>Roosevelt County, NM</v>
          </cell>
          <cell r="N2464">
            <v>10.492537852026135</v>
          </cell>
        </row>
        <row r="2465">
          <cell r="F2465" t="str">
            <v>Roscommon County, MI</v>
          </cell>
          <cell r="N2465">
            <v>16.260511090076434</v>
          </cell>
        </row>
        <row r="2466">
          <cell r="F2466" t="str">
            <v>Roseau County, MN</v>
          </cell>
          <cell r="N2466">
            <v>25.358582000283221</v>
          </cell>
        </row>
        <row r="2467">
          <cell r="F2467" t="str">
            <v>Rosebud County, MT</v>
          </cell>
          <cell r="N2467">
            <v>14.354731373154006</v>
          </cell>
        </row>
        <row r="2468">
          <cell r="F2468" t="str">
            <v>Ross County, OH</v>
          </cell>
          <cell r="N2468">
            <v>15.945471337041369</v>
          </cell>
        </row>
        <row r="2469">
          <cell r="F2469" t="str">
            <v>Routt County, CO</v>
          </cell>
          <cell r="N2469">
            <v>13.849268312597381</v>
          </cell>
        </row>
        <row r="2470">
          <cell r="F2470" t="str">
            <v>Rowan County, KY</v>
          </cell>
          <cell r="N2470">
            <v>17.098217257764208</v>
          </cell>
        </row>
        <row r="2471">
          <cell r="F2471" t="str">
            <v>Rowan County, NC</v>
          </cell>
          <cell r="N2471">
            <v>26.012735738009965</v>
          </cell>
        </row>
        <row r="2472">
          <cell r="F2472" t="str">
            <v>Runnels County, TX</v>
          </cell>
          <cell r="N2472">
            <v>15.030381385307365</v>
          </cell>
        </row>
        <row r="2473">
          <cell r="F2473" t="str">
            <v>Rush County, IN</v>
          </cell>
          <cell r="N2473">
            <v>9.9499633553146474</v>
          </cell>
        </row>
        <row r="2474">
          <cell r="F2474" t="str">
            <v>Rush County, KS</v>
          </cell>
          <cell r="N2474">
            <v>10.932374464538299</v>
          </cell>
        </row>
        <row r="2475">
          <cell r="F2475" t="str">
            <v>Rusk County, TX</v>
          </cell>
          <cell r="N2475">
            <v>10.359545524766329</v>
          </cell>
        </row>
        <row r="2476">
          <cell r="F2476" t="str">
            <v>Rusk County, WI</v>
          </cell>
          <cell r="N2476">
            <v>25.593010812209943</v>
          </cell>
        </row>
        <row r="2477">
          <cell r="F2477" t="str">
            <v>Russell County, AL</v>
          </cell>
          <cell r="N2477">
            <v>12.90165484990899</v>
          </cell>
        </row>
        <row r="2478">
          <cell r="F2478" t="str">
            <v>Russell County, KS</v>
          </cell>
          <cell r="N2478">
            <v>12.137014636386393</v>
          </cell>
        </row>
        <row r="2479">
          <cell r="F2479" t="str">
            <v>Russell County, KY</v>
          </cell>
          <cell r="N2479">
            <v>16.872119862026231</v>
          </cell>
        </row>
        <row r="2480">
          <cell r="F2480" t="str">
            <v>Russell County, VA</v>
          </cell>
          <cell r="N2480">
            <v>23.240595563620708</v>
          </cell>
        </row>
        <row r="2481">
          <cell r="F2481" t="str">
            <v>Rutherford County, NC</v>
          </cell>
          <cell r="N2481">
            <v>27.078931934559137</v>
          </cell>
        </row>
        <row r="2482">
          <cell r="F2482" t="str">
            <v>Rutherford County, TN</v>
          </cell>
          <cell r="N2482">
            <v>16.747671445410958</v>
          </cell>
        </row>
        <row r="2483">
          <cell r="F2483" t="str">
            <v>Rutland County, VT</v>
          </cell>
          <cell r="N2483">
            <v>28.794301367748957</v>
          </cell>
        </row>
        <row r="2484">
          <cell r="F2484" t="str">
            <v>Sabine County, TX</v>
          </cell>
          <cell r="N2484">
            <v>9.7775217660479736</v>
          </cell>
        </row>
        <row r="2485">
          <cell r="F2485" t="str">
            <v>Sabine Parish, LA</v>
          </cell>
          <cell r="N2485">
            <v>11.047851589115222</v>
          </cell>
        </row>
        <row r="2486">
          <cell r="F2486" t="str">
            <v>Sac County, IA</v>
          </cell>
          <cell r="N2486">
            <v>24.375484848545121</v>
          </cell>
        </row>
        <row r="2487">
          <cell r="F2487" t="str">
            <v>Sacramento County, CA</v>
          </cell>
          <cell r="N2487">
            <v>10.491087945101041</v>
          </cell>
        </row>
        <row r="2488">
          <cell r="F2488" t="str">
            <v>Sagadahoc County, ME</v>
          </cell>
          <cell r="N2488">
            <v>32.445099296542345</v>
          </cell>
        </row>
        <row r="2489">
          <cell r="F2489" t="str">
            <v>Saginaw County, MI</v>
          </cell>
          <cell r="N2489">
            <v>13.491223338701507</v>
          </cell>
        </row>
        <row r="2490">
          <cell r="F2490" t="str">
            <v>Saguache County, CO</v>
          </cell>
          <cell r="N2490">
            <v>13.310233467833626</v>
          </cell>
        </row>
        <row r="2491">
          <cell r="F2491" t="str">
            <v>Sal County, VA</v>
          </cell>
          <cell r="N2491">
            <v>22.16002357542008</v>
          </cell>
        </row>
        <row r="2492">
          <cell r="F2492" t="str">
            <v>Salem County, NJ</v>
          </cell>
          <cell r="N2492">
            <v>13.124584414950363</v>
          </cell>
        </row>
        <row r="2493">
          <cell r="F2493" t="str">
            <v>Saline County, AR</v>
          </cell>
          <cell r="N2493">
            <v>20.510815951046165</v>
          </cell>
        </row>
        <row r="2494">
          <cell r="F2494" t="str">
            <v>Saline County, IL</v>
          </cell>
          <cell r="N2494">
            <v>13.775692021800765</v>
          </cell>
        </row>
        <row r="2495">
          <cell r="F2495" t="str">
            <v>Saline County, KS</v>
          </cell>
          <cell r="N2495">
            <v>12.967800961798872</v>
          </cell>
        </row>
        <row r="2496">
          <cell r="F2496" t="str">
            <v>Saline County, MO</v>
          </cell>
          <cell r="N2496">
            <v>18.518441254387145</v>
          </cell>
        </row>
        <row r="2497">
          <cell r="F2497" t="str">
            <v>Saline County, NE</v>
          </cell>
          <cell r="N2497">
            <v>19.475627177529951</v>
          </cell>
        </row>
        <row r="2498">
          <cell r="F2498" t="str">
            <v>Salt Lake County, UT</v>
          </cell>
          <cell r="N2498">
            <v>12.05915667368836</v>
          </cell>
        </row>
        <row r="2499">
          <cell r="F2499" t="str">
            <v>Saluda County, SC</v>
          </cell>
          <cell r="N2499">
            <v>23.218247076549318</v>
          </cell>
        </row>
        <row r="2500">
          <cell r="F2500" t="str">
            <v>Sampson County, NC</v>
          </cell>
          <cell r="N2500">
            <v>22.677552074872452</v>
          </cell>
        </row>
        <row r="2501">
          <cell r="F2501" t="str">
            <v>San Augustine County, TX</v>
          </cell>
          <cell r="N2501">
            <v>9.7775217660479736</v>
          </cell>
        </row>
        <row r="2502">
          <cell r="F2502" t="str">
            <v>San Benito County, CA</v>
          </cell>
          <cell r="N2502">
            <v>10.995152030330512</v>
          </cell>
        </row>
        <row r="2503">
          <cell r="F2503" t="str">
            <v>San Bernardino County, CA</v>
          </cell>
          <cell r="N2503">
            <v>13.907994257667323</v>
          </cell>
        </row>
        <row r="2504">
          <cell r="F2504" t="str">
            <v>San Diego County, CA</v>
          </cell>
          <cell r="N2504">
            <v>11.622542658971831</v>
          </cell>
        </row>
        <row r="2505">
          <cell r="F2505" t="str">
            <v>San Francisco County, CA</v>
          </cell>
          <cell r="N2505">
            <v>10.023913333736171</v>
          </cell>
        </row>
        <row r="2506">
          <cell r="F2506" t="str">
            <v>San Jacinto County, TX</v>
          </cell>
          <cell r="N2506">
            <v>9.2031559380464731</v>
          </cell>
        </row>
        <row r="2507">
          <cell r="F2507" t="str">
            <v>San Joaquin County, CA</v>
          </cell>
          <cell r="N2507">
            <v>12.005374893929956</v>
          </cell>
        </row>
        <row r="2508">
          <cell r="F2508" t="str">
            <v>San Juan County, CO</v>
          </cell>
          <cell r="N2508">
            <v>10.890794008365097</v>
          </cell>
        </row>
        <row r="2509">
          <cell r="F2509" t="str">
            <v>San Juan County, NM</v>
          </cell>
          <cell r="N2509">
            <v>11.205750624390586</v>
          </cell>
        </row>
        <row r="2510">
          <cell r="F2510" t="str">
            <v>San Juan County, UT</v>
          </cell>
          <cell r="N2510">
            <v>13.596557664220434</v>
          </cell>
        </row>
        <row r="2511">
          <cell r="F2511" t="str">
            <v>San Juan County, WA</v>
          </cell>
          <cell r="N2511">
            <v>35.504864951682364</v>
          </cell>
        </row>
        <row r="2512">
          <cell r="F2512" t="str">
            <v>San Luis Obispo County, CA</v>
          </cell>
          <cell r="N2512">
            <v>11.275575539372905</v>
          </cell>
        </row>
        <row r="2513">
          <cell r="F2513" t="str">
            <v>San Mateo County, CA</v>
          </cell>
          <cell r="N2513">
            <v>10.304336842778561</v>
          </cell>
        </row>
        <row r="2514">
          <cell r="F2514" t="str">
            <v>San Miguel County, CO</v>
          </cell>
          <cell r="N2514">
            <v>11.778399017164201</v>
          </cell>
        </row>
        <row r="2515">
          <cell r="F2515" t="str">
            <v>San Miguel County, NM</v>
          </cell>
          <cell r="N2515">
            <v>11.652150847392708</v>
          </cell>
        </row>
        <row r="2516">
          <cell r="F2516" t="str">
            <v>San Patricio County, TX</v>
          </cell>
          <cell r="N2516">
            <v>8.1644697605444136</v>
          </cell>
        </row>
        <row r="2517">
          <cell r="F2517" t="str">
            <v>San Saba County, TX</v>
          </cell>
          <cell r="N2517">
            <v>17.129826059067913</v>
          </cell>
        </row>
        <row r="2518">
          <cell r="F2518" t="str">
            <v>Sanborn County, SD</v>
          </cell>
          <cell r="N2518">
            <v>23.05554734766578</v>
          </cell>
        </row>
        <row r="2519">
          <cell r="F2519" t="str">
            <v>Sanders County, MT</v>
          </cell>
          <cell r="N2519">
            <v>25.290141371676413</v>
          </cell>
        </row>
        <row r="2520">
          <cell r="F2520" t="str">
            <v>Sandoval County, NM</v>
          </cell>
          <cell r="N2520">
            <v>10.945894949226819</v>
          </cell>
        </row>
        <row r="2521">
          <cell r="F2521" t="str">
            <v>Sandusky County, OH</v>
          </cell>
          <cell r="N2521">
            <v>15.945471337041369</v>
          </cell>
        </row>
        <row r="2522">
          <cell r="F2522" t="str">
            <v>Sangamon County, IL</v>
          </cell>
          <cell r="N2522">
            <v>13.48642385239916</v>
          </cell>
        </row>
        <row r="2523">
          <cell r="F2523" t="str">
            <v>Sanilac County, MI</v>
          </cell>
          <cell r="N2523">
            <v>16.925140150406421</v>
          </cell>
        </row>
        <row r="2524">
          <cell r="F2524" t="str">
            <v>Sanpete County, UT</v>
          </cell>
          <cell r="N2524">
            <v>12.243072144159436</v>
          </cell>
        </row>
        <row r="2525">
          <cell r="F2525" t="str">
            <v>Santa Barbara County, CA</v>
          </cell>
          <cell r="N2525">
            <v>11.275575539372905</v>
          </cell>
        </row>
        <row r="2526">
          <cell r="F2526" t="str">
            <v>Santa Clara County, CA</v>
          </cell>
          <cell r="N2526">
            <v>10.023913333736171</v>
          </cell>
        </row>
        <row r="2527">
          <cell r="F2527" t="str">
            <v>Santa Cruz County, AZ</v>
          </cell>
          <cell r="N2527">
            <v>26.579196071946541</v>
          </cell>
        </row>
        <row r="2528">
          <cell r="F2528" t="str">
            <v>Santa Cruz County, CA</v>
          </cell>
          <cell r="N2528">
            <v>10.570739176368834</v>
          </cell>
        </row>
        <row r="2529">
          <cell r="F2529" t="str">
            <v>Santa Fe County, NM</v>
          </cell>
          <cell r="N2529">
            <v>13.05037779266986</v>
          </cell>
        </row>
        <row r="2530">
          <cell r="F2530" t="str">
            <v>Santa Rosa County, FL</v>
          </cell>
          <cell r="N2530">
            <v>9.8438772380508901</v>
          </cell>
        </row>
        <row r="2531">
          <cell r="F2531" t="str">
            <v>Sarasota County, FL</v>
          </cell>
          <cell r="N2531">
            <v>11.522647394534204</v>
          </cell>
        </row>
        <row r="2532">
          <cell r="F2532" t="str">
            <v>Saratoga County, NY</v>
          </cell>
          <cell r="N2532">
            <v>25.608399055356227</v>
          </cell>
        </row>
        <row r="2533">
          <cell r="F2533" t="str">
            <v>Sargent County, ND</v>
          </cell>
          <cell r="N2533">
            <v>19.456567940182794</v>
          </cell>
        </row>
        <row r="2534">
          <cell r="F2534" t="str">
            <v>Sarpy County, NE</v>
          </cell>
          <cell r="N2534">
            <v>21.62182518484552</v>
          </cell>
        </row>
        <row r="2535">
          <cell r="F2535" t="str">
            <v>Sauk County, WI</v>
          </cell>
          <cell r="N2535">
            <v>19.681542109964614</v>
          </cell>
        </row>
        <row r="2536">
          <cell r="F2536" t="str">
            <v>Saunders County, NE</v>
          </cell>
          <cell r="N2536">
            <v>21.372589287221778</v>
          </cell>
        </row>
        <row r="2537">
          <cell r="F2537" t="str">
            <v>Sawyer County, WI</v>
          </cell>
          <cell r="N2537">
            <v>26.091482607457429</v>
          </cell>
        </row>
        <row r="2538">
          <cell r="F2538" t="str">
            <v>Schenectady County, NY</v>
          </cell>
          <cell r="N2538">
            <v>24.897382230272868</v>
          </cell>
        </row>
        <row r="2539">
          <cell r="F2539" t="str">
            <v>Schleicher County, TX</v>
          </cell>
          <cell r="N2539">
            <v>14.481829870801054</v>
          </cell>
        </row>
        <row r="2540">
          <cell r="F2540" t="str">
            <v>Schley County, GA</v>
          </cell>
          <cell r="N2540">
            <v>14.147122544481341</v>
          </cell>
        </row>
        <row r="2541">
          <cell r="F2541" t="str">
            <v>Schoharie County, NY</v>
          </cell>
          <cell r="N2541">
            <v>24.008611198918672</v>
          </cell>
        </row>
        <row r="2542">
          <cell r="F2542" t="str">
            <v>Schoolcraft County, MI</v>
          </cell>
          <cell r="N2542">
            <v>19.643286801607246</v>
          </cell>
        </row>
        <row r="2543">
          <cell r="F2543" t="str">
            <v>Schuyler County, IL</v>
          </cell>
          <cell r="N2543">
            <v>10.778281989294221</v>
          </cell>
        </row>
        <row r="2544">
          <cell r="F2544" t="str">
            <v>Schuyler County, MO</v>
          </cell>
          <cell r="N2544">
            <v>15.956850084365339</v>
          </cell>
        </row>
        <row r="2545">
          <cell r="F2545" t="str">
            <v>Schuyler County, NY</v>
          </cell>
          <cell r="N2545">
            <v>22.449843543928235</v>
          </cell>
        </row>
        <row r="2546">
          <cell r="F2546" t="str">
            <v>Schuylkill County, PA</v>
          </cell>
          <cell r="N2546">
            <v>17.294971562073901</v>
          </cell>
        </row>
        <row r="2547">
          <cell r="F2547" t="str">
            <v>Scioto County, OH</v>
          </cell>
          <cell r="N2547">
            <v>16.443943132288855</v>
          </cell>
        </row>
        <row r="2548">
          <cell r="F2548" t="str">
            <v>Scotland County, MO</v>
          </cell>
          <cell r="N2548">
            <v>15.042985126411612</v>
          </cell>
        </row>
        <row r="2549">
          <cell r="F2549" t="str">
            <v>Scotland County, NC</v>
          </cell>
          <cell r="N2549">
            <v>25.768347279935234</v>
          </cell>
        </row>
        <row r="2550">
          <cell r="F2550" t="str">
            <v>Scott County, AR</v>
          </cell>
          <cell r="N2550">
            <v>19.800405800743377</v>
          </cell>
        </row>
        <row r="2551">
          <cell r="F2551" t="str">
            <v>Scott County, IA</v>
          </cell>
          <cell r="N2551">
            <v>14.516820453650375</v>
          </cell>
        </row>
        <row r="2552">
          <cell r="F2552" t="str">
            <v>Scott County, IL</v>
          </cell>
          <cell r="N2552">
            <v>14.516820453650375</v>
          </cell>
        </row>
        <row r="2553">
          <cell r="F2553" t="str">
            <v>Scott County, IN</v>
          </cell>
          <cell r="N2553">
            <v>14.516820453650375</v>
          </cell>
        </row>
        <row r="2554">
          <cell r="F2554" t="str">
            <v>Scott County, KS</v>
          </cell>
          <cell r="N2554">
            <v>12.690872186661379</v>
          </cell>
        </row>
        <row r="2555">
          <cell r="F2555" t="str">
            <v>Scott County, KY</v>
          </cell>
          <cell r="N2555">
            <v>15.358746467938179</v>
          </cell>
        </row>
        <row r="2556">
          <cell r="F2556" t="str">
            <v>Scott County, MN</v>
          </cell>
          <cell r="N2556">
            <v>25.853622645858877</v>
          </cell>
        </row>
        <row r="2557">
          <cell r="F2557" t="str">
            <v>Scott County, MO</v>
          </cell>
          <cell r="N2557">
            <v>16.718404215993441</v>
          </cell>
        </row>
        <row r="2558">
          <cell r="F2558" t="str">
            <v>Scott County, MS</v>
          </cell>
          <cell r="N2558">
            <v>13.043642744825716</v>
          </cell>
        </row>
        <row r="2559">
          <cell r="F2559" t="str">
            <v>Scott County, TN</v>
          </cell>
          <cell r="N2559">
            <v>18.884730693229905</v>
          </cell>
        </row>
        <row r="2560">
          <cell r="F2560" t="str">
            <v>Scott County, VA</v>
          </cell>
          <cell r="N2560">
            <v>22.723067064168333</v>
          </cell>
        </row>
        <row r="2561">
          <cell r="F2561" t="str">
            <v>Scotts Bluff County, NE</v>
          </cell>
          <cell r="N2561">
            <v>12.643025402496054</v>
          </cell>
        </row>
        <row r="2562">
          <cell r="F2562" t="str">
            <v>Screven County, GA</v>
          </cell>
          <cell r="N2562">
            <v>19.897439205063264</v>
          </cell>
        </row>
        <row r="2563">
          <cell r="F2563" t="str">
            <v>Scurry County, TX</v>
          </cell>
          <cell r="N2563">
            <v>12.417543908316777</v>
          </cell>
        </row>
        <row r="2564">
          <cell r="F2564" t="str">
            <v>Searcy County, AR</v>
          </cell>
          <cell r="N2564">
            <v>23.008168898667005</v>
          </cell>
        </row>
        <row r="2565">
          <cell r="F2565" t="str">
            <v>Sebastian County, AR</v>
          </cell>
          <cell r="N2565">
            <v>20.636851877806507</v>
          </cell>
        </row>
        <row r="2566">
          <cell r="F2566" t="str">
            <v>Sedgwick County, CO</v>
          </cell>
          <cell r="N2566">
            <v>16.759849420284183</v>
          </cell>
        </row>
        <row r="2567">
          <cell r="F2567" t="str">
            <v>Sedgwick County, KS</v>
          </cell>
          <cell r="N2567">
            <v>12.42778985028076</v>
          </cell>
        </row>
        <row r="2568">
          <cell r="F2568" t="str">
            <v>Seminole County, FL</v>
          </cell>
          <cell r="N2568">
            <v>12.66885372432537</v>
          </cell>
        </row>
        <row r="2569">
          <cell r="F2569" t="str">
            <v>Seminole County, GA</v>
          </cell>
          <cell r="N2569">
            <v>10.757224173898354</v>
          </cell>
        </row>
        <row r="2570">
          <cell r="F2570" t="str">
            <v>Seminole County, OK</v>
          </cell>
          <cell r="N2570">
            <v>17.545084543904807</v>
          </cell>
        </row>
        <row r="2571">
          <cell r="F2571" t="str">
            <v>Seneca County, NY</v>
          </cell>
          <cell r="N2571">
            <v>24.897382230272868</v>
          </cell>
        </row>
        <row r="2572">
          <cell r="F2572" t="str">
            <v>Seneca County, OH</v>
          </cell>
          <cell r="N2572">
            <v>15.696235439417624</v>
          </cell>
        </row>
        <row r="2573">
          <cell r="F2573" t="str">
            <v>Sequatchie County, TN</v>
          </cell>
          <cell r="N2573">
            <v>20.586007816349387</v>
          </cell>
        </row>
        <row r="2574">
          <cell r="F2574" t="str">
            <v>Sequoyah County, OK</v>
          </cell>
          <cell r="N2574">
            <v>21.287269116378901</v>
          </cell>
        </row>
        <row r="2575">
          <cell r="F2575" t="str">
            <v>Sevier County, AR</v>
          </cell>
          <cell r="N2575">
            <v>16.61014567690404</v>
          </cell>
        </row>
        <row r="2576">
          <cell r="F2576" t="str">
            <v>Sevier County, TN</v>
          </cell>
          <cell r="N2576">
            <v>22.723067064168333</v>
          </cell>
        </row>
        <row r="2577">
          <cell r="F2577" t="str">
            <v>Sevier County, UT</v>
          </cell>
          <cell r="N2577">
            <v>13.153371930077062</v>
          </cell>
        </row>
        <row r="2578">
          <cell r="F2578" t="str">
            <v>Seward County, KS</v>
          </cell>
          <cell r="N2578">
            <v>12.42778985028076</v>
          </cell>
        </row>
        <row r="2579">
          <cell r="F2579" t="str">
            <v>Seward County, NE</v>
          </cell>
          <cell r="N2579">
            <v>20.375645696726803</v>
          </cell>
        </row>
        <row r="2580">
          <cell r="F2580" t="str">
            <v>Shackelford County, TX</v>
          </cell>
          <cell r="N2580">
            <v>16.777084892024831</v>
          </cell>
        </row>
        <row r="2581">
          <cell r="F2581" t="str">
            <v>Shannon County, MO</v>
          </cell>
          <cell r="N2581">
            <v>18.781523590767762</v>
          </cell>
        </row>
        <row r="2582">
          <cell r="F2582" t="str">
            <v>Sharkey County, MS</v>
          </cell>
          <cell r="N2582">
            <v>11.587872728548188</v>
          </cell>
        </row>
        <row r="2583">
          <cell r="F2583" t="str">
            <v>Sharp County, AR</v>
          </cell>
          <cell r="N2583">
            <v>21.542181491244211</v>
          </cell>
        </row>
        <row r="2584">
          <cell r="F2584" t="str">
            <v>Shasta County, CA</v>
          </cell>
          <cell r="N2584">
            <v>11.458549051297291</v>
          </cell>
        </row>
        <row r="2585">
          <cell r="F2585" t="str">
            <v>Shawano County, WI</v>
          </cell>
          <cell r="N2585">
            <v>19.999049554432588</v>
          </cell>
        </row>
        <row r="2586">
          <cell r="F2586" t="str">
            <v>Shawnee County, KS</v>
          </cell>
          <cell r="N2586">
            <v>17.675590139136251</v>
          </cell>
        </row>
        <row r="2587">
          <cell r="F2587" t="str">
            <v>Sheboygan County, WI</v>
          </cell>
          <cell r="N2587">
            <v>15.997428753695818</v>
          </cell>
        </row>
        <row r="2588">
          <cell r="F2588" t="str">
            <v>Shelby County, AL</v>
          </cell>
          <cell r="N2588">
            <v>14.57351269137952</v>
          </cell>
        </row>
        <row r="2589">
          <cell r="F2589" t="str">
            <v>Shelby County, IA</v>
          </cell>
          <cell r="N2589">
            <v>14.57351269137952</v>
          </cell>
        </row>
        <row r="2590">
          <cell r="F2590" t="str">
            <v>Shelby County, IL</v>
          </cell>
          <cell r="N2590">
            <v>9.6567204499873753</v>
          </cell>
        </row>
        <row r="2591">
          <cell r="F2591" t="str">
            <v>Shelby County, IN</v>
          </cell>
          <cell r="N2591">
            <v>9.9499633553146474</v>
          </cell>
        </row>
        <row r="2592">
          <cell r="F2592" t="str">
            <v>Shelby County, KY</v>
          </cell>
          <cell r="N2592">
            <v>13.709445698706176</v>
          </cell>
        </row>
        <row r="2593">
          <cell r="F2593" t="str">
            <v>Shelby County, MO</v>
          </cell>
          <cell r="N2593">
            <v>14.779902790030992</v>
          </cell>
        </row>
        <row r="2594">
          <cell r="F2594" t="str">
            <v>Shelby County, OH</v>
          </cell>
          <cell r="N2594">
            <v>11.722307516194601</v>
          </cell>
        </row>
        <row r="2595">
          <cell r="F2595" t="str">
            <v>Shelby County, TN</v>
          </cell>
          <cell r="N2595">
            <v>18.315743221429035</v>
          </cell>
        </row>
        <row r="2596">
          <cell r="F2596" t="str">
            <v>Shelby County, TX</v>
          </cell>
          <cell r="N2596">
            <v>11.047851589115222</v>
          </cell>
        </row>
        <row r="2597">
          <cell r="F2597" t="str">
            <v>Shenandoah County, VA</v>
          </cell>
          <cell r="N2597">
            <v>17.775407121726367</v>
          </cell>
        </row>
        <row r="2598">
          <cell r="F2598" t="str">
            <v>Sherburne County, MN</v>
          </cell>
          <cell r="N2598">
            <v>20.633515234517141</v>
          </cell>
        </row>
        <row r="2599">
          <cell r="F2599" t="str">
            <v>Sheridan County, KS</v>
          </cell>
          <cell r="N2599">
            <v>14.804987394050414</v>
          </cell>
        </row>
        <row r="2600">
          <cell r="F2600" t="str">
            <v>Sheridan County, MT</v>
          </cell>
          <cell r="N2600">
            <v>16.497364667753136</v>
          </cell>
        </row>
        <row r="2601">
          <cell r="F2601" t="str">
            <v>Sheridan County, ND</v>
          </cell>
          <cell r="N2601">
            <v>16.497364667753136</v>
          </cell>
        </row>
        <row r="2602">
          <cell r="F2602" t="str">
            <v>Sheridan County, NE</v>
          </cell>
          <cell r="N2602">
            <v>12.906107738876671</v>
          </cell>
        </row>
        <row r="2603">
          <cell r="F2603" t="str">
            <v>Sheridan County, WY</v>
          </cell>
          <cell r="N2603">
            <v>10.632516820125501</v>
          </cell>
        </row>
        <row r="2604">
          <cell r="F2604" t="str">
            <v>Sherman County, KS</v>
          </cell>
          <cell r="N2604">
            <v>15.568734612685727</v>
          </cell>
        </row>
        <row r="2605">
          <cell r="F2605" t="str">
            <v>Sherman County, NE</v>
          </cell>
          <cell r="N2605">
            <v>18.347758170328405</v>
          </cell>
        </row>
        <row r="2606">
          <cell r="F2606" t="str">
            <v>Sherman County, OR</v>
          </cell>
          <cell r="N2606">
            <v>28.662531331048008</v>
          </cell>
        </row>
        <row r="2607">
          <cell r="F2607" t="str">
            <v>Sherman County, TX</v>
          </cell>
          <cell r="N2607">
            <v>13.23681371564264</v>
          </cell>
        </row>
        <row r="2608">
          <cell r="F2608" t="str">
            <v>Shiawassee County, MI</v>
          </cell>
          <cell r="N2608">
            <v>12.951212227183397</v>
          </cell>
        </row>
        <row r="2609">
          <cell r="F2609" t="str">
            <v>Shoshone County, ID</v>
          </cell>
          <cell r="N2609">
            <v>26.349540898307605</v>
          </cell>
        </row>
        <row r="2610">
          <cell r="F2610" t="str">
            <v>Sibley County, MN</v>
          </cell>
          <cell r="N2610">
            <v>19.456567940182794</v>
          </cell>
        </row>
        <row r="2611">
          <cell r="F2611" t="str">
            <v>Sierra County, CA</v>
          </cell>
          <cell r="N2611">
            <v>10.491087945101041</v>
          </cell>
        </row>
        <row r="2612">
          <cell r="F2612" t="str">
            <v>Sierra County, NM</v>
          </cell>
          <cell r="N2612">
            <v>17.405845501666935</v>
          </cell>
        </row>
        <row r="2613">
          <cell r="F2613" t="str">
            <v>Silver Bow County, MT</v>
          </cell>
          <cell r="N2613">
            <v>18.463483591304701</v>
          </cell>
        </row>
        <row r="2614">
          <cell r="F2614" t="str">
            <v>Simpson County, KY</v>
          </cell>
          <cell r="N2614">
            <v>14.375665822920915</v>
          </cell>
        </row>
        <row r="2615">
          <cell r="F2615" t="str">
            <v>Simpson County, MS</v>
          </cell>
          <cell r="N2615">
            <v>13.299760689440891</v>
          </cell>
        </row>
        <row r="2616">
          <cell r="F2616" t="str">
            <v>Sioux County, IA</v>
          </cell>
          <cell r="N2616">
            <v>26.50331059812757</v>
          </cell>
        </row>
        <row r="2617">
          <cell r="F2617" t="str">
            <v>Sioux County, ND</v>
          </cell>
          <cell r="N2617">
            <v>15.353499060470433</v>
          </cell>
        </row>
        <row r="2618">
          <cell r="F2618" t="str">
            <v>Sioux County, NE</v>
          </cell>
          <cell r="N2618">
            <v>15.353499060470433</v>
          </cell>
        </row>
        <row r="2619">
          <cell r="F2619" t="str">
            <v>Siskiyou County, CA</v>
          </cell>
          <cell r="N2619">
            <v>14.80960998435387</v>
          </cell>
        </row>
        <row r="2620">
          <cell r="F2620" t="str">
            <v>Skagit County, WA</v>
          </cell>
          <cell r="N2620">
            <v>35.26650496899633</v>
          </cell>
        </row>
        <row r="2621">
          <cell r="F2621" t="str">
            <v>Skamania County, WA</v>
          </cell>
          <cell r="N2621">
            <v>29.644013612696376</v>
          </cell>
        </row>
        <row r="2622">
          <cell r="F2622" t="str">
            <v>Slope County, ND</v>
          </cell>
          <cell r="N2622">
            <v>14.93152476254339</v>
          </cell>
        </row>
        <row r="2623">
          <cell r="F2623" t="str">
            <v>Smith County, KS</v>
          </cell>
          <cell r="N2623">
            <v>15.474006376793181</v>
          </cell>
        </row>
        <row r="2624">
          <cell r="F2624" t="str">
            <v>Smith County, MS</v>
          </cell>
          <cell r="N2624">
            <v>13.299760689440891</v>
          </cell>
        </row>
        <row r="2625">
          <cell r="F2625" t="str">
            <v>Smith County, TN</v>
          </cell>
          <cell r="N2625">
            <v>16.488907195684771</v>
          </cell>
        </row>
        <row r="2626">
          <cell r="F2626" t="str">
            <v>Smith County, TX</v>
          </cell>
          <cell r="N2626">
            <v>10.359545524766329</v>
          </cell>
        </row>
        <row r="2627">
          <cell r="F2627" t="str">
            <v>Smyth County, VA</v>
          </cell>
          <cell r="N2627">
            <v>24.803641582943982</v>
          </cell>
        </row>
        <row r="2628">
          <cell r="F2628" t="str">
            <v>Snohomish County, WA</v>
          </cell>
          <cell r="N2628">
            <v>18.292935621178739</v>
          </cell>
        </row>
        <row r="2629">
          <cell r="F2629" t="str">
            <v>Snyder County, PA</v>
          </cell>
          <cell r="N2629">
            <v>18.292935621178739</v>
          </cell>
        </row>
        <row r="2630">
          <cell r="F2630" t="str">
            <v>Socorro County, NM</v>
          </cell>
          <cell r="N2630">
            <v>18.292935621178739</v>
          </cell>
        </row>
        <row r="2631">
          <cell r="F2631" t="str">
            <v>Solano County, CA</v>
          </cell>
          <cell r="N2631">
            <v>18.292935621178739</v>
          </cell>
        </row>
        <row r="2632">
          <cell r="F2632" t="str">
            <v>Somerset County, MD</v>
          </cell>
          <cell r="N2632">
            <v>33.493146580506668</v>
          </cell>
        </row>
        <row r="2633">
          <cell r="F2633" t="str">
            <v>Somerset County, ME</v>
          </cell>
          <cell r="N2633">
            <v>33.493146580506668</v>
          </cell>
        </row>
        <row r="2634">
          <cell r="F2634" t="str">
            <v>Somerset County, NJ</v>
          </cell>
          <cell r="N2634">
            <v>17.048850353391199</v>
          </cell>
        </row>
        <row r="2635">
          <cell r="F2635" t="str">
            <v>Somerset County, PA</v>
          </cell>
          <cell r="N2635">
            <v>20.084345260477836</v>
          </cell>
        </row>
        <row r="2636">
          <cell r="F2636" t="str">
            <v>Somervell County, TX</v>
          </cell>
          <cell r="N2636">
            <v>18.292935621178739</v>
          </cell>
        </row>
        <row r="2637">
          <cell r="F2637" t="str">
            <v>Sonoma County, CA</v>
          </cell>
          <cell r="N2637">
            <v>18.292935621178739</v>
          </cell>
        </row>
        <row r="2638">
          <cell r="F2638" t="str">
            <v>Southampton County, VA</v>
          </cell>
          <cell r="N2638">
            <v>18.292935621178739</v>
          </cell>
        </row>
        <row r="2639">
          <cell r="F2639" t="str">
            <v>Spalding County, GA</v>
          </cell>
          <cell r="N2639">
            <v>18.292935621178739</v>
          </cell>
        </row>
        <row r="2640">
          <cell r="F2640" t="str">
            <v>Spartanburg County, SC</v>
          </cell>
          <cell r="N2640">
            <v>18.292935621178739</v>
          </cell>
        </row>
        <row r="2641">
          <cell r="F2641" t="str">
            <v>Spencer County, IN</v>
          </cell>
          <cell r="N2641">
            <v>18.292935621178739</v>
          </cell>
        </row>
        <row r="2642">
          <cell r="F2642" t="str">
            <v>Spencer County, KY</v>
          </cell>
          <cell r="N2642">
            <v>18.292935621178739</v>
          </cell>
        </row>
        <row r="2643">
          <cell r="F2643" t="str">
            <v>Spink County, SD</v>
          </cell>
          <cell r="N2643">
            <v>18.292935621178739</v>
          </cell>
        </row>
        <row r="2644">
          <cell r="F2644" t="str">
            <v>Spokane County, WA</v>
          </cell>
          <cell r="N2644">
            <v>18.292935621178739</v>
          </cell>
        </row>
        <row r="2645">
          <cell r="F2645" t="str">
            <v>Spotsylvania County, VA</v>
          </cell>
          <cell r="N2645">
            <v>18.292935621178739</v>
          </cell>
        </row>
        <row r="2646">
          <cell r="F2646" t="str">
            <v>St. Bernard Parish, LA</v>
          </cell>
          <cell r="N2646">
            <v>18.292935621178739</v>
          </cell>
        </row>
        <row r="2647">
          <cell r="F2647" t="str">
            <v>St. Charles County, MO</v>
          </cell>
          <cell r="N2647">
            <v>18.292935621178739</v>
          </cell>
        </row>
        <row r="2648">
          <cell r="F2648" t="str">
            <v>St. Charles Parish, LA</v>
          </cell>
          <cell r="N2648">
            <v>18.292935621178739</v>
          </cell>
        </row>
        <row r="2649">
          <cell r="F2649" t="str">
            <v>St. Clair County, AL</v>
          </cell>
          <cell r="N2649">
            <v>18.292935621178739</v>
          </cell>
        </row>
        <row r="2650">
          <cell r="F2650" t="str">
            <v>St. Clair County, IL</v>
          </cell>
          <cell r="N2650">
            <v>18.292935621178739</v>
          </cell>
        </row>
        <row r="2651">
          <cell r="F2651" t="str">
            <v>St. Clair County, MI</v>
          </cell>
          <cell r="N2651">
            <v>18.292935621178739</v>
          </cell>
        </row>
        <row r="2652">
          <cell r="F2652" t="str">
            <v>St. Clair County, MO</v>
          </cell>
          <cell r="N2652">
            <v>18.292935621178739</v>
          </cell>
        </row>
        <row r="2653">
          <cell r="F2653" t="str">
            <v>St. Croix County, WI</v>
          </cell>
          <cell r="N2653">
            <v>18.292935621178739</v>
          </cell>
        </row>
        <row r="2654">
          <cell r="F2654" t="str">
            <v>St. Francis County, AR</v>
          </cell>
          <cell r="N2654">
            <v>18.292935621178739</v>
          </cell>
        </row>
        <row r="2655">
          <cell r="F2655" t="str">
            <v>St. Francois County, MO</v>
          </cell>
          <cell r="N2655">
            <v>18.292935621178739</v>
          </cell>
        </row>
        <row r="2656">
          <cell r="F2656" t="str">
            <v>St. Helena Parish, LA</v>
          </cell>
          <cell r="N2656">
            <v>13.322415232431418</v>
          </cell>
        </row>
        <row r="2657">
          <cell r="F2657" t="str">
            <v>St. James Parish, LA</v>
          </cell>
          <cell r="N2657">
            <v>13.885402313108948</v>
          </cell>
        </row>
        <row r="2658">
          <cell r="F2658" t="str">
            <v>St. John The Baptist Parish, LA</v>
          </cell>
          <cell r="N2658">
            <v>13.322415232431418</v>
          </cell>
        </row>
        <row r="2659">
          <cell r="F2659" t="str">
            <v>St. Johns County, FL</v>
          </cell>
          <cell r="N2659">
            <v>17.110973344624902</v>
          </cell>
        </row>
        <row r="2660">
          <cell r="F2660" t="str">
            <v>St. Joseph County, IN</v>
          </cell>
          <cell r="N2660">
            <v>11.178868066303442</v>
          </cell>
        </row>
        <row r="2661">
          <cell r="F2661" t="str">
            <v>St. Joseph County, MI</v>
          </cell>
          <cell r="N2661">
            <v>12.511554525336457</v>
          </cell>
        </row>
        <row r="2662">
          <cell r="F2662" t="str">
            <v>St. Landry Parish, LA</v>
          </cell>
          <cell r="N2662">
            <v>13.675124632277029</v>
          </cell>
        </row>
        <row r="2663">
          <cell r="F2663" t="str">
            <v>St. Lawrence County, NY</v>
          </cell>
          <cell r="N2663">
            <v>30.380415823704141</v>
          </cell>
        </row>
        <row r="2664">
          <cell r="F2664" t="str">
            <v>St. Louis City County, MO</v>
          </cell>
          <cell r="N2664">
            <v>11.996768599899189</v>
          </cell>
        </row>
        <row r="2665">
          <cell r="F2665" t="str">
            <v>St. Louis County, MN</v>
          </cell>
          <cell r="N2665">
            <v>25.123192541416348</v>
          </cell>
        </row>
        <row r="2666">
          <cell r="F2666" t="str">
            <v>St. Louis County, MO</v>
          </cell>
          <cell r="N2666">
            <v>12.273697375036683</v>
          </cell>
        </row>
        <row r="2667">
          <cell r="F2667" t="str">
            <v>St. Lucie County, FL</v>
          </cell>
          <cell r="N2667">
            <v>11.235131561505108</v>
          </cell>
        </row>
        <row r="2668">
          <cell r="F2668" t="str">
            <v>St. Martin Parish, LA</v>
          </cell>
          <cell r="N2668">
            <v>14.22367614678334</v>
          </cell>
        </row>
        <row r="2669">
          <cell r="F2669" t="str">
            <v>St. Mary Parish, LA</v>
          </cell>
          <cell r="N2669">
            <v>15.176423514083776</v>
          </cell>
        </row>
        <row r="2670">
          <cell r="F2670" t="str">
            <v>St. Marys County, MD</v>
          </cell>
          <cell r="N2670">
            <v>11.647857162854162</v>
          </cell>
        </row>
        <row r="2671">
          <cell r="F2671" t="str">
            <v>St. Mary's County, MD</v>
          </cell>
          <cell r="N2671">
            <v>11.647857162854162</v>
          </cell>
        </row>
        <row r="2672">
          <cell r="F2672" t="str">
            <v>St. Tammany Parish, LA</v>
          </cell>
          <cell r="N2672">
            <v>11.474662762515422</v>
          </cell>
        </row>
        <row r="2673">
          <cell r="F2673" t="str">
            <v>Stafford County, KS</v>
          </cell>
          <cell r="N2673">
            <v>14.409063032580896</v>
          </cell>
        </row>
        <row r="2674">
          <cell r="F2674" t="str">
            <v>Stafford County, VA</v>
          </cell>
          <cell r="N2674">
            <v>13.390790668032652</v>
          </cell>
        </row>
        <row r="2675">
          <cell r="F2675" t="str">
            <v>Stanislaus County, CA</v>
          </cell>
          <cell r="N2675">
            <v>9.435023964747149</v>
          </cell>
        </row>
        <row r="2676">
          <cell r="F2676" t="str">
            <v>Stanley County, SD</v>
          </cell>
          <cell r="N2676">
            <v>16.040062739270859</v>
          </cell>
        </row>
        <row r="2677">
          <cell r="F2677" t="str">
            <v>Stanly County, NC</v>
          </cell>
          <cell r="N2677">
            <v>26.012735738009965</v>
          </cell>
        </row>
        <row r="2678">
          <cell r="F2678" t="str">
            <v>Stanton County, KS</v>
          </cell>
          <cell r="N2678">
            <v>15.210924040412564</v>
          </cell>
        </row>
        <row r="2679">
          <cell r="F2679" t="str">
            <v>Stanton County, NE</v>
          </cell>
          <cell r="N2679">
            <v>22.806311450042038</v>
          </cell>
        </row>
        <row r="2680">
          <cell r="F2680" t="str">
            <v>Stark County, IL</v>
          </cell>
          <cell r="N2680">
            <v>11.442911049624204</v>
          </cell>
        </row>
        <row r="2681">
          <cell r="F2681" t="str">
            <v>Stark County, ND</v>
          </cell>
          <cell r="N2681">
            <v>13.809963223236544</v>
          </cell>
        </row>
        <row r="2682">
          <cell r="F2682" t="str">
            <v>Stark County, OH</v>
          </cell>
          <cell r="N2682">
            <v>19.93324569902126</v>
          </cell>
        </row>
        <row r="2683">
          <cell r="F2683" t="str">
            <v>Starke County, IN</v>
          </cell>
          <cell r="N2683">
            <v>10.766903241970251</v>
          </cell>
        </row>
        <row r="2684">
          <cell r="F2684" t="str">
            <v>Starr County, TX</v>
          </cell>
          <cell r="N2684">
            <v>9.0282320878618023</v>
          </cell>
        </row>
        <row r="2685">
          <cell r="F2685" t="str">
            <v>Staunt County, VA</v>
          </cell>
          <cell r="N2685">
            <v>18.292935621178739</v>
          </cell>
        </row>
        <row r="2686">
          <cell r="F2686" t="str">
            <v>Ste. Genevieve County, MO</v>
          </cell>
          <cell r="N2686">
            <v>14.779902790030992</v>
          </cell>
        </row>
        <row r="2687">
          <cell r="F2687" t="str">
            <v>Stearns County, MN</v>
          </cell>
          <cell r="N2687">
            <v>28.567524642206308</v>
          </cell>
        </row>
        <row r="2688">
          <cell r="F2688" t="str">
            <v>Steele County, MN</v>
          </cell>
          <cell r="N2688">
            <v>27.432116664142587</v>
          </cell>
        </row>
        <row r="2689">
          <cell r="F2689" t="str">
            <v>Steele County, ND</v>
          </cell>
          <cell r="N2689">
            <v>16.119576199776006</v>
          </cell>
        </row>
        <row r="2690">
          <cell r="F2690" t="str">
            <v>Stephens County, GA</v>
          </cell>
          <cell r="N2690">
            <v>22.973858618474587</v>
          </cell>
        </row>
        <row r="2691">
          <cell r="F2691" t="str">
            <v>Stephens County, OK</v>
          </cell>
          <cell r="N2691">
            <v>17.545084543904807</v>
          </cell>
        </row>
        <row r="2692">
          <cell r="F2692" t="str">
            <v>Stephens County, TX</v>
          </cell>
          <cell r="N2692">
            <v>17.404101816321067</v>
          </cell>
        </row>
        <row r="2693">
          <cell r="F2693" t="str">
            <v>Stephenson County, IL</v>
          </cell>
          <cell r="N2693">
            <v>15.956850084365339</v>
          </cell>
        </row>
        <row r="2694">
          <cell r="F2694" t="str">
            <v>Sterling County, TX</v>
          </cell>
          <cell r="N2694">
            <v>10.858502761825154</v>
          </cell>
        </row>
        <row r="2695">
          <cell r="F2695" t="str">
            <v>Steuben County, IN</v>
          </cell>
          <cell r="N2695">
            <v>11.455796841440936</v>
          </cell>
        </row>
        <row r="2696">
          <cell r="F2696" t="str">
            <v>Steuben County, NY</v>
          </cell>
          <cell r="N2696">
            <v>22.449843543928235</v>
          </cell>
        </row>
        <row r="2697">
          <cell r="F2697" t="str">
            <v>Stevens County, KS</v>
          </cell>
          <cell r="N2697">
            <v>13.217036859422617</v>
          </cell>
        </row>
        <row r="2698">
          <cell r="F2698" t="str">
            <v>Stevens County, MN</v>
          </cell>
          <cell r="N2698">
            <v>27.667506123009456</v>
          </cell>
        </row>
        <row r="2699">
          <cell r="F2699" t="str">
            <v>Stevens County, WA</v>
          </cell>
          <cell r="N2699">
            <v>30.121939851808293</v>
          </cell>
        </row>
        <row r="2700">
          <cell r="F2700" t="str">
            <v>Stewart County, GA</v>
          </cell>
          <cell r="N2700">
            <v>13.129229796388397</v>
          </cell>
        </row>
        <row r="2701">
          <cell r="F2701" t="str">
            <v>Stewart County, TN</v>
          </cell>
          <cell r="N2701">
            <v>14.936321697327653</v>
          </cell>
        </row>
        <row r="2702">
          <cell r="F2702" t="str">
            <v>Stillwater County, MT</v>
          </cell>
          <cell r="N2702">
            <v>11.205165212899116</v>
          </cell>
        </row>
        <row r="2703">
          <cell r="F2703" t="str">
            <v>Stoddard County, MO</v>
          </cell>
          <cell r="N2703">
            <v>18.415756049846532</v>
          </cell>
        </row>
        <row r="2704">
          <cell r="F2704" t="str">
            <v>Stokes County, NC</v>
          </cell>
          <cell r="N2704">
            <v>22.936316324598639</v>
          </cell>
        </row>
        <row r="2705">
          <cell r="F2705" t="str">
            <v>Stone County, AR</v>
          </cell>
          <cell r="N2705">
            <v>22.488488516503129</v>
          </cell>
        </row>
        <row r="2706">
          <cell r="F2706" t="str">
            <v>Stone County, MO</v>
          </cell>
          <cell r="N2706">
            <v>22.488488516503129</v>
          </cell>
        </row>
        <row r="2707">
          <cell r="F2707" t="str">
            <v>Stone County, MS</v>
          </cell>
          <cell r="N2707">
            <v>11.113012490871274</v>
          </cell>
        </row>
        <row r="2708">
          <cell r="F2708" t="str">
            <v>Stonewall County, TX</v>
          </cell>
          <cell r="N2708">
            <v>15.301099678126919</v>
          </cell>
        </row>
        <row r="2709">
          <cell r="F2709" t="str">
            <v>Storey County, NV</v>
          </cell>
          <cell r="N2709">
            <v>14.17591726359394</v>
          </cell>
        </row>
        <row r="2710">
          <cell r="F2710" t="str">
            <v>Story County, IA</v>
          </cell>
          <cell r="N2710">
            <v>20.180013905212103</v>
          </cell>
        </row>
        <row r="2711">
          <cell r="F2711" t="str">
            <v>Strafford County, NH</v>
          </cell>
          <cell r="N2711">
            <v>29.901846806821112</v>
          </cell>
        </row>
        <row r="2712">
          <cell r="F2712" t="str">
            <v>Stutsman County, ND</v>
          </cell>
          <cell r="N2712">
            <v>15.191864803065407</v>
          </cell>
        </row>
        <row r="2713">
          <cell r="F2713" t="str">
            <v>Sublette County, WY</v>
          </cell>
          <cell r="N2713">
            <v>13.95144654243939</v>
          </cell>
        </row>
        <row r="2714">
          <cell r="F2714" t="str">
            <v>Suffo County, VA</v>
          </cell>
          <cell r="N2714">
            <v>13.95144654243939</v>
          </cell>
        </row>
        <row r="2715">
          <cell r="F2715" t="str">
            <v>Suffolk County, MA</v>
          </cell>
          <cell r="N2715">
            <v>26.100641472721627</v>
          </cell>
        </row>
        <row r="2716">
          <cell r="F2716" t="str">
            <v>Suffolk County, NY</v>
          </cell>
          <cell r="N2716">
            <v>20.316793068678162</v>
          </cell>
        </row>
        <row r="2717">
          <cell r="F2717" t="str">
            <v>Sullivan County, IN</v>
          </cell>
          <cell r="N2717">
            <v>11.985389852575219</v>
          </cell>
        </row>
        <row r="2718">
          <cell r="F2718" t="str">
            <v>Sullivan County, MO</v>
          </cell>
          <cell r="N2718">
            <v>16.981486552374061</v>
          </cell>
        </row>
        <row r="2719">
          <cell r="F2719" t="str">
            <v>Sullivan County, NH</v>
          </cell>
          <cell r="N2719">
            <v>28.794301367748957</v>
          </cell>
        </row>
        <row r="2720">
          <cell r="F2720" t="str">
            <v>Sullivan County, NY</v>
          </cell>
          <cell r="N2720">
            <v>20.973116291832032</v>
          </cell>
        </row>
        <row r="2721">
          <cell r="F2721" t="str">
            <v>Sullivan County, PA</v>
          </cell>
          <cell r="N2721">
            <v>20.084345260477836</v>
          </cell>
        </row>
        <row r="2722">
          <cell r="F2722" t="str">
            <v>Sullivan County, TN</v>
          </cell>
          <cell r="N2722">
            <v>23.240595563620708</v>
          </cell>
        </row>
        <row r="2723">
          <cell r="F2723" t="str">
            <v>Sully County, SD</v>
          </cell>
          <cell r="N2723">
            <v>18.020103481503934</v>
          </cell>
        </row>
        <row r="2724">
          <cell r="F2724" t="str">
            <v>Summers County, WV</v>
          </cell>
          <cell r="N2724">
            <v>22.449843543928235</v>
          </cell>
        </row>
        <row r="2725">
          <cell r="F2725" t="str">
            <v>Summit County, CO</v>
          </cell>
          <cell r="N2725">
            <v>15.696059379292294</v>
          </cell>
        </row>
        <row r="2726">
          <cell r="F2726" t="str">
            <v>Summit County, OH</v>
          </cell>
          <cell r="N2726">
            <v>19.670163362640643</v>
          </cell>
        </row>
        <row r="2727">
          <cell r="F2727" t="str">
            <v>Summit County, UT</v>
          </cell>
          <cell r="N2727">
            <v>12.539693138662395</v>
          </cell>
        </row>
        <row r="2728">
          <cell r="F2728" t="str">
            <v>Sumner County, KS</v>
          </cell>
          <cell r="N2728">
            <v>12.690872186661379</v>
          </cell>
        </row>
        <row r="2729">
          <cell r="F2729" t="str">
            <v>Sumner County, TN</v>
          </cell>
          <cell r="N2729">
            <v>15.626359696597483</v>
          </cell>
        </row>
        <row r="2730">
          <cell r="F2730" t="str">
            <v>Sumter County, AL</v>
          </cell>
          <cell r="N2730">
            <v>11.683978569437105</v>
          </cell>
        </row>
        <row r="2731">
          <cell r="F2731" t="str">
            <v>Sumter County, FL</v>
          </cell>
          <cell r="N2731">
            <v>13.229509598732106</v>
          </cell>
        </row>
        <row r="2732">
          <cell r="F2732" t="str">
            <v>Sumter County, GA</v>
          </cell>
          <cell r="N2732">
            <v>13.183944503833871</v>
          </cell>
        </row>
        <row r="2733">
          <cell r="F2733" t="str">
            <v>Sumter County, SC</v>
          </cell>
          <cell r="N2733">
            <v>26.136532781794642</v>
          </cell>
        </row>
        <row r="2734">
          <cell r="F2734" t="str">
            <v>Sunflower County, MS</v>
          </cell>
          <cell r="N2734">
            <v>13.140458226905306</v>
          </cell>
        </row>
        <row r="2735">
          <cell r="F2735" t="str">
            <v>Surry County, NC</v>
          </cell>
          <cell r="N2735">
            <v>25.078309280665405</v>
          </cell>
        </row>
        <row r="2736">
          <cell r="F2736" t="str">
            <v>Surry County, VA</v>
          </cell>
          <cell r="N2736">
            <v>13.95144654243939</v>
          </cell>
        </row>
        <row r="2737">
          <cell r="F2737" t="str">
            <v>Susquehanna County, PA</v>
          </cell>
          <cell r="N2737">
            <v>21.232910900997105</v>
          </cell>
        </row>
        <row r="2738">
          <cell r="F2738" t="str">
            <v>Sussex County, DE</v>
          </cell>
          <cell r="N2738">
            <v>35.111084197037073</v>
          </cell>
        </row>
        <row r="2739">
          <cell r="F2739" t="str">
            <v>Sussex County, NJ</v>
          </cell>
          <cell r="N2739">
            <v>18.306803197769447</v>
          </cell>
        </row>
        <row r="2740">
          <cell r="F2740" t="str">
            <v>Sussex County, VA</v>
          </cell>
          <cell r="N2740">
            <v>16.007184748597425</v>
          </cell>
        </row>
        <row r="2741">
          <cell r="F2741" t="str">
            <v>Sutter County, CA</v>
          </cell>
          <cell r="N2741">
            <v>10.304336842778561</v>
          </cell>
        </row>
        <row r="2742">
          <cell r="F2742" t="str">
            <v>Sutton County, TX</v>
          </cell>
          <cell r="N2742">
            <v>15.030381385307365</v>
          </cell>
        </row>
        <row r="2743">
          <cell r="F2743" t="str">
            <v>Suwannee County, FL</v>
          </cell>
          <cell r="N2743">
            <v>12.967798410280787</v>
          </cell>
        </row>
        <row r="2744">
          <cell r="F2744" t="str">
            <v>Swain County, NC</v>
          </cell>
          <cell r="N2744">
            <v>23.240595563620708</v>
          </cell>
        </row>
        <row r="2745">
          <cell r="F2745" t="str">
            <v>Sweet Grass County, MT</v>
          </cell>
          <cell r="N2745">
            <v>13.538707413451602</v>
          </cell>
        </row>
        <row r="2746">
          <cell r="F2746" t="str">
            <v>Sweetwater County, WY</v>
          </cell>
          <cell r="N2746">
            <v>13.226871209990735</v>
          </cell>
        </row>
        <row r="2747">
          <cell r="F2747" t="str">
            <v>Swift County, MN</v>
          </cell>
          <cell r="N2747">
            <v>25.355150850611391</v>
          </cell>
        </row>
        <row r="2748">
          <cell r="F2748" t="str">
            <v>Swisher County, TX</v>
          </cell>
          <cell r="N2748">
            <v>13.508032654048547</v>
          </cell>
        </row>
        <row r="2749">
          <cell r="F2749" t="str">
            <v>Switzerland County, IN</v>
          </cell>
          <cell r="N2749">
            <v>12.262318627712713</v>
          </cell>
        </row>
        <row r="2750">
          <cell r="F2750" t="str">
            <v>Talbot County, GA</v>
          </cell>
          <cell r="N2750">
            <v>15.009670043568629</v>
          </cell>
        </row>
        <row r="2751">
          <cell r="F2751" t="str">
            <v>Talbot County, MD</v>
          </cell>
          <cell r="N2751">
            <v>11.073574342594528</v>
          </cell>
        </row>
        <row r="2752">
          <cell r="F2752" t="str">
            <v>Taliaferro County, GA</v>
          </cell>
          <cell r="N2752">
            <v>19.62429916368562</v>
          </cell>
        </row>
        <row r="2753">
          <cell r="F2753" t="str">
            <v>Talladega County, AL</v>
          </cell>
          <cell r="N2753">
            <v>14.971768847718483</v>
          </cell>
        </row>
        <row r="2754">
          <cell r="F2754" t="str">
            <v>Tallahatchie County, MS</v>
          </cell>
          <cell r="N2754">
            <v>13.701114101312044</v>
          </cell>
        </row>
        <row r="2755">
          <cell r="F2755" t="str">
            <v>Tallapoosa County, AL</v>
          </cell>
          <cell r="N2755">
            <v>12.90165484990899</v>
          </cell>
        </row>
        <row r="2756">
          <cell r="F2756" t="str">
            <v>Tama County, IA</v>
          </cell>
          <cell r="N2756">
            <v>18.781523590767762</v>
          </cell>
        </row>
        <row r="2757">
          <cell r="F2757" t="str">
            <v>Taney County, MO</v>
          </cell>
          <cell r="N2757">
            <v>22.755451513990785</v>
          </cell>
        </row>
        <row r="2758">
          <cell r="F2758" t="str">
            <v>Tangipahoa Parish, LA</v>
          </cell>
          <cell r="N2758">
            <v>12.326361166617325</v>
          </cell>
        </row>
        <row r="2759">
          <cell r="F2759" t="str">
            <v>Taos County, NM</v>
          </cell>
          <cell r="N2759">
            <v>13.05037779266986</v>
          </cell>
        </row>
        <row r="2760">
          <cell r="F2760" t="str">
            <v>Tarrant County, TX</v>
          </cell>
          <cell r="N2760">
            <v>13.030125266441793</v>
          </cell>
        </row>
        <row r="2761">
          <cell r="F2761" t="str">
            <v>Tate County, MS</v>
          </cell>
          <cell r="N2761">
            <v>16.576272431603002</v>
          </cell>
        </row>
        <row r="2762">
          <cell r="F2762" t="str">
            <v>Tattnall County, GA</v>
          </cell>
          <cell r="N2762">
            <v>17.884828373859591</v>
          </cell>
        </row>
        <row r="2763">
          <cell r="F2763" t="str">
            <v>Taylor County, FL</v>
          </cell>
          <cell r="N2763">
            <v>11.803359286512949</v>
          </cell>
        </row>
        <row r="2764">
          <cell r="F2764" t="str">
            <v>Taylor County, GA</v>
          </cell>
          <cell r="N2764">
            <v>14.722154210539534</v>
          </cell>
        </row>
        <row r="2765">
          <cell r="F2765" t="str">
            <v>Taylor County, IA</v>
          </cell>
          <cell r="N2765">
            <v>21.176957495707075</v>
          </cell>
        </row>
        <row r="2766">
          <cell r="F2766" t="str">
            <v>Taylor County, KY</v>
          </cell>
          <cell r="N2766">
            <v>16.052699737893306</v>
          </cell>
        </row>
        <row r="2767">
          <cell r="F2767" t="str">
            <v>Taylor County, TX</v>
          </cell>
          <cell r="N2767">
            <v>15.304657142560522</v>
          </cell>
        </row>
        <row r="2768">
          <cell r="F2768" t="str">
            <v>Taylor County, WI</v>
          </cell>
          <cell r="N2768">
            <v>15.304657142560522</v>
          </cell>
        </row>
        <row r="2769">
          <cell r="F2769" t="str">
            <v>Taylor County, WV</v>
          </cell>
          <cell r="N2769">
            <v>21.232910900997105</v>
          </cell>
        </row>
        <row r="2770">
          <cell r="F2770" t="str">
            <v>Tazewell County, IL</v>
          </cell>
          <cell r="N2770">
            <v>9.6567204499873753</v>
          </cell>
        </row>
        <row r="2771">
          <cell r="F2771" t="str">
            <v>Tazewell County, VA</v>
          </cell>
          <cell r="N2771">
            <v>24.300488875143063</v>
          </cell>
        </row>
        <row r="2772">
          <cell r="F2772" t="str">
            <v>Tehama County, CA</v>
          </cell>
          <cell r="N2772">
            <v>9.6638385934259858</v>
          </cell>
        </row>
        <row r="2773">
          <cell r="F2773" t="str">
            <v>Telfair County, GA</v>
          </cell>
          <cell r="N2773">
            <v>15.009670043568629</v>
          </cell>
        </row>
        <row r="2774">
          <cell r="F2774" t="str">
            <v>Teller County, CO</v>
          </cell>
          <cell r="N2774">
            <v>17.518206079287005</v>
          </cell>
        </row>
        <row r="2775">
          <cell r="F2775" t="str">
            <v>Tensas Parish, LA</v>
          </cell>
          <cell r="N2775">
            <v>12.859965880300241</v>
          </cell>
        </row>
        <row r="2776">
          <cell r="F2776" t="str">
            <v>Terrebonne Parish, LA</v>
          </cell>
          <cell r="N2776">
            <v>16.223964032846382</v>
          </cell>
        </row>
        <row r="2777">
          <cell r="F2777" t="str">
            <v>Terrell County, GA</v>
          </cell>
          <cell r="N2777">
            <v>12.608912837775678</v>
          </cell>
        </row>
        <row r="2778">
          <cell r="F2778" t="str">
            <v>Terrell County, TX</v>
          </cell>
          <cell r="N2778">
            <v>12.417543908316777</v>
          </cell>
        </row>
        <row r="2779">
          <cell r="F2779" t="str">
            <v>Terry County, TX</v>
          </cell>
          <cell r="N2779">
            <v>11.029183971684709</v>
          </cell>
        </row>
        <row r="2780">
          <cell r="F2780" t="str">
            <v>Teton County, ID</v>
          </cell>
          <cell r="N2780">
            <v>13.81071540001907</v>
          </cell>
        </row>
        <row r="2781">
          <cell r="F2781" t="str">
            <v>Teton County, MT</v>
          </cell>
          <cell r="N2781">
            <v>19.091222519902018</v>
          </cell>
        </row>
        <row r="2782">
          <cell r="F2782" t="str">
            <v>Teton County, WY</v>
          </cell>
          <cell r="N2782">
            <v>11.205165212899116</v>
          </cell>
        </row>
        <row r="2783">
          <cell r="F2783" t="str">
            <v>Texas County, MO</v>
          </cell>
          <cell r="N2783">
            <v>19.016913049634631</v>
          </cell>
        </row>
        <row r="2784">
          <cell r="F2784" t="str">
            <v>Texas County, OK</v>
          </cell>
          <cell r="N2784">
            <v>15.552617940732134</v>
          </cell>
        </row>
        <row r="2785">
          <cell r="F2785" t="str">
            <v>Thayer County, NE</v>
          </cell>
          <cell r="N2785">
            <v>17.149425466375014</v>
          </cell>
        </row>
        <row r="2786">
          <cell r="F2786" t="str">
            <v>Thomas County, GA</v>
          </cell>
          <cell r="N2786">
            <v>12.87046554666221</v>
          </cell>
        </row>
        <row r="2787">
          <cell r="F2787" t="str">
            <v>Thomas County, KS</v>
          </cell>
          <cell r="N2787">
            <v>13.946508191124188</v>
          </cell>
        </row>
        <row r="2788">
          <cell r="F2788" t="str">
            <v>Thomas County, NE</v>
          </cell>
          <cell r="N2788">
            <v>14.12459434948164</v>
          </cell>
        </row>
        <row r="2789">
          <cell r="F2789" t="str">
            <v>Throckmorton County, TX</v>
          </cell>
          <cell r="N2789">
            <v>17.076674317186821</v>
          </cell>
        </row>
        <row r="2790">
          <cell r="F2790" t="str">
            <v>Thurston County, NE</v>
          </cell>
          <cell r="N2790">
            <v>24.83419897644044</v>
          </cell>
        </row>
        <row r="2791">
          <cell r="F2791" t="str">
            <v>Thurston County, WA</v>
          </cell>
          <cell r="N2791">
            <v>31.985549913200344</v>
          </cell>
        </row>
        <row r="2792">
          <cell r="F2792" t="str">
            <v>Tift County, GA</v>
          </cell>
          <cell r="N2792">
            <v>12.896428670804774</v>
          </cell>
        </row>
        <row r="2793">
          <cell r="F2793" t="str">
            <v>Tillamook County, OR</v>
          </cell>
          <cell r="N2793">
            <v>28.914912489186161</v>
          </cell>
        </row>
        <row r="2794">
          <cell r="F2794" t="str">
            <v>Tillman County, OK</v>
          </cell>
          <cell r="N2794">
            <v>16.123926949886386</v>
          </cell>
        </row>
        <row r="2795">
          <cell r="F2795" t="str">
            <v>Tioga County, NY</v>
          </cell>
          <cell r="N2795">
            <v>21.957601126562832</v>
          </cell>
        </row>
        <row r="2796">
          <cell r="F2796" t="str">
            <v>Tioga County, PA</v>
          </cell>
          <cell r="N2796">
            <v>21.465358709197435</v>
          </cell>
        </row>
        <row r="2797">
          <cell r="F2797" t="str">
            <v>Tippah County, MS</v>
          </cell>
          <cell r="N2797">
            <v>17.525074680599019</v>
          </cell>
        </row>
        <row r="2798">
          <cell r="F2798" t="str">
            <v>Tippecanoe County, IN</v>
          </cell>
          <cell r="N2798">
            <v>9.645341702663405</v>
          </cell>
        </row>
        <row r="2799">
          <cell r="F2799" t="str">
            <v>Tipton County, IN</v>
          </cell>
          <cell r="N2799">
            <v>14.02492791942451</v>
          </cell>
        </row>
        <row r="2800">
          <cell r="F2800" t="str">
            <v>Tipton County, TN</v>
          </cell>
          <cell r="N2800">
            <v>20.184596136118156</v>
          </cell>
        </row>
        <row r="2801">
          <cell r="F2801" t="str">
            <v>Tishomingo County, MS</v>
          </cell>
          <cell r="N2801">
            <v>18.042603180051394</v>
          </cell>
        </row>
        <row r="2802">
          <cell r="F2802" t="str">
            <v>Titus County, TX</v>
          </cell>
          <cell r="N2802">
            <v>12.770285075359856</v>
          </cell>
        </row>
        <row r="2803">
          <cell r="F2803" t="str">
            <v>Todd County, KY</v>
          </cell>
          <cell r="N2803">
            <v>13.771882573559814</v>
          </cell>
        </row>
        <row r="2804">
          <cell r="F2804" t="str">
            <v>Todd County, MN</v>
          </cell>
          <cell r="N2804">
            <v>22.990840972857654</v>
          </cell>
        </row>
        <row r="2805">
          <cell r="F2805" t="str">
            <v>Todd County, SD</v>
          </cell>
          <cell r="N2805">
            <v>17.170810875994061</v>
          </cell>
        </row>
        <row r="2806">
          <cell r="F2806" t="str">
            <v>Tolland County, CT</v>
          </cell>
          <cell r="N2806">
            <v>24.008611198918672</v>
          </cell>
        </row>
        <row r="2807">
          <cell r="F2807" t="str">
            <v>Tom Green County, TX</v>
          </cell>
          <cell r="N2807">
            <v>12.677384099398713</v>
          </cell>
        </row>
        <row r="2808">
          <cell r="F2808" t="str">
            <v>Tompkins County, NY</v>
          </cell>
          <cell r="N2808">
            <v>22.449843543928235</v>
          </cell>
        </row>
        <row r="2809">
          <cell r="F2809" t="str">
            <v>Tooele County, UT</v>
          </cell>
          <cell r="N2809">
            <v>14.449963713518208</v>
          </cell>
        </row>
        <row r="2810">
          <cell r="F2810" t="str">
            <v>Toole County, MT</v>
          </cell>
          <cell r="N2810">
            <v>23.760481224460651</v>
          </cell>
        </row>
        <row r="2811">
          <cell r="F2811" t="str">
            <v>Toombs County, GA</v>
          </cell>
          <cell r="N2811">
            <v>17.611688332481947</v>
          </cell>
        </row>
        <row r="2812">
          <cell r="F2812" t="str">
            <v>Torrance County, NM</v>
          </cell>
          <cell r="N2812">
            <v>13.198301507881474</v>
          </cell>
        </row>
        <row r="2813">
          <cell r="F2813" t="str">
            <v>Towner County, ND</v>
          </cell>
          <cell r="N2813">
            <v>14.914936027927913</v>
          </cell>
        </row>
        <row r="2814">
          <cell r="F2814" t="str">
            <v>Towns County, GA</v>
          </cell>
          <cell r="N2814">
            <v>23.491387117926962</v>
          </cell>
        </row>
        <row r="2815">
          <cell r="F2815" t="str">
            <v>Traill County, ND</v>
          </cell>
          <cell r="N2815">
            <v>16.950362525188485</v>
          </cell>
        </row>
        <row r="2816">
          <cell r="F2816" t="str">
            <v>Transylvania County, NC</v>
          </cell>
          <cell r="N2816">
            <v>25.466096753280485</v>
          </cell>
        </row>
        <row r="2817">
          <cell r="F2817" t="str">
            <v>Traverse County, MN</v>
          </cell>
          <cell r="N2817">
            <v>27.981451206740104</v>
          </cell>
        </row>
        <row r="2818">
          <cell r="F2818" t="str">
            <v>Travis County, TX</v>
          </cell>
          <cell r="N2818">
            <v>13.423606369671816</v>
          </cell>
        </row>
        <row r="2819">
          <cell r="F2819" t="str">
            <v>Treasure County, MT</v>
          </cell>
          <cell r="N2819">
            <v>14.082723386586538</v>
          </cell>
        </row>
        <row r="2820">
          <cell r="F2820" t="str">
            <v>Trego County, KS</v>
          </cell>
          <cell r="N2820">
            <v>12.42778985028076</v>
          </cell>
        </row>
        <row r="2821">
          <cell r="F2821" t="str">
            <v>Trempealeau County, WI</v>
          </cell>
          <cell r="N2821">
            <v>23.655470033187637</v>
          </cell>
        </row>
        <row r="2822">
          <cell r="F2822" t="str">
            <v>Treutlen County, GA</v>
          </cell>
          <cell r="N2822">
            <v>17.611688332481947</v>
          </cell>
        </row>
        <row r="2823">
          <cell r="F2823" t="str">
            <v>Trigg County, KY</v>
          </cell>
          <cell r="N2823">
            <v>14.375665822920915</v>
          </cell>
        </row>
        <row r="2824">
          <cell r="F2824" t="str">
            <v>Trimble County, KY</v>
          </cell>
          <cell r="N2824">
            <v>12.483588137647219</v>
          </cell>
        </row>
        <row r="2825">
          <cell r="F2825" t="str">
            <v>Trinity County, CA</v>
          </cell>
          <cell r="N2825">
            <v>11.724951384887564</v>
          </cell>
        </row>
        <row r="2826">
          <cell r="F2826" t="str">
            <v>Trinity County, TX</v>
          </cell>
          <cell r="N2826">
            <v>9.7775217660479736</v>
          </cell>
        </row>
        <row r="2827">
          <cell r="F2827" t="str">
            <v>Tripp County, SD</v>
          </cell>
          <cell r="N2827">
            <v>18.583147629195274</v>
          </cell>
        </row>
        <row r="2828">
          <cell r="F2828" t="str">
            <v>Troup County, GA</v>
          </cell>
          <cell r="N2828">
            <v>16.208086929743594</v>
          </cell>
        </row>
        <row r="2829">
          <cell r="F2829" t="str">
            <v>Trousdale County, TN</v>
          </cell>
          <cell r="N2829">
            <v>15.928251321278033</v>
          </cell>
        </row>
        <row r="2830">
          <cell r="F2830" t="str">
            <v>Trumbull County, OH</v>
          </cell>
          <cell r="N2830">
            <v>20.91634285075936</v>
          </cell>
        </row>
        <row r="2831">
          <cell r="F2831" t="str">
            <v>Tucker County, WV</v>
          </cell>
          <cell r="N2831">
            <v>20.084345260477836</v>
          </cell>
        </row>
        <row r="2832">
          <cell r="F2832" t="str">
            <v>Tulare County, CA</v>
          </cell>
          <cell r="N2832">
            <v>11.275575539372905</v>
          </cell>
        </row>
        <row r="2833">
          <cell r="F2833" t="str">
            <v>Tulsa County, OK</v>
          </cell>
          <cell r="N2833">
            <v>17.545084543904807</v>
          </cell>
        </row>
        <row r="2834">
          <cell r="F2834" t="str">
            <v>Tunica County, MS</v>
          </cell>
          <cell r="N2834">
            <v>17.266310430872835</v>
          </cell>
        </row>
        <row r="2835">
          <cell r="F2835" t="str">
            <v>Tuolumne County, CA</v>
          </cell>
          <cell r="N2835">
            <v>10.570739176368834</v>
          </cell>
        </row>
        <row r="2836">
          <cell r="F2836" t="str">
            <v>Turner County, GA</v>
          </cell>
          <cell r="N2836">
            <v>13.183944503833871</v>
          </cell>
        </row>
        <row r="2837">
          <cell r="F2837" t="str">
            <v>Turner County, SD</v>
          </cell>
          <cell r="N2837">
            <v>24.883277263573234</v>
          </cell>
        </row>
        <row r="2838">
          <cell r="F2838" t="str">
            <v>Tuscaloosa County, AL</v>
          </cell>
          <cell r="N2838">
            <v>14.300372650001878</v>
          </cell>
        </row>
        <row r="2839">
          <cell r="F2839" t="str">
            <v>Tuscarawas County, OH</v>
          </cell>
          <cell r="N2839">
            <v>19.670163362640643</v>
          </cell>
        </row>
        <row r="2840">
          <cell r="F2840" t="str">
            <v>Tuscola County, MI</v>
          </cell>
          <cell r="N2840">
            <v>15.997428753695818</v>
          </cell>
        </row>
        <row r="2841">
          <cell r="F2841" t="str">
            <v>Twiggs County, GA</v>
          </cell>
          <cell r="N2841">
            <v>17.065408249726666</v>
          </cell>
        </row>
        <row r="2842">
          <cell r="F2842" t="str">
            <v>Twin Falls County, ID</v>
          </cell>
          <cell r="N2842">
            <v>18.953355137726899</v>
          </cell>
        </row>
        <row r="2843">
          <cell r="F2843" t="str">
            <v>Tyler County, TX</v>
          </cell>
          <cell r="N2843">
            <v>10.188864314906773</v>
          </cell>
        </row>
        <row r="2844">
          <cell r="F2844" t="str">
            <v>Tyler County, WV</v>
          </cell>
          <cell r="N2844">
            <v>20.489742721770661</v>
          </cell>
        </row>
        <row r="2845">
          <cell r="F2845" t="str">
            <v>Tyrrell County, NC</v>
          </cell>
          <cell r="N2845">
            <v>17.775407121726367</v>
          </cell>
        </row>
        <row r="2846">
          <cell r="F2846" t="str">
            <v>Uinta County, WY</v>
          </cell>
          <cell r="N2846">
            <v>11.695036759321312</v>
          </cell>
        </row>
        <row r="2847">
          <cell r="F2847" t="str">
            <v>Uintah County, UT</v>
          </cell>
          <cell r="N2847">
            <v>12.243072144159436</v>
          </cell>
        </row>
        <row r="2848">
          <cell r="F2848" t="str">
            <v>Ulster County, NY</v>
          </cell>
          <cell r="N2848">
            <v>21.465358709197435</v>
          </cell>
        </row>
        <row r="2849">
          <cell r="F2849" t="str">
            <v>Umatilla County, OR</v>
          </cell>
          <cell r="N2849">
            <v>29.644013612696376</v>
          </cell>
        </row>
        <row r="2850">
          <cell r="F2850" t="str">
            <v>Unicoi County, TN</v>
          </cell>
          <cell r="N2850">
            <v>24.879435811886555</v>
          </cell>
        </row>
        <row r="2851">
          <cell r="F2851" t="str">
            <v>Union County, AR</v>
          </cell>
          <cell r="N2851">
            <v>17.30497679582103</v>
          </cell>
        </row>
        <row r="2852">
          <cell r="F2852" t="str">
            <v>Union County, FL</v>
          </cell>
          <cell r="N2852">
            <v>14.520383908637907</v>
          </cell>
        </row>
        <row r="2853">
          <cell r="F2853" t="str">
            <v>Union County, GA</v>
          </cell>
          <cell r="N2853">
            <v>21.886524632068241</v>
          </cell>
        </row>
        <row r="2854">
          <cell r="F2854" t="str">
            <v>Union County, IA</v>
          </cell>
          <cell r="N2854">
            <v>21.886524632068241</v>
          </cell>
        </row>
        <row r="2855">
          <cell r="F2855" t="str">
            <v>Union County, IL</v>
          </cell>
          <cell r="N2855">
            <v>14.981839238141621</v>
          </cell>
        </row>
        <row r="2856">
          <cell r="F2856" t="str">
            <v>Union County, IN</v>
          </cell>
          <cell r="N2856">
            <v>10.503820905589633</v>
          </cell>
        </row>
        <row r="2857">
          <cell r="F2857" t="str">
            <v>Union County, KY</v>
          </cell>
          <cell r="N2857">
            <v>13.436305657328534</v>
          </cell>
        </row>
        <row r="2858">
          <cell r="F2858" t="str">
            <v>Union County, MS</v>
          </cell>
          <cell r="N2858">
            <v>16.576272431603002</v>
          </cell>
        </row>
        <row r="2859">
          <cell r="F2859" t="str">
            <v>Union County, NC</v>
          </cell>
          <cell r="N2859">
            <v>26.774652695537071</v>
          </cell>
        </row>
        <row r="2860">
          <cell r="F2860" t="str">
            <v>Union County, NJ</v>
          </cell>
          <cell r="N2860">
            <v>26.774652695537071</v>
          </cell>
        </row>
        <row r="2861">
          <cell r="F2861" t="str">
            <v>Union County, NM</v>
          </cell>
          <cell r="N2861">
            <v>26.774652695537071</v>
          </cell>
        </row>
        <row r="2862">
          <cell r="F2862" t="str">
            <v>Union County, OH</v>
          </cell>
          <cell r="N2862">
            <v>14.505441706326405</v>
          </cell>
        </row>
        <row r="2863">
          <cell r="F2863" t="str">
            <v>Union County, OR</v>
          </cell>
          <cell r="N2863">
            <v>29.483523727926105</v>
          </cell>
        </row>
        <row r="2864">
          <cell r="F2864" t="str">
            <v>Union County, PA</v>
          </cell>
          <cell r="N2864">
            <v>18.306803197769447</v>
          </cell>
        </row>
        <row r="2865">
          <cell r="F2865" t="str">
            <v>Union County, SC</v>
          </cell>
          <cell r="N2865">
            <v>25.892144323719911</v>
          </cell>
        </row>
        <row r="2866">
          <cell r="F2866" t="str">
            <v>Union County, SD</v>
          </cell>
          <cell r="N2866">
            <v>25.118666722440103</v>
          </cell>
        </row>
        <row r="2867">
          <cell r="F2867" t="str">
            <v>Union County, TN</v>
          </cell>
          <cell r="N2867">
            <v>21.376676357179406</v>
          </cell>
        </row>
        <row r="2868">
          <cell r="F2868" t="str">
            <v>Union Parish, LA</v>
          </cell>
          <cell r="N2868">
            <v>16.034646972753784</v>
          </cell>
        </row>
        <row r="2869">
          <cell r="F2869" t="str">
            <v>Upper Keys in Monroe County, FL</v>
          </cell>
          <cell r="N2869">
            <v>13.60713718399515</v>
          </cell>
        </row>
        <row r="2870">
          <cell r="F2870" t="str">
            <v>Upshur County, TX</v>
          </cell>
          <cell r="N2870">
            <v>11.211243928868235</v>
          </cell>
        </row>
        <row r="2871">
          <cell r="F2871" t="str">
            <v>Upshur County, WV</v>
          </cell>
          <cell r="N2871">
            <v>21.465358709197435</v>
          </cell>
        </row>
        <row r="2872">
          <cell r="F2872" t="str">
            <v>Upson County, GA</v>
          </cell>
          <cell r="N2872">
            <v>16.967566167326826</v>
          </cell>
        </row>
        <row r="2873">
          <cell r="F2873" t="str">
            <v>Upton County, TX</v>
          </cell>
          <cell r="N2873">
            <v>15.20106259516692</v>
          </cell>
        </row>
        <row r="2874">
          <cell r="F2874" t="str">
            <v>Utah County, UT</v>
          </cell>
          <cell r="N2874">
            <v>12.801404327113712</v>
          </cell>
        </row>
        <row r="2875">
          <cell r="F2875" t="str">
            <v>Uvalde County, TX</v>
          </cell>
          <cell r="N2875">
            <v>14.732652368448935</v>
          </cell>
        </row>
        <row r="2876">
          <cell r="F2876" t="str">
            <v>Val Verde County, TX</v>
          </cell>
          <cell r="N2876">
            <v>15.304657142560522</v>
          </cell>
        </row>
        <row r="2877">
          <cell r="F2877" t="str">
            <v>Valencia County, NM</v>
          </cell>
          <cell r="N2877">
            <v>13.308069569417986</v>
          </cell>
        </row>
        <row r="2878">
          <cell r="F2878" t="str">
            <v>Valley County, ID</v>
          </cell>
          <cell r="N2878">
            <v>24.003856791389438</v>
          </cell>
        </row>
        <row r="2879">
          <cell r="F2879" t="str">
            <v>Valley County, MT</v>
          </cell>
          <cell r="N2879">
            <v>16.497364667753136</v>
          </cell>
        </row>
        <row r="2880">
          <cell r="F2880" t="str">
            <v>Valley County, NE</v>
          </cell>
          <cell r="N2880">
            <v>18.347758170328405</v>
          </cell>
        </row>
        <row r="2881">
          <cell r="F2881" t="str">
            <v>Van Buren County, AR</v>
          </cell>
          <cell r="N2881">
            <v>22.243083891592409</v>
          </cell>
        </row>
        <row r="2882">
          <cell r="F2882" t="str">
            <v>Van Buren County, IA</v>
          </cell>
          <cell r="N2882">
            <v>15.042985126411612</v>
          </cell>
        </row>
        <row r="2883">
          <cell r="F2883" t="str">
            <v>Van Buren County, MI</v>
          </cell>
          <cell r="N2883">
            <v>14.505441706326405</v>
          </cell>
        </row>
        <row r="2884">
          <cell r="F2884" t="str">
            <v>Van Buren County, TN</v>
          </cell>
          <cell r="N2884">
            <v>19.364065525975732</v>
          </cell>
        </row>
        <row r="2885">
          <cell r="F2885" t="str">
            <v>Van Wert County, OH</v>
          </cell>
          <cell r="N2885">
            <v>11.431532302300234</v>
          </cell>
        </row>
        <row r="2886">
          <cell r="F2886" t="str">
            <v>Van Zandt County, TX</v>
          </cell>
          <cell r="N2886">
            <v>10.648256848190705</v>
          </cell>
        </row>
        <row r="2887">
          <cell r="F2887" t="str">
            <v>Vance County, NC</v>
          </cell>
          <cell r="N2887">
            <v>18.839215703934023</v>
          </cell>
        </row>
        <row r="2888">
          <cell r="F2888" t="str">
            <v>Vanderburgh County, IN</v>
          </cell>
          <cell r="N2888">
            <v>11.740265524540192</v>
          </cell>
        </row>
        <row r="2889">
          <cell r="F2889" t="str">
            <v>Venango County, PA</v>
          </cell>
          <cell r="N2889">
            <v>23.908092842363725</v>
          </cell>
        </row>
        <row r="2890">
          <cell r="F2890" t="str">
            <v>Ventura County, CA</v>
          </cell>
          <cell r="N2890">
            <v>10.122276885595037</v>
          </cell>
        </row>
        <row r="2891">
          <cell r="F2891" t="str">
            <v>Vermilion County, IL</v>
          </cell>
          <cell r="N2891">
            <v>10.778281989294221</v>
          </cell>
        </row>
        <row r="2892">
          <cell r="F2892" t="str">
            <v>Vermilion Parish, LA</v>
          </cell>
          <cell r="N2892">
            <v>11.596403103621533</v>
          </cell>
        </row>
        <row r="2893">
          <cell r="F2893" t="str">
            <v>Vermillion County, IN</v>
          </cell>
          <cell r="N2893">
            <v>10.766903241970251</v>
          </cell>
        </row>
        <row r="2894">
          <cell r="F2894" t="str">
            <v>Vernon County, MO</v>
          </cell>
          <cell r="N2894">
            <v>21.137199828354909</v>
          </cell>
        </row>
        <row r="2895">
          <cell r="F2895" t="str">
            <v>Vernon County, WI</v>
          </cell>
          <cell r="N2895">
            <v>20.44309624159272</v>
          </cell>
        </row>
        <row r="2896">
          <cell r="F2896" t="str">
            <v>Vernon Parish, LA</v>
          </cell>
          <cell r="N2896">
            <v>10.470428942266473</v>
          </cell>
        </row>
        <row r="2897">
          <cell r="F2897" t="str">
            <v>Victoria County, TX</v>
          </cell>
          <cell r="N2897">
            <v>10.604080443480377</v>
          </cell>
        </row>
        <row r="2898">
          <cell r="F2898" t="str">
            <v>Vigo County, IN</v>
          </cell>
          <cell r="N2898">
            <v>11.431532302300234</v>
          </cell>
        </row>
        <row r="2899">
          <cell r="F2899" t="str">
            <v>Vilas County, WI</v>
          </cell>
          <cell r="N2899">
            <v>24.87299599685246</v>
          </cell>
        </row>
        <row r="2900">
          <cell r="F2900" t="str">
            <v>Vinton County, OH</v>
          </cell>
          <cell r="N2900">
            <v>16.707025468669471</v>
          </cell>
        </row>
        <row r="2901">
          <cell r="F2901" t="str">
            <v>Virginia Bea County, VA</v>
          </cell>
          <cell r="N2901">
            <v>13.663930709410295</v>
          </cell>
        </row>
        <row r="2902">
          <cell r="F2902" t="str">
            <v>Volusia County, FL</v>
          </cell>
          <cell r="N2902">
            <v>13.919547598001937</v>
          </cell>
        </row>
        <row r="2903">
          <cell r="F2903" t="str">
            <v>Wabash County, IL</v>
          </cell>
          <cell r="N2903">
            <v>11.4633367494027</v>
          </cell>
        </row>
        <row r="2904">
          <cell r="F2904" t="str">
            <v>Wabash County, IN</v>
          </cell>
          <cell r="N2904">
            <v>9.645341702663405</v>
          </cell>
        </row>
        <row r="2905">
          <cell r="F2905" t="str">
            <v>Wabasha County, MN</v>
          </cell>
          <cell r="N2905">
            <v>28.238641261713141</v>
          </cell>
        </row>
        <row r="2906">
          <cell r="F2906" t="str">
            <v>Wabaunsee County, KS</v>
          </cell>
          <cell r="N2906">
            <v>16.914036007508145</v>
          </cell>
        </row>
        <row r="2907">
          <cell r="F2907" t="str">
            <v>Wadena County, MN</v>
          </cell>
          <cell r="N2907">
            <v>27.48640774986567</v>
          </cell>
        </row>
        <row r="2908">
          <cell r="F2908" t="str">
            <v>Wagoner County, OK</v>
          </cell>
          <cell r="N2908">
            <v>18.772107668458396</v>
          </cell>
        </row>
        <row r="2909">
          <cell r="F2909" t="str">
            <v>Wahkiakum County, WA</v>
          </cell>
          <cell r="N2909">
            <v>30.779728824318063</v>
          </cell>
        </row>
        <row r="2910">
          <cell r="F2910" t="str">
            <v>Wake County, NC</v>
          </cell>
          <cell r="N2910">
            <v>21.642495075967709</v>
          </cell>
        </row>
        <row r="2911">
          <cell r="F2911" t="str">
            <v>Wakulla County, FL</v>
          </cell>
          <cell r="N2911">
            <v>12.007918047574922</v>
          </cell>
        </row>
        <row r="2912">
          <cell r="F2912" t="str">
            <v>Waldo County, ME</v>
          </cell>
          <cell r="N2912">
            <v>33.83978614574432</v>
          </cell>
        </row>
        <row r="2913">
          <cell r="F2913" t="str">
            <v>Walker County, AL</v>
          </cell>
          <cell r="N2913">
            <v>15.809830773404633</v>
          </cell>
        </row>
        <row r="2914">
          <cell r="F2914" t="str">
            <v>Walker County, GA</v>
          </cell>
          <cell r="N2914">
            <v>20.453211476824531</v>
          </cell>
        </row>
        <row r="2915">
          <cell r="F2915" t="str">
            <v>Walker County, TX</v>
          </cell>
          <cell r="N2915">
            <v>9.7661430187240033</v>
          </cell>
        </row>
        <row r="2916">
          <cell r="F2916" t="str">
            <v>Walla Walla County, WA</v>
          </cell>
          <cell r="N2916">
            <v>30.871620097685941</v>
          </cell>
        </row>
        <row r="2917">
          <cell r="F2917" t="str">
            <v>Wallace County, KS</v>
          </cell>
          <cell r="N2917">
            <v>15.305652276305111</v>
          </cell>
        </row>
        <row r="2918">
          <cell r="F2918" t="str">
            <v>Waller County, TX</v>
          </cell>
          <cell r="N2918">
            <v>8.5968621588552878</v>
          </cell>
        </row>
        <row r="2919">
          <cell r="F2919" t="str">
            <v>Wallowa County, OR</v>
          </cell>
          <cell r="N2919">
            <v>28.516062621729855</v>
          </cell>
        </row>
        <row r="2920">
          <cell r="F2920" t="str">
            <v>Walsh County, ND</v>
          </cell>
          <cell r="N2920">
            <v>16.410351413670377</v>
          </cell>
        </row>
        <row r="2921">
          <cell r="F2921" t="str">
            <v>Walthall County, MS</v>
          </cell>
          <cell r="N2921">
            <v>12.034691024112869</v>
          </cell>
        </row>
        <row r="2922">
          <cell r="F2922" t="str">
            <v>Walton County, FL</v>
          </cell>
          <cell r="N2922">
            <v>11.090305101825685</v>
          </cell>
        </row>
        <row r="2923">
          <cell r="F2923" t="str">
            <v>Walton County, GA</v>
          </cell>
          <cell r="N2923">
            <v>19.62429916368562</v>
          </cell>
        </row>
        <row r="2924">
          <cell r="F2924" t="str">
            <v>Walworth County, SD</v>
          </cell>
          <cell r="N2924">
            <v>18.020103481503934</v>
          </cell>
        </row>
        <row r="2925">
          <cell r="F2925" t="str">
            <v>Walworth County, WI</v>
          </cell>
          <cell r="N2925">
            <v>15.997428753695818</v>
          </cell>
        </row>
        <row r="2926">
          <cell r="F2926" t="str">
            <v>Wapello County, IA</v>
          </cell>
          <cell r="N2926">
            <v>16.219932420745955</v>
          </cell>
        </row>
        <row r="2927">
          <cell r="F2927" t="str">
            <v>Ward County, ND</v>
          </cell>
          <cell r="N2927">
            <v>13.013450910558621</v>
          </cell>
        </row>
        <row r="2928">
          <cell r="F2928" t="str">
            <v>Ward County, TX</v>
          </cell>
          <cell r="N2928">
            <v>9.6892219019564365</v>
          </cell>
        </row>
        <row r="2929">
          <cell r="F2929" t="str">
            <v>Ware County, GA</v>
          </cell>
          <cell r="N2929">
            <v>14.520383908637907</v>
          </cell>
        </row>
        <row r="2930">
          <cell r="F2930" t="str">
            <v>Warren County, GA</v>
          </cell>
          <cell r="N2930">
            <v>19.62429916368562</v>
          </cell>
        </row>
        <row r="2931">
          <cell r="F2931" t="str">
            <v>Warren County, IA</v>
          </cell>
          <cell r="N2931">
            <v>19.62429916368562</v>
          </cell>
        </row>
        <row r="2932">
          <cell r="F2932" t="str">
            <v>Warren County, IL</v>
          </cell>
          <cell r="N2932">
            <v>11.733686263518571</v>
          </cell>
        </row>
        <row r="2933">
          <cell r="F2933" t="str">
            <v>Warren County, IN</v>
          </cell>
          <cell r="N2933">
            <v>10.503820905589633</v>
          </cell>
        </row>
        <row r="2934">
          <cell r="F2934" t="str">
            <v>Warren County, KY</v>
          </cell>
          <cell r="N2934">
            <v>14.255725781461457</v>
          </cell>
        </row>
        <row r="2935">
          <cell r="F2935" t="str">
            <v>Warren County, MO</v>
          </cell>
          <cell r="N2935">
            <v>14.255725781461457</v>
          </cell>
        </row>
        <row r="2936">
          <cell r="F2936" t="str">
            <v>Warren County, MS</v>
          </cell>
          <cell r="N2936">
            <v>11.300356895519093</v>
          </cell>
        </row>
        <row r="2937">
          <cell r="F2937" t="str">
            <v>Warren County, NC</v>
          </cell>
          <cell r="N2937">
            <v>14.02492791942451</v>
          </cell>
        </row>
        <row r="2938">
          <cell r="F2938" t="str">
            <v>Warren County, NJ</v>
          </cell>
          <cell r="N2938">
            <v>17.55476617123897</v>
          </cell>
        </row>
        <row r="2939">
          <cell r="F2939" t="str">
            <v>Warren County, NY</v>
          </cell>
          <cell r="N2939">
            <v>26.579210489604652</v>
          </cell>
        </row>
        <row r="2940">
          <cell r="F2940" t="str">
            <v>Warren County, OH</v>
          </cell>
          <cell r="N2940">
            <v>12.262318627712713</v>
          </cell>
        </row>
        <row r="2941">
          <cell r="F2941" t="str">
            <v>Warren County, PA</v>
          </cell>
          <cell r="N2941">
            <v>24.878904276612154</v>
          </cell>
        </row>
        <row r="2942">
          <cell r="F2942" t="str">
            <v>Warren County, TN</v>
          </cell>
          <cell r="N2942">
            <v>19.090925484598088</v>
          </cell>
        </row>
        <row r="2943">
          <cell r="F2943" t="str">
            <v>Warren County, VA</v>
          </cell>
          <cell r="N2943">
            <v>16.82660487273035</v>
          </cell>
        </row>
        <row r="2944">
          <cell r="F2944" t="str">
            <v>Warrick County, IN</v>
          </cell>
          <cell r="N2944">
            <v>11.4633367494027</v>
          </cell>
        </row>
        <row r="2945">
          <cell r="F2945" t="str">
            <v>Wasatch County, UT</v>
          </cell>
          <cell r="N2945">
            <v>12.05915667368836</v>
          </cell>
        </row>
        <row r="2946">
          <cell r="F2946" t="str">
            <v>Wasco County, OR</v>
          </cell>
          <cell r="N2946">
            <v>28.171790190223824</v>
          </cell>
        </row>
        <row r="2947">
          <cell r="F2947" t="str">
            <v>Waseca County, MN</v>
          </cell>
          <cell r="N2947">
            <v>19.456567940182794</v>
          </cell>
        </row>
        <row r="2948">
          <cell r="F2948" t="str">
            <v>Washakie County, WY</v>
          </cell>
          <cell r="N2948">
            <v>8.7857257534305884</v>
          </cell>
        </row>
        <row r="2949">
          <cell r="F2949" t="str">
            <v>Washburn County, WI</v>
          </cell>
          <cell r="N2949">
            <v>28.819231042561732</v>
          </cell>
        </row>
        <row r="2950">
          <cell r="F2950" t="str">
            <v>Washington County, AL</v>
          </cell>
          <cell r="N2950">
            <v>9.5276098217188849</v>
          </cell>
        </row>
        <row r="2951">
          <cell r="F2951" t="str">
            <v>Washington County, AR</v>
          </cell>
          <cell r="N2951">
            <v>22.929550725769388</v>
          </cell>
        </row>
        <row r="2952">
          <cell r="F2952" t="str">
            <v>Washington County, CO</v>
          </cell>
          <cell r="N2952">
            <v>14.311563232343014</v>
          </cell>
        </row>
        <row r="2953">
          <cell r="F2953" t="str">
            <v>Washington County, FL</v>
          </cell>
          <cell r="N2953">
            <v>12.355374767153709</v>
          </cell>
        </row>
        <row r="2954">
          <cell r="F2954" t="str">
            <v>Washington County, GA</v>
          </cell>
          <cell r="N2954">
            <v>18.574866373129421</v>
          </cell>
        </row>
        <row r="2955">
          <cell r="F2955" t="str">
            <v>Washington County, IA</v>
          </cell>
          <cell r="N2955">
            <v>18.574866373129421</v>
          </cell>
        </row>
        <row r="2956">
          <cell r="F2956" t="str">
            <v>Washington County, ID</v>
          </cell>
          <cell r="N2956">
            <v>26.855902958002801</v>
          </cell>
        </row>
        <row r="2957">
          <cell r="F2957" t="str">
            <v>Washington County, IL</v>
          </cell>
          <cell r="N2957">
            <v>12.273697375036683</v>
          </cell>
        </row>
        <row r="2958">
          <cell r="F2958" t="str">
            <v>Washington County, IN</v>
          </cell>
          <cell r="N2958">
            <v>11.158715096751457</v>
          </cell>
        </row>
        <row r="2959">
          <cell r="F2959" t="str">
            <v>Washington County, KS</v>
          </cell>
          <cell r="N2959">
            <v>16.914036007508145</v>
          </cell>
        </row>
        <row r="2960">
          <cell r="F2960" t="str">
            <v>Washington County, KY</v>
          </cell>
          <cell r="N2960">
            <v>14.255725781461457</v>
          </cell>
        </row>
        <row r="2961">
          <cell r="F2961" t="str">
            <v>Washington County, MD</v>
          </cell>
          <cell r="N2961">
            <v>16.392527130237333</v>
          </cell>
        </row>
        <row r="2962">
          <cell r="F2962" t="str">
            <v>Washington County, ME</v>
          </cell>
          <cell r="N2962">
            <v>16.392527130237333</v>
          </cell>
        </row>
        <row r="2963">
          <cell r="F2963" t="str">
            <v>Washington County, MN</v>
          </cell>
          <cell r="N2963">
            <v>23.655470033187637</v>
          </cell>
        </row>
        <row r="2964">
          <cell r="F2964" t="str">
            <v>Washington County, MO</v>
          </cell>
          <cell r="N2964">
            <v>15.707614186741594</v>
          </cell>
        </row>
        <row r="2965">
          <cell r="F2965" t="str">
            <v>Washington County, MS</v>
          </cell>
          <cell r="N2965">
            <v>15.707614186741594</v>
          </cell>
        </row>
        <row r="2966">
          <cell r="F2966" t="str">
            <v>Washington County, NC</v>
          </cell>
          <cell r="N2966">
            <v>17.775407121726367</v>
          </cell>
        </row>
        <row r="2967">
          <cell r="F2967" t="str">
            <v>Washington County, NE</v>
          </cell>
          <cell r="N2967">
            <v>17.775407121726367</v>
          </cell>
        </row>
        <row r="2968">
          <cell r="F2968" t="str">
            <v>Washington County, NY</v>
          </cell>
          <cell r="N2968">
            <v>17.775407121726367</v>
          </cell>
        </row>
        <row r="2969">
          <cell r="F2969" t="str">
            <v>Washington County, OH</v>
          </cell>
          <cell r="N2969">
            <v>19.670163362640643</v>
          </cell>
        </row>
        <row r="2970">
          <cell r="F2970" t="str">
            <v>Washington County, OK</v>
          </cell>
          <cell r="N2970">
            <v>17.545084543904807</v>
          </cell>
        </row>
        <row r="2971">
          <cell r="F2971" t="str">
            <v>Washington County, OR</v>
          </cell>
          <cell r="N2971">
            <v>28.914912489186161</v>
          </cell>
        </row>
        <row r="2972">
          <cell r="F2972" t="str">
            <v>Washington County, PA</v>
          </cell>
          <cell r="N2972">
            <v>22.203722335245534</v>
          </cell>
        </row>
        <row r="2973">
          <cell r="F2973" t="str">
            <v>Washington County, RI</v>
          </cell>
          <cell r="N2973">
            <v>24.008611198918672</v>
          </cell>
        </row>
        <row r="2974">
          <cell r="F2974" t="str">
            <v>Washington County, TN</v>
          </cell>
          <cell r="N2974">
            <v>23.240595563620708</v>
          </cell>
        </row>
        <row r="2975">
          <cell r="F2975" t="str">
            <v>Washington County, TX</v>
          </cell>
          <cell r="N2975">
            <v>9.4918672614708477</v>
          </cell>
        </row>
        <row r="2976">
          <cell r="F2976" t="str">
            <v>Washington County, UT</v>
          </cell>
          <cell r="N2976">
            <v>19.581350138960907</v>
          </cell>
        </row>
        <row r="2977">
          <cell r="F2977" t="str">
            <v>Washington County, VA</v>
          </cell>
          <cell r="N2977">
            <v>19.581350138960907</v>
          </cell>
        </row>
        <row r="2978">
          <cell r="F2978" t="str">
            <v>Washington County, VT</v>
          </cell>
          <cell r="N2978">
            <v>30.626537032386835</v>
          </cell>
        </row>
        <row r="2979">
          <cell r="F2979" t="str">
            <v>Washington County, WI</v>
          </cell>
          <cell r="N2979">
            <v>15.997428753695818</v>
          </cell>
        </row>
        <row r="2980">
          <cell r="F2980" t="str">
            <v>Washington Parish, LA</v>
          </cell>
          <cell r="N2980">
            <v>11.763374085939795</v>
          </cell>
        </row>
        <row r="2981">
          <cell r="F2981" t="str">
            <v>Washita County, OK</v>
          </cell>
          <cell r="N2981">
            <v>14.066113096641093</v>
          </cell>
        </row>
        <row r="2982">
          <cell r="F2982" t="str">
            <v>Washoe County, NV</v>
          </cell>
          <cell r="N2982">
            <v>14.719933236728876</v>
          </cell>
        </row>
        <row r="2983">
          <cell r="F2983" t="str">
            <v>Washtenaw County, MI</v>
          </cell>
          <cell r="N2983">
            <v>12.951212227183397</v>
          </cell>
        </row>
        <row r="2984">
          <cell r="F2984" t="str">
            <v>Watauga County, NC</v>
          </cell>
          <cell r="N2984">
            <v>25.565558540471084</v>
          </cell>
        </row>
        <row r="2985">
          <cell r="F2985" t="str">
            <v>Watonwan County, MN</v>
          </cell>
          <cell r="N2985">
            <v>21.658151702525863</v>
          </cell>
        </row>
        <row r="2986">
          <cell r="F2986" t="str">
            <v>Waukesha County, WI</v>
          </cell>
          <cell r="N2986">
            <v>15.734346417315198</v>
          </cell>
        </row>
        <row r="2987">
          <cell r="F2987" t="str">
            <v>Waupaca County, WI</v>
          </cell>
          <cell r="N2987">
            <v>19.735967218051968</v>
          </cell>
        </row>
        <row r="2988">
          <cell r="F2988" t="str">
            <v>Waushara County, WI</v>
          </cell>
          <cell r="N2988">
            <v>19.735967218051968</v>
          </cell>
        </row>
        <row r="2989">
          <cell r="F2989" t="str">
            <v>Wayne County, GA</v>
          </cell>
          <cell r="N2989">
            <v>17.395542238928865</v>
          </cell>
        </row>
        <row r="2990">
          <cell r="F2990" t="str">
            <v>Wayne County, IA</v>
          </cell>
          <cell r="N2990">
            <v>18.781523590767762</v>
          </cell>
        </row>
        <row r="2991">
          <cell r="F2991" t="str">
            <v>Wayne County, IL</v>
          </cell>
          <cell r="N2991">
            <v>18.781523590767762</v>
          </cell>
        </row>
        <row r="2992">
          <cell r="F2992" t="str">
            <v>Wayne County, IN</v>
          </cell>
          <cell r="N2992">
            <v>18.781523590767762</v>
          </cell>
        </row>
        <row r="2993">
          <cell r="F2993" t="str">
            <v>Wayne County, KY</v>
          </cell>
          <cell r="N2993">
            <v>17.820922111022249</v>
          </cell>
        </row>
        <row r="2994">
          <cell r="F2994" t="str">
            <v>Wayne County, MI</v>
          </cell>
          <cell r="N2994">
            <v>15.471264080934581</v>
          </cell>
        </row>
        <row r="2995">
          <cell r="F2995" t="str">
            <v>Wayne County, MO</v>
          </cell>
          <cell r="N2995">
            <v>15.471264080934581</v>
          </cell>
        </row>
        <row r="2996">
          <cell r="F2996" t="str">
            <v>Wayne County, MS</v>
          </cell>
          <cell r="N2996">
            <v>10.692048945486723</v>
          </cell>
        </row>
        <row r="2997">
          <cell r="F2997" t="str">
            <v>Wayne County, NC</v>
          </cell>
          <cell r="N2997">
            <v>15.471264080934581</v>
          </cell>
        </row>
        <row r="2998">
          <cell r="F2998" t="str">
            <v>Wayne County, NE</v>
          </cell>
          <cell r="N2998">
            <v>23.05554734766578</v>
          </cell>
        </row>
        <row r="2999">
          <cell r="F2999" t="str">
            <v>Wayne County, NY</v>
          </cell>
          <cell r="N2999">
            <v>25.608399055356227</v>
          </cell>
        </row>
        <row r="3000">
          <cell r="F3000" t="str">
            <v>Wayne County, OH</v>
          </cell>
          <cell r="N3000">
            <v>18.770144843443791</v>
          </cell>
        </row>
        <row r="3001">
          <cell r="F3001" t="str">
            <v>Wayne County, PA</v>
          </cell>
          <cell r="N3001">
            <v>20.316793068678162</v>
          </cell>
        </row>
        <row r="3002">
          <cell r="F3002" t="str">
            <v>Wayne County, TN</v>
          </cell>
          <cell r="N3002">
            <v>19.364065525975732</v>
          </cell>
        </row>
        <row r="3003">
          <cell r="F3003" t="str">
            <v>Wayne County, UT</v>
          </cell>
          <cell r="N3003">
            <v>12.552091117664766</v>
          </cell>
        </row>
        <row r="3004">
          <cell r="F3004" t="str">
            <v>Wayne County, WV</v>
          </cell>
          <cell r="N3004">
            <v>19.505257887039861</v>
          </cell>
        </row>
        <row r="3005">
          <cell r="F3005" t="str">
            <v>Waynesbo County, VA</v>
          </cell>
          <cell r="N3005">
            <v>18.048547163104008</v>
          </cell>
        </row>
        <row r="3006">
          <cell r="F3006" t="str">
            <v>Weakley County, TN</v>
          </cell>
          <cell r="N3006">
            <v>16.488907195684771</v>
          </cell>
        </row>
        <row r="3007">
          <cell r="F3007" t="str">
            <v>Webb County, TX</v>
          </cell>
          <cell r="N3007">
            <v>10.026657796631628</v>
          </cell>
        </row>
        <row r="3008">
          <cell r="F3008" t="str">
            <v>Weber County, UT</v>
          </cell>
          <cell r="N3008">
            <v>13.226871209990735</v>
          </cell>
        </row>
        <row r="3009">
          <cell r="F3009" t="str">
            <v>Webster County, GA</v>
          </cell>
          <cell r="N3009">
            <v>13.183944503833871</v>
          </cell>
        </row>
        <row r="3010">
          <cell r="F3010" t="str">
            <v>Webster County, IA</v>
          </cell>
          <cell r="N3010">
            <v>22.990840972857654</v>
          </cell>
        </row>
        <row r="3011">
          <cell r="F3011" t="str">
            <v>Webster County, KY</v>
          </cell>
          <cell r="N3011">
            <v>13.436305657328534</v>
          </cell>
        </row>
        <row r="3012">
          <cell r="F3012" t="str">
            <v>Webster County, MO</v>
          </cell>
          <cell r="N3012">
            <v>13.436305657328534</v>
          </cell>
        </row>
        <row r="3013">
          <cell r="F3013" t="str">
            <v>Webster County, MS</v>
          </cell>
          <cell r="N3013">
            <v>13.140458226905306</v>
          </cell>
        </row>
        <row r="3014">
          <cell r="F3014" t="str">
            <v>Webster County, NE</v>
          </cell>
          <cell r="N3014">
            <v>16.650953671127528</v>
          </cell>
        </row>
        <row r="3015">
          <cell r="F3015" t="str">
            <v>Webster County, WV</v>
          </cell>
          <cell r="N3015">
            <v>21.725153318362505</v>
          </cell>
        </row>
        <row r="3016">
          <cell r="F3016" t="str">
            <v>Webster Parish, LA</v>
          </cell>
          <cell r="N3016">
            <v>15.383122552350446</v>
          </cell>
        </row>
        <row r="3017">
          <cell r="F3017" t="str">
            <v>Weld County, CO</v>
          </cell>
          <cell r="N3017">
            <v>14.597887428729823</v>
          </cell>
        </row>
        <row r="3018">
          <cell r="F3018" t="str">
            <v>Wells County, IN</v>
          </cell>
          <cell r="N3018">
            <v>10.226892130452139</v>
          </cell>
        </row>
        <row r="3019">
          <cell r="F3019" t="str">
            <v>Wells County, ND</v>
          </cell>
          <cell r="N3019">
            <v>13.871930113484847</v>
          </cell>
        </row>
        <row r="3020">
          <cell r="F3020" t="str">
            <v>West Baton Rouge Parish, LA</v>
          </cell>
          <cell r="N3020">
            <v>15.176423514083776</v>
          </cell>
        </row>
        <row r="3021">
          <cell r="F3021" t="str">
            <v>West Carroll Parish, LA</v>
          </cell>
          <cell r="N3021">
            <v>13.163112769895832</v>
          </cell>
        </row>
        <row r="3022">
          <cell r="F3022" t="str">
            <v>West Feliciana Parish, LA</v>
          </cell>
          <cell r="N3022">
            <v>15.176423514083776</v>
          </cell>
        </row>
        <row r="3023">
          <cell r="F3023" t="str">
            <v>Westchester County, NY</v>
          </cell>
          <cell r="N3023">
            <v>20.084345260477836</v>
          </cell>
        </row>
        <row r="3024">
          <cell r="F3024" t="str">
            <v>Westmoreland County, PA</v>
          </cell>
          <cell r="N3024">
            <v>21.232910900997105</v>
          </cell>
        </row>
        <row r="3025">
          <cell r="F3025" t="str">
            <v>Westmoreland County, VA</v>
          </cell>
          <cell r="N3025">
            <v>12.12572100270463</v>
          </cell>
        </row>
        <row r="3026">
          <cell r="F3026" t="str">
            <v>Weston County, WY</v>
          </cell>
          <cell r="N3026">
            <v>16.086992761294198</v>
          </cell>
        </row>
        <row r="3027">
          <cell r="F3027" t="str">
            <v>Wetzel County, WV</v>
          </cell>
          <cell r="N3027">
            <v>20.735863930453363</v>
          </cell>
        </row>
        <row r="3028">
          <cell r="F3028" t="str">
            <v>Wexford County, MI</v>
          </cell>
          <cell r="N3028">
            <v>15.734346417315198</v>
          </cell>
        </row>
        <row r="3029">
          <cell r="F3029" t="str">
            <v>Wharton County, TX</v>
          </cell>
          <cell r="N3029">
            <v>9.2031559380464731</v>
          </cell>
        </row>
        <row r="3030">
          <cell r="F3030" t="str">
            <v>Whatcom County, WA</v>
          </cell>
          <cell r="N3030">
            <v>36.388199005165895</v>
          </cell>
        </row>
        <row r="3031">
          <cell r="F3031" t="str">
            <v>Wheatland County, MT</v>
          </cell>
          <cell r="N3031">
            <v>15.041909444482346</v>
          </cell>
        </row>
        <row r="3032">
          <cell r="F3032" t="str">
            <v>Wheeler County, GA</v>
          </cell>
          <cell r="N3032">
            <v>17.065408249726666</v>
          </cell>
        </row>
        <row r="3033">
          <cell r="F3033" t="str">
            <v>Wheeler County, NE</v>
          </cell>
          <cell r="N3033">
            <v>19.109312301956511</v>
          </cell>
        </row>
        <row r="3034">
          <cell r="F3034" t="str">
            <v>Wheeler County, OR</v>
          </cell>
          <cell r="N3034">
            <v>25.017025713496921</v>
          </cell>
        </row>
        <row r="3035">
          <cell r="F3035" t="str">
            <v>Wheeler County, TX</v>
          </cell>
          <cell r="N3035">
            <v>12.67382663496511</v>
          </cell>
        </row>
        <row r="3036">
          <cell r="F3036" t="str">
            <v>White County, AR</v>
          </cell>
          <cell r="N3036">
            <v>20.510815951046165</v>
          </cell>
        </row>
        <row r="3037">
          <cell r="F3037" t="str">
            <v>White County, GA</v>
          </cell>
          <cell r="N3037">
            <v>21.886524632068241</v>
          </cell>
        </row>
        <row r="3038">
          <cell r="F3038" t="str">
            <v>White County, IL</v>
          </cell>
          <cell r="N3038">
            <v>12.280276636058304</v>
          </cell>
        </row>
        <row r="3039">
          <cell r="F3039" t="str">
            <v>White County, IN</v>
          </cell>
          <cell r="N3039">
            <v>10.226892130452139</v>
          </cell>
        </row>
        <row r="3040">
          <cell r="F3040" t="str">
            <v>White County, TN</v>
          </cell>
          <cell r="N3040">
            <v>18.884730693229905</v>
          </cell>
        </row>
        <row r="3041">
          <cell r="F3041" t="str">
            <v>White Pine County, NV</v>
          </cell>
          <cell r="N3041">
            <v>21.178582328608197</v>
          </cell>
        </row>
        <row r="3042">
          <cell r="F3042" t="str">
            <v>Whiteside County, IL</v>
          </cell>
          <cell r="N3042">
            <v>14.253738117269759</v>
          </cell>
        </row>
        <row r="3043">
          <cell r="F3043" t="str">
            <v>Whitfield County, GA</v>
          </cell>
          <cell r="N3043">
            <v>20.851467633163494</v>
          </cell>
        </row>
        <row r="3044">
          <cell r="F3044" t="str">
            <v>Whitley County, IN</v>
          </cell>
          <cell r="N3044">
            <v>10.503820905589633</v>
          </cell>
        </row>
        <row r="3045">
          <cell r="F3045" t="str">
            <v>Whitley County, KY</v>
          </cell>
          <cell r="N3045">
            <v>18.884730693229905</v>
          </cell>
        </row>
        <row r="3046">
          <cell r="F3046" t="str">
            <v>Whitman County, WA</v>
          </cell>
          <cell r="N3046">
            <v>29.483523727926105</v>
          </cell>
        </row>
        <row r="3047">
          <cell r="F3047" t="str">
            <v>Wibaux County, MT</v>
          </cell>
          <cell r="N3047">
            <v>14.951214007264372</v>
          </cell>
        </row>
        <row r="3048">
          <cell r="F3048" t="str">
            <v>Wichita County, KS</v>
          </cell>
          <cell r="N3048">
            <v>14.528058618912922</v>
          </cell>
        </row>
        <row r="3049">
          <cell r="F3049" t="str">
            <v>Wichita County, TX</v>
          </cell>
          <cell r="N3049">
            <v>17.076674317186821</v>
          </cell>
        </row>
        <row r="3050">
          <cell r="F3050" t="str">
            <v>Wicomico County, MD</v>
          </cell>
          <cell r="N3050">
            <v>33.493146580506668</v>
          </cell>
        </row>
        <row r="3051">
          <cell r="F3051" t="str">
            <v>Wilbarger County, TX</v>
          </cell>
          <cell r="N3051">
            <v>15.84965119263323</v>
          </cell>
        </row>
        <row r="3052">
          <cell r="F3052" t="str">
            <v>Wilcox County, AL</v>
          </cell>
          <cell r="N3052">
            <v>9.5276098217188849</v>
          </cell>
        </row>
        <row r="3053">
          <cell r="F3053" t="str">
            <v>Wilcox County, GA</v>
          </cell>
          <cell r="N3053">
            <v>14.147122544481341</v>
          </cell>
        </row>
        <row r="3054">
          <cell r="F3054" t="str">
            <v>Wilkes County, GA</v>
          </cell>
          <cell r="N3054">
            <v>21.493152078374742</v>
          </cell>
        </row>
        <row r="3055">
          <cell r="F3055" t="str">
            <v>Wilkes County, NC</v>
          </cell>
          <cell r="N3055">
            <v>26.068711248272002</v>
          </cell>
        </row>
        <row r="3056">
          <cell r="F3056" t="str">
            <v>Wilkin County, MN</v>
          </cell>
          <cell r="N3056">
            <v>20.633515234517141</v>
          </cell>
        </row>
        <row r="3057">
          <cell r="F3057" t="str">
            <v>Wilkinson County, GA</v>
          </cell>
          <cell r="N3057">
            <v>17.611688332481947</v>
          </cell>
        </row>
        <row r="3058">
          <cell r="F3058" t="str">
            <v>Wilkinson County, MS</v>
          </cell>
          <cell r="N3058">
            <v>13.701114101312044</v>
          </cell>
        </row>
        <row r="3059">
          <cell r="F3059" t="str">
            <v>Will County, IL</v>
          </cell>
          <cell r="N3059">
            <v>12.522933272660428</v>
          </cell>
        </row>
        <row r="3060">
          <cell r="F3060" t="str">
            <v>Willacy County, TX</v>
          </cell>
          <cell r="N3060">
            <v>9.0594748631599753</v>
          </cell>
        </row>
        <row r="3061">
          <cell r="F3061" t="str">
            <v>Williams County, ND</v>
          </cell>
          <cell r="N3061">
            <v>14.93152476254339</v>
          </cell>
        </row>
        <row r="3062">
          <cell r="F3062" t="str">
            <v>Williams County, OH</v>
          </cell>
          <cell r="N3062">
            <v>11.995807952959046</v>
          </cell>
        </row>
        <row r="3063">
          <cell r="F3063" t="str">
            <v>Williamsbu County, VA</v>
          </cell>
          <cell r="N3063">
            <v>13.390790668032652</v>
          </cell>
        </row>
        <row r="3064">
          <cell r="F3064" t="str">
            <v>Williamsburg County, SC</v>
          </cell>
          <cell r="N3064">
            <v>27.070959239139206</v>
          </cell>
        </row>
        <row r="3065">
          <cell r="F3065" t="str">
            <v>Williamson County, IL</v>
          </cell>
          <cell r="N3065">
            <v>14.441828126623509</v>
          </cell>
        </row>
        <row r="3066">
          <cell r="F3066" t="str">
            <v>Williamson County, TN</v>
          </cell>
          <cell r="N3066">
            <v>16.488907195684771</v>
          </cell>
        </row>
        <row r="3067">
          <cell r="F3067" t="str">
            <v>Williamson County, TX</v>
          </cell>
          <cell r="N3067">
            <v>13.938021642206216</v>
          </cell>
        </row>
        <row r="3068">
          <cell r="F3068" t="str">
            <v>Wilson County, KS</v>
          </cell>
          <cell r="N3068">
            <v>17.149425466375014</v>
          </cell>
        </row>
        <row r="3069">
          <cell r="F3069" t="str">
            <v>Wilson County, NC</v>
          </cell>
          <cell r="N3069">
            <v>20.434928577245504</v>
          </cell>
        </row>
        <row r="3070">
          <cell r="F3070" t="str">
            <v>Wilson County, TN</v>
          </cell>
          <cell r="N3070">
            <v>16.201391362655677</v>
          </cell>
        </row>
        <row r="3071">
          <cell r="F3071" t="str">
            <v>Wilson County, TX</v>
          </cell>
          <cell r="N3071">
            <v>10.493186436914414</v>
          </cell>
        </row>
        <row r="3072">
          <cell r="F3072" t="str">
            <v>Windham County, CT</v>
          </cell>
          <cell r="N3072">
            <v>24.241059007118999</v>
          </cell>
        </row>
        <row r="3073">
          <cell r="F3073" t="str">
            <v>Windham County, VT</v>
          </cell>
          <cell r="N3073">
            <v>25.854520264038925</v>
          </cell>
        </row>
        <row r="3074">
          <cell r="F3074" t="str">
            <v>Windsor County, VT</v>
          </cell>
          <cell r="N3074">
            <v>29.423277789938084</v>
          </cell>
        </row>
        <row r="3075">
          <cell r="F3075" t="str">
            <v>Winkler County, TX</v>
          </cell>
          <cell r="N3075">
            <v>11.722091147903207</v>
          </cell>
        </row>
        <row r="3076">
          <cell r="F3076" t="str">
            <v>Winn Parish, LA</v>
          </cell>
          <cell r="N3076">
            <v>13.949400389530187</v>
          </cell>
        </row>
        <row r="3077">
          <cell r="F3077" t="str">
            <v>Winnebago County, IA</v>
          </cell>
          <cell r="N3077">
            <v>13.949400389530187</v>
          </cell>
        </row>
        <row r="3078">
          <cell r="F3078" t="str">
            <v>Winnebago County, IL</v>
          </cell>
          <cell r="N3078">
            <v>15.707614186741594</v>
          </cell>
        </row>
        <row r="3079">
          <cell r="F3079" t="str">
            <v>Winnebago County, WI</v>
          </cell>
          <cell r="N3079">
            <v>17.672847843277651</v>
          </cell>
        </row>
        <row r="3080">
          <cell r="F3080" t="str">
            <v>Winneshiek County, IA</v>
          </cell>
          <cell r="N3080">
            <v>20.44309624159272</v>
          </cell>
        </row>
        <row r="3081">
          <cell r="F3081" t="str">
            <v>Winona County, MN</v>
          </cell>
          <cell r="N3081">
            <v>22.990840972857654</v>
          </cell>
        </row>
        <row r="3082">
          <cell r="F3082" t="str">
            <v>Winston County, AL</v>
          </cell>
          <cell r="N3082">
            <v>16.586123522583193</v>
          </cell>
        </row>
        <row r="3083">
          <cell r="F3083" t="str">
            <v>Winston County, MS</v>
          </cell>
          <cell r="N3083">
            <v>11.875388561577285</v>
          </cell>
        </row>
        <row r="3084">
          <cell r="F3084" t="str">
            <v>Wirt County, WV</v>
          </cell>
          <cell r="N3084">
            <v>19.997500304405264</v>
          </cell>
        </row>
        <row r="3085">
          <cell r="F3085" t="str">
            <v>Wise County, TX</v>
          </cell>
          <cell r="N3085">
            <v>15.657398309603602</v>
          </cell>
        </row>
        <row r="3086">
          <cell r="F3086" t="str">
            <v>Wise County, VA</v>
          </cell>
          <cell r="N3086">
            <v>21.468457919806468</v>
          </cell>
        </row>
        <row r="3087">
          <cell r="F3087" t="str">
            <v>Wolfe County, KY</v>
          </cell>
          <cell r="N3087">
            <v>18.611590651852261</v>
          </cell>
        </row>
        <row r="3088">
          <cell r="F3088" t="str">
            <v>Wood County, OH</v>
          </cell>
          <cell r="N3088">
            <v>14.768524042707021</v>
          </cell>
        </row>
        <row r="3089">
          <cell r="F3089" t="str">
            <v>Wood County, TX</v>
          </cell>
          <cell r="N3089">
            <v>11.211243928868235</v>
          </cell>
        </row>
        <row r="3090">
          <cell r="F3090" t="str">
            <v>Wood County, WI</v>
          </cell>
          <cell r="N3090">
            <v>21.397539868876926</v>
          </cell>
        </row>
        <row r="3091">
          <cell r="F3091" t="str">
            <v>Wood County, WV</v>
          </cell>
          <cell r="N3091">
            <v>21.397539868876926</v>
          </cell>
        </row>
        <row r="3092">
          <cell r="F3092" t="str">
            <v>Woodbury County, IA</v>
          </cell>
          <cell r="N3092">
            <v>25.568060230554796</v>
          </cell>
        </row>
        <row r="3093">
          <cell r="F3093" t="str">
            <v>Woodford County, IL</v>
          </cell>
          <cell r="N3093">
            <v>10.23827087777611</v>
          </cell>
        </row>
        <row r="3094">
          <cell r="F3094" t="str">
            <v>Woodford County, KY</v>
          </cell>
          <cell r="N3094">
            <v>16.048784467208009</v>
          </cell>
        </row>
        <row r="3095">
          <cell r="F3095" t="str">
            <v>Woodruff County, AR</v>
          </cell>
          <cell r="N3095">
            <v>18.634192348787732</v>
          </cell>
        </row>
        <row r="3096">
          <cell r="F3096" t="str">
            <v>Woods County, OK</v>
          </cell>
          <cell r="N3096">
            <v>11.380739317249921</v>
          </cell>
        </row>
        <row r="3097">
          <cell r="F3097" t="str">
            <v>Woodson County, KS</v>
          </cell>
          <cell r="N3097">
            <v>17.149425466375014</v>
          </cell>
        </row>
        <row r="3098">
          <cell r="F3098" t="str">
            <v>Woodward County, OK</v>
          </cell>
          <cell r="N3098">
            <v>12.347922250721574</v>
          </cell>
        </row>
        <row r="3099">
          <cell r="F3099" t="str">
            <v>Worcester County, MA</v>
          </cell>
          <cell r="N3099">
            <v>12.347922250721574</v>
          </cell>
        </row>
        <row r="3100">
          <cell r="F3100" t="str">
            <v>Worcester County, MD</v>
          </cell>
          <cell r="N3100">
            <v>33.71192098822462</v>
          </cell>
        </row>
        <row r="3101">
          <cell r="F3101" t="str">
            <v>Worth County, GA</v>
          </cell>
          <cell r="N3101">
            <v>12.608912837775678</v>
          </cell>
        </row>
        <row r="3102">
          <cell r="F3102" t="str">
            <v>Worth County, IA</v>
          </cell>
          <cell r="N3102">
            <v>22.990840972857654</v>
          </cell>
        </row>
        <row r="3103">
          <cell r="F3103" t="str">
            <v>Worth County, MO</v>
          </cell>
          <cell r="N3103">
            <v>20.678485700459589</v>
          </cell>
        </row>
        <row r="3104">
          <cell r="F3104" t="str">
            <v>Wright County, IA</v>
          </cell>
          <cell r="N3104">
            <v>22.755451513990785</v>
          </cell>
        </row>
        <row r="3105">
          <cell r="F3105" t="str">
            <v>Wright County, MN</v>
          </cell>
          <cell r="N3105">
            <v>28.332135183339439</v>
          </cell>
        </row>
        <row r="3106">
          <cell r="F3106" t="str">
            <v>Wright County, MO</v>
          </cell>
          <cell r="N3106">
            <v>19.94462444634523</v>
          </cell>
        </row>
        <row r="3107">
          <cell r="F3107" t="str">
            <v>Wyandot County, OH</v>
          </cell>
          <cell r="N3107">
            <v>14.768524042707021</v>
          </cell>
        </row>
        <row r="3108">
          <cell r="F3108" t="str">
            <v>Wyandotte County, KS</v>
          </cell>
          <cell r="N3108">
            <v>20.874117491974292</v>
          </cell>
        </row>
        <row r="3109">
          <cell r="F3109" t="str">
            <v>Wyoming County, NY</v>
          </cell>
          <cell r="N3109">
            <v>25.375951247155896</v>
          </cell>
        </row>
        <row r="3110">
          <cell r="F3110" t="str">
            <v>Wyoming County, PA</v>
          </cell>
          <cell r="N3110">
            <v>20.084345260477836</v>
          </cell>
        </row>
        <row r="3111">
          <cell r="F3111" t="str">
            <v>Wyoming County, WV</v>
          </cell>
          <cell r="N3111">
            <v>22.540752794126501</v>
          </cell>
        </row>
        <row r="3112">
          <cell r="F3112" t="str">
            <v>Wythe County, VA</v>
          </cell>
          <cell r="N3112">
            <v>25.3067942907449</v>
          </cell>
        </row>
        <row r="3113">
          <cell r="F3113" t="str">
            <v>Yadkin County, NC</v>
          </cell>
          <cell r="N3113">
            <v>25.768347279935234</v>
          </cell>
        </row>
        <row r="3114">
          <cell r="F3114" t="str">
            <v>Yakima County, WA</v>
          </cell>
          <cell r="N3114">
            <v>31.018088807004094</v>
          </cell>
        </row>
        <row r="3115">
          <cell r="F3115" t="str">
            <v>Yalobusha County, MS</v>
          </cell>
          <cell r="N3115">
            <v>13.959878351038231</v>
          </cell>
        </row>
        <row r="3116">
          <cell r="F3116" t="str">
            <v>Yamhill County, OR</v>
          </cell>
          <cell r="N3116">
            <v>28.424171348361977</v>
          </cell>
        </row>
        <row r="3117">
          <cell r="F3117" t="str">
            <v>Yancey County, NC</v>
          </cell>
          <cell r="N3117">
            <v>25.565558540471084</v>
          </cell>
        </row>
        <row r="3118">
          <cell r="F3118" t="str">
            <v>Yankton County, SD</v>
          </cell>
          <cell r="N3118">
            <v>23.05554734766578</v>
          </cell>
        </row>
        <row r="3119">
          <cell r="F3119" t="str">
            <v>Yates County, NY</v>
          </cell>
          <cell r="N3119">
            <v>24.241059007118999</v>
          </cell>
        </row>
        <row r="3120">
          <cell r="F3120" t="str">
            <v>Yavapai County, AZ</v>
          </cell>
          <cell r="N3120">
            <v>23.79421500501034</v>
          </cell>
        </row>
        <row r="3121">
          <cell r="F3121" t="str">
            <v>Yazoo County, MS</v>
          </cell>
          <cell r="N3121">
            <v>10.984089479187087</v>
          </cell>
        </row>
        <row r="3122">
          <cell r="F3122" t="str">
            <v>Yell County, AR</v>
          </cell>
          <cell r="N3122">
            <v>21.012993359125751</v>
          </cell>
        </row>
        <row r="3123">
          <cell r="F3123" t="str">
            <v>Yellow Medicine County, MN</v>
          </cell>
          <cell r="N3123">
            <v>25.355150850611391</v>
          </cell>
        </row>
        <row r="3124">
          <cell r="F3124" t="str">
            <v>Yellowstone County, MT</v>
          </cell>
          <cell r="N3124">
            <v>11.491489409285926</v>
          </cell>
        </row>
        <row r="3125">
          <cell r="F3125" t="str">
            <v>Yoakum County, TX</v>
          </cell>
          <cell r="N3125">
            <v>10.177485567582805</v>
          </cell>
        </row>
        <row r="3126">
          <cell r="F3126" t="str">
            <v>Yolo County, CA</v>
          </cell>
          <cell r="N3126">
            <v>9.6638385934259858</v>
          </cell>
        </row>
        <row r="3127">
          <cell r="F3127" t="str">
            <v>York County, ME</v>
          </cell>
          <cell r="N3127">
            <v>30.626537032386835</v>
          </cell>
        </row>
        <row r="3128">
          <cell r="F3128" t="str">
            <v>York County, NE</v>
          </cell>
          <cell r="N3128">
            <v>19.71101663639682</v>
          </cell>
        </row>
        <row r="3129">
          <cell r="F3129" t="str">
            <v>York County, PA</v>
          </cell>
          <cell r="N3129">
            <v>15.613143302742113</v>
          </cell>
        </row>
        <row r="3130">
          <cell r="F3130" t="str">
            <v>York County, SC</v>
          </cell>
          <cell r="N3130">
            <v>27.070959239139206</v>
          </cell>
        </row>
        <row r="3131">
          <cell r="F3131" t="str">
            <v>York County, VA</v>
          </cell>
          <cell r="N3131">
            <v>13.088899043352102</v>
          </cell>
        </row>
        <row r="3132">
          <cell r="F3132" t="str">
            <v>Young County, TX</v>
          </cell>
          <cell r="N3132">
            <v>17.678377573574224</v>
          </cell>
        </row>
        <row r="3133">
          <cell r="F3133" t="str">
            <v>Yuba County, CA</v>
          </cell>
          <cell r="N3133">
            <v>11.243755598070573</v>
          </cell>
        </row>
        <row r="3134">
          <cell r="F3134" t="str">
            <v>Yuma County, AZ</v>
          </cell>
          <cell r="N3134">
            <v>20.200846340355902</v>
          </cell>
        </row>
        <row r="3135">
          <cell r="F3135" t="str">
            <v>Yuma County, CO</v>
          </cell>
          <cell r="N3135">
            <v>14.039555245775546</v>
          </cell>
        </row>
        <row r="3136">
          <cell r="F3136" t="str">
            <v>Zapata County, TX</v>
          </cell>
          <cell r="N3136">
            <v>9.879930491963707</v>
          </cell>
        </row>
        <row r="3137">
          <cell r="F3137" t="str">
            <v>Zavala County, TX</v>
          </cell>
          <cell r="N3137">
            <v>13.505629243895342</v>
          </cell>
        </row>
        <row r="3138">
          <cell r="F3138" t="str">
            <v>Ziebach County, SD</v>
          </cell>
          <cell r="N3138">
            <v>13.727707466872793</v>
          </cell>
        </row>
      </sheetData>
      <sheetData sheetId="4"/>
      <sheetData sheetId="5"/>
      <sheetData sheetId="6"/>
      <sheetData sheetId="7">
        <row r="12">
          <cell r="J12">
            <v>-273.09636949539259</v>
          </cell>
        </row>
      </sheetData>
      <sheetData sheetId="8"/>
      <sheetData sheetId="9">
        <row r="8">
          <cell r="B8">
            <v>318082.78867102397</v>
          </cell>
        </row>
      </sheetData>
      <sheetData sheetId="10"/>
      <sheetData sheetId="11"/>
      <sheetData sheetId="12"/>
      <sheetData sheetId="13"/>
      <sheetData sheetId="14">
        <row r="7">
          <cell r="AZ7" t="str">
            <v>Steele County</v>
          </cell>
          <cell r="BB7" t="str">
            <v>MN</v>
          </cell>
          <cell r="BD7">
            <v>70</v>
          </cell>
          <cell r="BE7">
            <v>0.20000000000000004</v>
          </cell>
        </row>
        <row r="8">
          <cell r="AZ8" t="str">
            <v>Carroll County</v>
          </cell>
          <cell r="BB8" t="str">
            <v>IN</v>
          </cell>
          <cell r="BD8">
            <v>70</v>
          </cell>
          <cell r="BE8">
            <v>0.2</v>
          </cell>
        </row>
        <row r="9">
          <cell r="AZ9" t="str">
            <v>McLean County</v>
          </cell>
          <cell r="BB9" t="str">
            <v>IL</v>
          </cell>
          <cell r="BD9">
            <v>70</v>
          </cell>
          <cell r="BE9">
            <v>0.19999999999999998</v>
          </cell>
        </row>
        <row r="10">
          <cell r="AZ10" t="str">
            <v>Putnam County</v>
          </cell>
          <cell r="BB10" t="str">
            <v>IL</v>
          </cell>
          <cell r="BD10">
            <v>70</v>
          </cell>
          <cell r="BE10">
            <v>0.2</v>
          </cell>
        </row>
        <row r="11">
          <cell r="AZ11" t="str">
            <v>Sibley County</v>
          </cell>
          <cell r="BB11" t="str">
            <v>MN</v>
          </cell>
          <cell r="BD11">
            <v>70</v>
          </cell>
          <cell r="BE11">
            <v>0.19985396087825502</v>
          </cell>
        </row>
        <row r="12">
          <cell r="AZ12" t="str">
            <v>Livingston County</v>
          </cell>
          <cell r="BB12" t="str">
            <v>IL</v>
          </cell>
          <cell r="BD12">
            <v>70</v>
          </cell>
          <cell r="BE12">
            <v>0.2</v>
          </cell>
        </row>
        <row r="13">
          <cell r="AZ13" t="str">
            <v>Kane County</v>
          </cell>
          <cell r="BB13" t="str">
            <v>IL</v>
          </cell>
          <cell r="BD13">
            <v>70</v>
          </cell>
          <cell r="BE13">
            <v>0.2</v>
          </cell>
        </row>
        <row r="14">
          <cell r="AZ14" t="str">
            <v>De Kalb County</v>
          </cell>
          <cell r="BB14" t="str">
            <v>IL</v>
          </cell>
          <cell r="BD14">
            <v>70</v>
          </cell>
          <cell r="BE14">
            <v>0.2</v>
          </cell>
        </row>
        <row r="15">
          <cell r="AZ15" t="str">
            <v>Waseca County</v>
          </cell>
          <cell r="BB15" t="str">
            <v>MN</v>
          </cell>
          <cell r="BD15">
            <v>70</v>
          </cell>
          <cell r="BE15">
            <v>0.2</v>
          </cell>
        </row>
        <row r="16">
          <cell r="AZ16" t="str">
            <v>Chippewa County</v>
          </cell>
          <cell r="BB16" t="str">
            <v>MN</v>
          </cell>
          <cell r="BD16">
            <v>70</v>
          </cell>
          <cell r="BE16">
            <v>0.2</v>
          </cell>
        </row>
        <row r="17">
          <cell r="AZ17" t="str">
            <v>Swift County</v>
          </cell>
          <cell r="BB17" t="str">
            <v>MN</v>
          </cell>
          <cell r="BD17">
            <v>70</v>
          </cell>
          <cell r="BE17">
            <v>0.2</v>
          </cell>
        </row>
        <row r="18">
          <cell r="AZ18" t="str">
            <v>Blue Earth County</v>
          </cell>
          <cell r="BB18" t="str">
            <v>MN</v>
          </cell>
          <cell r="BD18">
            <v>70</v>
          </cell>
          <cell r="BE18">
            <v>0.2</v>
          </cell>
        </row>
        <row r="19">
          <cell r="AZ19" t="str">
            <v>Kossuth County</v>
          </cell>
          <cell r="BB19" t="str">
            <v>IA</v>
          </cell>
          <cell r="BD19">
            <v>70</v>
          </cell>
          <cell r="BE19">
            <v>0.2</v>
          </cell>
        </row>
        <row r="20">
          <cell r="AZ20" t="str">
            <v>Scott County</v>
          </cell>
          <cell r="BB20" t="str">
            <v>IA</v>
          </cell>
          <cell r="BD20">
            <v>70</v>
          </cell>
          <cell r="BE20">
            <v>0.2</v>
          </cell>
        </row>
        <row r="21">
          <cell r="AZ21" t="str">
            <v>Warren County</v>
          </cell>
          <cell r="BB21" t="str">
            <v>IN</v>
          </cell>
          <cell r="BD21">
            <v>70</v>
          </cell>
          <cell r="BE21">
            <v>0.2</v>
          </cell>
        </row>
        <row r="22">
          <cell r="AZ22" t="str">
            <v>Brown County</v>
          </cell>
          <cell r="BB22" t="str">
            <v>MN</v>
          </cell>
          <cell r="BD22">
            <v>70</v>
          </cell>
          <cell r="BE22">
            <v>0.19993285217359572</v>
          </cell>
        </row>
        <row r="23">
          <cell r="AZ23" t="str">
            <v>Watonwan County</v>
          </cell>
          <cell r="BB23" t="str">
            <v>MN</v>
          </cell>
          <cell r="BD23">
            <v>70</v>
          </cell>
          <cell r="BE23">
            <v>0.19993285217359572</v>
          </cell>
        </row>
        <row r="24">
          <cell r="AZ24" t="str">
            <v>Clinton County</v>
          </cell>
          <cell r="BB24" t="str">
            <v>IA</v>
          </cell>
          <cell r="BD24">
            <v>70</v>
          </cell>
          <cell r="BE24">
            <v>0.2</v>
          </cell>
        </row>
        <row r="25">
          <cell r="AZ25" t="str">
            <v>Dodge County</v>
          </cell>
          <cell r="BB25" t="str">
            <v>MN</v>
          </cell>
          <cell r="BD25">
            <v>70</v>
          </cell>
          <cell r="BE25">
            <v>0.2</v>
          </cell>
        </row>
        <row r="26">
          <cell r="AZ26" t="str">
            <v>Fountain County</v>
          </cell>
          <cell r="BB26" t="str">
            <v>IN</v>
          </cell>
          <cell r="BD26">
            <v>70</v>
          </cell>
          <cell r="BE26">
            <v>0.2</v>
          </cell>
        </row>
        <row r="27">
          <cell r="AZ27" t="str">
            <v>Blackford County</v>
          </cell>
          <cell r="BB27" t="str">
            <v>IN</v>
          </cell>
          <cell r="BD27">
            <v>70</v>
          </cell>
          <cell r="BE27">
            <v>0.2</v>
          </cell>
        </row>
        <row r="28">
          <cell r="AZ28" t="str">
            <v>Richland County</v>
          </cell>
          <cell r="BB28" t="str">
            <v>ND</v>
          </cell>
          <cell r="BD28">
            <v>70</v>
          </cell>
          <cell r="BE28">
            <v>0.18867628267380882</v>
          </cell>
        </row>
        <row r="29">
          <cell r="AZ29" t="str">
            <v>Clinton County</v>
          </cell>
          <cell r="BB29" t="str">
            <v>IN</v>
          </cell>
          <cell r="BD29">
            <v>70</v>
          </cell>
          <cell r="BE29">
            <v>0.2</v>
          </cell>
        </row>
        <row r="30">
          <cell r="AZ30" t="str">
            <v>Boone County</v>
          </cell>
          <cell r="BB30" t="str">
            <v>IL</v>
          </cell>
          <cell r="BD30">
            <v>70</v>
          </cell>
          <cell r="BE30">
            <v>0.2</v>
          </cell>
        </row>
        <row r="31">
          <cell r="AZ31" t="str">
            <v>Clay County</v>
          </cell>
          <cell r="BB31" t="str">
            <v>SD</v>
          </cell>
          <cell r="BD31">
            <v>70</v>
          </cell>
          <cell r="BE31">
            <v>0.2</v>
          </cell>
        </row>
        <row r="32">
          <cell r="AZ32" t="str">
            <v>Union County</v>
          </cell>
          <cell r="BB32" t="str">
            <v>SD</v>
          </cell>
          <cell r="BD32">
            <v>70</v>
          </cell>
          <cell r="BE32">
            <v>0.2</v>
          </cell>
        </row>
        <row r="33">
          <cell r="AZ33" t="str">
            <v>Bureau County</v>
          </cell>
          <cell r="BB33" t="str">
            <v>IL</v>
          </cell>
          <cell r="BD33">
            <v>70</v>
          </cell>
          <cell r="BE33">
            <v>0.2</v>
          </cell>
        </row>
        <row r="34">
          <cell r="AZ34" t="str">
            <v>Iroquois County</v>
          </cell>
          <cell r="BB34" t="str">
            <v>IL</v>
          </cell>
          <cell r="BD34">
            <v>70</v>
          </cell>
          <cell r="BE34">
            <v>0.2</v>
          </cell>
        </row>
        <row r="35">
          <cell r="AZ35" t="str">
            <v>Hill County</v>
          </cell>
          <cell r="BB35" t="str">
            <v>MT</v>
          </cell>
          <cell r="BD35">
            <v>70</v>
          </cell>
          <cell r="BE35">
            <v>0.16</v>
          </cell>
        </row>
        <row r="36">
          <cell r="AZ36" t="str">
            <v>Redwood County</v>
          </cell>
          <cell r="BB36" t="str">
            <v>MN</v>
          </cell>
          <cell r="BD36">
            <v>70</v>
          </cell>
          <cell r="BE36">
            <v>0.19994056707669908</v>
          </cell>
        </row>
        <row r="37">
          <cell r="AZ37" t="str">
            <v>Cass County</v>
          </cell>
          <cell r="BB37" t="str">
            <v>NE</v>
          </cell>
          <cell r="BD37">
            <v>70</v>
          </cell>
          <cell r="BE37">
            <v>0.2</v>
          </cell>
        </row>
        <row r="38">
          <cell r="AZ38" t="str">
            <v>Henderson County</v>
          </cell>
          <cell r="BB38" t="str">
            <v>IL</v>
          </cell>
          <cell r="BD38">
            <v>70</v>
          </cell>
          <cell r="BE38">
            <v>0.2</v>
          </cell>
        </row>
        <row r="39">
          <cell r="AZ39" t="str">
            <v>Otoe County</v>
          </cell>
          <cell r="BB39" t="str">
            <v>NE</v>
          </cell>
          <cell r="BD39">
            <v>70</v>
          </cell>
          <cell r="BE39">
            <v>0.2</v>
          </cell>
        </row>
        <row r="40">
          <cell r="AZ40" t="str">
            <v>Marshall County</v>
          </cell>
          <cell r="BB40" t="str">
            <v>IL</v>
          </cell>
          <cell r="BD40">
            <v>70</v>
          </cell>
          <cell r="BE40">
            <v>0.2</v>
          </cell>
        </row>
        <row r="41">
          <cell r="AZ41" t="str">
            <v>Platte County</v>
          </cell>
          <cell r="BB41" t="str">
            <v>NE</v>
          </cell>
          <cell r="BD41">
            <v>70</v>
          </cell>
          <cell r="BE41">
            <v>0.2</v>
          </cell>
        </row>
        <row r="42">
          <cell r="AZ42" t="str">
            <v>La Salle County</v>
          </cell>
          <cell r="BB42" t="str">
            <v>IL</v>
          </cell>
          <cell r="BD42">
            <v>70</v>
          </cell>
          <cell r="BE42">
            <v>0.2</v>
          </cell>
        </row>
        <row r="43">
          <cell r="AZ43" t="str">
            <v>Custer County</v>
          </cell>
          <cell r="BB43" t="str">
            <v>NE</v>
          </cell>
          <cell r="BD43">
            <v>70</v>
          </cell>
          <cell r="BE43">
            <v>0.2</v>
          </cell>
        </row>
        <row r="44">
          <cell r="AZ44" t="str">
            <v>Boone County</v>
          </cell>
          <cell r="BB44" t="str">
            <v>IN</v>
          </cell>
          <cell r="BD44">
            <v>70</v>
          </cell>
          <cell r="BE44">
            <v>0.2</v>
          </cell>
        </row>
        <row r="45">
          <cell r="AZ45" t="str">
            <v>Nicollet County</v>
          </cell>
          <cell r="BB45" t="str">
            <v>MN</v>
          </cell>
          <cell r="BD45">
            <v>70</v>
          </cell>
          <cell r="BE45">
            <v>0.19987599586913193</v>
          </cell>
        </row>
        <row r="46">
          <cell r="AZ46" t="str">
            <v>Lee County</v>
          </cell>
          <cell r="BB46" t="str">
            <v>IL</v>
          </cell>
          <cell r="BD46">
            <v>70</v>
          </cell>
          <cell r="BE46">
            <v>0.2</v>
          </cell>
        </row>
        <row r="47">
          <cell r="AZ47" t="str">
            <v>Antelope County</v>
          </cell>
          <cell r="BB47" t="str">
            <v>NE</v>
          </cell>
          <cell r="BD47">
            <v>70</v>
          </cell>
          <cell r="BE47">
            <v>0.2</v>
          </cell>
        </row>
        <row r="48">
          <cell r="AZ48" t="str">
            <v>Adams County</v>
          </cell>
          <cell r="BB48" t="str">
            <v>IN</v>
          </cell>
          <cell r="BD48">
            <v>70</v>
          </cell>
          <cell r="BE48">
            <v>0.2</v>
          </cell>
        </row>
        <row r="49">
          <cell r="AZ49" t="str">
            <v>Henry County</v>
          </cell>
          <cell r="BB49" t="str">
            <v>IL</v>
          </cell>
          <cell r="BD49">
            <v>70</v>
          </cell>
          <cell r="BE49">
            <v>0.2</v>
          </cell>
        </row>
        <row r="50">
          <cell r="AZ50" t="str">
            <v>Champaign County</v>
          </cell>
          <cell r="BB50" t="str">
            <v>IL</v>
          </cell>
          <cell r="BD50">
            <v>70</v>
          </cell>
          <cell r="BE50">
            <v>0.2</v>
          </cell>
        </row>
        <row r="51">
          <cell r="AZ51" t="str">
            <v>Whitman County</v>
          </cell>
          <cell r="BB51" t="str">
            <v>WA</v>
          </cell>
          <cell r="BD51">
            <v>70</v>
          </cell>
          <cell r="BE51">
            <v>0.16000000000000003</v>
          </cell>
        </row>
        <row r="52">
          <cell r="AZ52" t="str">
            <v>Hamilton County</v>
          </cell>
          <cell r="BB52" t="str">
            <v>NE</v>
          </cell>
          <cell r="BD52">
            <v>70</v>
          </cell>
          <cell r="BE52">
            <v>0.20017357172737171</v>
          </cell>
        </row>
        <row r="53">
          <cell r="AZ53" t="str">
            <v>Wells County</v>
          </cell>
          <cell r="BB53" t="str">
            <v>IN</v>
          </cell>
          <cell r="BD53">
            <v>70</v>
          </cell>
          <cell r="BE53">
            <v>0.2</v>
          </cell>
        </row>
        <row r="54">
          <cell r="AZ54" t="str">
            <v>Dakota County</v>
          </cell>
          <cell r="BB54" t="str">
            <v>NE</v>
          </cell>
          <cell r="BD54">
            <v>70</v>
          </cell>
          <cell r="BE54">
            <v>0.2</v>
          </cell>
        </row>
        <row r="55">
          <cell r="AZ55" t="str">
            <v>Lyon County</v>
          </cell>
          <cell r="BB55" t="str">
            <v>IA</v>
          </cell>
          <cell r="BD55">
            <v>70</v>
          </cell>
          <cell r="BE55">
            <v>0.2</v>
          </cell>
        </row>
        <row r="56">
          <cell r="AZ56" t="str">
            <v>Coles County</v>
          </cell>
          <cell r="BB56" t="str">
            <v>IL</v>
          </cell>
          <cell r="BD56">
            <v>70</v>
          </cell>
          <cell r="BE56">
            <v>0.2</v>
          </cell>
        </row>
        <row r="57">
          <cell r="AZ57" t="str">
            <v>Morgan County</v>
          </cell>
          <cell r="BB57" t="str">
            <v>IL</v>
          </cell>
          <cell r="BD57">
            <v>70</v>
          </cell>
          <cell r="BE57">
            <v>0.2</v>
          </cell>
        </row>
        <row r="58">
          <cell r="AZ58" t="str">
            <v>Ogle County</v>
          </cell>
          <cell r="BB58" t="str">
            <v>IL</v>
          </cell>
          <cell r="BD58">
            <v>70</v>
          </cell>
          <cell r="BE58">
            <v>0.2</v>
          </cell>
        </row>
        <row r="59">
          <cell r="AZ59" t="str">
            <v>Jackson County</v>
          </cell>
          <cell r="BB59" t="str">
            <v>IA</v>
          </cell>
          <cell r="BD59">
            <v>70</v>
          </cell>
          <cell r="BE59">
            <v>0.2</v>
          </cell>
        </row>
        <row r="60">
          <cell r="AZ60" t="str">
            <v>Sioux County</v>
          </cell>
          <cell r="BB60" t="str">
            <v>IA</v>
          </cell>
          <cell r="BD60">
            <v>70</v>
          </cell>
          <cell r="BE60">
            <v>0.20000000000000004</v>
          </cell>
        </row>
        <row r="61">
          <cell r="AZ61" t="str">
            <v>Cass County</v>
          </cell>
          <cell r="BB61" t="str">
            <v>IN</v>
          </cell>
          <cell r="BD61">
            <v>70</v>
          </cell>
          <cell r="BE61">
            <v>0.2</v>
          </cell>
        </row>
        <row r="62">
          <cell r="AZ62" t="str">
            <v>Stearns County</v>
          </cell>
          <cell r="BB62" t="str">
            <v>MN</v>
          </cell>
          <cell r="BD62">
            <v>70</v>
          </cell>
          <cell r="BE62">
            <v>0.2</v>
          </cell>
        </row>
        <row r="63">
          <cell r="AZ63" t="str">
            <v>Wright County</v>
          </cell>
          <cell r="BB63" t="str">
            <v>IA</v>
          </cell>
          <cell r="BD63">
            <v>70</v>
          </cell>
          <cell r="BE63">
            <v>0.2</v>
          </cell>
        </row>
        <row r="64">
          <cell r="AZ64" t="str">
            <v>Red Lake County</v>
          </cell>
          <cell r="BB64" t="str">
            <v>MN</v>
          </cell>
          <cell r="BD64">
            <v>70</v>
          </cell>
          <cell r="BE64">
            <v>0.16471382409392266</v>
          </cell>
        </row>
        <row r="65">
          <cell r="AZ65" t="str">
            <v>Spink County</v>
          </cell>
          <cell r="BB65" t="str">
            <v>SD</v>
          </cell>
          <cell r="BD65">
            <v>70</v>
          </cell>
          <cell r="BE65">
            <v>0.2</v>
          </cell>
        </row>
        <row r="66">
          <cell r="AZ66" t="str">
            <v>O'Brien County</v>
          </cell>
          <cell r="BB66" t="str">
            <v>IA</v>
          </cell>
          <cell r="BD66">
            <v>70</v>
          </cell>
          <cell r="BE66">
            <v>0.20000000000000004</v>
          </cell>
        </row>
        <row r="67">
          <cell r="AZ67" t="str">
            <v>Buffalo County</v>
          </cell>
          <cell r="BB67" t="str">
            <v>NE</v>
          </cell>
          <cell r="BD67">
            <v>70</v>
          </cell>
          <cell r="BE67">
            <v>0.20000000000000004</v>
          </cell>
        </row>
        <row r="68">
          <cell r="AZ68" t="str">
            <v>Woodford County</v>
          </cell>
          <cell r="BB68" t="str">
            <v>IL</v>
          </cell>
          <cell r="BD68">
            <v>70</v>
          </cell>
          <cell r="BE68">
            <v>0.2</v>
          </cell>
        </row>
        <row r="69">
          <cell r="AZ69" t="str">
            <v>Benton County</v>
          </cell>
          <cell r="BB69" t="str">
            <v>IN</v>
          </cell>
          <cell r="BD69">
            <v>70</v>
          </cell>
          <cell r="BE69">
            <v>0.2</v>
          </cell>
        </row>
        <row r="70">
          <cell r="AZ70" t="str">
            <v>Muscatine County</v>
          </cell>
          <cell r="BB70" t="str">
            <v>IA</v>
          </cell>
          <cell r="BD70">
            <v>70</v>
          </cell>
          <cell r="BE70">
            <v>0.2</v>
          </cell>
        </row>
        <row r="71">
          <cell r="AZ71" t="str">
            <v>Shelby County</v>
          </cell>
          <cell r="BB71" t="str">
            <v>IN</v>
          </cell>
          <cell r="BD71">
            <v>70</v>
          </cell>
          <cell r="BE71">
            <v>0.2</v>
          </cell>
        </row>
        <row r="72">
          <cell r="AZ72" t="str">
            <v>Mower County</v>
          </cell>
          <cell r="BB72" t="str">
            <v>MN</v>
          </cell>
          <cell r="BD72">
            <v>70</v>
          </cell>
          <cell r="BE72">
            <v>0.20000000000000004</v>
          </cell>
        </row>
        <row r="73">
          <cell r="AZ73" t="str">
            <v>Fillmore County</v>
          </cell>
          <cell r="BB73" t="str">
            <v>NE</v>
          </cell>
          <cell r="BD73">
            <v>70</v>
          </cell>
          <cell r="BE73">
            <v>0.2003259363261734</v>
          </cell>
        </row>
        <row r="74">
          <cell r="AZ74" t="str">
            <v>Van Wert County</v>
          </cell>
          <cell r="BB74" t="str">
            <v>OH</v>
          </cell>
          <cell r="BD74">
            <v>70</v>
          </cell>
          <cell r="BE74">
            <v>0.19918942065032208</v>
          </cell>
        </row>
        <row r="75">
          <cell r="AZ75" t="str">
            <v>Hamilton County</v>
          </cell>
          <cell r="BB75" t="str">
            <v>IA</v>
          </cell>
          <cell r="BD75">
            <v>70</v>
          </cell>
          <cell r="BE75">
            <v>0.2</v>
          </cell>
        </row>
        <row r="76">
          <cell r="AZ76" t="str">
            <v>Warren County</v>
          </cell>
          <cell r="BB76" t="str">
            <v>IL</v>
          </cell>
          <cell r="BD76">
            <v>70</v>
          </cell>
          <cell r="BE76">
            <v>0.2</v>
          </cell>
        </row>
        <row r="77">
          <cell r="AZ77" t="str">
            <v>Todd County</v>
          </cell>
          <cell r="BB77" t="str">
            <v>KY</v>
          </cell>
          <cell r="BD77">
            <v>70</v>
          </cell>
          <cell r="BE77">
            <v>0.1796216381858822</v>
          </cell>
        </row>
        <row r="78">
          <cell r="AZ78" t="str">
            <v>Logan County</v>
          </cell>
          <cell r="BB78" t="str">
            <v>IL</v>
          </cell>
          <cell r="BD78">
            <v>70</v>
          </cell>
          <cell r="BE78">
            <v>0.2</v>
          </cell>
        </row>
        <row r="79">
          <cell r="AZ79" t="str">
            <v>Beadle County</v>
          </cell>
          <cell r="BB79" t="str">
            <v>SD</v>
          </cell>
          <cell r="BD79">
            <v>70</v>
          </cell>
          <cell r="BE79">
            <v>0.19927386880076933</v>
          </cell>
        </row>
        <row r="80">
          <cell r="AZ80" t="str">
            <v>McLeod County</v>
          </cell>
          <cell r="BB80" t="str">
            <v>MN</v>
          </cell>
          <cell r="BD80">
            <v>70</v>
          </cell>
          <cell r="BE80">
            <v>0.19982476779180039</v>
          </cell>
        </row>
        <row r="81">
          <cell r="AZ81" t="str">
            <v>Clinton County</v>
          </cell>
          <cell r="BB81" t="str">
            <v>IL</v>
          </cell>
          <cell r="BD81">
            <v>70</v>
          </cell>
          <cell r="BE81">
            <v>0.18837444908574125</v>
          </cell>
        </row>
        <row r="82">
          <cell r="AZ82" t="str">
            <v>Cedar County</v>
          </cell>
          <cell r="BB82" t="str">
            <v>NE</v>
          </cell>
          <cell r="BD82">
            <v>70</v>
          </cell>
          <cell r="BE82">
            <v>0.2</v>
          </cell>
        </row>
        <row r="83">
          <cell r="AZ83" t="str">
            <v>York County</v>
          </cell>
          <cell r="BB83" t="str">
            <v>NE</v>
          </cell>
          <cell r="BD83">
            <v>70</v>
          </cell>
          <cell r="BE83">
            <v>0.20012512619260903</v>
          </cell>
        </row>
        <row r="84">
          <cell r="AZ84" t="str">
            <v>Dawson County</v>
          </cell>
          <cell r="BB84" t="str">
            <v>NE</v>
          </cell>
          <cell r="BD84">
            <v>70</v>
          </cell>
          <cell r="BE84">
            <v>0.2</v>
          </cell>
        </row>
        <row r="85">
          <cell r="AZ85" t="str">
            <v>Ford County</v>
          </cell>
          <cell r="BB85" t="str">
            <v>IL</v>
          </cell>
          <cell r="BD85">
            <v>70</v>
          </cell>
          <cell r="BE85">
            <v>0.2</v>
          </cell>
        </row>
        <row r="86">
          <cell r="AZ86" t="str">
            <v>Montgomery County</v>
          </cell>
          <cell r="BB86" t="str">
            <v>IN</v>
          </cell>
          <cell r="BD86">
            <v>70</v>
          </cell>
          <cell r="BE86">
            <v>0.2</v>
          </cell>
        </row>
        <row r="87">
          <cell r="AZ87" t="str">
            <v>Lawrence County</v>
          </cell>
          <cell r="BB87" t="str">
            <v>IL</v>
          </cell>
          <cell r="BD87">
            <v>70</v>
          </cell>
          <cell r="BE87">
            <v>0.19980705809093852</v>
          </cell>
        </row>
        <row r="88">
          <cell r="AZ88" t="str">
            <v>White County</v>
          </cell>
          <cell r="BB88" t="str">
            <v>IN</v>
          </cell>
          <cell r="BD88">
            <v>70</v>
          </cell>
          <cell r="BE88">
            <v>0.2</v>
          </cell>
        </row>
        <row r="89">
          <cell r="AZ89" t="str">
            <v>Whiteside County</v>
          </cell>
          <cell r="BB89" t="str">
            <v>IL</v>
          </cell>
          <cell r="BD89">
            <v>70</v>
          </cell>
          <cell r="BE89">
            <v>0.20000000000000004</v>
          </cell>
        </row>
        <row r="90">
          <cell r="AZ90" t="str">
            <v>Carlisle County</v>
          </cell>
          <cell r="BB90" t="str">
            <v>KY</v>
          </cell>
          <cell r="BD90">
            <v>69.967513351177146</v>
          </cell>
          <cell r="BE90">
            <v>0.19061543707663681</v>
          </cell>
        </row>
        <row r="91">
          <cell r="AZ91" t="str">
            <v>Phelps County</v>
          </cell>
          <cell r="BB91" t="str">
            <v>NE</v>
          </cell>
          <cell r="BD91">
            <v>70</v>
          </cell>
          <cell r="BE91">
            <v>0.20000969617049746</v>
          </cell>
        </row>
        <row r="92">
          <cell r="AZ92" t="str">
            <v>Adams County</v>
          </cell>
          <cell r="BB92" t="str">
            <v>NE</v>
          </cell>
          <cell r="BD92">
            <v>70</v>
          </cell>
          <cell r="BE92">
            <v>0.20032035223938063</v>
          </cell>
        </row>
        <row r="93">
          <cell r="AZ93" t="str">
            <v>Cass County</v>
          </cell>
          <cell r="BB93" t="str">
            <v>IL</v>
          </cell>
          <cell r="BD93">
            <v>70</v>
          </cell>
          <cell r="BE93">
            <v>0.2</v>
          </cell>
        </row>
        <row r="94">
          <cell r="AZ94" t="str">
            <v>Kearney County</v>
          </cell>
          <cell r="BB94" t="str">
            <v>NE</v>
          </cell>
          <cell r="BD94">
            <v>70</v>
          </cell>
          <cell r="BE94">
            <v>0.2003023349177005</v>
          </cell>
        </row>
        <row r="95">
          <cell r="AZ95" t="str">
            <v>Douglas County</v>
          </cell>
          <cell r="BB95" t="str">
            <v>IL</v>
          </cell>
          <cell r="BD95">
            <v>70</v>
          </cell>
          <cell r="BE95">
            <v>0.20000000000000004</v>
          </cell>
        </row>
        <row r="96">
          <cell r="AZ96" t="str">
            <v>Pottawattamie County</v>
          </cell>
          <cell r="BB96" t="str">
            <v>IA</v>
          </cell>
          <cell r="BD96">
            <v>70</v>
          </cell>
          <cell r="BE96">
            <v>0.20000000000000004</v>
          </cell>
        </row>
        <row r="97">
          <cell r="AZ97" t="str">
            <v>Queen Anne's County</v>
          </cell>
          <cell r="BB97" t="str">
            <v>MD</v>
          </cell>
          <cell r="BD97">
            <v>70</v>
          </cell>
          <cell r="BE97">
            <v>0.19009108627538054</v>
          </cell>
        </row>
        <row r="98">
          <cell r="AZ98" t="str">
            <v>Woodbury County</v>
          </cell>
          <cell r="BB98" t="str">
            <v>IA</v>
          </cell>
          <cell r="BD98">
            <v>70</v>
          </cell>
          <cell r="BE98">
            <v>0.20000000000000004</v>
          </cell>
        </row>
        <row r="99">
          <cell r="AZ99" t="str">
            <v>Renville County</v>
          </cell>
          <cell r="BB99" t="str">
            <v>MN</v>
          </cell>
          <cell r="BD99">
            <v>70</v>
          </cell>
          <cell r="BE99">
            <v>0.19984946845427057</v>
          </cell>
        </row>
        <row r="100">
          <cell r="AZ100" t="str">
            <v>Washington County</v>
          </cell>
          <cell r="BB100" t="str">
            <v>IL</v>
          </cell>
          <cell r="BD100">
            <v>70</v>
          </cell>
          <cell r="BE100">
            <v>0.18744723043661937</v>
          </cell>
        </row>
        <row r="101">
          <cell r="AZ101" t="str">
            <v>Vermillion County</v>
          </cell>
          <cell r="BB101" t="str">
            <v>IN</v>
          </cell>
          <cell r="BD101">
            <v>70</v>
          </cell>
          <cell r="BE101">
            <v>0.2</v>
          </cell>
        </row>
        <row r="102">
          <cell r="AZ102" t="str">
            <v>Otter Tail County</v>
          </cell>
          <cell r="BB102" t="str">
            <v>MN</v>
          </cell>
          <cell r="BD102">
            <v>70</v>
          </cell>
          <cell r="BE102">
            <v>0.20000000000000004</v>
          </cell>
        </row>
        <row r="103">
          <cell r="AZ103" t="str">
            <v>Sangamon County</v>
          </cell>
          <cell r="BB103" t="str">
            <v>IL</v>
          </cell>
          <cell r="BD103">
            <v>70</v>
          </cell>
          <cell r="BE103">
            <v>0.2</v>
          </cell>
        </row>
        <row r="104">
          <cell r="AZ104" t="str">
            <v>Merrick County</v>
          </cell>
          <cell r="BB104" t="str">
            <v>NE</v>
          </cell>
          <cell r="BD104">
            <v>70</v>
          </cell>
          <cell r="BE104">
            <v>0.2</v>
          </cell>
        </row>
        <row r="105">
          <cell r="AZ105" t="str">
            <v>Nance County</v>
          </cell>
          <cell r="BB105" t="str">
            <v>NE</v>
          </cell>
          <cell r="BD105">
            <v>70</v>
          </cell>
          <cell r="BE105">
            <v>0.2</v>
          </cell>
        </row>
        <row r="106">
          <cell r="AZ106" t="str">
            <v>Butler County</v>
          </cell>
          <cell r="BB106" t="str">
            <v>NE</v>
          </cell>
          <cell r="BD106">
            <v>70</v>
          </cell>
          <cell r="BE106">
            <v>0.20000000000000004</v>
          </cell>
        </row>
        <row r="107">
          <cell r="AZ107" t="str">
            <v>Rush County</v>
          </cell>
          <cell r="BB107" t="str">
            <v>IN</v>
          </cell>
          <cell r="BD107">
            <v>70</v>
          </cell>
          <cell r="BE107">
            <v>0.2</v>
          </cell>
        </row>
        <row r="108">
          <cell r="AZ108" t="str">
            <v>Buchanan County</v>
          </cell>
          <cell r="BB108" t="str">
            <v>IA</v>
          </cell>
          <cell r="BD108">
            <v>70</v>
          </cell>
          <cell r="BE108">
            <v>0.2</v>
          </cell>
        </row>
        <row r="109">
          <cell r="AZ109" t="str">
            <v>Christian County</v>
          </cell>
          <cell r="BB109" t="str">
            <v>IL</v>
          </cell>
          <cell r="BD109">
            <v>70</v>
          </cell>
          <cell r="BE109">
            <v>0.19999999999999998</v>
          </cell>
        </row>
        <row r="110">
          <cell r="AZ110" t="str">
            <v>Hendricks County</v>
          </cell>
          <cell r="BB110" t="str">
            <v>IN</v>
          </cell>
          <cell r="BD110">
            <v>70</v>
          </cell>
          <cell r="BE110">
            <v>0.2</v>
          </cell>
        </row>
        <row r="111">
          <cell r="AZ111" t="str">
            <v>Saunders County</v>
          </cell>
          <cell r="BB111" t="str">
            <v>NE</v>
          </cell>
          <cell r="BD111">
            <v>70</v>
          </cell>
          <cell r="BE111">
            <v>0.2</v>
          </cell>
        </row>
        <row r="112">
          <cell r="AZ112" t="str">
            <v>Huntington County</v>
          </cell>
          <cell r="BB112" t="str">
            <v>IN</v>
          </cell>
          <cell r="BD112">
            <v>70</v>
          </cell>
          <cell r="BE112">
            <v>0.19999999999999998</v>
          </cell>
        </row>
        <row r="113">
          <cell r="AZ113" t="str">
            <v>Mills County</v>
          </cell>
          <cell r="BB113" t="str">
            <v>IA</v>
          </cell>
          <cell r="BD113">
            <v>70</v>
          </cell>
          <cell r="BE113">
            <v>0.2</v>
          </cell>
        </row>
        <row r="114">
          <cell r="AZ114" t="str">
            <v>Fremont County</v>
          </cell>
          <cell r="BB114" t="str">
            <v>IA</v>
          </cell>
          <cell r="BD114">
            <v>70</v>
          </cell>
          <cell r="BE114">
            <v>0.2</v>
          </cell>
        </row>
        <row r="115">
          <cell r="AZ115" t="str">
            <v>Talbot County</v>
          </cell>
          <cell r="BB115" t="str">
            <v>MD</v>
          </cell>
          <cell r="BD115">
            <v>70</v>
          </cell>
          <cell r="BE115">
            <v>0.19145106045258511</v>
          </cell>
        </row>
        <row r="116">
          <cell r="AZ116" t="str">
            <v>Thomas County</v>
          </cell>
          <cell r="BB116" t="str">
            <v>KS</v>
          </cell>
          <cell r="BD116">
            <v>70</v>
          </cell>
          <cell r="BE116">
            <v>0.17900526822636378</v>
          </cell>
        </row>
        <row r="117">
          <cell r="AZ117" t="str">
            <v>Newton County</v>
          </cell>
          <cell r="BB117" t="str">
            <v>IN</v>
          </cell>
          <cell r="BD117">
            <v>70</v>
          </cell>
          <cell r="BE117">
            <v>0.2</v>
          </cell>
        </row>
        <row r="118">
          <cell r="AZ118" t="str">
            <v>Jasper County</v>
          </cell>
          <cell r="BB118" t="str">
            <v>IN</v>
          </cell>
          <cell r="BD118">
            <v>70</v>
          </cell>
          <cell r="BE118">
            <v>0.2</v>
          </cell>
        </row>
        <row r="119">
          <cell r="AZ119" t="str">
            <v>Paulding County</v>
          </cell>
          <cell r="BB119" t="str">
            <v>OH</v>
          </cell>
          <cell r="BD119">
            <v>70</v>
          </cell>
          <cell r="BE119">
            <v>0.19904768276072457</v>
          </cell>
        </row>
        <row r="120">
          <cell r="AZ120" t="str">
            <v>Miami County</v>
          </cell>
          <cell r="BB120" t="str">
            <v>IN</v>
          </cell>
          <cell r="BD120">
            <v>70</v>
          </cell>
          <cell r="BE120">
            <v>0.2</v>
          </cell>
        </row>
        <row r="121">
          <cell r="AZ121" t="str">
            <v>Yellow Medicine County</v>
          </cell>
          <cell r="BB121" t="str">
            <v>MN</v>
          </cell>
          <cell r="BD121">
            <v>70</v>
          </cell>
          <cell r="BE121">
            <v>0.19977123727158597</v>
          </cell>
        </row>
        <row r="122">
          <cell r="AZ122" t="str">
            <v>Crawford County</v>
          </cell>
          <cell r="BB122" t="str">
            <v>IA</v>
          </cell>
          <cell r="BD122">
            <v>70</v>
          </cell>
          <cell r="BE122">
            <v>0.2</v>
          </cell>
        </row>
        <row r="123">
          <cell r="AZ123" t="str">
            <v>Polk County</v>
          </cell>
          <cell r="BB123" t="str">
            <v>MN</v>
          </cell>
          <cell r="BD123">
            <v>70</v>
          </cell>
          <cell r="BE123">
            <v>0.16577352827591929</v>
          </cell>
        </row>
        <row r="124">
          <cell r="AZ124" t="str">
            <v>Lyon County</v>
          </cell>
          <cell r="BB124" t="str">
            <v>MN</v>
          </cell>
          <cell r="BD124">
            <v>70</v>
          </cell>
          <cell r="BE124">
            <v>0.2</v>
          </cell>
        </row>
        <row r="125">
          <cell r="AZ125" t="str">
            <v>Cumberland County</v>
          </cell>
          <cell r="BB125" t="str">
            <v>IL</v>
          </cell>
          <cell r="BD125">
            <v>70</v>
          </cell>
          <cell r="BE125">
            <v>0.2</v>
          </cell>
        </row>
        <row r="126">
          <cell r="AZ126" t="str">
            <v>Johnson County</v>
          </cell>
          <cell r="BB126" t="str">
            <v>NE</v>
          </cell>
          <cell r="BD126">
            <v>70</v>
          </cell>
          <cell r="BE126">
            <v>0.2</v>
          </cell>
        </row>
        <row r="127">
          <cell r="AZ127" t="str">
            <v>Fayette County</v>
          </cell>
          <cell r="BB127" t="str">
            <v>IN</v>
          </cell>
          <cell r="BD127">
            <v>70</v>
          </cell>
          <cell r="BE127">
            <v>0.2</v>
          </cell>
        </row>
        <row r="128">
          <cell r="AZ128" t="str">
            <v>Nobles County</v>
          </cell>
          <cell r="BB128" t="str">
            <v>MN</v>
          </cell>
          <cell r="BD128">
            <v>70</v>
          </cell>
          <cell r="BE128">
            <v>0.2</v>
          </cell>
        </row>
        <row r="129">
          <cell r="AZ129" t="str">
            <v>Hand County</v>
          </cell>
          <cell r="BB129" t="str">
            <v>SD</v>
          </cell>
          <cell r="BD129">
            <v>70</v>
          </cell>
          <cell r="BE129">
            <v>0.19748035461594679</v>
          </cell>
        </row>
        <row r="130">
          <cell r="AZ130" t="str">
            <v>Turner County</v>
          </cell>
          <cell r="BB130" t="str">
            <v>SD</v>
          </cell>
          <cell r="BD130">
            <v>70</v>
          </cell>
          <cell r="BE130">
            <v>0.19987951707439627</v>
          </cell>
        </row>
        <row r="131">
          <cell r="AZ131" t="str">
            <v>Cerro Gordo County</v>
          </cell>
          <cell r="BB131" t="str">
            <v>IA</v>
          </cell>
          <cell r="BD131">
            <v>70</v>
          </cell>
          <cell r="BE131">
            <v>0.2</v>
          </cell>
        </row>
        <row r="132">
          <cell r="AZ132" t="str">
            <v>Dane County</v>
          </cell>
          <cell r="BB132" t="str">
            <v>WI</v>
          </cell>
          <cell r="BD132">
            <v>70</v>
          </cell>
          <cell r="BE132">
            <v>0.2</v>
          </cell>
        </row>
        <row r="133">
          <cell r="AZ133" t="str">
            <v>Cass County</v>
          </cell>
          <cell r="BB133" t="str">
            <v>ND</v>
          </cell>
          <cell r="BD133">
            <v>70</v>
          </cell>
          <cell r="BE133">
            <v>0.18701476955537485</v>
          </cell>
        </row>
        <row r="134">
          <cell r="AZ134" t="str">
            <v>Winnebago County</v>
          </cell>
          <cell r="BB134" t="str">
            <v>IL</v>
          </cell>
          <cell r="BD134">
            <v>70</v>
          </cell>
          <cell r="BE134">
            <v>0.2</v>
          </cell>
        </row>
        <row r="135">
          <cell r="AZ135" t="str">
            <v>Dodge County</v>
          </cell>
          <cell r="BB135" t="str">
            <v>NE</v>
          </cell>
          <cell r="BD135">
            <v>70</v>
          </cell>
          <cell r="BE135">
            <v>0.2</v>
          </cell>
        </row>
        <row r="136">
          <cell r="AZ136" t="str">
            <v>Allen County</v>
          </cell>
          <cell r="BB136" t="str">
            <v>OH</v>
          </cell>
          <cell r="BD136">
            <v>70</v>
          </cell>
          <cell r="BE136">
            <v>0.19743095158224311</v>
          </cell>
        </row>
        <row r="137">
          <cell r="AZ137" t="str">
            <v>Madison County</v>
          </cell>
          <cell r="BB137" t="str">
            <v>NE</v>
          </cell>
          <cell r="BD137">
            <v>70</v>
          </cell>
          <cell r="BE137">
            <v>0.2</v>
          </cell>
        </row>
        <row r="138">
          <cell r="AZ138" t="str">
            <v>Douglas County</v>
          </cell>
          <cell r="BB138" t="str">
            <v>SD</v>
          </cell>
          <cell r="BD138">
            <v>70</v>
          </cell>
          <cell r="BE138">
            <v>0.19545694551554491</v>
          </cell>
        </row>
        <row r="139">
          <cell r="AZ139" t="str">
            <v>Charles Mix County</v>
          </cell>
          <cell r="BB139" t="str">
            <v>SD</v>
          </cell>
          <cell r="BD139">
            <v>70</v>
          </cell>
          <cell r="BE139">
            <v>0.19545694551554491</v>
          </cell>
        </row>
        <row r="140">
          <cell r="AZ140" t="str">
            <v>Goodhue County</v>
          </cell>
          <cell r="BB140" t="str">
            <v>MN</v>
          </cell>
          <cell r="BD140">
            <v>70</v>
          </cell>
          <cell r="BE140">
            <v>0.19999999999999998</v>
          </cell>
        </row>
        <row r="141">
          <cell r="AZ141" t="str">
            <v>McLean County</v>
          </cell>
          <cell r="BB141" t="str">
            <v>ND</v>
          </cell>
          <cell r="BD141">
            <v>70</v>
          </cell>
          <cell r="BE141">
            <v>0.1669933079964514</v>
          </cell>
        </row>
        <row r="142">
          <cell r="AZ142" t="str">
            <v>McHenry County</v>
          </cell>
          <cell r="BB142" t="str">
            <v>IL</v>
          </cell>
          <cell r="BD142">
            <v>70</v>
          </cell>
          <cell r="BE142">
            <v>0.2</v>
          </cell>
        </row>
        <row r="143">
          <cell r="AZ143" t="str">
            <v>Delaware County</v>
          </cell>
          <cell r="BB143" t="str">
            <v>IA</v>
          </cell>
          <cell r="BD143">
            <v>70</v>
          </cell>
          <cell r="BE143">
            <v>0.2</v>
          </cell>
        </row>
        <row r="144">
          <cell r="AZ144" t="str">
            <v>Cuming County</v>
          </cell>
          <cell r="BB144" t="str">
            <v>NE</v>
          </cell>
          <cell r="BD144">
            <v>70</v>
          </cell>
          <cell r="BE144">
            <v>0.2</v>
          </cell>
        </row>
        <row r="145">
          <cell r="AZ145" t="str">
            <v>Sarpy County</v>
          </cell>
          <cell r="BB145" t="str">
            <v>NE</v>
          </cell>
          <cell r="BD145">
            <v>70</v>
          </cell>
          <cell r="BE145">
            <v>0.19996853308653403</v>
          </cell>
        </row>
        <row r="146">
          <cell r="AZ146" t="str">
            <v>Fulton County</v>
          </cell>
          <cell r="BB146" t="str">
            <v>KY</v>
          </cell>
          <cell r="BD146">
            <v>69.942827174692212</v>
          </cell>
          <cell r="BE146">
            <v>0.18795834954403395</v>
          </cell>
        </row>
        <row r="147">
          <cell r="AZ147" t="str">
            <v>Queen Anne's County</v>
          </cell>
          <cell r="BB147" t="str">
            <v>MD</v>
          </cell>
          <cell r="BD147">
            <v>70</v>
          </cell>
          <cell r="BE147">
            <v>0.19048484172663929</v>
          </cell>
        </row>
        <row r="148">
          <cell r="AZ148" t="str">
            <v>Dixon County</v>
          </cell>
          <cell r="BB148" t="str">
            <v>NE</v>
          </cell>
          <cell r="BD148">
            <v>70</v>
          </cell>
          <cell r="BE148">
            <v>0.19999999999999998</v>
          </cell>
        </row>
        <row r="149">
          <cell r="AZ149" t="str">
            <v>Freeborn County</v>
          </cell>
          <cell r="BB149" t="str">
            <v>MN</v>
          </cell>
          <cell r="BD149">
            <v>70</v>
          </cell>
          <cell r="BE149">
            <v>0.2</v>
          </cell>
        </row>
        <row r="150">
          <cell r="AZ150" t="str">
            <v>Hall County</v>
          </cell>
          <cell r="BB150" t="str">
            <v>NE</v>
          </cell>
          <cell r="BD150">
            <v>70</v>
          </cell>
          <cell r="BE150">
            <v>0.20012735690604508</v>
          </cell>
        </row>
        <row r="151">
          <cell r="AZ151" t="str">
            <v>Hartley County</v>
          </cell>
          <cell r="BB151" t="str">
            <v>TX</v>
          </cell>
          <cell r="BD151">
            <v>69.333249186666109</v>
          </cell>
          <cell r="BE151">
            <v>0.22426069201172341</v>
          </cell>
        </row>
        <row r="152">
          <cell r="AZ152" t="str">
            <v>Fulton County</v>
          </cell>
          <cell r="BB152" t="str">
            <v>OH</v>
          </cell>
          <cell r="BD152">
            <v>70</v>
          </cell>
          <cell r="BE152">
            <v>0.19604310405313749</v>
          </cell>
        </row>
        <row r="153">
          <cell r="AZ153" t="str">
            <v>Henry County</v>
          </cell>
          <cell r="BB153" t="str">
            <v>OH</v>
          </cell>
          <cell r="BD153">
            <v>70</v>
          </cell>
          <cell r="BE153">
            <v>0.19604310405313749</v>
          </cell>
        </row>
        <row r="154">
          <cell r="AZ154" t="str">
            <v>Cedar County</v>
          </cell>
          <cell r="BB154" t="str">
            <v>IA</v>
          </cell>
          <cell r="BD154">
            <v>70</v>
          </cell>
          <cell r="BE154">
            <v>0.2</v>
          </cell>
        </row>
        <row r="155">
          <cell r="AZ155" t="str">
            <v>Dallam County</v>
          </cell>
          <cell r="BB155" t="str">
            <v>TX</v>
          </cell>
          <cell r="BD155">
            <v>69.750712433509648</v>
          </cell>
          <cell r="BE155">
            <v>0.19619688533945187</v>
          </cell>
        </row>
        <row r="156">
          <cell r="AZ156" t="str">
            <v>Weld County</v>
          </cell>
          <cell r="BB156" t="str">
            <v>CO</v>
          </cell>
          <cell r="BD156">
            <v>70</v>
          </cell>
          <cell r="BE156">
            <v>0.19194643067846609</v>
          </cell>
        </row>
        <row r="157">
          <cell r="AZ157" t="str">
            <v>Knox County</v>
          </cell>
          <cell r="BB157" t="str">
            <v>IL</v>
          </cell>
          <cell r="BD157">
            <v>70</v>
          </cell>
          <cell r="BE157">
            <v>0.2</v>
          </cell>
        </row>
        <row r="158">
          <cell r="AZ158" t="str">
            <v>Hardin County</v>
          </cell>
          <cell r="BB158" t="str">
            <v>IA</v>
          </cell>
          <cell r="BD158">
            <v>70</v>
          </cell>
          <cell r="BE158">
            <v>0.20000000000000004</v>
          </cell>
        </row>
        <row r="159">
          <cell r="AZ159" t="str">
            <v>Vanderburgh County</v>
          </cell>
          <cell r="BB159" t="str">
            <v>IN</v>
          </cell>
          <cell r="BD159">
            <v>70</v>
          </cell>
          <cell r="BE159">
            <v>0.19879746229351211</v>
          </cell>
        </row>
        <row r="160">
          <cell r="AZ160" t="str">
            <v>Tazewell County</v>
          </cell>
          <cell r="BB160" t="str">
            <v>IL</v>
          </cell>
          <cell r="BD160">
            <v>70</v>
          </cell>
          <cell r="BE160">
            <v>0.2</v>
          </cell>
        </row>
        <row r="161">
          <cell r="AZ161" t="str">
            <v>Perkins County</v>
          </cell>
          <cell r="BB161" t="str">
            <v>NE</v>
          </cell>
          <cell r="BD161">
            <v>70</v>
          </cell>
          <cell r="BE161">
            <v>0.20000000000000004</v>
          </cell>
        </row>
        <row r="162">
          <cell r="AZ162" t="str">
            <v>Lincoln County</v>
          </cell>
          <cell r="BB162" t="str">
            <v>SD</v>
          </cell>
          <cell r="BD162">
            <v>70</v>
          </cell>
          <cell r="BE162">
            <v>0.2</v>
          </cell>
        </row>
        <row r="163">
          <cell r="AZ163" t="str">
            <v>Edgar County</v>
          </cell>
          <cell r="BB163" t="str">
            <v>IL</v>
          </cell>
          <cell r="BD163">
            <v>70</v>
          </cell>
          <cell r="BE163">
            <v>0.20000000000000004</v>
          </cell>
        </row>
        <row r="164">
          <cell r="AZ164" t="str">
            <v>Lake County</v>
          </cell>
          <cell r="BB164" t="str">
            <v>TN</v>
          </cell>
          <cell r="BD164">
            <v>67.61612403758707</v>
          </cell>
          <cell r="BE164">
            <v>0.18087498460198262</v>
          </cell>
        </row>
        <row r="165">
          <cell r="AZ165" t="str">
            <v>Palo Alto County</v>
          </cell>
          <cell r="BB165" t="str">
            <v>IA</v>
          </cell>
          <cell r="BD165">
            <v>70</v>
          </cell>
          <cell r="BE165">
            <v>0.2</v>
          </cell>
        </row>
        <row r="166">
          <cell r="AZ166" t="str">
            <v>Buena Vista County</v>
          </cell>
          <cell r="BB166" t="str">
            <v>IA</v>
          </cell>
          <cell r="BD166">
            <v>70</v>
          </cell>
          <cell r="BE166">
            <v>0.19999999999999998</v>
          </cell>
        </row>
        <row r="167">
          <cell r="AZ167" t="str">
            <v>Boone County</v>
          </cell>
          <cell r="BB167" t="str">
            <v>NE</v>
          </cell>
          <cell r="BD167">
            <v>70</v>
          </cell>
          <cell r="BE167">
            <v>0.2</v>
          </cell>
        </row>
        <row r="168">
          <cell r="AZ168" t="str">
            <v>Clay County</v>
          </cell>
          <cell r="BB168" t="str">
            <v>MN</v>
          </cell>
          <cell r="BD168">
            <v>70</v>
          </cell>
          <cell r="BE168">
            <v>0.19050905444108818</v>
          </cell>
        </row>
        <row r="169">
          <cell r="AZ169" t="str">
            <v>Auglaize County</v>
          </cell>
          <cell r="BB169" t="str">
            <v>OH</v>
          </cell>
          <cell r="BD169">
            <v>70</v>
          </cell>
          <cell r="BE169">
            <v>0.1983722918435088</v>
          </cell>
        </row>
        <row r="170">
          <cell r="AZ170" t="str">
            <v>Dodge County</v>
          </cell>
          <cell r="BB170" t="str">
            <v>WI</v>
          </cell>
          <cell r="BD170">
            <v>70</v>
          </cell>
          <cell r="BE170">
            <v>0.2</v>
          </cell>
        </row>
        <row r="171">
          <cell r="AZ171" t="str">
            <v>Johnson County</v>
          </cell>
          <cell r="BB171" t="str">
            <v>IN</v>
          </cell>
          <cell r="BD171">
            <v>70</v>
          </cell>
          <cell r="BE171">
            <v>0.2</v>
          </cell>
        </row>
        <row r="172">
          <cell r="AZ172" t="str">
            <v>Vermilion County</v>
          </cell>
          <cell r="BB172" t="str">
            <v>IL</v>
          </cell>
          <cell r="BD172">
            <v>70</v>
          </cell>
          <cell r="BE172">
            <v>0.2</v>
          </cell>
        </row>
        <row r="173">
          <cell r="AZ173" t="str">
            <v>Kingsbury County</v>
          </cell>
          <cell r="BB173" t="str">
            <v>SD</v>
          </cell>
          <cell r="BD173">
            <v>70</v>
          </cell>
          <cell r="BE173">
            <v>0.1994595898076412</v>
          </cell>
        </row>
        <row r="174">
          <cell r="AZ174" t="str">
            <v>Talbot County</v>
          </cell>
          <cell r="BB174" t="str">
            <v>MD</v>
          </cell>
          <cell r="BD174">
            <v>70</v>
          </cell>
          <cell r="BE174">
            <v>0.19143499587406862</v>
          </cell>
        </row>
        <row r="175">
          <cell r="AZ175" t="str">
            <v>Hamilton County</v>
          </cell>
          <cell r="BB175" t="str">
            <v>IN</v>
          </cell>
          <cell r="BD175">
            <v>70</v>
          </cell>
          <cell r="BE175">
            <v>0.2</v>
          </cell>
        </row>
        <row r="176">
          <cell r="AZ176" t="str">
            <v>Brookings County</v>
          </cell>
          <cell r="BB176" t="str">
            <v>SD</v>
          </cell>
          <cell r="BD176">
            <v>70</v>
          </cell>
          <cell r="BE176">
            <v>0.19957289098391887</v>
          </cell>
        </row>
        <row r="177">
          <cell r="AZ177" t="str">
            <v>Des Moines County</v>
          </cell>
          <cell r="BB177" t="str">
            <v>IA</v>
          </cell>
          <cell r="BD177">
            <v>70</v>
          </cell>
          <cell r="BE177">
            <v>0.2</v>
          </cell>
        </row>
        <row r="178">
          <cell r="AZ178" t="str">
            <v>Starke County</v>
          </cell>
          <cell r="BB178" t="str">
            <v>IN</v>
          </cell>
          <cell r="BD178">
            <v>70</v>
          </cell>
          <cell r="BE178">
            <v>0.2</v>
          </cell>
        </row>
        <row r="179">
          <cell r="AZ179" t="str">
            <v>Kent County</v>
          </cell>
          <cell r="BB179" t="str">
            <v>MD</v>
          </cell>
          <cell r="BD179">
            <v>70</v>
          </cell>
          <cell r="BE179">
            <v>0.18978656012894479</v>
          </cell>
        </row>
        <row r="180">
          <cell r="AZ180" t="str">
            <v>Franklin County</v>
          </cell>
          <cell r="BB180" t="str">
            <v>IA</v>
          </cell>
          <cell r="BD180">
            <v>70</v>
          </cell>
          <cell r="BE180">
            <v>0.2</v>
          </cell>
        </row>
        <row r="181">
          <cell r="AZ181" t="str">
            <v>Shelby County</v>
          </cell>
          <cell r="BB181" t="str">
            <v>OH</v>
          </cell>
          <cell r="BD181">
            <v>70</v>
          </cell>
          <cell r="BE181">
            <v>0.1988145934503798</v>
          </cell>
        </row>
        <row r="182">
          <cell r="AZ182" t="str">
            <v>White County</v>
          </cell>
          <cell r="BB182" t="str">
            <v>IL</v>
          </cell>
          <cell r="BD182">
            <v>70</v>
          </cell>
          <cell r="BE182">
            <v>0.19680476805150515</v>
          </cell>
        </row>
        <row r="183">
          <cell r="AZ183" t="str">
            <v>Lac qui Parle County</v>
          </cell>
          <cell r="BB183" t="str">
            <v>MN</v>
          </cell>
          <cell r="BD183">
            <v>70</v>
          </cell>
          <cell r="BE183">
            <v>0.2</v>
          </cell>
        </row>
        <row r="184">
          <cell r="AZ184" t="str">
            <v>Yuma County</v>
          </cell>
          <cell r="BB184" t="str">
            <v>CO</v>
          </cell>
          <cell r="BD184">
            <v>70</v>
          </cell>
          <cell r="BE184">
            <v>0.2</v>
          </cell>
        </row>
        <row r="185">
          <cell r="AZ185" t="str">
            <v>Pierce County</v>
          </cell>
          <cell r="BB185" t="str">
            <v>NE</v>
          </cell>
          <cell r="BD185">
            <v>70</v>
          </cell>
          <cell r="BE185">
            <v>0.2</v>
          </cell>
        </row>
        <row r="186">
          <cell r="AZ186" t="str">
            <v>Knox County</v>
          </cell>
          <cell r="BB186" t="str">
            <v>NE</v>
          </cell>
          <cell r="BD186">
            <v>70</v>
          </cell>
          <cell r="BE186">
            <v>0.2</v>
          </cell>
        </row>
        <row r="187">
          <cell r="AZ187" t="str">
            <v>Whitley County</v>
          </cell>
          <cell r="BB187" t="str">
            <v>IN</v>
          </cell>
          <cell r="BD187">
            <v>70</v>
          </cell>
          <cell r="BE187">
            <v>0.2</v>
          </cell>
        </row>
        <row r="188">
          <cell r="AZ188" t="str">
            <v>Butler County</v>
          </cell>
          <cell r="BB188" t="str">
            <v>IA</v>
          </cell>
          <cell r="BD188">
            <v>70</v>
          </cell>
          <cell r="BE188">
            <v>0.2</v>
          </cell>
        </row>
        <row r="189">
          <cell r="AZ189" t="str">
            <v>Wabash County</v>
          </cell>
          <cell r="BB189" t="str">
            <v>IL</v>
          </cell>
          <cell r="BD189">
            <v>70</v>
          </cell>
          <cell r="BE189">
            <v>0.19973740738688406</v>
          </cell>
        </row>
        <row r="190">
          <cell r="AZ190" t="str">
            <v>Bremer County</v>
          </cell>
          <cell r="BB190" t="str">
            <v>IA</v>
          </cell>
          <cell r="BD190">
            <v>70</v>
          </cell>
          <cell r="BE190">
            <v>0.2</v>
          </cell>
        </row>
        <row r="191">
          <cell r="AZ191" t="str">
            <v>Chickasaw County</v>
          </cell>
          <cell r="BB191" t="str">
            <v>IA</v>
          </cell>
          <cell r="BD191">
            <v>70</v>
          </cell>
          <cell r="BE191">
            <v>0.2</v>
          </cell>
        </row>
        <row r="192">
          <cell r="AZ192" t="str">
            <v>Winnebago County</v>
          </cell>
          <cell r="BB192" t="str">
            <v>IA</v>
          </cell>
          <cell r="BD192">
            <v>70</v>
          </cell>
          <cell r="BE192">
            <v>0.2</v>
          </cell>
        </row>
        <row r="193">
          <cell r="AZ193" t="str">
            <v>Scott County</v>
          </cell>
          <cell r="BB193" t="str">
            <v>IL</v>
          </cell>
          <cell r="BD193">
            <v>70</v>
          </cell>
          <cell r="BE193">
            <v>0.2</v>
          </cell>
        </row>
        <row r="194">
          <cell r="AZ194" t="str">
            <v>Jay County</v>
          </cell>
          <cell r="BB194" t="str">
            <v>IN</v>
          </cell>
          <cell r="BD194">
            <v>70</v>
          </cell>
          <cell r="BE194">
            <v>0.2</v>
          </cell>
        </row>
        <row r="195">
          <cell r="AZ195" t="str">
            <v>Greene County</v>
          </cell>
          <cell r="BB195" t="str">
            <v>OH</v>
          </cell>
          <cell r="BD195">
            <v>70</v>
          </cell>
          <cell r="BE195">
            <v>0.2</v>
          </cell>
        </row>
        <row r="196">
          <cell r="AZ196" t="str">
            <v>Wabash County</v>
          </cell>
          <cell r="BB196" t="str">
            <v>IN</v>
          </cell>
          <cell r="BD196">
            <v>70</v>
          </cell>
          <cell r="BE196">
            <v>0.2</v>
          </cell>
        </row>
        <row r="197">
          <cell r="AZ197" t="str">
            <v>Moody County</v>
          </cell>
          <cell r="BB197" t="str">
            <v>SD</v>
          </cell>
          <cell r="BD197">
            <v>70</v>
          </cell>
          <cell r="BE197">
            <v>0.2</v>
          </cell>
        </row>
        <row r="198">
          <cell r="AZ198" t="str">
            <v>Brown County</v>
          </cell>
          <cell r="BB198" t="str">
            <v>SD</v>
          </cell>
          <cell r="BD198">
            <v>70</v>
          </cell>
          <cell r="BE198">
            <v>0.2</v>
          </cell>
        </row>
        <row r="199">
          <cell r="AZ199" t="str">
            <v>Union County</v>
          </cell>
          <cell r="BB199" t="str">
            <v>IN</v>
          </cell>
          <cell r="BD199">
            <v>70</v>
          </cell>
          <cell r="BE199">
            <v>0.19961374960915934</v>
          </cell>
        </row>
        <row r="200">
          <cell r="AZ200" t="str">
            <v>Christian County</v>
          </cell>
          <cell r="BB200" t="str">
            <v>KY</v>
          </cell>
          <cell r="BD200">
            <v>70</v>
          </cell>
          <cell r="BE200">
            <v>0.17947889903464756</v>
          </cell>
        </row>
        <row r="201">
          <cell r="AZ201" t="str">
            <v>Grundy County</v>
          </cell>
          <cell r="BB201" t="str">
            <v>IA</v>
          </cell>
          <cell r="BD201">
            <v>70</v>
          </cell>
          <cell r="BE201">
            <v>0.2</v>
          </cell>
        </row>
        <row r="202">
          <cell r="AZ202" t="str">
            <v>Tipton County</v>
          </cell>
          <cell r="BB202" t="str">
            <v>IN</v>
          </cell>
          <cell r="BD202">
            <v>70</v>
          </cell>
          <cell r="BE202">
            <v>0.2</v>
          </cell>
        </row>
        <row r="203">
          <cell r="AZ203" t="str">
            <v>Defiance County</v>
          </cell>
          <cell r="BB203" t="str">
            <v>OH</v>
          </cell>
          <cell r="BD203">
            <v>70</v>
          </cell>
          <cell r="BE203">
            <v>0.1981326761309245</v>
          </cell>
        </row>
        <row r="204">
          <cell r="AZ204" t="str">
            <v>Lake County</v>
          </cell>
          <cell r="BB204" t="str">
            <v>SD</v>
          </cell>
          <cell r="BD204">
            <v>70</v>
          </cell>
          <cell r="BE204">
            <v>0.2</v>
          </cell>
        </row>
        <row r="205">
          <cell r="AZ205" t="str">
            <v>Clark County</v>
          </cell>
          <cell r="BB205" t="str">
            <v>OH</v>
          </cell>
          <cell r="BD205">
            <v>70</v>
          </cell>
          <cell r="BE205">
            <v>0.2</v>
          </cell>
        </row>
        <row r="206">
          <cell r="AZ206" t="str">
            <v>Seward County</v>
          </cell>
          <cell r="BB206" t="str">
            <v>NE</v>
          </cell>
          <cell r="BD206">
            <v>70</v>
          </cell>
          <cell r="BE206">
            <v>0.20011910704142927</v>
          </cell>
        </row>
        <row r="207">
          <cell r="AZ207" t="str">
            <v>Knox County</v>
          </cell>
          <cell r="BB207" t="str">
            <v>IN</v>
          </cell>
          <cell r="BD207">
            <v>70</v>
          </cell>
          <cell r="BE207">
            <v>0.2</v>
          </cell>
        </row>
        <row r="208">
          <cell r="AZ208" t="str">
            <v>Madison County</v>
          </cell>
          <cell r="BB208" t="str">
            <v>IN</v>
          </cell>
          <cell r="BD208">
            <v>70</v>
          </cell>
          <cell r="BE208">
            <v>0.2</v>
          </cell>
        </row>
        <row r="209">
          <cell r="AZ209" t="str">
            <v>Hutchinson County</v>
          </cell>
          <cell r="BB209" t="str">
            <v>SD</v>
          </cell>
          <cell r="BD209">
            <v>70</v>
          </cell>
          <cell r="BE209">
            <v>0.1988351896510866</v>
          </cell>
        </row>
        <row r="210">
          <cell r="AZ210" t="str">
            <v>Nemaha County</v>
          </cell>
          <cell r="BB210" t="str">
            <v>NE</v>
          </cell>
          <cell r="BD210">
            <v>70</v>
          </cell>
          <cell r="BE210">
            <v>0.2</v>
          </cell>
        </row>
        <row r="211">
          <cell r="AZ211" t="str">
            <v>Richardson County</v>
          </cell>
          <cell r="BB211" t="str">
            <v>NE</v>
          </cell>
          <cell r="BD211">
            <v>70</v>
          </cell>
          <cell r="BE211">
            <v>0.2</v>
          </cell>
        </row>
        <row r="212">
          <cell r="AZ212" t="str">
            <v>Atchison County</v>
          </cell>
          <cell r="BB212" t="str">
            <v>MO</v>
          </cell>
          <cell r="BD212">
            <v>70</v>
          </cell>
          <cell r="BE212">
            <v>0.2</v>
          </cell>
        </row>
        <row r="213">
          <cell r="AZ213" t="str">
            <v>Thurston County</v>
          </cell>
          <cell r="BB213" t="str">
            <v>NE</v>
          </cell>
          <cell r="BD213">
            <v>70</v>
          </cell>
          <cell r="BE213">
            <v>0.2</v>
          </cell>
        </row>
        <row r="214">
          <cell r="AZ214" t="str">
            <v>Hickman County</v>
          </cell>
          <cell r="BB214" t="str">
            <v>KY</v>
          </cell>
          <cell r="BD214">
            <v>70</v>
          </cell>
          <cell r="BE214">
            <v>0.19287894172829964</v>
          </cell>
        </row>
        <row r="215">
          <cell r="AZ215" t="str">
            <v>Hanson County</v>
          </cell>
          <cell r="BB215" t="str">
            <v>SD</v>
          </cell>
          <cell r="BD215">
            <v>70</v>
          </cell>
          <cell r="BE215">
            <v>0.19826682515424238</v>
          </cell>
        </row>
        <row r="216">
          <cell r="AZ216" t="str">
            <v>Davison County</v>
          </cell>
          <cell r="BB216" t="str">
            <v>SD</v>
          </cell>
          <cell r="BD216">
            <v>70</v>
          </cell>
          <cell r="BE216">
            <v>0.19826682515424238</v>
          </cell>
        </row>
        <row r="217">
          <cell r="AZ217" t="str">
            <v>Burt County</v>
          </cell>
          <cell r="BB217" t="str">
            <v>NE</v>
          </cell>
          <cell r="BD217">
            <v>70</v>
          </cell>
          <cell r="BE217">
            <v>0.2</v>
          </cell>
        </row>
        <row r="218">
          <cell r="AZ218" t="str">
            <v>Simpson County</v>
          </cell>
          <cell r="BB218" t="str">
            <v>KY</v>
          </cell>
          <cell r="BD218">
            <v>70</v>
          </cell>
          <cell r="BE218">
            <v>0.18665110539120622</v>
          </cell>
        </row>
        <row r="219">
          <cell r="AZ219" t="str">
            <v>Benton County</v>
          </cell>
          <cell r="BB219" t="str">
            <v>IA</v>
          </cell>
          <cell r="BD219">
            <v>70</v>
          </cell>
          <cell r="BE219">
            <v>0.2</v>
          </cell>
        </row>
        <row r="220">
          <cell r="AZ220" t="str">
            <v>Lancaster County</v>
          </cell>
          <cell r="BB220" t="str">
            <v>NE</v>
          </cell>
          <cell r="BD220">
            <v>70</v>
          </cell>
          <cell r="BE220">
            <v>0.2</v>
          </cell>
        </row>
        <row r="221">
          <cell r="AZ221" t="str">
            <v>Boone County</v>
          </cell>
          <cell r="BB221" t="str">
            <v>IA</v>
          </cell>
          <cell r="BD221">
            <v>70</v>
          </cell>
          <cell r="BE221">
            <v>0.2</v>
          </cell>
        </row>
        <row r="222">
          <cell r="AZ222" t="str">
            <v>Ward County</v>
          </cell>
          <cell r="BB222" t="str">
            <v>ND</v>
          </cell>
          <cell r="BD222">
            <v>70</v>
          </cell>
          <cell r="BE222">
            <v>0.16168869953701626</v>
          </cell>
        </row>
        <row r="223">
          <cell r="AZ223" t="str">
            <v>Holt County</v>
          </cell>
          <cell r="BB223" t="str">
            <v>NE</v>
          </cell>
          <cell r="BD223">
            <v>70</v>
          </cell>
          <cell r="BE223">
            <v>0.2</v>
          </cell>
        </row>
        <row r="224">
          <cell r="AZ224" t="str">
            <v>Linn County</v>
          </cell>
          <cell r="BB224" t="str">
            <v>IA</v>
          </cell>
          <cell r="BD224">
            <v>70</v>
          </cell>
          <cell r="BE224">
            <v>0.2</v>
          </cell>
        </row>
        <row r="225">
          <cell r="AZ225" t="str">
            <v>Louisa County</v>
          </cell>
          <cell r="BB225" t="str">
            <v>IA</v>
          </cell>
          <cell r="BD225">
            <v>70</v>
          </cell>
          <cell r="BE225">
            <v>0.2</v>
          </cell>
        </row>
        <row r="226">
          <cell r="AZ226" t="str">
            <v>Marshall County</v>
          </cell>
          <cell r="BB226" t="str">
            <v>IA</v>
          </cell>
          <cell r="BD226">
            <v>70</v>
          </cell>
          <cell r="BE226">
            <v>0.2</v>
          </cell>
        </row>
        <row r="227">
          <cell r="AZ227" t="str">
            <v>Porter County</v>
          </cell>
          <cell r="BB227" t="str">
            <v>IN</v>
          </cell>
          <cell r="BD227">
            <v>70</v>
          </cell>
          <cell r="BE227">
            <v>0.2</v>
          </cell>
        </row>
        <row r="228">
          <cell r="AZ228" t="str">
            <v>Lincoln County</v>
          </cell>
          <cell r="BB228" t="str">
            <v>MN</v>
          </cell>
          <cell r="BD228">
            <v>70</v>
          </cell>
          <cell r="BE228">
            <v>0.19945264252270592</v>
          </cell>
        </row>
        <row r="229">
          <cell r="AZ229" t="str">
            <v>Faribault County</v>
          </cell>
          <cell r="BB229" t="str">
            <v>MN</v>
          </cell>
          <cell r="BD229">
            <v>70</v>
          </cell>
          <cell r="BE229">
            <v>0.2</v>
          </cell>
        </row>
        <row r="230">
          <cell r="AZ230" t="str">
            <v>Pocahontas County</v>
          </cell>
          <cell r="BB230" t="str">
            <v>IA</v>
          </cell>
          <cell r="BD230">
            <v>70</v>
          </cell>
          <cell r="BE230">
            <v>0.2</v>
          </cell>
        </row>
        <row r="231">
          <cell r="AZ231" t="str">
            <v>Delaware County</v>
          </cell>
          <cell r="BB231" t="str">
            <v>IN</v>
          </cell>
          <cell r="BD231">
            <v>70</v>
          </cell>
          <cell r="BE231">
            <v>0.2</v>
          </cell>
        </row>
        <row r="232">
          <cell r="AZ232" t="str">
            <v>Fayette County</v>
          </cell>
          <cell r="BB232" t="str">
            <v>IA</v>
          </cell>
          <cell r="BD232">
            <v>70</v>
          </cell>
          <cell r="BE232">
            <v>0.2</v>
          </cell>
        </row>
        <row r="233">
          <cell r="AZ233" t="str">
            <v>Sedgwick County</v>
          </cell>
          <cell r="BB233" t="str">
            <v>CO</v>
          </cell>
          <cell r="BD233">
            <v>70</v>
          </cell>
          <cell r="BE233">
            <v>0.18007851408305733</v>
          </cell>
        </row>
        <row r="234">
          <cell r="AZ234" t="str">
            <v>Sanilac County</v>
          </cell>
          <cell r="BB234" t="str">
            <v>MI</v>
          </cell>
          <cell r="BD234">
            <v>70</v>
          </cell>
          <cell r="BE234">
            <v>0.19373964479628025</v>
          </cell>
        </row>
        <row r="235">
          <cell r="AZ235" t="str">
            <v>Logan County</v>
          </cell>
          <cell r="BB235" t="str">
            <v>KY</v>
          </cell>
          <cell r="BD235">
            <v>70</v>
          </cell>
          <cell r="BE235">
            <v>0.18515949051132402</v>
          </cell>
        </row>
        <row r="236">
          <cell r="AZ236" t="str">
            <v>Clay County</v>
          </cell>
          <cell r="BB236" t="str">
            <v>NE</v>
          </cell>
          <cell r="BD236">
            <v>70</v>
          </cell>
          <cell r="BE236">
            <v>0.20024795679109456</v>
          </cell>
        </row>
        <row r="237">
          <cell r="AZ237" t="str">
            <v>Howard County</v>
          </cell>
          <cell r="BB237" t="str">
            <v>IA</v>
          </cell>
          <cell r="BD237">
            <v>70</v>
          </cell>
          <cell r="BE237">
            <v>0.2</v>
          </cell>
        </row>
        <row r="238">
          <cell r="AZ238" t="str">
            <v>Perry County</v>
          </cell>
          <cell r="BB238" t="str">
            <v>IL</v>
          </cell>
          <cell r="BD238">
            <v>70</v>
          </cell>
          <cell r="BE238">
            <v>0.18292511752113175</v>
          </cell>
        </row>
        <row r="239">
          <cell r="AZ239" t="str">
            <v>Caroline County</v>
          </cell>
          <cell r="BB239" t="str">
            <v>MD</v>
          </cell>
          <cell r="BD239">
            <v>70</v>
          </cell>
          <cell r="BE239">
            <v>0.19141211467668168</v>
          </cell>
        </row>
        <row r="240">
          <cell r="AZ240" t="str">
            <v>McCook County</v>
          </cell>
          <cell r="BB240" t="str">
            <v>SD</v>
          </cell>
          <cell r="BD240">
            <v>70</v>
          </cell>
          <cell r="BE240">
            <v>0.2</v>
          </cell>
        </row>
        <row r="241">
          <cell r="AZ241" t="str">
            <v>Rock Island County</v>
          </cell>
          <cell r="BB241" t="str">
            <v>IL</v>
          </cell>
          <cell r="BD241">
            <v>70</v>
          </cell>
          <cell r="BE241">
            <v>0.2</v>
          </cell>
        </row>
        <row r="242">
          <cell r="AZ242" t="str">
            <v>Posey County</v>
          </cell>
          <cell r="BB242" t="str">
            <v>IN</v>
          </cell>
          <cell r="BD242">
            <v>70</v>
          </cell>
          <cell r="BE242">
            <v>0.19814556293531499</v>
          </cell>
        </row>
        <row r="243">
          <cell r="AZ243" t="str">
            <v>Sully County</v>
          </cell>
          <cell r="BB243" t="str">
            <v>SD</v>
          </cell>
          <cell r="BD243">
            <v>70</v>
          </cell>
          <cell r="BE243">
            <v>0.18101741752114769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H4">
            <v>80</v>
          </cell>
        </row>
        <row r="19">
          <cell r="G19">
            <v>26801462.76426769</v>
          </cell>
        </row>
        <row r="51">
          <cell r="G51">
            <v>18429816.824876927</v>
          </cell>
        </row>
        <row r="53">
          <cell r="D53">
            <v>0</v>
          </cell>
        </row>
        <row r="54">
          <cell r="D54">
            <v>1000.01568</v>
          </cell>
        </row>
        <row r="55">
          <cell r="G55">
            <v>45020574.204974592</v>
          </cell>
        </row>
      </sheetData>
      <sheetData sheetId="24">
        <row r="4">
          <cell r="D4">
            <v>79418.271629577896</v>
          </cell>
        </row>
        <row r="22">
          <cell r="T22">
            <v>777329.57569242141</v>
          </cell>
          <cell r="U22">
            <v>9787.7926545422197</v>
          </cell>
        </row>
        <row r="24">
          <cell r="U24">
            <v>10926.469906821118</v>
          </cell>
        </row>
        <row r="154">
          <cell r="H154">
            <v>442865.38071158988</v>
          </cell>
          <cell r="I154">
            <v>64147.954192452293</v>
          </cell>
          <cell r="J154">
            <v>28083.530683989491</v>
          </cell>
          <cell r="K154">
            <v>92010.765031370087</v>
          </cell>
          <cell r="M154">
            <v>7896.2638918201646</v>
          </cell>
        </row>
        <row r="178">
          <cell r="H178">
            <v>112640.427</v>
          </cell>
        </row>
        <row r="181">
          <cell r="H181">
            <v>66829.001285012622</v>
          </cell>
        </row>
        <row r="222">
          <cell r="H222">
            <v>11900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Factors"/>
      <sheetName val="COE Calc"/>
      <sheetName val="Net-Zero Cap"/>
      <sheetName val="Net-Zero O&amp;M"/>
    </sheetNames>
    <sheetDataSet>
      <sheetData sheetId="0">
        <row r="22">
          <cell r="C22">
            <v>5.8571541460992964E-2</v>
          </cell>
        </row>
        <row r="40">
          <cell r="C40">
            <v>1.0698018823529412</v>
          </cell>
        </row>
        <row r="42">
          <cell r="C42">
            <v>1.1163364705882353</v>
          </cell>
        </row>
      </sheetData>
      <sheetData sheetId="1">
        <row r="4">
          <cell r="C4">
            <v>1.1163364705882353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alation Factors"/>
      <sheetName val="Escalated Summary"/>
      <sheetName val="Escalated O&amp;M"/>
      <sheetName val="A"/>
      <sheetName val="B"/>
      <sheetName val="C"/>
      <sheetName val="D"/>
      <sheetName val="Adj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_ME_FIRST"/>
      <sheetName val="Parameters"/>
      <sheetName val="Simulation"/>
      <sheetName val="Key_Inputs"/>
      <sheetName val="Fin_Resp_Inputs"/>
      <sheetName val="Summ_Output"/>
      <sheetName val="Cost Breakdown 1"/>
      <sheetName val="Res_Bas1"/>
      <sheetName val="Res_CatV1"/>
      <sheetName val="Res_CatP1"/>
      <sheetName val="Res_FRWat1"/>
      <sheetName val="Res_SUStg1"/>
      <sheetName val="Res_Bas"/>
      <sheetName val="Res_CatV"/>
      <sheetName val="Res_CatP"/>
      <sheetName val="Res_FRWat"/>
      <sheetName val="Geol Sal"/>
      <sheetName val="Res_SUStg"/>
      <sheetName val="Geol DB Sal"/>
      <sheetName val="Geol DB Sources"/>
      <sheetName val="Water"/>
      <sheetName val="FinMod_Main"/>
      <sheetName val="FinMod FR Details"/>
      <sheetName val="FR_Lookups"/>
      <sheetName val="Activity_Inputs"/>
      <sheetName val="Surf Eq Cost"/>
      <sheetName val="Back-End_Cost Items"/>
      <sheetName val="Plume&amp;Well Schedule"/>
      <sheetName val="Geo-Activity Interaction"/>
      <sheetName val="Drilling Costs"/>
      <sheetName val="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erface"/>
      <sheetName val="InputsAndConstants"/>
      <sheetName val="FuelsandAmbientConditions"/>
      <sheetName val="EQDesignParameters"/>
      <sheetName val="BFD - B1A"/>
      <sheetName val="BFD - Case 4"/>
      <sheetName val="BFD - Case 5"/>
      <sheetName val="BFD - B4A"/>
      <sheetName val="BFD - B4B"/>
      <sheetName val="BFD - B5A"/>
      <sheetName val="BFD - B5B"/>
      <sheetName val="BFD - B5B-Q"/>
      <sheetName val="BFD - Case 6"/>
      <sheetName val="BFD - B1B"/>
      <sheetName val="StreamTableData"/>
      <sheetName val="StreamTable"/>
      <sheetName val="Performance"/>
      <sheetName val="Emissions"/>
      <sheetName val="MassBalances"/>
      <sheetName val="EnergyBalance"/>
      <sheetName val="ModelData"/>
      <sheetName val="EMBdata"/>
      <sheetName val="4Visio"/>
      <sheetName val="CO2 Vapor Dome"/>
      <sheetName val="CostDataSheet"/>
      <sheetName val="Coal Handling"/>
      <sheetName val="Coal Prep and Feed - IGCC Slury"/>
      <sheetName val="Coal &amp; Bio Handling"/>
      <sheetName val="Coal Prep and Feed - IGCC Dry"/>
      <sheetName val="Coal &amp; Bio Prep and Feed"/>
      <sheetName val="Feedwater"/>
      <sheetName val="Gasifier"/>
      <sheetName val="Syngas Cleanup - No Capture"/>
      <sheetName val="Syngas Cleanup - Capture"/>
      <sheetName val="CTG"/>
      <sheetName val="Hydrogen Production"/>
      <sheetName val="Stack-HRSG"/>
      <sheetName val="Stack and Off-Gas Fired Boiler"/>
      <sheetName val="STG"/>
      <sheetName val="CWS"/>
      <sheetName val="Slag"/>
      <sheetName val="Electric Plant"/>
      <sheetName val="I&amp;C"/>
      <sheetName val="DataForCostEstimation"/>
      <sheetName val="EnthalpyRef"/>
      <sheetName val="Template Revisions Log"/>
      <sheetName val="Model Revisions Log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erface"/>
      <sheetName val="InputsAndConstants"/>
      <sheetName val="FuelsandAmbientConditions"/>
      <sheetName val="EQDesignParameters"/>
      <sheetName val="BFD - Case B31A"/>
      <sheetName val="BFD - Case 1"/>
      <sheetName val="BFD - Case 2"/>
      <sheetName val="BFD - Case 3"/>
      <sheetName val="BFD - Case B31B"/>
      <sheetName val="BFD - Case S31A and L31A"/>
      <sheetName val="BFD - Case S31B and L31B"/>
      <sheetName val="StreamTableData"/>
      <sheetName val="StreamTable"/>
      <sheetName val="Performance"/>
      <sheetName val="Emissions"/>
      <sheetName val="MassBalances"/>
      <sheetName val="EnergyBalance"/>
      <sheetName val="ModelData"/>
      <sheetName val="EMBdata"/>
      <sheetName val="4Visio"/>
      <sheetName val="CO2 Vapor Dome"/>
      <sheetName val="CostDataSheet"/>
      <sheetName val="Fuel Prep and Feed"/>
      <sheetName val="Feedwater"/>
      <sheetName val="CTG"/>
      <sheetName val="CO2 Removal"/>
      <sheetName val="HRSG and Stack"/>
      <sheetName val="STG - Wet Cooling"/>
      <sheetName val="STG - Parallel Cooling"/>
      <sheetName val="CWS"/>
      <sheetName val="Electric Plant"/>
      <sheetName val="I&amp;C"/>
      <sheetName val="DataForCostEstimation"/>
      <sheetName val="EnthalpyRef"/>
      <sheetName val="Template Revisions Log"/>
      <sheetName val="Model Revisions Log"/>
      <sheetName val="Reformer &amp; Accessories"/>
      <sheetName val="Syngas Cleanup"/>
      <sheetName val="Hydrogen Productio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User Interface"/>
      <sheetName val="Pipeline Boosting"/>
      <sheetName val="Pipeline Operation"/>
      <sheetName val="Pipeline Pigging"/>
      <sheetName val="Pipeline Construction"/>
      <sheetName val="openLCA results"/>
      <sheetName val="Multivariable Regression"/>
      <sheetName val="Conversions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Factors"/>
      <sheetName val="NewFactorsForSenses"/>
      <sheetName val="NewDE_Chart_XY"/>
      <sheetName val="NewTax_Chart_XY"/>
      <sheetName val="NewInterest_Chart_XY"/>
      <sheetName val="NewROE_Chart_XY"/>
      <sheetName val="NewGroups_Chart"/>
      <sheetName val="FactorsForSenses"/>
      <sheetName val="COESenses"/>
      <sheetName val="COE_Chart1_XY"/>
      <sheetName val="COE_Chart1"/>
      <sheetName val="BSP_Chart2_XY"/>
      <sheetName val="BSP_Chart2"/>
      <sheetName val="BEP_Chart3_XY"/>
      <sheetName val="BEP_Chart3"/>
      <sheetName val="COE Calc"/>
      <sheetName val="SummaryTable"/>
      <sheetName val="Chart Data"/>
      <sheetName val="Sensitivity Analysis"/>
      <sheetName val="Additional Analyses"/>
      <sheetName val="Charts"/>
      <sheetName val="ParityCalculations"/>
      <sheetName val="B1A Cap"/>
      <sheetName val="B1A O&amp;M"/>
      <sheetName val="B1B O&amp;M"/>
      <sheetName val="B4A O&amp;M"/>
      <sheetName val="B4B Cap"/>
      <sheetName val="B4B O&amp;M"/>
      <sheetName val="B5A Cap"/>
      <sheetName val="B5A O&amp;M"/>
      <sheetName val="B5B Cap"/>
      <sheetName val="B5B O&amp;M"/>
      <sheetName val="B5B-Q Cap"/>
      <sheetName val="B5B-Q O&amp;M"/>
      <sheetName val="B11A Cap"/>
      <sheetName val="B11A O&amp;M"/>
      <sheetName val="B11B Cap"/>
      <sheetName val="B11B O&amp;M"/>
      <sheetName val="B12A Cap"/>
      <sheetName val="B12A O&amp;M"/>
      <sheetName val="B12B Cap"/>
      <sheetName val="B12B O&amp;M"/>
      <sheetName val="B31A Cap"/>
      <sheetName val="B31A O&amp;M"/>
      <sheetName val="B31B Cap"/>
      <sheetName val="B31B O&amp;M"/>
      <sheetName val="Case 1 Cap"/>
      <sheetName val="Case 1 O&amp;M"/>
      <sheetName val="Case 2 Cap"/>
      <sheetName val="Case 2 O&amp;M"/>
      <sheetName val="Case 3 Cap"/>
      <sheetName val="Case 3 O&amp;M"/>
      <sheetName val="B4A Cap"/>
      <sheetName val="Case 4 Cap"/>
      <sheetName val="Case 4 O&amp;M"/>
      <sheetName val="Case 5 Cap"/>
      <sheetName val="B1B Cap"/>
      <sheetName val="Case 5 O&amp;M"/>
      <sheetName val="Case 6 Cap"/>
      <sheetName val="Case 6 O&amp;M"/>
      <sheetName val="Case 5 Cap old"/>
      <sheetName val="Case 5 O&amp;M old"/>
      <sheetName val="Raw Cap Data New"/>
      <sheetName val="Raw O&amp;M Data New"/>
      <sheetName val="201.00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Output Interface"/>
      <sheetName val="state coordinates"/>
      <sheetName val="CO2_T_COM cases"/>
      <sheetName val="thickness and steel calcs"/>
      <sheetName val="Model runs to add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terface"/>
      <sheetName val="InputsAndConstants"/>
      <sheetName val="FuelsandAmbientConditions"/>
      <sheetName val="EQDesignParameters"/>
      <sheetName val="BFD - Case B11A and B12A"/>
      <sheetName val="BFD - Case B11B and B12B"/>
      <sheetName val="BFD - Case S12A and L12A"/>
      <sheetName val="BFD - Case S12B and L12B"/>
      <sheetName val="BFD - Case S22A and L22A"/>
      <sheetName val="BFD - Case S22B and L22B"/>
      <sheetName val="StreamTableData"/>
      <sheetName val="StreamTable"/>
      <sheetName val="Performance"/>
      <sheetName val="Emissions"/>
      <sheetName val="MassBalances"/>
      <sheetName val="EnergyBalance"/>
      <sheetName val="ModelData"/>
      <sheetName val="EMBdata"/>
      <sheetName val="4Visio"/>
      <sheetName val="CO2 Vapor Dome"/>
      <sheetName val="CostDataSheet"/>
      <sheetName val="Coal Handling - FGD"/>
      <sheetName val="Coal Handling - SDA"/>
      <sheetName val="Coal Handling - IBL"/>
      <sheetName val="Coal Prep and Feed - FGD"/>
      <sheetName val="Coal Prep and Feed - SDA"/>
      <sheetName val="Coal Prep and Feed - IBL"/>
      <sheetName val="Feedwater"/>
      <sheetName val="Boiler - PC"/>
      <sheetName val="Boiler - Oxy PC"/>
      <sheetName val="Boiler - CFB"/>
      <sheetName val="Gas Cleanup - FGD (Capture)"/>
      <sheetName val="Gas Cleanup - FGD (No Capture)"/>
      <sheetName val="Gas Cleanup - SDA (Capture)"/>
      <sheetName val="Gas Cleanup - SDA (No Capture)"/>
      <sheetName val="Gas Cleanup - IBL (Capture)"/>
      <sheetName val="Gas Cleanup - IBL (No Capture)"/>
      <sheetName val="Stack"/>
      <sheetName val="STG - Wet Cooling"/>
      <sheetName val="STG - Parallel Cooling"/>
      <sheetName val="CWS"/>
      <sheetName val="Ash - FGD"/>
      <sheetName val="Ash - IBL"/>
      <sheetName val="Ash - SDA"/>
      <sheetName val="Electric Plant"/>
      <sheetName val="I&amp;C"/>
      <sheetName val="DataForCostEstimation"/>
      <sheetName val="EnthalpyRef"/>
      <sheetName val="Template Revisions Log"/>
      <sheetName val="Model Revisions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_ME_FIRST"/>
      <sheetName val="Main"/>
      <sheetName val="Combo Results"/>
      <sheetName val="Eng Mod"/>
      <sheetName val="Cases"/>
      <sheetName val="Trunkline Scenario Concept"/>
      <sheetName val="HEEI Results Summary"/>
      <sheetName val="HEEI Results Charts"/>
      <sheetName val="Cases_def"/>
      <sheetName val="PL Pressure Relation"/>
      <sheetName val="Cost Indices"/>
      <sheetName val="Pipe Cap"/>
      <sheetName val="Pipe Cap plot"/>
      <sheetName val="Parameters"/>
      <sheetName val="Version"/>
      <sheetName val="CO2_T_COM_v3b_2021_08_16_djm_t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ctoria Toetz" id="{BF3A8C1C-9B00-4620-A275-FA2479DF911C}" userId="S::victoria.toetz@keylogic.com::61e05d69-cf59-433d-a61b-cb12f4aa1f0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4-09-27T20:11:26.06" personId="{BF3A8C1C-9B00-4620-A275-FA2479DF911C}" id="{500540C7-31E0-4A8A-8043-5316D3A928BC}">
    <text>2018 industrial electricity price, https://www.eia.gov/electricity/monthly/epm_table_grapher.php?t=epmt_5_3</text>
    <extLst>
      <x:ext xmlns:xltc2="http://schemas.microsoft.com/office/spreadsheetml/2020/threadedcomments2" uri="{F7C98A9C-CBB3-438F-8F68-D28B6AF4A901}">
        <xltc2:checksum>798189618</xltc2:checksum>
        <xltc2:hyperlink startIndex="35" length="72" url="https://www.eia.gov/electricity/monthly/epm_table_grapher.php?t=epmt_5_3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B3B0-6900-4CE5-B383-252A5418DC27}">
  <sheetPr codeName="Sheet32">
    <tabColor theme="7" tint="0.79998168889431442"/>
    <pageSetUpPr fitToPage="1"/>
  </sheetPr>
  <dimension ref="A1:AB3200"/>
  <sheetViews>
    <sheetView tabSelected="1" topLeftCell="H1" zoomScale="60" zoomScaleNormal="60" workbookViewId="0">
      <selection activeCell="X2" sqref="X2"/>
    </sheetView>
  </sheetViews>
  <sheetFormatPr defaultColWidth="9.140625" defaultRowHeight="15" x14ac:dyDescent="0.25"/>
  <cols>
    <col min="1" max="1" width="67" customWidth="1"/>
    <col min="2" max="2" width="15.28515625" customWidth="1"/>
    <col min="3" max="3" width="15.42578125" bestFit="1" customWidth="1"/>
    <col min="4" max="4" width="13.28515625" customWidth="1"/>
    <col min="5" max="5" width="28.28515625" customWidth="1"/>
    <col min="6" max="6" width="15.42578125" customWidth="1"/>
    <col min="7" max="7" width="15" customWidth="1"/>
    <col min="8" max="8" width="14.7109375" customWidth="1"/>
    <col min="9" max="11" width="13.28515625" customWidth="1"/>
    <col min="12" max="12" width="12.7109375" customWidth="1"/>
    <col min="13" max="13" width="15.42578125" customWidth="1"/>
    <col min="14" max="15" width="26" customWidth="1"/>
    <col min="16" max="16" width="24" bestFit="1" customWidth="1"/>
    <col min="17" max="17" width="12.140625" bestFit="1" customWidth="1"/>
    <col min="18" max="18" width="14.7109375" bestFit="1" customWidth="1"/>
    <col min="19" max="19" width="13.42578125" bestFit="1" customWidth="1"/>
    <col min="20" max="20" width="17.28515625" bestFit="1" customWidth="1"/>
    <col min="21" max="21" width="25" bestFit="1" customWidth="1"/>
    <col min="22" max="22" width="15.28515625" bestFit="1" customWidth="1"/>
    <col min="23" max="23" width="21.42578125" style="4" bestFit="1" customWidth="1"/>
    <col min="24" max="24" width="19.7109375" bestFit="1" customWidth="1"/>
    <col min="25" max="25" width="24" customWidth="1"/>
    <col min="26" max="26" width="25" customWidth="1"/>
    <col min="27" max="27" width="28.140625" customWidth="1"/>
    <col min="28" max="28" width="12" bestFit="1" customWidth="1"/>
    <col min="29" max="29" width="12.42578125" customWidth="1"/>
    <col min="31" max="31" width="12.7109375" bestFit="1" customWidth="1"/>
  </cols>
  <sheetData>
    <row r="1" spans="1:27" ht="15.75" thickBot="1" x14ac:dyDescent="0.3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R1" t="s">
        <v>1</v>
      </c>
      <c r="S1" t="s">
        <v>2</v>
      </c>
      <c r="T1" t="s">
        <v>3</v>
      </c>
      <c r="U1" t="s">
        <v>4</v>
      </c>
      <c r="V1" t="s">
        <v>5</v>
      </c>
      <c r="W1" s="4" t="s">
        <v>6</v>
      </c>
      <c r="X1" t="s">
        <v>7</v>
      </c>
      <c r="Y1" s="5" t="s">
        <v>8</v>
      </c>
      <c r="Z1" t="s">
        <v>9</v>
      </c>
    </row>
    <row r="2" spans="1:27" ht="15.75" thickBot="1" x14ac:dyDescent="0.3">
      <c r="A2" s="6" t="s">
        <v>10</v>
      </c>
      <c r="B2" s="7" t="s">
        <v>11</v>
      </c>
      <c r="C2" s="7" t="s">
        <v>12</v>
      </c>
      <c r="D2" s="7" t="s">
        <v>13</v>
      </c>
      <c r="E2" s="8"/>
      <c r="F2" s="9" t="s">
        <v>14</v>
      </c>
      <c r="G2" s="9"/>
      <c r="H2" s="9"/>
      <c r="I2" s="9"/>
      <c r="J2" s="9"/>
      <c r="K2" s="9"/>
      <c r="L2" s="9"/>
      <c r="M2" s="9"/>
      <c r="N2" s="9"/>
      <c r="O2" s="2"/>
      <c r="P2" s="10" t="str">
        <f>IF('[1]All Data '!AZ7="","",'[1]All Data '!AZ7)</f>
        <v>Steele County</v>
      </c>
      <c r="Q2" s="10" t="str">
        <f>IF('[1]All Data '!BB7="","",'[1]All Data '!BB7)</f>
        <v>MN</v>
      </c>
      <c r="R2" s="10">
        <f>IF('[1]All Data '!BD7="","",'[1]All Data '!BD7)</f>
        <v>70</v>
      </c>
      <c r="S2" s="11">
        <f>IF(R2="","",'[1]All Data '!BE7)</f>
        <v>0.20000000000000004</v>
      </c>
      <c r="T2" s="12">
        <f>IF(S2="","",[1]Inputs_Outputs!$B$8*(1-'LOCH Calc COE Calc'!S2))</f>
        <v>254466.23093681916</v>
      </c>
      <c r="U2" s="13">
        <f>IF(S2="","",R2*T2*365*$B$19/100)</f>
        <v>52012897.60348583</v>
      </c>
      <c r="V2" s="13">
        <f>IF(S2="","",(U2*$B$19)/(($B$28)*$B$19))</f>
        <v>1.7943111377350445</v>
      </c>
      <c r="W2" s="4">
        <f>IF(S2="","",V2+$C$49+$C$50+$C$51)</f>
        <v>6.6227146066031981</v>
      </c>
      <c r="X2">
        <f>IF(W2="","",LOOKUP(_xlfn.CONCAT(P2,", ",Q2),'[1]T+S Costs'!$F$2:$F$3138,'[1]T+S Costs'!$N$2:$N$3138))</f>
        <v>27.432116664142587</v>
      </c>
      <c r="Y2" s="14">
        <f>IF(X2="","",((X2*$B$60/$B$59)*$C$44)/$C$28)</f>
        <v>0.5511507712150634</v>
      </c>
      <c r="Z2" s="4">
        <f>IF(Y2="","",W2+Y2)</f>
        <v>7.1738653778182613</v>
      </c>
    </row>
    <row r="3" spans="1:27" ht="15" customHeight="1" x14ac:dyDescent="0.25">
      <c r="A3" s="15" t="s">
        <v>15</v>
      </c>
      <c r="B3" s="16">
        <f>RealFCR</f>
        <v>5.8571541460992964E-2</v>
      </c>
      <c r="C3" s="17">
        <f>RealTASC_3yr</f>
        <v>1.0698018823529412</v>
      </c>
      <c r="D3" s="18" t="s">
        <v>16</v>
      </c>
      <c r="E3" s="19"/>
      <c r="F3" s="20" t="s">
        <v>17</v>
      </c>
      <c r="G3" s="21"/>
      <c r="H3" s="21"/>
      <c r="I3" s="21"/>
      <c r="J3" s="21"/>
      <c r="K3" s="21"/>
      <c r="L3" s="21"/>
      <c r="M3" s="21"/>
      <c r="N3" s="22"/>
      <c r="O3" s="23"/>
      <c r="P3" s="10" t="str">
        <f>IF('[1]All Data '!AZ8="","",'[1]All Data '!AZ8)</f>
        <v>Carroll County</v>
      </c>
      <c r="Q3" s="10" t="str">
        <f>IF('[1]All Data '!BB8="","",'[1]All Data '!BB8)</f>
        <v>IN</v>
      </c>
      <c r="R3" s="10">
        <f>IF('[1]All Data '!BD8="","",'[1]All Data '!BD8)</f>
        <v>70</v>
      </c>
      <c r="S3" s="11">
        <f>IF(R3="","",'[1]All Data '!BE8)</f>
        <v>0.2</v>
      </c>
      <c r="T3" s="12">
        <f>IF(S3="","",[1]Inputs_Outputs!$B$8*(1-'LOCH Calc COE Calc'!S3))</f>
        <v>254466.23093681919</v>
      </c>
      <c r="U3" s="13">
        <f t="shared" ref="U3:U66" si="0">IF(S3="","",R3*T3*365*$B$19/100)</f>
        <v>52012897.603485852</v>
      </c>
      <c r="V3" s="13">
        <f t="shared" ref="V3:V66" si="1">IF(S3="","",(U3*$B$19)/(($B$28)*$B$19))</f>
        <v>1.7943111377350451</v>
      </c>
      <c r="W3" s="4">
        <f t="shared" ref="W3:W66" si="2">IF(S3="","",V3+$C$49+$C$50+$C$51)</f>
        <v>6.6227146066031981</v>
      </c>
      <c r="X3">
        <f>IF(W3="","",LOOKUP(_xlfn.CONCAT(P3,", ",Q3),'[1]T+S Costs'!$F$2:$F$3138,'[1]T+S Costs'!$N$2:$N$3138))</f>
        <v>16.36785613595757</v>
      </c>
      <c r="Y3" s="14">
        <f t="shared" ref="Y3:Y66" si="3">IF(X3="","",((X3*$B$60/$B$59)*$C$44)/$C$28)</f>
        <v>0.32885382644431771</v>
      </c>
      <c r="Z3" s="4">
        <f t="shared" ref="Z3:Z66" si="4">IF(Y3="","",W3+Y3)</f>
        <v>6.951568433047516</v>
      </c>
    </row>
    <row r="4" spans="1:27" ht="15.75" thickBot="1" x14ac:dyDescent="0.3">
      <c r="A4" s="15" t="s">
        <v>18</v>
      </c>
      <c r="B4" s="16">
        <f>RealFCR</f>
        <v>5.8571541460992964E-2</v>
      </c>
      <c r="C4" s="17">
        <f>RealTASC_5yr</f>
        <v>1.1163364705882353</v>
      </c>
      <c r="D4" s="18" t="s">
        <v>19</v>
      </c>
      <c r="E4" s="19"/>
      <c r="F4" s="24"/>
      <c r="G4" s="25"/>
      <c r="H4" s="25"/>
      <c r="I4" s="25"/>
      <c r="J4" s="25"/>
      <c r="K4" s="25"/>
      <c r="L4" s="25"/>
      <c r="M4" s="25"/>
      <c r="N4" s="26"/>
      <c r="O4" s="23"/>
      <c r="P4" s="10" t="str">
        <f>IF('[1]All Data '!AZ9="","",'[1]All Data '!AZ9)</f>
        <v>McLean County</v>
      </c>
      <c r="Q4" s="10" t="str">
        <f>IF('[1]All Data '!BB9="","",'[1]All Data '!BB9)</f>
        <v>IL</v>
      </c>
      <c r="R4" s="10">
        <f>IF('[1]All Data '!BD9="","",'[1]All Data '!BD9)</f>
        <v>70</v>
      </c>
      <c r="S4" s="11">
        <f>IF(R4="","",'[1]All Data '!BE9)</f>
        <v>0.19999999999999998</v>
      </c>
      <c r="T4" s="12">
        <f>IF(S4="","",[1]Inputs_Outputs!$B$8*(1-'LOCH Calc COE Calc'!S4))</f>
        <v>254466.23093681919</v>
      </c>
      <c r="U4" s="13">
        <f t="shared" si="0"/>
        <v>52012897.603485852</v>
      </c>
      <c r="V4" s="13">
        <f t="shared" si="1"/>
        <v>1.7943111377350451</v>
      </c>
      <c r="W4" s="4">
        <f t="shared" si="2"/>
        <v>6.6227146066031981</v>
      </c>
      <c r="X4">
        <f>IF(W4="","",LOOKUP(_xlfn.CONCAT(P4,", ",Q4),'[1]T+S Costs'!$F$2:$F$3138,'[1]T+S Costs'!$N$2:$N$3138))</f>
        <v>9.6567204499873753</v>
      </c>
      <c r="Y4" s="14">
        <f t="shared" si="3"/>
        <v>0.19401743542363176</v>
      </c>
      <c r="Z4" s="4">
        <f t="shared" si="4"/>
        <v>6.81673204202683</v>
      </c>
    </row>
    <row r="5" spans="1:27" ht="15.75" thickBot="1" x14ac:dyDescent="0.3">
      <c r="A5" s="6" t="s">
        <v>20</v>
      </c>
      <c r="B5" s="27"/>
      <c r="C5" s="27"/>
      <c r="D5" s="27"/>
      <c r="E5" s="8"/>
      <c r="F5" s="9"/>
      <c r="G5" s="9"/>
      <c r="H5" s="9"/>
      <c r="I5" s="9"/>
      <c r="J5" s="9"/>
      <c r="K5" s="9"/>
      <c r="L5" s="9"/>
      <c r="M5" s="9"/>
      <c r="N5" s="9"/>
      <c r="O5" s="2"/>
      <c r="P5" s="10" t="str">
        <f>IF('[1]All Data '!AZ10="","",'[1]All Data '!AZ10)</f>
        <v>Putnam County</v>
      </c>
      <c r="Q5" s="10" t="str">
        <f>IF('[1]All Data '!BB10="","",'[1]All Data '!BB10)</f>
        <v>IL</v>
      </c>
      <c r="R5" s="10">
        <f>IF('[1]All Data '!BD10="","",'[1]All Data '!BD10)</f>
        <v>70</v>
      </c>
      <c r="S5" s="11">
        <f>IF(R5="","",'[1]All Data '!BE10)</f>
        <v>0.2</v>
      </c>
      <c r="T5" s="12">
        <f>IF(S5="","",[1]Inputs_Outputs!$B$8*(1-'LOCH Calc COE Calc'!S5))</f>
        <v>254466.23093681919</v>
      </c>
      <c r="U5" s="13">
        <f t="shared" si="0"/>
        <v>52012897.603485852</v>
      </c>
      <c r="V5" s="13">
        <f t="shared" si="1"/>
        <v>1.7943111377350451</v>
      </c>
      <c r="W5" s="4">
        <f t="shared" si="2"/>
        <v>6.6227146066031981</v>
      </c>
      <c r="X5">
        <f>IF(W5="","",LOOKUP(_xlfn.CONCAT(P5,", ",Q5),'[1]T+S Costs'!$F$2:$F$3138,'[1]T+S Costs'!$N$2:$N$3138))</f>
        <v>11.442911049624204</v>
      </c>
      <c r="Y5" s="14">
        <f>IF(X5="","",((X5*$B$60/$B$59)*$C$44)/$C$28)</f>
        <v>0.22990457962689895</v>
      </c>
      <c r="Z5" s="4">
        <f t="shared" si="4"/>
        <v>6.8526191862300969</v>
      </c>
    </row>
    <row r="6" spans="1:27" ht="15" customHeight="1" x14ac:dyDescent="0.25">
      <c r="A6" s="15" t="s">
        <v>21</v>
      </c>
      <c r="B6" s="28">
        <v>2.2269000000000001</v>
      </c>
      <c r="C6" s="18" t="s">
        <v>22</v>
      </c>
      <c r="D6" s="29">
        <f>CoalPrice/1000000*11666*2000</f>
        <v>51.958030800000003</v>
      </c>
      <c r="E6" s="19" t="s">
        <v>23</v>
      </c>
      <c r="F6" s="20" t="s">
        <v>24</v>
      </c>
      <c r="G6" s="21"/>
      <c r="H6" s="21"/>
      <c r="I6" s="21"/>
      <c r="J6" s="21"/>
      <c r="K6" s="21"/>
      <c r="L6" s="21"/>
      <c r="M6" s="21"/>
      <c r="N6" s="22"/>
      <c r="O6" s="23"/>
      <c r="P6" s="10" t="str">
        <f>IF('[1]All Data '!AZ11="","",'[1]All Data '!AZ11)</f>
        <v>Sibley County</v>
      </c>
      <c r="Q6" s="10" t="str">
        <f>IF('[1]All Data '!BB11="","",'[1]All Data '!BB11)</f>
        <v>MN</v>
      </c>
      <c r="R6" s="10">
        <f>IF('[1]All Data '!BD11="","",'[1]All Data '!BD11)</f>
        <v>70</v>
      </c>
      <c r="S6" s="11">
        <f>IF(R6="","",'[1]All Data '!BE11)</f>
        <v>0.19985396087825502</v>
      </c>
      <c r="T6" s="12">
        <f>IF(S6="","",[1]Inputs_Outputs!$B$8*(1-'LOCH Calc COE Calc'!S6))</f>
        <v>254512.68346791889</v>
      </c>
      <c r="U6" s="13">
        <f t="shared" si="0"/>
        <v>52022392.500842631</v>
      </c>
      <c r="V6" s="13">
        <f t="shared" si="1"/>
        <v>1.7946386872634101</v>
      </c>
      <c r="W6" s="4">
        <f t="shared" si="2"/>
        <v>6.6230421561315636</v>
      </c>
      <c r="X6">
        <f>IF(W6="","",LOOKUP(_xlfn.CONCAT(P6,", ",Q6),'[1]T+S Costs'!$F$2:$F$3138,'[1]T+S Costs'!$N$2:$N$3138))</f>
        <v>19.456567940182794</v>
      </c>
      <c r="Y6" s="14">
        <f t="shared" si="3"/>
        <v>0.3909104994237308</v>
      </c>
      <c r="Z6" s="4">
        <f t="shared" si="4"/>
        <v>7.0139526555552942</v>
      </c>
    </row>
    <row r="7" spans="1:27" ht="15.75" thickBot="1" x14ac:dyDescent="0.3">
      <c r="A7" s="15" t="s">
        <v>25</v>
      </c>
      <c r="B7" s="28">
        <v>4.4202000000000004</v>
      </c>
      <c r="C7" s="18" t="s">
        <v>22</v>
      </c>
      <c r="D7" s="29"/>
      <c r="E7" s="30"/>
      <c r="F7" s="24"/>
      <c r="G7" s="25"/>
      <c r="H7" s="25"/>
      <c r="I7" s="25"/>
      <c r="J7" s="25"/>
      <c r="K7" s="25"/>
      <c r="L7" s="25"/>
      <c r="M7" s="25"/>
      <c r="N7" s="26"/>
      <c r="O7" s="23"/>
      <c r="P7" s="10" t="str">
        <f>IF('[1]All Data '!AZ12="","",'[1]All Data '!AZ12)</f>
        <v>Livingston County</v>
      </c>
      <c r="Q7" s="10" t="str">
        <f>IF('[1]All Data '!BB12="","",'[1]All Data '!BB12)</f>
        <v>IL</v>
      </c>
      <c r="R7" s="10">
        <f>IF('[1]All Data '!BD12="","",'[1]All Data '!BD12)</f>
        <v>70</v>
      </c>
      <c r="S7" s="11">
        <f>IF(R7="","",'[1]All Data '!BE12)</f>
        <v>0.2</v>
      </c>
      <c r="T7" s="12">
        <f>IF(S7="","",[1]Inputs_Outputs!$B$8*(1-'LOCH Calc COE Calc'!S7))</f>
        <v>254466.23093681919</v>
      </c>
      <c r="U7" s="13">
        <f t="shared" si="0"/>
        <v>52012897.603485852</v>
      </c>
      <c r="V7" s="13">
        <f t="shared" si="1"/>
        <v>1.7943111377350451</v>
      </c>
      <c r="W7" s="4">
        <f t="shared" si="2"/>
        <v>6.6227146066031981</v>
      </c>
      <c r="X7">
        <f>IF(W7="","",LOOKUP(_xlfn.CONCAT(P7,", ",Q7),'[1]T+S Costs'!$F$2:$F$3138,'[1]T+S Costs'!$N$2:$N$3138))</f>
        <v>10.778281989294221</v>
      </c>
      <c r="Y7" s="14">
        <f t="shared" si="3"/>
        <v>0.21655122364428786</v>
      </c>
      <c r="Z7" s="4">
        <f t="shared" si="4"/>
        <v>6.839265830247486</v>
      </c>
    </row>
    <row r="8" spans="1:27" ht="15.75" thickBot="1" x14ac:dyDescent="0.3">
      <c r="A8" s="15" t="s">
        <v>26</v>
      </c>
      <c r="B8" s="28">
        <f>D8*1000000/9749/2000</f>
        <v>7.907356197657041</v>
      </c>
      <c r="C8" s="18" t="s">
        <v>22</v>
      </c>
      <c r="D8" s="29">
        <v>154.17763114191698</v>
      </c>
      <c r="E8" s="30" t="s">
        <v>23</v>
      </c>
      <c r="F8" s="24" t="s">
        <v>27</v>
      </c>
      <c r="G8" s="25"/>
      <c r="H8" s="25"/>
      <c r="I8" s="25"/>
      <c r="J8" s="25"/>
      <c r="K8" s="25"/>
      <c r="L8" s="25"/>
      <c r="M8" s="25"/>
      <c r="N8" s="26"/>
      <c r="O8" s="23"/>
      <c r="P8" s="10" t="str">
        <f>IF('[1]All Data '!AZ13="","",'[1]All Data '!AZ13)</f>
        <v>Kane County</v>
      </c>
      <c r="Q8" s="10" t="str">
        <f>IF('[1]All Data '!BB13="","",'[1]All Data '!BB13)</f>
        <v>IL</v>
      </c>
      <c r="R8" s="10">
        <f>IF('[1]All Data '!BD13="","",'[1]All Data '!BD13)</f>
        <v>70</v>
      </c>
      <c r="S8" s="11">
        <f>IF(R8="","",'[1]All Data '!BE13)</f>
        <v>0.2</v>
      </c>
      <c r="T8" s="12">
        <f>IF(S8="","",[1]Inputs_Outputs!$B$8*(1-'LOCH Calc COE Calc'!S8))</f>
        <v>254466.23093681919</v>
      </c>
      <c r="U8" s="13">
        <f t="shared" si="0"/>
        <v>52012897.603485852</v>
      </c>
      <c r="V8" s="13">
        <f t="shared" si="1"/>
        <v>1.7943111377350451</v>
      </c>
      <c r="W8" s="4">
        <f t="shared" si="2"/>
        <v>6.6227146066031981</v>
      </c>
      <c r="X8">
        <f>IF(W8="","",LOOKUP(_xlfn.CONCAT(P8,", ",Q8),'[1]T+S Costs'!$F$2:$F$3138,'[1]T+S Costs'!$N$2:$N$3138))</f>
        <v>14.779902790030992</v>
      </c>
      <c r="Y8" s="14">
        <f t="shared" si="3"/>
        <v>0.29694955445625859</v>
      </c>
      <c r="Z8" s="4">
        <f t="shared" si="4"/>
        <v>6.9196641610594565</v>
      </c>
    </row>
    <row r="9" spans="1:27" ht="15.75" thickBot="1" x14ac:dyDescent="0.3">
      <c r="A9" s="15" t="s">
        <v>28</v>
      </c>
      <c r="B9" s="28">
        <v>2.7515655048581333</v>
      </c>
      <c r="C9" s="18" t="s">
        <v>22</v>
      </c>
      <c r="D9" s="29">
        <v>27.087109727461698</v>
      </c>
      <c r="E9" s="30" t="s">
        <v>23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10" t="str">
        <f>IF('[1]All Data '!AZ14="","",'[1]All Data '!AZ14)</f>
        <v>De Kalb County</v>
      </c>
      <c r="Q9" s="10" t="str">
        <f>IF('[1]All Data '!BB14="","",'[1]All Data '!BB14)</f>
        <v>IL</v>
      </c>
      <c r="R9" s="10">
        <f>IF('[1]All Data '!BD14="","",'[1]All Data '!BD14)</f>
        <v>70</v>
      </c>
      <c r="S9" s="11">
        <f>IF(R9="","",'[1]All Data '!BE14)</f>
        <v>0.2</v>
      </c>
      <c r="T9" s="12">
        <f>IF(S9="","",[1]Inputs_Outputs!$B$8*(1-'LOCH Calc COE Calc'!S9))</f>
        <v>254466.23093681919</v>
      </c>
      <c r="U9" s="13">
        <f t="shared" si="0"/>
        <v>52012897.603485852</v>
      </c>
      <c r="V9" s="13">
        <f t="shared" si="1"/>
        <v>1.7943111377350451</v>
      </c>
      <c r="W9" s="4">
        <f t="shared" si="2"/>
        <v>6.6227146066031981</v>
      </c>
      <c r="X9">
        <f>IF(W9="","",LOOKUP(_xlfn.CONCAT(P9,", ",Q9),'[1]T+S Costs'!$F$2:$F$3138,'[1]T+S Costs'!$N$2:$N$3138))</f>
        <v>14.516820453650375</v>
      </c>
      <c r="Y9" s="14">
        <f t="shared" si="3"/>
        <v>0.29166385104647513</v>
      </c>
      <c r="Z9" s="4">
        <f t="shared" si="4"/>
        <v>6.914378457649673</v>
      </c>
    </row>
    <row r="10" spans="1:27" ht="15.75" thickBot="1" x14ac:dyDescent="0.3">
      <c r="A10" s="6" t="s">
        <v>29</v>
      </c>
      <c r="B10" s="27"/>
      <c r="C10" s="27"/>
      <c r="D10" s="27"/>
      <c r="E10" s="8"/>
      <c r="F10" s="9"/>
      <c r="G10" s="9"/>
      <c r="H10" s="9"/>
      <c r="I10" s="9"/>
      <c r="J10" s="9"/>
      <c r="K10" s="9"/>
      <c r="L10" s="9"/>
      <c r="M10" s="9"/>
      <c r="N10" s="9"/>
      <c r="O10" s="2"/>
      <c r="P10" s="10" t="str">
        <f>IF('[1]All Data '!AZ15="","",'[1]All Data '!AZ15)</f>
        <v>Waseca County</v>
      </c>
      <c r="Q10" s="10" t="str">
        <f>IF('[1]All Data '!BB15="","",'[1]All Data '!BB15)</f>
        <v>MN</v>
      </c>
      <c r="R10" s="10">
        <f>IF('[1]All Data '!BD15="","",'[1]All Data '!BD15)</f>
        <v>70</v>
      </c>
      <c r="S10" s="11">
        <f>IF(R10="","",'[1]All Data '!BE15)</f>
        <v>0.2</v>
      </c>
      <c r="T10" s="12">
        <f>IF(S10="","",[1]Inputs_Outputs!$B$8*(1-'LOCH Calc COE Calc'!S10))</f>
        <v>254466.23093681919</v>
      </c>
      <c r="U10" s="13">
        <f t="shared" si="0"/>
        <v>52012897.603485852</v>
      </c>
      <c r="V10" s="13">
        <f t="shared" si="1"/>
        <v>1.7943111377350451</v>
      </c>
      <c r="W10" s="4">
        <f t="shared" si="2"/>
        <v>6.6227146066031981</v>
      </c>
      <c r="X10">
        <f>IF(W10="","",LOOKUP(_xlfn.CONCAT(P10,", ",Q10),'[1]T+S Costs'!$F$2:$F$3138,'[1]T+S Costs'!$N$2:$N$3138))</f>
        <v>19.456567940182794</v>
      </c>
      <c r="Y10" s="14">
        <f t="shared" si="3"/>
        <v>0.3909104994237308</v>
      </c>
      <c r="Z10" s="4">
        <f t="shared" si="4"/>
        <v>7.0136251060269288</v>
      </c>
    </row>
    <row r="11" spans="1:27" ht="15.75" customHeight="1" thickBot="1" x14ac:dyDescent="0.3">
      <c r="A11" s="31" t="s">
        <v>30</v>
      </c>
      <c r="B11" s="32">
        <v>21.65</v>
      </c>
      <c r="C11" s="33" t="s">
        <v>31</v>
      </c>
      <c r="D11" s="34"/>
      <c r="E11" s="35"/>
      <c r="F11" s="36" t="s">
        <v>32</v>
      </c>
      <c r="G11" s="36"/>
      <c r="H11" s="36"/>
      <c r="I11" s="36"/>
      <c r="J11" s="36"/>
      <c r="K11" s="36"/>
      <c r="L11" s="36"/>
      <c r="M11" s="36"/>
      <c r="N11" s="37"/>
      <c r="O11" s="38"/>
      <c r="P11" s="10" t="str">
        <f>IF('[1]All Data '!AZ16="","",'[1]All Data '!AZ16)</f>
        <v>Chippewa County</v>
      </c>
      <c r="Q11" s="10" t="str">
        <f>IF('[1]All Data '!BB16="","",'[1]All Data '!BB16)</f>
        <v>MN</v>
      </c>
      <c r="R11" s="10">
        <f>IF('[1]All Data '!BD16="","",'[1]All Data '!BD16)</f>
        <v>70</v>
      </c>
      <c r="S11" s="11">
        <f>IF(R11="","",'[1]All Data '!BE16)</f>
        <v>0.2</v>
      </c>
      <c r="T11" s="12">
        <f>IF(S11="","",[1]Inputs_Outputs!$B$8*(1-'LOCH Calc COE Calc'!S11))</f>
        <v>254466.23093681919</v>
      </c>
      <c r="U11" s="13">
        <f t="shared" si="0"/>
        <v>52012897.603485852</v>
      </c>
      <c r="V11" s="13">
        <f t="shared" si="1"/>
        <v>1.7943111377350451</v>
      </c>
      <c r="W11" s="4">
        <f t="shared" si="2"/>
        <v>6.6227146066031981</v>
      </c>
      <c r="X11">
        <f>IF(W11="","",LOOKUP(_xlfn.CONCAT(P11,", ",Q11),'[1]T+S Costs'!$F$2:$F$3138,'[1]T+S Costs'!$N$2:$N$3138))</f>
        <v>25.119761391744522</v>
      </c>
      <c r="Y11" s="14">
        <f t="shared" si="3"/>
        <v>0.50469222019222904</v>
      </c>
      <c r="Z11" s="4">
        <f t="shared" si="4"/>
        <v>7.1274068267954274</v>
      </c>
    </row>
    <row r="12" spans="1:27" ht="15.75" customHeight="1" x14ac:dyDescent="0.25">
      <c r="A12" s="15" t="s">
        <v>33</v>
      </c>
      <c r="B12" s="39">
        <v>69.2</v>
      </c>
      <c r="C12" s="40" t="s">
        <v>34</v>
      </c>
      <c r="D12" s="41"/>
      <c r="E12" s="42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10" t="str">
        <f>IF('[1]All Data '!AZ17="","",'[1]All Data '!AZ17)</f>
        <v>Swift County</v>
      </c>
      <c r="Q12" s="10" t="str">
        <f>IF('[1]All Data '!BB17="","",'[1]All Data '!BB17)</f>
        <v>MN</v>
      </c>
      <c r="R12" s="10">
        <f>IF('[1]All Data '!BD17="","",'[1]All Data '!BD17)</f>
        <v>70</v>
      </c>
      <c r="S12" s="11">
        <f>IF(R12="","",'[1]All Data '!BE17)</f>
        <v>0.2</v>
      </c>
      <c r="T12" s="12">
        <f>IF(S12="","",[1]Inputs_Outputs!$B$8*(1-'LOCH Calc COE Calc'!S12))</f>
        <v>254466.23093681919</v>
      </c>
      <c r="U12" s="13">
        <f t="shared" si="0"/>
        <v>52012897.603485852</v>
      </c>
      <c r="V12" s="13">
        <f t="shared" si="1"/>
        <v>1.7943111377350451</v>
      </c>
      <c r="W12" s="4">
        <f t="shared" si="2"/>
        <v>6.6227146066031981</v>
      </c>
      <c r="X12">
        <f>IF(W12="","",LOOKUP(_xlfn.CONCAT(P12,", ",Q12),'[1]T+S Costs'!$F$2:$F$3138,'[1]T+S Costs'!$N$2:$N$3138))</f>
        <v>25.355150850611391</v>
      </c>
      <c r="Y12" s="14">
        <f t="shared" si="3"/>
        <v>0.50942153376940391</v>
      </c>
      <c r="Z12" s="4">
        <f t="shared" si="4"/>
        <v>7.1321361403726016</v>
      </c>
    </row>
    <row r="13" spans="1:27" ht="15.75" customHeight="1" thickBot="1" x14ac:dyDescent="0.3">
      <c r="A13" s="43" t="s">
        <v>35</v>
      </c>
      <c r="B13" s="44">
        <v>0</v>
      </c>
      <c r="C13" s="45" t="s">
        <v>23</v>
      </c>
      <c r="D13" s="46"/>
      <c r="E13" s="47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10" t="str">
        <f>IF('[1]All Data '!AZ18="","",'[1]All Data '!AZ18)</f>
        <v>Blue Earth County</v>
      </c>
      <c r="Q13" s="10" t="str">
        <f>IF('[1]All Data '!BB18="","",'[1]All Data '!BB18)</f>
        <v>MN</v>
      </c>
      <c r="R13" s="10">
        <f>IF('[1]All Data '!BD18="","",'[1]All Data '!BD18)</f>
        <v>70</v>
      </c>
      <c r="S13" s="11">
        <f>IF(R13="","",'[1]All Data '!BE18)</f>
        <v>0.2</v>
      </c>
      <c r="T13" s="12">
        <f>IF(S13="","",[1]Inputs_Outputs!$B$8*(1-'LOCH Calc COE Calc'!S13))</f>
        <v>254466.23093681919</v>
      </c>
      <c r="U13" s="13">
        <f t="shared" si="0"/>
        <v>52012897.603485852</v>
      </c>
      <c r="V13" s="13">
        <f t="shared" si="1"/>
        <v>1.7943111377350451</v>
      </c>
      <c r="W13" s="4">
        <f t="shared" si="2"/>
        <v>6.6227146066031981</v>
      </c>
      <c r="X13">
        <f>IF(W13="","",LOOKUP(_xlfn.CONCAT(P13,", ",Q13),'[1]T+S Costs'!$F$2:$F$3138,'[1]T+S Costs'!$N$2:$N$3138))</f>
        <v>25.123192541416348</v>
      </c>
      <c r="Y13" s="14">
        <f t="shared" si="3"/>
        <v>0.50476115693564316</v>
      </c>
      <c r="Z13" s="4">
        <f t="shared" si="4"/>
        <v>7.1274757635388415</v>
      </c>
    </row>
    <row r="14" spans="1:27" x14ac:dyDescent="0.25">
      <c r="A14" s="2"/>
      <c r="B14" s="48"/>
      <c r="C14" s="40"/>
      <c r="D14" s="41"/>
      <c r="E14" s="41"/>
      <c r="F14" s="28"/>
      <c r="G14" s="41"/>
      <c r="H14" s="41"/>
      <c r="I14" s="41"/>
      <c r="J14" s="41"/>
      <c r="K14" s="41"/>
      <c r="L14" s="41"/>
      <c r="M14" s="41"/>
      <c r="P14" s="10" t="str">
        <f>IF('[1]All Data '!AZ19="","",'[1]All Data '!AZ19)</f>
        <v>Kossuth County</v>
      </c>
      <c r="Q14" s="10" t="str">
        <f>IF('[1]All Data '!BB19="","",'[1]All Data '!BB19)</f>
        <v>IA</v>
      </c>
      <c r="R14" s="10">
        <f>IF('[1]All Data '!BD19="","",'[1]All Data '!BD19)</f>
        <v>70</v>
      </c>
      <c r="S14" s="11">
        <f>IF(R14="","",'[1]All Data '!BE19)</f>
        <v>0.2</v>
      </c>
      <c r="T14" s="12">
        <f>IF(S14="","",[1]Inputs_Outputs!$B$8*(1-'LOCH Calc COE Calc'!S14))</f>
        <v>254466.23093681919</v>
      </c>
      <c r="U14" s="13">
        <f t="shared" si="0"/>
        <v>52012897.603485852</v>
      </c>
      <c r="V14" s="13">
        <f t="shared" si="1"/>
        <v>1.7943111377350451</v>
      </c>
      <c r="W14" s="4">
        <f t="shared" si="2"/>
        <v>6.6227146066031981</v>
      </c>
      <c r="X14">
        <f>IF(W14="","",LOOKUP(_xlfn.CONCAT(P14,", ",Q14),'[1]T+S Costs'!$F$2:$F$3138,'[1]T+S Costs'!$N$2:$N$3138))</f>
        <v>24.140095389678251</v>
      </c>
      <c r="Y14" s="14">
        <f t="shared" si="3"/>
        <v>0.48500931787803103</v>
      </c>
      <c r="Z14" s="4">
        <f t="shared" si="4"/>
        <v>7.1077239244812294</v>
      </c>
    </row>
    <row r="15" spans="1:27" x14ac:dyDescent="0.25">
      <c r="A15" s="49"/>
      <c r="B15" s="2"/>
      <c r="C15" s="2"/>
      <c r="D15" s="2"/>
      <c r="E15" s="2"/>
      <c r="F15" s="2"/>
      <c r="G15" s="2"/>
      <c r="H15" s="50"/>
      <c r="I15" s="2"/>
      <c r="J15" s="2"/>
      <c r="K15" s="2"/>
      <c r="L15" s="2"/>
      <c r="M15" s="2"/>
      <c r="N15" s="2"/>
      <c r="O15" s="2"/>
      <c r="P15" s="10" t="str">
        <f>IF('[1]All Data '!AZ20="","",'[1]All Data '!AZ20)</f>
        <v>Scott County</v>
      </c>
      <c r="Q15" s="10" t="str">
        <f>IF('[1]All Data '!BB20="","",'[1]All Data '!BB20)</f>
        <v>IA</v>
      </c>
      <c r="R15" s="10">
        <f>IF('[1]All Data '!BD20="","",'[1]All Data '!BD20)</f>
        <v>70</v>
      </c>
      <c r="S15" s="11">
        <f>IF(R15="","",'[1]All Data '!BE20)</f>
        <v>0.2</v>
      </c>
      <c r="T15" s="12">
        <f>IF(S15="","",[1]Inputs_Outputs!$B$8*(1-'LOCH Calc COE Calc'!S15))</f>
        <v>254466.23093681919</v>
      </c>
      <c r="U15" s="13">
        <f t="shared" si="0"/>
        <v>52012897.603485852</v>
      </c>
      <c r="V15" s="13">
        <f t="shared" si="1"/>
        <v>1.7943111377350451</v>
      </c>
      <c r="W15" s="4">
        <f t="shared" si="2"/>
        <v>6.6227146066031981</v>
      </c>
      <c r="X15">
        <f>IF(W15="","",LOOKUP(_xlfn.CONCAT(P15,", ",Q15),'[1]T+S Costs'!$F$2:$F$3138,'[1]T+S Costs'!$N$2:$N$3138))</f>
        <v>14.516820453650375</v>
      </c>
      <c r="Y15" s="14">
        <f t="shared" si="3"/>
        <v>0.29166385104647513</v>
      </c>
      <c r="Z15" s="4">
        <f t="shared" si="4"/>
        <v>6.914378457649673</v>
      </c>
    </row>
    <row r="16" spans="1:27" ht="15" customHeight="1" x14ac:dyDescent="0.25">
      <c r="A16" s="49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10" t="str">
        <f>IF('[1]All Data '!AZ21="","",'[1]All Data '!AZ21)</f>
        <v>Warren County</v>
      </c>
      <c r="Q16" s="10" t="str">
        <f>IF('[1]All Data '!BB21="","",'[1]All Data '!BB21)</f>
        <v>IN</v>
      </c>
      <c r="R16" s="10">
        <f>IF('[1]All Data '!BD21="","",'[1]All Data '!BD21)</f>
        <v>70</v>
      </c>
      <c r="S16" s="11">
        <f>IF(R16="","",'[1]All Data '!BE21)</f>
        <v>0.2</v>
      </c>
      <c r="T16" s="12">
        <f>IF(S16="","",[1]Inputs_Outputs!$B$8*(1-'LOCH Calc COE Calc'!S16))</f>
        <v>254466.23093681919</v>
      </c>
      <c r="U16" s="13">
        <f t="shared" si="0"/>
        <v>52012897.603485852</v>
      </c>
      <c r="V16" s="13">
        <f t="shared" si="1"/>
        <v>1.7943111377350451</v>
      </c>
      <c r="W16" s="4">
        <f t="shared" si="2"/>
        <v>6.6227146066031981</v>
      </c>
      <c r="X16">
        <f>IF(W16="","",LOOKUP(_xlfn.CONCAT(P16,", ",Q16),'[1]T+S Costs'!$F$2:$F$3138,'[1]T+S Costs'!$N$2:$N$3138))</f>
        <v>10.503820905589633</v>
      </c>
      <c r="Y16" s="14">
        <f t="shared" si="3"/>
        <v>0.21103690479662732</v>
      </c>
      <c r="Z16" s="4">
        <f t="shared" si="4"/>
        <v>6.8337515113998251</v>
      </c>
      <c r="AA16" s="52"/>
    </row>
    <row r="17" spans="1:26" ht="28.15" customHeight="1" x14ac:dyDescent="0.25">
      <c r="A17" s="53" t="s">
        <v>36</v>
      </c>
      <c r="B17" s="54" t="s">
        <v>37</v>
      </c>
      <c r="P17" s="10" t="str">
        <f>IF('[1]All Data '!AZ22="","",'[1]All Data '!AZ22)</f>
        <v>Brown County</v>
      </c>
      <c r="Q17" s="10" t="str">
        <f>IF('[1]All Data '!BB22="","",'[1]All Data '!BB22)</f>
        <v>MN</v>
      </c>
      <c r="R17" s="10">
        <f>IF('[1]All Data '!BD22="","",'[1]All Data '!BD22)</f>
        <v>70</v>
      </c>
      <c r="S17" s="11">
        <f>IF(R17="","",'[1]All Data '!BE22)</f>
        <v>0.19993285217359572</v>
      </c>
      <c r="T17" s="12">
        <f>IF(S17="","",[1]Inputs_Outputs!$B$8*(1-'LOCH Calc COE Calc'!S17))</f>
        <v>254487.58950469506</v>
      </c>
      <c r="U17" s="13">
        <f t="shared" si="0"/>
        <v>52017263.294759676</v>
      </c>
      <c r="V17" s="13">
        <f t="shared" si="1"/>
        <v>1.794461742851035</v>
      </c>
      <c r="W17" s="4">
        <f t="shared" si="2"/>
        <v>6.6228652117191888</v>
      </c>
      <c r="X17">
        <f>IF(W17="","",LOOKUP(_xlfn.CONCAT(P17,", ",Q17),'[1]T+S Costs'!$F$2:$F$3138,'[1]T+S Costs'!$N$2:$N$3138))</f>
        <v>28.487877159336886</v>
      </c>
      <c r="Y17" s="14">
        <f t="shared" si="3"/>
        <v>0.57236252159761181</v>
      </c>
      <c r="Z17" s="4">
        <f t="shared" si="4"/>
        <v>7.1952277333168002</v>
      </c>
    </row>
    <row r="18" spans="1:26" ht="38.25" x14ac:dyDescent="0.25">
      <c r="A18" s="55" t="s">
        <v>38</v>
      </c>
      <c r="B18" s="56" t="s">
        <v>37</v>
      </c>
      <c r="P18" s="10" t="str">
        <f>IF('[1]All Data '!AZ23="","",'[1]All Data '!AZ23)</f>
        <v>Watonwan County</v>
      </c>
      <c r="Q18" s="10" t="str">
        <f>IF('[1]All Data '!BB23="","",'[1]All Data '!BB23)</f>
        <v>MN</v>
      </c>
      <c r="R18" s="10">
        <f>IF('[1]All Data '!BD23="","",'[1]All Data '!BD23)</f>
        <v>70</v>
      </c>
      <c r="S18" s="11">
        <f>IF(R18="","",'[1]All Data '!BE23)</f>
        <v>0.19993285217359572</v>
      </c>
      <c r="T18" s="12">
        <f>IF(S18="","",[1]Inputs_Outputs!$B$8*(1-'LOCH Calc COE Calc'!S18))</f>
        <v>254487.58950469506</v>
      </c>
      <c r="U18" s="13">
        <f t="shared" si="0"/>
        <v>52017263.294759676</v>
      </c>
      <c r="V18" s="13">
        <f t="shared" si="1"/>
        <v>1.794461742851035</v>
      </c>
      <c r="W18" s="4">
        <f t="shared" si="2"/>
        <v>6.6228652117191888</v>
      </c>
      <c r="X18">
        <f>IF(W18="","",LOOKUP(_xlfn.CONCAT(P18,", ",Q18),'[1]T+S Costs'!$F$2:$F$3138,'[1]T+S Costs'!$N$2:$N$3138))</f>
        <v>21.658151702525863</v>
      </c>
      <c r="Y18" s="14">
        <f t="shared" si="3"/>
        <v>0.43514349111612993</v>
      </c>
      <c r="Z18" s="4">
        <f t="shared" si="4"/>
        <v>7.0580087028353189</v>
      </c>
    </row>
    <row r="19" spans="1:26" x14ac:dyDescent="0.25">
      <c r="A19" s="2" t="s">
        <v>39</v>
      </c>
      <c r="B19" s="57">
        <f>'[1]Net-Zero O&amp;M'!$H$4/100</f>
        <v>0.8</v>
      </c>
      <c r="D19" s="58"/>
      <c r="P19" s="10" t="str">
        <f>IF('[1]All Data '!AZ24="","",'[1]All Data '!AZ24)</f>
        <v>Clinton County</v>
      </c>
      <c r="Q19" s="10" t="str">
        <f>IF('[1]All Data '!BB24="","",'[1]All Data '!BB24)</f>
        <v>IA</v>
      </c>
      <c r="R19" s="10">
        <f>IF('[1]All Data '!BD24="","",'[1]All Data '!BD24)</f>
        <v>70</v>
      </c>
      <c r="S19" s="11">
        <f>IF(R19="","",'[1]All Data '!BE24)</f>
        <v>0.2</v>
      </c>
      <c r="T19" s="12">
        <f>IF(S19="","",[1]Inputs_Outputs!$B$8*(1-'LOCH Calc COE Calc'!S19))</f>
        <v>254466.23093681919</v>
      </c>
      <c r="U19" s="13">
        <f t="shared" si="0"/>
        <v>52012897.603485852</v>
      </c>
      <c r="V19" s="13">
        <f t="shared" si="1"/>
        <v>1.7943111377350451</v>
      </c>
      <c r="W19" s="4">
        <f t="shared" si="2"/>
        <v>6.6227146066031981</v>
      </c>
      <c r="X19">
        <f>IF(W19="","",LOOKUP(_xlfn.CONCAT(P19,", ",Q19),'[1]T+S Costs'!$F$2:$F$3138,'[1]T+S Costs'!$N$2:$N$3138))</f>
        <v>13.959728034231169</v>
      </c>
      <c r="Y19" s="14">
        <f t="shared" si="3"/>
        <v>0.28047106120965198</v>
      </c>
      <c r="Z19" s="4">
        <f t="shared" si="4"/>
        <v>6.90318566781285</v>
      </c>
    </row>
    <row r="20" spans="1:26" x14ac:dyDescent="0.25">
      <c r="A20" s="2" t="s">
        <v>40</v>
      </c>
      <c r="B20" s="59">
        <f>'[1]Net-Zero Cap'!$T$22</f>
        <v>777329.57569242141</v>
      </c>
      <c r="D20" s="59"/>
      <c r="P20" s="10" t="str">
        <f>IF('[1]All Data '!AZ25="","",'[1]All Data '!AZ25)</f>
        <v>Dodge County</v>
      </c>
      <c r="Q20" s="10" t="str">
        <f>IF('[1]All Data '!BB25="","",'[1]All Data '!BB25)</f>
        <v>MN</v>
      </c>
      <c r="R20" s="10">
        <f>IF('[1]All Data '!BD25="","",'[1]All Data '!BD25)</f>
        <v>70</v>
      </c>
      <c r="S20" s="11">
        <f>IF(R20="","",'[1]All Data '!BE25)</f>
        <v>0.2</v>
      </c>
      <c r="T20" s="12">
        <f>IF(S20="","",[1]Inputs_Outputs!$B$8*(1-'LOCH Calc COE Calc'!S20))</f>
        <v>254466.23093681919</v>
      </c>
      <c r="U20" s="13">
        <f t="shared" si="0"/>
        <v>52012897.603485852</v>
      </c>
      <c r="V20" s="13">
        <f t="shared" si="1"/>
        <v>1.7943111377350451</v>
      </c>
      <c r="W20" s="4">
        <f t="shared" si="2"/>
        <v>6.6227146066031981</v>
      </c>
      <c r="X20">
        <f>IF(W20="","",LOOKUP(_xlfn.CONCAT(P20,", ",Q20),'[1]T+S Costs'!$F$2:$F$3138,'[1]T+S Costs'!$N$2:$N$3138))</f>
        <v>24.140095389678251</v>
      </c>
      <c r="Y20" s="14">
        <f t="shared" si="3"/>
        <v>0.48500931787803103</v>
      </c>
      <c r="Z20" s="4">
        <f t="shared" si="4"/>
        <v>7.1077239244812294</v>
      </c>
    </row>
    <row r="21" spans="1:26" x14ac:dyDescent="0.25">
      <c r="A21" s="2" t="s">
        <v>41</v>
      </c>
      <c r="B21" s="59">
        <f>B20/1000</f>
        <v>777.32957569242137</v>
      </c>
      <c r="C21" t="s">
        <v>42</v>
      </c>
      <c r="D21" s="59"/>
      <c r="P21" s="10" t="str">
        <f>IF('[1]All Data '!AZ26="","",'[1]All Data '!AZ26)</f>
        <v>Fountain County</v>
      </c>
      <c r="Q21" s="10" t="str">
        <f>IF('[1]All Data '!BB26="","",'[1]All Data '!BB26)</f>
        <v>IN</v>
      </c>
      <c r="R21" s="10">
        <f>IF('[1]All Data '!BD26="","",'[1]All Data '!BD26)</f>
        <v>70</v>
      </c>
      <c r="S21" s="11">
        <f>IF(R21="","",'[1]All Data '!BE26)</f>
        <v>0.2</v>
      </c>
      <c r="T21" s="12">
        <f>IF(S21="","",[1]Inputs_Outputs!$B$8*(1-'LOCH Calc COE Calc'!S21))</f>
        <v>254466.23093681919</v>
      </c>
      <c r="U21" s="13">
        <f t="shared" si="0"/>
        <v>52012897.603485852</v>
      </c>
      <c r="V21" s="13">
        <f t="shared" si="1"/>
        <v>1.7943111377350451</v>
      </c>
      <c r="W21" s="4">
        <f t="shared" si="2"/>
        <v>6.6227146066031981</v>
      </c>
      <c r="X21">
        <f>IF(W21="","",LOOKUP(_xlfn.CONCAT(P21,", ",Q21),'[1]T+S Costs'!$F$2:$F$3138,'[1]T+S Costs'!$N$2:$N$3138))</f>
        <v>10.226892130452139</v>
      </c>
      <c r="Y21" s="14">
        <f t="shared" si="3"/>
        <v>0.20547300647053937</v>
      </c>
      <c r="Z21" s="4">
        <f t="shared" si="4"/>
        <v>6.8281876130737373</v>
      </c>
    </row>
    <row r="22" spans="1:26" x14ac:dyDescent="0.25">
      <c r="A22" s="18" t="s">
        <v>43</v>
      </c>
      <c r="B22" s="60">
        <f>'[1]Net-Zero O&amp;M'!$D$53+'[1]Net-Zero O&amp;M'!$D$54</f>
        <v>1000.01568</v>
      </c>
      <c r="C22" s="12">
        <f>B22*365*B19</f>
        <v>292004.57855999999</v>
      </c>
      <c r="D22" s="61">
        <f>C22/C28*907</f>
        <v>11.420724767097537</v>
      </c>
      <c r="P22" s="10" t="str">
        <f>IF('[1]All Data '!AZ27="","",'[1]All Data '!AZ27)</f>
        <v>Blackford County</v>
      </c>
      <c r="Q22" s="10" t="str">
        <f>IF('[1]All Data '!BB27="","",'[1]All Data '!BB27)</f>
        <v>IN</v>
      </c>
      <c r="R22" s="10">
        <f>IF('[1]All Data '!BD27="","",'[1]All Data '!BD27)</f>
        <v>70</v>
      </c>
      <c r="S22" s="11">
        <f>IF(R22="","",'[1]All Data '!BE27)</f>
        <v>0.2</v>
      </c>
      <c r="T22" s="12">
        <f>IF(S22="","",[1]Inputs_Outputs!$B$8*(1-'LOCH Calc COE Calc'!S22))</f>
        <v>254466.23093681919</v>
      </c>
      <c r="U22" s="13">
        <f t="shared" si="0"/>
        <v>52012897.603485852</v>
      </c>
      <c r="V22" s="13">
        <f t="shared" si="1"/>
        <v>1.7943111377350451</v>
      </c>
      <c r="W22" s="4">
        <f t="shared" si="2"/>
        <v>6.6227146066031981</v>
      </c>
      <c r="X22">
        <f>IF(W22="","",LOOKUP(_xlfn.CONCAT(P22,", ",Q22),'[1]T+S Costs'!$F$2:$F$3138,'[1]T+S Costs'!$N$2:$N$3138))</f>
        <v>9.645341702663405</v>
      </c>
      <c r="Y22" s="14">
        <f t="shared" si="3"/>
        <v>0.19378881998575467</v>
      </c>
      <c r="Z22" s="4">
        <f t="shared" si="4"/>
        <v>6.8165034265889526</v>
      </c>
    </row>
    <row r="23" spans="1:26" x14ac:dyDescent="0.25">
      <c r="A23" s="2" t="s">
        <v>44</v>
      </c>
      <c r="B23" s="59">
        <f>'[1]Net-Zero O&amp;M'!$G$55/B19</f>
        <v>56275717.75621824</v>
      </c>
      <c r="D23" s="59"/>
      <c r="P23" s="10" t="str">
        <f>IF('[1]All Data '!AZ28="","",'[1]All Data '!AZ28)</f>
        <v>Richland County</v>
      </c>
      <c r="Q23" s="10" t="str">
        <f>IF('[1]All Data '!BB28="","",'[1]All Data '!BB28)</f>
        <v>ND</v>
      </c>
      <c r="R23" s="10">
        <f>IF('[1]All Data '!BD28="","",'[1]All Data '!BD28)</f>
        <v>70</v>
      </c>
      <c r="S23" s="11">
        <f>IF(R23="","",'[1]All Data '!BE28)</f>
        <v>0.18867628267380882</v>
      </c>
      <c r="T23" s="12">
        <f>IF(S23="","",[1]Inputs_Outputs!$B$8*(1-'LOCH Calc COE Calc'!S23))</f>
        <v>258068.11052205644</v>
      </c>
      <c r="U23" s="13">
        <f t="shared" si="0"/>
        <v>52749121.790708341</v>
      </c>
      <c r="V23" s="13">
        <f t="shared" si="1"/>
        <v>1.8197089778837299</v>
      </c>
      <c r="W23" s="4">
        <f t="shared" si="2"/>
        <v>6.6481124467518828</v>
      </c>
      <c r="X23">
        <f>IF(W23="","",LOOKUP(_xlfn.CONCAT(P23,", ",Q23),'[1]T+S Costs'!$F$2:$F$3138,'[1]T+S Costs'!$N$2:$N$3138))</f>
        <v>20.3842793368934</v>
      </c>
      <c r="Y23" s="14">
        <f t="shared" si="3"/>
        <v>0.40954955881612543</v>
      </c>
      <c r="Z23" s="4">
        <f t="shared" si="4"/>
        <v>7.0576620055680079</v>
      </c>
    </row>
    <row r="24" spans="1:26" x14ac:dyDescent="0.25">
      <c r="A24" s="2" t="s">
        <v>45</v>
      </c>
      <c r="B24" s="62">
        <f>'[1]Net-Zero O&amp;M'!$G$19</f>
        <v>26801462.76426769</v>
      </c>
      <c r="D24" s="62"/>
      <c r="P24" s="10" t="str">
        <f>IF('[1]All Data '!AZ29="","",'[1]All Data '!AZ29)</f>
        <v>Clinton County</v>
      </c>
      <c r="Q24" s="10" t="str">
        <f>IF('[1]All Data '!BB29="","",'[1]All Data '!BB29)</f>
        <v>IN</v>
      </c>
      <c r="R24" s="10">
        <f>IF('[1]All Data '!BD29="","",'[1]All Data '!BD29)</f>
        <v>70</v>
      </c>
      <c r="S24" s="11">
        <f>IF(R24="","",'[1]All Data '!BE29)</f>
        <v>0.2</v>
      </c>
      <c r="T24" s="12">
        <f>IF(S24="","",[1]Inputs_Outputs!$B$8*(1-'LOCH Calc COE Calc'!S24))</f>
        <v>254466.23093681919</v>
      </c>
      <c r="U24" s="13">
        <f t="shared" si="0"/>
        <v>52012897.603485852</v>
      </c>
      <c r="V24" s="13">
        <f t="shared" si="1"/>
        <v>1.7943111377350451</v>
      </c>
      <c r="W24" s="4">
        <f t="shared" si="2"/>
        <v>6.6227146066031981</v>
      </c>
      <c r="X24">
        <f>IF(W24="","",LOOKUP(_xlfn.CONCAT(P24,", ",Q24),'[1]T+S Costs'!$F$2:$F$3138,'[1]T+S Costs'!$N$2:$N$3138))</f>
        <v>13.759103287185289</v>
      </c>
      <c r="Y24" s="14">
        <f t="shared" si="3"/>
        <v>0.27644022081140812</v>
      </c>
      <c r="Z24" s="4">
        <f t="shared" si="4"/>
        <v>6.8991548274146064</v>
      </c>
    </row>
    <row r="25" spans="1:26" x14ac:dyDescent="0.25">
      <c r="A25" s="18" t="s">
        <v>46</v>
      </c>
      <c r="B25" s="62">
        <f>'[1]Net-Zero O&amp;M'!$G$51/B19</f>
        <v>23037271.031096157</v>
      </c>
      <c r="D25" s="62"/>
      <c r="P25" s="10" t="str">
        <f>IF('[1]All Data '!AZ30="","",'[1]All Data '!AZ30)</f>
        <v>Boone County</v>
      </c>
      <c r="Q25" s="10" t="str">
        <f>IF('[1]All Data '!BB30="","",'[1]All Data '!BB30)</f>
        <v>IL</v>
      </c>
      <c r="R25" s="10">
        <f>IF('[1]All Data '!BD30="","",'[1]All Data '!BD30)</f>
        <v>70</v>
      </c>
      <c r="S25" s="11">
        <f>IF(R25="","",'[1]All Data '!BE30)</f>
        <v>0.2</v>
      </c>
      <c r="T25" s="12">
        <f>IF(S25="","",[1]Inputs_Outputs!$B$8*(1-'LOCH Calc COE Calc'!S25))</f>
        <v>254466.23093681919</v>
      </c>
      <c r="U25" s="13">
        <f t="shared" si="0"/>
        <v>52012897.603485852</v>
      </c>
      <c r="V25" s="13">
        <f t="shared" si="1"/>
        <v>1.7943111377350451</v>
      </c>
      <c r="W25" s="4">
        <f t="shared" si="2"/>
        <v>6.6227146066031981</v>
      </c>
      <c r="X25">
        <f>IF(W25="","",LOOKUP(_xlfn.CONCAT(P25,", ",Q25),'[1]T+S Costs'!$F$2:$F$3138,'[1]T+S Costs'!$N$2:$N$3138))</f>
        <v>20.92772159808333</v>
      </c>
      <c r="Y25" s="14">
        <f t="shared" si="3"/>
        <v>0.42046809729541085</v>
      </c>
      <c r="Z25" s="4">
        <f t="shared" si="4"/>
        <v>7.0431827038986086</v>
      </c>
    </row>
    <row r="26" spans="1:26" x14ac:dyDescent="0.25">
      <c r="A26" s="18" t="s">
        <v>47</v>
      </c>
      <c r="B26" s="60">
        <f>'[1]Net-Zero Cap'!$H$222</f>
        <v>11900</v>
      </c>
      <c r="D26" s="60"/>
      <c r="P26" s="10" t="str">
        <f>IF('[1]All Data '!AZ31="","",'[1]All Data '!AZ31)</f>
        <v>Clay County</v>
      </c>
      <c r="Q26" s="10" t="str">
        <f>IF('[1]All Data '!BB31="","",'[1]All Data '!BB31)</f>
        <v>SD</v>
      </c>
      <c r="R26" s="10">
        <f>IF('[1]All Data '!BD31="","",'[1]All Data '!BD31)</f>
        <v>70</v>
      </c>
      <c r="S26" s="11">
        <f>IF(R26="","",'[1]All Data '!BE31)</f>
        <v>0.2</v>
      </c>
      <c r="T26" s="12">
        <f>IF(S26="","",[1]Inputs_Outputs!$B$8*(1-'LOCH Calc COE Calc'!S26))</f>
        <v>254466.23093681919</v>
      </c>
      <c r="U26" s="13">
        <f t="shared" si="0"/>
        <v>52012897.603485852</v>
      </c>
      <c r="V26" s="13">
        <f t="shared" si="1"/>
        <v>1.7943111377350451</v>
      </c>
      <c r="W26" s="4">
        <f t="shared" si="2"/>
        <v>6.6227146066031981</v>
      </c>
      <c r="X26">
        <f>IF(W26="","",LOOKUP(_xlfn.CONCAT(P26,", ",Q26),'[1]T+S Costs'!$F$2:$F$3138,'[1]T+S Costs'!$N$2:$N$3138))</f>
        <v>24.883277263573234</v>
      </c>
      <c r="Y26" s="14">
        <f t="shared" si="3"/>
        <v>0.49994091313060174</v>
      </c>
      <c r="Z26" s="4">
        <f t="shared" si="4"/>
        <v>7.1226555197338</v>
      </c>
    </row>
    <row r="27" spans="1:26" ht="15.75" x14ac:dyDescent="0.3">
      <c r="A27" s="2" t="s">
        <v>48</v>
      </c>
      <c r="B27" s="60">
        <f>'[1]Net-Zero Cap'!$D$4</f>
        <v>79418.271629577896</v>
      </c>
      <c r="D27" s="60"/>
      <c r="P27" s="10" t="str">
        <f>IF('[1]All Data '!AZ32="","",'[1]All Data '!AZ32)</f>
        <v>Union County</v>
      </c>
      <c r="Q27" s="10" t="str">
        <f>IF('[1]All Data '!BB32="","",'[1]All Data '!BB32)</f>
        <v>SD</v>
      </c>
      <c r="R27" s="10">
        <f>IF('[1]All Data '!BD32="","",'[1]All Data '!BD32)</f>
        <v>70</v>
      </c>
      <c r="S27" s="11">
        <f>IF(R27="","",'[1]All Data '!BE32)</f>
        <v>0.2</v>
      </c>
      <c r="T27" s="12">
        <f>IF(S27="","",[1]Inputs_Outputs!$B$8*(1-'LOCH Calc COE Calc'!S27))</f>
        <v>254466.23093681919</v>
      </c>
      <c r="U27" s="13">
        <f t="shared" si="0"/>
        <v>52012897.603485852</v>
      </c>
      <c r="V27" s="13">
        <f t="shared" si="1"/>
        <v>1.7943111377350451</v>
      </c>
      <c r="W27" s="4">
        <f t="shared" si="2"/>
        <v>6.6227146066031981</v>
      </c>
      <c r="X27">
        <f>IF(W27="","",LOOKUP(_xlfn.CONCAT(P27,", ",Q27),'[1]T+S Costs'!$F$2:$F$3138,'[1]T+S Costs'!$N$2:$N$3138))</f>
        <v>25.118666722440103</v>
      </c>
      <c r="Y27" s="14">
        <f t="shared" si="3"/>
        <v>0.5046702267077765</v>
      </c>
      <c r="Z27" s="4">
        <f t="shared" si="4"/>
        <v>7.1273848333109751</v>
      </c>
    </row>
    <row r="28" spans="1:26" ht="15.75" x14ac:dyDescent="0.3">
      <c r="A28" s="2" t="s">
        <v>49</v>
      </c>
      <c r="B28" s="60">
        <f>B27*365</f>
        <v>28987669.144795932</v>
      </c>
      <c r="C28" s="63">
        <f>B28*B19</f>
        <v>23190135.315836746</v>
      </c>
      <c r="D28" s="64"/>
      <c r="F28" s="65"/>
      <c r="P28" s="10" t="str">
        <f>IF('[1]All Data '!AZ33="","",'[1]All Data '!AZ33)</f>
        <v>Bureau County</v>
      </c>
      <c r="Q28" s="10" t="str">
        <f>IF('[1]All Data '!BB33="","",'[1]All Data '!BB33)</f>
        <v>IL</v>
      </c>
      <c r="R28" s="10">
        <f>IF('[1]All Data '!BD33="","",'[1]All Data '!BD33)</f>
        <v>70</v>
      </c>
      <c r="S28" s="11">
        <f>IF(R28="","",'[1]All Data '!BE33)</f>
        <v>0.2</v>
      </c>
      <c r="T28" s="12">
        <f>IF(S28="","",[1]Inputs_Outputs!$B$8*(1-'LOCH Calc COE Calc'!S28))</f>
        <v>254466.23093681919</v>
      </c>
      <c r="U28" s="13">
        <f t="shared" si="0"/>
        <v>52012897.603485852</v>
      </c>
      <c r="V28" s="13">
        <f t="shared" si="1"/>
        <v>1.7943111377350451</v>
      </c>
      <c r="W28" s="4">
        <f t="shared" si="2"/>
        <v>6.6227146066031981</v>
      </c>
      <c r="X28">
        <f>IF(W28="","",LOOKUP(_xlfn.CONCAT(P28,", ",Q28),'[1]T+S Costs'!$F$2:$F$3138,'[1]T+S Costs'!$N$2:$N$3138))</f>
        <v>11.996768599899189</v>
      </c>
      <c r="Y28" s="14">
        <f t="shared" si="3"/>
        <v>0.24103237627907484</v>
      </c>
      <c r="Z28" s="4">
        <f t="shared" si="4"/>
        <v>6.8637469828822733</v>
      </c>
    </row>
    <row r="29" spans="1:26" ht="15.75" x14ac:dyDescent="0.3">
      <c r="A29" s="2" t="s">
        <v>50</v>
      </c>
      <c r="B29" s="66">
        <f>(($B$4*((B20*1000)*$C$4))+B24+((B25+B23)*B19))/(B28*B19)</f>
        <v>6.0835338843895341</v>
      </c>
      <c r="D29" s="66"/>
      <c r="F29" s="65"/>
      <c r="P29" s="10" t="str">
        <f>IF('[1]All Data '!AZ34="","",'[1]All Data '!AZ34)</f>
        <v>Iroquois County</v>
      </c>
      <c r="Q29" s="10" t="str">
        <f>IF('[1]All Data '!BB34="","",'[1]All Data '!BB34)</f>
        <v>IL</v>
      </c>
      <c r="R29" s="10">
        <f>IF('[1]All Data '!BD34="","",'[1]All Data '!BD34)</f>
        <v>70</v>
      </c>
      <c r="S29" s="11">
        <f>IF(R29="","",'[1]All Data '!BE34)</f>
        <v>0.2</v>
      </c>
      <c r="T29" s="12">
        <f>IF(S29="","",[1]Inputs_Outputs!$B$8*(1-'LOCH Calc COE Calc'!S29))</f>
        <v>254466.23093681919</v>
      </c>
      <c r="U29" s="13">
        <f t="shared" si="0"/>
        <v>52012897.603485852</v>
      </c>
      <c r="V29" s="13">
        <f t="shared" si="1"/>
        <v>1.7943111377350451</v>
      </c>
      <c r="W29" s="4">
        <f t="shared" si="2"/>
        <v>6.6227146066031981</v>
      </c>
      <c r="X29">
        <f>IF(W29="","",LOOKUP(_xlfn.CONCAT(P29,", ",Q29),'[1]T+S Costs'!$F$2:$F$3138,'[1]T+S Costs'!$N$2:$N$3138))</f>
        <v>11.733686263518571</v>
      </c>
      <c r="Y29" s="14">
        <f t="shared" si="3"/>
        <v>0.23574667286929127</v>
      </c>
      <c r="Z29" s="4">
        <f t="shared" si="4"/>
        <v>6.8584612794724897</v>
      </c>
    </row>
    <row r="30" spans="1:26" ht="15.75" x14ac:dyDescent="0.3">
      <c r="A30" s="2" t="s">
        <v>51</v>
      </c>
      <c r="B30" s="60">
        <f>('[1]Net-Zero Cap'!$H$154*1000)/B27</f>
        <v>5576.3663905605908</v>
      </c>
      <c r="D30" s="60"/>
      <c r="F30" s="65"/>
      <c r="P30" s="10" t="str">
        <f>IF('[1]All Data '!AZ35="","",'[1]All Data '!AZ35)</f>
        <v>Hill County</v>
      </c>
      <c r="Q30" s="10" t="str">
        <f>IF('[1]All Data '!BB35="","",'[1]All Data '!BB35)</f>
        <v>MT</v>
      </c>
      <c r="R30" s="10">
        <f>IF('[1]All Data '!BD35="","",'[1]All Data '!BD35)</f>
        <v>70</v>
      </c>
      <c r="S30" s="11">
        <f>IF(R30="","",'[1]All Data '!BE35)</f>
        <v>0.16</v>
      </c>
      <c r="T30" s="12">
        <f>IF(S30="","",[1]Inputs_Outputs!$B$8*(1-'LOCH Calc COE Calc'!S30))</f>
        <v>267189.5424836601</v>
      </c>
      <c r="U30" s="13">
        <f t="shared" si="0"/>
        <v>54613542.483660124</v>
      </c>
      <c r="V30" s="13">
        <f t="shared" si="1"/>
        <v>1.8840266946217969</v>
      </c>
      <c r="W30" s="4">
        <f t="shared" si="2"/>
        <v>6.7124301634899499</v>
      </c>
      <c r="X30">
        <f>IF(W30="","",LOOKUP(_xlfn.CONCAT(P30,", ",Q30),'[1]T+S Costs'!$F$2:$F$3138,'[1]T+S Costs'!$N$2:$N$3138))</f>
        <v>19.663870912675634</v>
      </c>
      <c r="Y30" s="14">
        <f t="shared" si="3"/>
        <v>0.39507551499884858</v>
      </c>
      <c r="Z30" s="4">
        <f t="shared" si="4"/>
        <v>7.1075056784887982</v>
      </c>
    </row>
    <row r="31" spans="1:26" ht="15.75" x14ac:dyDescent="0.3">
      <c r="A31" s="2" t="s">
        <v>52</v>
      </c>
      <c r="B31" s="60">
        <f>'[1]Net-Zero Cap'!$M$154</f>
        <v>7896.2638918201646</v>
      </c>
      <c r="D31" s="60"/>
      <c r="F31" s="65"/>
      <c r="P31" s="10" t="str">
        <f>IF('[1]All Data '!AZ36="","",'[1]All Data '!AZ36)</f>
        <v>Redwood County</v>
      </c>
      <c r="Q31" s="10" t="str">
        <f>IF('[1]All Data '!BB36="","",'[1]All Data '!BB36)</f>
        <v>MN</v>
      </c>
      <c r="R31" s="10">
        <f>IF('[1]All Data '!BD36="","",'[1]All Data '!BD36)</f>
        <v>70</v>
      </c>
      <c r="S31" s="11">
        <f>IF(R31="","",'[1]All Data '!BE36)</f>
        <v>0.19994056707669908</v>
      </c>
      <c r="T31" s="12">
        <f>IF(S31="","",[1]Inputs_Outputs!$B$8*(1-'LOCH Calc COE Calc'!S31))</f>
        <v>254485.13552680161</v>
      </c>
      <c r="U31" s="13">
        <f t="shared" si="0"/>
        <v>52016761.701678246</v>
      </c>
      <c r="V31" s="13">
        <f t="shared" si="1"/>
        <v>1.7944444391803285</v>
      </c>
      <c r="W31" s="4">
        <f t="shared" si="2"/>
        <v>6.6228479080484819</v>
      </c>
      <c r="X31">
        <f>IF(W31="","",LOOKUP(_xlfn.CONCAT(P31,", ",Q31),'[1]T+S Costs'!$F$2:$F$3138,'[1]T+S Costs'!$N$2:$N$3138))</f>
        <v>25.119761391744522</v>
      </c>
      <c r="Y31" s="14">
        <f t="shared" si="3"/>
        <v>0.50469222019222904</v>
      </c>
      <c r="Z31" s="4">
        <f t="shared" si="4"/>
        <v>7.1275401282407111</v>
      </c>
    </row>
    <row r="32" spans="1:26" ht="15.75" x14ac:dyDescent="0.3">
      <c r="A32" s="2" t="s">
        <v>53</v>
      </c>
      <c r="B32" s="60">
        <f>'[1]Net-Zero Cap'!$U$22</f>
        <v>9787.7926545422197</v>
      </c>
      <c r="D32" s="60"/>
      <c r="F32" s="65"/>
      <c r="P32" s="10" t="str">
        <f>IF('[1]All Data '!AZ37="","",'[1]All Data '!AZ37)</f>
        <v>Cass County</v>
      </c>
      <c r="Q32" s="10" t="str">
        <f>IF('[1]All Data '!BB37="","",'[1]All Data '!BB37)</f>
        <v>NE</v>
      </c>
      <c r="R32" s="10">
        <f>IF('[1]All Data '!BD37="","",'[1]All Data '!BD37)</f>
        <v>70</v>
      </c>
      <c r="S32" s="11">
        <f>IF(R32="","",'[1]All Data '!BE37)</f>
        <v>0.2</v>
      </c>
      <c r="T32" s="12">
        <f>IF(S32="","",[1]Inputs_Outputs!$B$8*(1-'LOCH Calc COE Calc'!S32))</f>
        <v>254466.23093681919</v>
      </c>
      <c r="U32" s="13">
        <f t="shared" si="0"/>
        <v>52012897.603485852</v>
      </c>
      <c r="V32" s="13">
        <f t="shared" si="1"/>
        <v>1.7943111377350451</v>
      </c>
      <c r="W32" s="4">
        <f t="shared" si="2"/>
        <v>6.6227146066031981</v>
      </c>
      <c r="X32">
        <f>IF(W32="","",LOOKUP(_xlfn.CONCAT(P32,", ",Q32),'[1]T+S Costs'!$F$2:$F$3138,'[1]T+S Costs'!$N$2:$N$3138))</f>
        <v>17.19959842281223</v>
      </c>
      <c r="Y32" s="14">
        <f t="shared" si="3"/>
        <v>0.3455647280661141</v>
      </c>
      <c r="Z32" s="4">
        <f t="shared" si="4"/>
        <v>6.9682793346693126</v>
      </c>
    </row>
    <row r="33" spans="1:26" ht="15.75" x14ac:dyDescent="0.3">
      <c r="A33" s="2" t="s">
        <v>54</v>
      </c>
      <c r="B33" s="60">
        <f>'[1]Net-Zero Cap'!$U$24</f>
        <v>10926.469906821118</v>
      </c>
      <c r="D33" s="60"/>
      <c r="F33" s="65"/>
      <c r="P33" s="10" t="str">
        <f>IF('[1]All Data '!AZ38="","",'[1]All Data '!AZ38)</f>
        <v>Henderson County</v>
      </c>
      <c r="Q33" s="10" t="str">
        <f>IF('[1]All Data '!BB38="","",'[1]All Data '!BB38)</f>
        <v>IL</v>
      </c>
      <c r="R33" s="10">
        <f>IF('[1]All Data '!BD38="","",'[1]All Data '!BD38)</f>
        <v>70</v>
      </c>
      <c r="S33" s="11">
        <f>IF(R33="","",'[1]All Data '!BE38)</f>
        <v>0.2</v>
      </c>
      <c r="T33" s="12">
        <f>IF(S33="","",[1]Inputs_Outputs!$B$8*(1-'LOCH Calc COE Calc'!S33))</f>
        <v>254466.23093681919</v>
      </c>
      <c r="U33" s="13">
        <f t="shared" si="0"/>
        <v>52012897.603485852</v>
      </c>
      <c r="V33" s="13">
        <f t="shared" si="1"/>
        <v>1.7943111377350451</v>
      </c>
      <c r="W33" s="4">
        <f t="shared" si="2"/>
        <v>6.6227146066031981</v>
      </c>
      <c r="X33">
        <f>IF(W33="","",LOOKUP(_xlfn.CONCAT(P33,", ",Q33),'[1]T+S Costs'!$F$2:$F$3138,'[1]T+S Costs'!$N$2:$N$3138))</f>
        <v>11.996768599899189</v>
      </c>
      <c r="Y33" s="14">
        <f t="shared" si="3"/>
        <v>0.24103237627907484</v>
      </c>
      <c r="Z33" s="4">
        <f t="shared" si="4"/>
        <v>6.8637469828822733</v>
      </c>
    </row>
    <row r="34" spans="1:26" ht="15.75" x14ac:dyDescent="0.3">
      <c r="A34" s="2" t="s">
        <v>55</v>
      </c>
      <c r="B34" s="67">
        <f>'[1]Net-Zero Cap'!$I$154*1000/B27</f>
        <v>807.72286875809505</v>
      </c>
      <c r="D34" s="67"/>
      <c r="P34" s="10" t="str">
        <f>IF('[1]All Data '!AZ39="","",'[1]All Data '!AZ39)</f>
        <v>Otoe County</v>
      </c>
      <c r="Q34" s="10" t="str">
        <f>IF('[1]All Data '!BB39="","",'[1]All Data '!BB39)</f>
        <v>NE</v>
      </c>
      <c r="R34" s="10">
        <f>IF('[1]All Data '!BD39="","",'[1]All Data '!BD39)</f>
        <v>70</v>
      </c>
      <c r="S34" s="11">
        <f>IF(R34="","",'[1]All Data '!BE39)</f>
        <v>0.2</v>
      </c>
      <c r="T34" s="12">
        <f>IF(S34="","",[1]Inputs_Outputs!$B$8*(1-'LOCH Calc COE Calc'!S34))</f>
        <v>254466.23093681919</v>
      </c>
      <c r="U34" s="13">
        <f t="shared" si="0"/>
        <v>52012897.603485852</v>
      </c>
      <c r="V34" s="13">
        <f t="shared" si="1"/>
        <v>1.7943111377350451</v>
      </c>
      <c r="W34" s="4">
        <f t="shared" si="2"/>
        <v>6.6227146066031981</v>
      </c>
      <c r="X34">
        <f>IF(W34="","",LOOKUP(_xlfn.CONCAT(P34,", ",Q34),'[1]T+S Costs'!$F$2:$F$3138,'[1]T+S Costs'!$N$2:$N$3138))</f>
        <v>20.874117491974292</v>
      </c>
      <c r="Y34" s="14">
        <f t="shared" si="3"/>
        <v>0.41939111352547431</v>
      </c>
      <c r="Z34" s="4">
        <f t="shared" si="4"/>
        <v>7.0421057201286725</v>
      </c>
    </row>
    <row r="35" spans="1:26" x14ac:dyDescent="0.25">
      <c r="A35" s="2" t="s">
        <v>56</v>
      </c>
      <c r="B35" s="67">
        <f>B34/B32*100</f>
        <v>8.2523496079910839</v>
      </c>
      <c r="D35" s="67"/>
      <c r="P35" s="10" t="str">
        <f>IF('[1]All Data '!AZ40="","",'[1]All Data '!AZ40)</f>
        <v>Marshall County</v>
      </c>
      <c r="Q35" s="10" t="str">
        <f>IF('[1]All Data '!BB40="","",'[1]All Data '!BB40)</f>
        <v>IL</v>
      </c>
      <c r="R35" s="10">
        <f>IF('[1]All Data '!BD40="","",'[1]All Data '!BD40)</f>
        <v>70</v>
      </c>
      <c r="S35" s="11">
        <f>IF(R35="","",'[1]All Data '!BE40)</f>
        <v>0.2</v>
      </c>
      <c r="T35" s="12">
        <f>IF(S35="","",[1]Inputs_Outputs!$B$8*(1-'LOCH Calc COE Calc'!S35))</f>
        <v>254466.23093681919</v>
      </c>
      <c r="U35" s="13">
        <f t="shared" si="0"/>
        <v>52012897.603485852</v>
      </c>
      <c r="V35" s="13">
        <f t="shared" si="1"/>
        <v>1.7943111377350451</v>
      </c>
      <c r="W35" s="4">
        <f t="shared" si="2"/>
        <v>6.6227146066031981</v>
      </c>
      <c r="X35">
        <f>IF(W35="","",LOOKUP(_xlfn.CONCAT(P35,", ",Q35),'[1]T+S Costs'!$F$2:$F$3138,'[1]T+S Costs'!$N$2:$N$3138))</f>
        <v>19.681542109964614</v>
      </c>
      <c r="Y35" s="14">
        <f t="shared" si="3"/>
        <v>0.39543055482801515</v>
      </c>
      <c r="Z35" s="4">
        <f t="shared" si="4"/>
        <v>7.0181451614312129</v>
      </c>
    </row>
    <row r="36" spans="1:26" ht="15.75" x14ac:dyDescent="0.3">
      <c r="A36" s="2" t="s">
        <v>57</v>
      </c>
      <c r="B36" s="60">
        <f>'[1]Net-Zero Cap'!$J$154*1000/B27</f>
        <v>353.6154855519456</v>
      </c>
      <c r="D36" s="60"/>
      <c r="P36" s="10" t="str">
        <f>IF('[1]All Data '!AZ41="","",'[1]All Data '!AZ41)</f>
        <v>Platte County</v>
      </c>
      <c r="Q36" s="10" t="str">
        <f>IF('[1]All Data '!BB41="","",'[1]All Data '!BB41)</f>
        <v>NE</v>
      </c>
      <c r="R36" s="10">
        <f>IF('[1]All Data '!BD41="","",'[1]All Data '!BD41)</f>
        <v>70</v>
      </c>
      <c r="S36" s="11">
        <f>IF(R36="","",'[1]All Data '!BE41)</f>
        <v>0.2</v>
      </c>
      <c r="T36" s="12">
        <f>IF(S36="","",[1]Inputs_Outputs!$B$8*(1-'LOCH Calc COE Calc'!S36))</f>
        <v>254466.23093681919</v>
      </c>
      <c r="U36" s="13">
        <f t="shared" si="0"/>
        <v>52012897.603485852</v>
      </c>
      <c r="V36" s="13">
        <f t="shared" si="1"/>
        <v>1.7943111377350451</v>
      </c>
      <c r="W36" s="4">
        <f t="shared" si="2"/>
        <v>6.6227146066031981</v>
      </c>
      <c r="X36">
        <f>IF(W36="","",LOOKUP(_xlfn.CONCAT(P36,", ",Q36),'[1]T+S Costs'!$F$2:$F$3138,'[1]T+S Costs'!$N$2:$N$3138))</f>
        <v>21.62182518484552</v>
      </c>
      <c r="Y36" s="14">
        <f t="shared" si="3"/>
        <v>0.43441363900591162</v>
      </c>
      <c r="Z36" s="4">
        <f t="shared" si="4"/>
        <v>7.0571282456091096</v>
      </c>
    </row>
    <row r="37" spans="1:26" x14ac:dyDescent="0.25">
      <c r="A37" s="2" t="s">
        <v>58</v>
      </c>
      <c r="B37" s="68">
        <f>B36/B32*100</f>
        <v>3.6128215832999211</v>
      </c>
      <c r="D37" s="68"/>
      <c r="P37" s="10" t="str">
        <f>IF('[1]All Data '!AZ42="","",'[1]All Data '!AZ42)</f>
        <v>La Salle County</v>
      </c>
      <c r="Q37" s="10" t="str">
        <f>IF('[1]All Data '!BB42="","",'[1]All Data '!BB42)</f>
        <v>IL</v>
      </c>
      <c r="R37" s="10">
        <f>IF('[1]All Data '!BD42="","",'[1]All Data '!BD42)</f>
        <v>70</v>
      </c>
      <c r="S37" s="11">
        <f>IF(R37="","",'[1]All Data '!BE42)</f>
        <v>0.2</v>
      </c>
      <c r="T37" s="12">
        <f>IF(S37="","",[1]Inputs_Outputs!$B$8*(1-'LOCH Calc COE Calc'!S37))</f>
        <v>254466.23093681919</v>
      </c>
      <c r="U37" s="13">
        <f t="shared" si="0"/>
        <v>52012897.603485852</v>
      </c>
      <c r="V37" s="13">
        <f t="shared" si="1"/>
        <v>1.7943111377350451</v>
      </c>
      <c r="W37" s="4">
        <f t="shared" si="2"/>
        <v>6.6227146066031981</v>
      </c>
      <c r="X37">
        <f>IF(W37="","",LOOKUP(_xlfn.CONCAT(P37,", ",Q37),'[1]T+S Costs'!$F$2:$F$3138,'[1]T+S Costs'!$N$2:$N$3138))</f>
        <v>11.996768599899189</v>
      </c>
      <c r="Y37" s="14">
        <f t="shared" si="3"/>
        <v>0.24103237627907484</v>
      </c>
      <c r="Z37" s="4">
        <f t="shared" si="4"/>
        <v>6.8637469828822733</v>
      </c>
    </row>
    <row r="38" spans="1:26" ht="15.75" x14ac:dyDescent="0.3">
      <c r="A38" s="2" t="s">
        <v>59</v>
      </c>
      <c r="B38" s="60">
        <f>'[1]Net-Zero Cap'!$K$154*1000/B27</f>
        <v>1158.5591469495332</v>
      </c>
      <c r="D38" s="60"/>
      <c r="P38" s="10" t="str">
        <f>IF('[1]All Data '!AZ43="","",'[1]All Data '!AZ43)</f>
        <v>Custer County</v>
      </c>
      <c r="Q38" s="10" t="str">
        <f>IF('[1]All Data '!BB43="","",'[1]All Data '!BB43)</f>
        <v>NE</v>
      </c>
      <c r="R38" s="10">
        <f>IF('[1]All Data '!BD43="","",'[1]All Data '!BD43)</f>
        <v>70</v>
      </c>
      <c r="S38" s="11">
        <f>IF(R38="","",'[1]All Data '!BE43)</f>
        <v>0.2</v>
      </c>
      <c r="T38" s="12">
        <f>IF(S38="","",[1]Inputs_Outputs!$B$8*(1-'LOCH Calc COE Calc'!S38))</f>
        <v>254466.23093681919</v>
      </c>
      <c r="U38" s="13">
        <f t="shared" si="0"/>
        <v>52012897.603485852</v>
      </c>
      <c r="V38" s="13">
        <f t="shared" si="1"/>
        <v>1.7943111377350451</v>
      </c>
      <c r="W38" s="4">
        <f t="shared" si="2"/>
        <v>6.6227146066031981</v>
      </c>
      <c r="X38">
        <f>IF(W38="","",LOOKUP(_xlfn.CONCAT(P38,", ",Q38),'[1]T+S Costs'!$F$2:$F$3138,'[1]T+S Costs'!$N$2:$N$3138))</f>
        <v>16.907728539613444</v>
      </c>
      <c r="Y38" s="14">
        <f t="shared" si="3"/>
        <v>0.33970064133926914</v>
      </c>
      <c r="Z38" s="4">
        <f t="shared" si="4"/>
        <v>6.9624152479424675</v>
      </c>
    </row>
    <row r="39" spans="1:26" x14ac:dyDescent="0.25">
      <c r="A39" s="2" t="s">
        <v>60</v>
      </c>
      <c r="B39" s="68">
        <f>B38/B32*100</f>
        <v>11.836776562812462</v>
      </c>
      <c r="D39" s="68"/>
      <c r="P39" s="10" t="str">
        <f>IF('[1]All Data '!AZ44="","",'[1]All Data '!AZ44)</f>
        <v>Boone County</v>
      </c>
      <c r="Q39" s="10" t="str">
        <f>IF('[1]All Data '!BB44="","",'[1]All Data '!BB44)</f>
        <v>IN</v>
      </c>
      <c r="R39" s="10">
        <f>IF('[1]All Data '!BD44="","",'[1]All Data '!BD44)</f>
        <v>70</v>
      </c>
      <c r="S39" s="11">
        <f>IF(R39="","",'[1]All Data '!BE44)</f>
        <v>0.2</v>
      </c>
      <c r="T39" s="12">
        <f>IF(S39="","",[1]Inputs_Outputs!$B$8*(1-'LOCH Calc COE Calc'!S39))</f>
        <v>254466.23093681919</v>
      </c>
      <c r="U39" s="13">
        <f t="shared" si="0"/>
        <v>52012897.603485852</v>
      </c>
      <c r="V39" s="13">
        <f t="shared" si="1"/>
        <v>1.7943111377350451</v>
      </c>
      <c r="W39" s="4">
        <f t="shared" si="2"/>
        <v>6.6227146066031981</v>
      </c>
      <c r="X39">
        <f>IF(W39="","",LOOKUP(_xlfn.CONCAT(P39,", ",Q39),'[1]T+S Costs'!$F$2:$F$3138,'[1]T+S Costs'!$N$2:$N$3138))</f>
        <v>20.92772159808333</v>
      </c>
      <c r="Y39" s="14">
        <f t="shared" si="3"/>
        <v>0.42046809729541085</v>
      </c>
      <c r="Z39" s="4">
        <f t="shared" si="4"/>
        <v>7.0431827038986086</v>
      </c>
    </row>
    <row r="40" spans="1:26" ht="15.75" x14ac:dyDescent="0.3">
      <c r="A40" s="2" t="s">
        <v>61</v>
      </c>
      <c r="B40" s="60">
        <f>B32-B31</f>
        <v>1891.528762722055</v>
      </c>
      <c r="D40" s="60"/>
      <c r="P40" s="10" t="str">
        <f>IF('[1]All Data '!AZ45="","",'[1]All Data '!AZ45)</f>
        <v>Nicollet County</v>
      </c>
      <c r="Q40" s="10" t="str">
        <f>IF('[1]All Data '!BB45="","",'[1]All Data '!BB45)</f>
        <v>MN</v>
      </c>
      <c r="R40" s="10">
        <f>IF('[1]All Data '!BD45="","",'[1]All Data '!BD45)</f>
        <v>70</v>
      </c>
      <c r="S40" s="11">
        <f>IF(R40="","",'[1]All Data '!BE45)</f>
        <v>0.19987599586913193</v>
      </c>
      <c r="T40" s="12">
        <f>IF(S40="","",[1]Inputs_Outputs!$B$8*(1-'LOCH Calc COE Calc'!S40))</f>
        <v>254505.67451657241</v>
      </c>
      <c r="U40" s="13">
        <f t="shared" si="0"/>
        <v>52020959.871187411</v>
      </c>
      <c r="V40" s="13">
        <f t="shared" si="1"/>
        <v>1.7945892652264723</v>
      </c>
      <c r="W40" s="4">
        <f t="shared" si="2"/>
        <v>6.622992734094626</v>
      </c>
      <c r="X40">
        <f>IF(W40="","",LOOKUP(_xlfn.CONCAT(P40,", ",Q40),'[1]T+S Costs'!$F$2:$F$3138,'[1]T+S Costs'!$N$2:$N$3138))</f>
        <v>28.238641261713141</v>
      </c>
      <c r="Y40" s="14">
        <f t="shared" si="3"/>
        <v>0.5673550131041325</v>
      </c>
      <c r="Z40" s="4">
        <f t="shared" si="4"/>
        <v>7.1903477471987589</v>
      </c>
    </row>
    <row r="41" spans="1:26" x14ac:dyDescent="0.25">
      <c r="A41" s="2"/>
      <c r="P41" s="10" t="str">
        <f>IF('[1]All Data '!AZ46="","",'[1]All Data '!AZ46)</f>
        <v>Lee County</v>
      </c>
      <c r="Q41" s="10" t="str">
        <f>IF('[1]All Data '!BB46="","",'[1]All Data '!BB46)</f>
        <v>IL</v>
      </c>
      <c r="R41" s="10">
        <f>IF('[1]All Data '!BD46="","",'[1]All Data '!BD46)</f>
        <v>70</v>
      </c>
      <c r="S41" s="11">
        <f>IF(R41="","",'[1]All Data '!BE46)</f>
        <v>0.2</v>
      </c>
      <c r="T41" s="12">
        <f>IF(S41="","",[1]Inputs_Outputs!$B$8*(1-'LOCH Calc COE Calc'!S41))</f>
        <v>254466.23093681919</v>
      </c>
      <c r="U41" s="13">
        <f t="shared" si="0"/>
        <v>52012897.603485852</v>
      </c>
      <c r="V41" s="13">
        <f t="shared" si="1"/>
        <v>1.7943111377350451</v>
      </c>
      <c r="W41" s="4">
        <f t="shared" si="2"/>
        <v>6.6227146066031981</v>
      </c>
      <c r="X41">
        <f>IF(W41="","",LOOKUP(_xlfn.CONCAT(P41,", ",Q41),'[1]T+S Costs'!$F$2:$F$3138,'[1]T+S Costs'!$N$2:$N$3138))</f>
        <v>14.253738117269759</v>
      </c>
      <c r="Y41" s="14">
        <f t="shared" si="3"/>
        <v>0.28637814763669162</v>
      </c>
      <c r="Z41" s="4">
        <f t="shared" si="4"/>
        <v>6.9090927542398894</v>
      </c>
    </row>
    <row r="42" spans="1:26" s="70" customFormat="1" x14ac:dyDescent="0.25">
      <c r="A42" s="18" t="s">
        <v>62</v>
      </c>
      <c r="B42" s="69">
        <f>'[1]Input Output Interface'!J12</f>
        <v>-273.09636949539259</v>
      </c>
      <c r="D42" s="69"/>
      <c r="P42" s="10" t="str">
        <f>IF('[1]All Data '!AZ47="","",'[1]All Data '!AZ47)</f>
        <v>Antelope County</v>
      </c>
      <c r="Q42" s="10" t="str">
        <f>IF('[1]All Data '!BB47="","",'[1]All Data '!BB47)</f>
        <v>NE</v>
      </c>
      <c r="R42" s="10">
        <f>IF('[1]All Data '!BD47="","",'[1]All Data '!BD47)</f>
        <v>70</v>
      </c>
      <c r="S42" s="11">
        <f>IF(R42="","",'[1]All Data '!BE47)</f>
        <v>0.2</v>
      </c>
      <c r="T42" s="12">
        <f>IF(S42="","",[1]Inputs_Outputs!$B$8*(1-'LOCH Calc COE Calc'!S42))</f>
        <v>254466.23093681919</v>
      </c>
      <c r="U42" s="13">
        <f t="shared" si="0"/>
        <v>52012897.603485852</v>
      </c>
      <c r="V42" s="13">
        <f t="shared" si="1"/>
        <v>1.7943111377350451</v>
      </c>
      <c r="W42" s="4">
        <f t="shared" si="2"/>
        <v>6.6227146066031981</v>
      </c>
      <c r="X42">
        <f>IF(W42="","",LOOKUP(_xlfn.CONCAT(P42,", ",Q42),'[1]T+S Costs'!$F$2:$F$3138,'[1]T+S Costs'!$N$2:$N$3138))</f>
        <v>21.14473879921708</v>
      </c>
      <c r="Y42" s="14">
        <f t="shared" si="3"/>
        <v>0.42482828572841447</v>
      </c>
      <c r="Z42" s="4">
        <f t="shared" si="4"/>
        <v>7.047542892331613</v>
      </c>
    </row>
    <row r="43" spans="1:26" x14ac:dyDescent="0.25">
      <c r="A43" s="2" t="s">
        <v>63</v>
      </c>
      <c r="B43" s="68">
        <f>'[1]Net-Zero Cap'!$H$178/2.20462/1000</f>
        <v>51.092899003002785</v>
      </c>
      <c r="C43" t="s">
        <v>64</v>
      </c>
      <c r="D43" s="68"/>
      <c r="E43" t="s">
        <v>65</v>
      </c>
      <c r="P43" s="10" t="str">
        <f>IF('[1]All Data '!AZ48="","",'[1]All Data '!AZ48)</f>
        <v>Adams County</v>
      </c>
      <c r="Q43" s="10" t="str">
        <f>IF('[1]All Data '!BB48="","",'[1]All Data '!BB48)</f>
        <v>IN</v>
      </c>
      <c r="R43" s="10">
        <f>IF('[1]All Data '!BD48="","",'[1]All Data '!BD48)</f>
        <v>70</v>
      </c>
      <c r="S43" s="11">
        <f>IF(R43="","",'[1]All Data '!BE48)</f>
        <v>0.2</v>
      </c>
      <c r="T43" s="12">
        <f>IF(S43="","",[1]Inputs_Outputs!$B$8*(1-'LOCH Calc COE Calc'!S43))</f>
        <v>254466.23093681919</v>
      </c>
      <c r="U43" s="13">
        <f t="shared" si="0"/>
        <v>52012897.603485852</v>
      </c>
      <c r="V43" s="13">
        <f t="shared" si="1"/>
        <v>1.7943111377350451</v>
      </c>
      <c r="W43" s="4">
        <f t="shared" si="2"/>
        <v>6.6227146066031981</v>
      </c>
      <c r="X43">
        <f>IF(W43="","",LOOKUP(_xlfn.CONCAT(P43,", ",Q43),'[1]T+S Costs'!$F$2:$F$3138,'[1]T+S Costs'!$N$2:$N$3138))</f>
        <v>10.503820905589633</v>
      </c>
      <c r="Y43" s="14">
        <f t="shared" si="3"/>
        <v>0.21103690479662732</v>
      </c>
      <c r="Z43" s="4">
        <f t="shared" si="4"/>
        <v>6.8337515113998251</v>
      </c>
    </row>
    <row r="44" spans="1:26" x14ac:dyDescent="0.25">
      <c r="A44" s="2" t="s">
        <v>66</v>
      </c>
      <c r="B44" s="68">
        <f>B43*24*365/1000000</f>
        <v>0.44757379526630436</v>
      </c>
      <c r="C44" s="68">
        <f>B44*10^6</f>
        <v>447573.79526630434</v>
      </c>
      <c r="D44" s="68"/>
      <c r="E44" s="14">
        <f>C28/C44</f>
        <v>51.812987179105789</v>
      </c>
      <c r="P44" s="10" t="str">
        <f>IF('[1]All Data '!AZ49="","",'[1]All Data '!AZ49)</f>
        <v>Henry County</v>
      </c>
      <c r="Q44" s="10" t="str">
        <f>IF('[1]All Data '!BB49="","",'[1]All Data '!BB49)</f>
        <v>IL</v>
      </c>
      <c r="R44" s="10">
        <f>IF('[1]All Data '!BD49="","",'[1]All Data '!BD49)</f>
        <v>70</v>
      </c>
      <c r="S44" s="11">
        <f>IF(R44="","",'[1]All Data '!BE49)</f>
        <v>0.2</v>
      </c>
      <c r="T44" s="12">
        <f>IF(S44="","",[1]Inputs_Outputs!$B$8*(1-'LOCH Calc COE Calc'!S44))</f>
        <v>254466.23093681919</v>
      </c>
      <c r="U44" s="13">
        <f t="shared" si="0"/>
        <v>52012897.603485852</v>
      </c>
      <c r="V44" s="13">
        <f t="shared" si="1"/>
        <v>1.7943111377350451</v>
      </c>
      <c r="W44" s="4">
        <f t="shared" si="2"/>
        <v>6.6227146066031981</v>
      </c>
      <c r="X44">
        <f>IF(W44="","",LOOKUP(_xlfn.CONCAT(P44,", ",Q44),'[1]T+S Costs'!$F$2:$F$3138,'[1]T+S Costs'!$N$2:$N$3138))</f>
        <v>14.516820453650375</v>
      </c>
      <c r="Y44" s="14">
        <f t="shared" si="3"/>
        <v>0.29166385104647513</v>
      </c>
      <c r="Z44" s="4">
        <f t="shared" si="4"/>
        <v>6.914378457649673</v>
      </c>
    </row>
    <row r="45" spans="1:26" ht="15.75" x14ac:dyDescent="0.3">
      <c r="A45" s="2" t="s">
        <v>67</v>
      </c>
      <c r="B45" s="68">
        <f>('[1]Net-Zero Cap'!$H$181*24)/B27</f>
        <v>20.195554472920069</v>
      </c>
      <c r="D45" s="68"/>
      <c r="P45" s="10" t="str">
        <f>IF('[1]All Data '!AZ50="","",'[1]All Data '!AZ50)</f>
        <v>Champaign County</v>
      </c>
      <c r="Q45" s="10" t="str">
        <f>IF('[1]All Data '!BB50="","",'[1]All Data '!BB50)</f>
        <v>IL</v>
      </c>
      <c r="R45" s="10">
        <f>IF('[1]All Data '!BD50="","",'[1]All Data '!BD50)</f>
        <v>70</v>
      </c>
      <c r="S45" s="11">
        <f>IF(R45="","",'[1]All Data '!BE50)</f>
        <v>0.2</v>
      </c>
      <c r="T45" s="12">
        <f>IF(S45="","",[1]Inputs_Outputs!$B$8*(1-'LOCH Calc COE Calc'!S45))</f>
        <v>254466.23093681919</v>
      </c>
      <c r="U45" s="13">
        <f t="shared" si="0"/>
        <v>52012897.603485852</v>
      </c>
      <c r="V45" s="13">
        <f t="shared" si="1"/>
        <v>1.7943111377350451</v>
      </c>
      <c r="W45" s="4">
        <f t="shared" si="2"/>
        <v>6.6227146066031981</v>
      </c>
      <c r="X45">
        <f>IF(W45="","",LOOKUP(_xlfn.CONCAT(P45,", ",Q45),'[1]T+S Costs'!$F$2:$F$3138,'[1]T+S Costs'!$N$2:$N$3138))</f>
        <v>10.23827087777611</v>
      </c>
      <c r="Y45" s="14">
        <f t="shared" si="3"/>
        <v>0.2057016219084164</v>
      </c>
      <c r="Z45" s="4">
        <f t="shared" si="4"/>
        <v>6.8284162285116148</v>
      </c>
    </row>
    <row r="46" spans="1:26" ht="15.75" thickBot="1" x14ac:dyDescent="0.3">
      <c r="A46" s="2"/>
      <c r="P46" s="10" t="str">
        <f>IF('[1]All Data '!AZ51="","",'[1]All Data '!AZ51)</f>
        <v>Whitman County</v>
      </c>
      <c r="Q46" s="10" t="str">
        <f>IF('[1]All Data '!BB51="","",'[1]All Data '!BB51)</f>
        <v>WA</v>
      </c>
      <c r="R46" s="10">
        <f>IF('[1]All Data '!BD51="","",'[1]All Data '!BD51)</f>
        <v>70</v>
      </c>
      <c r="S46" s="11">
        <f>IF(R46="","",'[1]All Data '!BE51)</f>
        <v>0.16000000000000003</v>
      </c>
      <c r="T46" s="12">
        <f>IF(S46="","",[1]Inputs_Outputs!$B$8*(1-'LOCH Calc COE Calc'!S46))</f>
        <v>267189.5424836601</v>
      </c>
      <c r="U46" s="13">
        <f t="shared" si="0"/>
        <v>54613542.483660124</v>
      </c>
      <c r="V46" s="13">
        <f t="shared" si="1"/>
        <v>1.8840266946217969</v>
      </c>
      <c r="W46" s="4">
        <f t="shared" si="2"/>
        <v>6.7124301634899499</v>
      </c>
      <c r="X46">
        <f>IF(W46="","",LOOKUP(_xlfn.CONCAT(P46,", ",Q46),'[1]T+S Costs'!$F$2:$F$3138,'[1]T+S Costs'!$N$2:$N$3138))</f>
        <v>29.483523727926105</v>
      </c>
      <c r="Y46" s="14">
        <f t="shared" si="3"/>
        <v>0.59236649653159379</v>
      </c>
      <c r="Z46" s="4">
        <f t="shared" si="4"/>
        <v>7.3047966600215437</v>
      </c>
    </row>
    <row r="47" spans="1:26" ht="15.75" thickBot="1" x14ac:dyDescent="0.3">
      <c r="A47" s="71" t="s">
        <v>68</v>
      </c>
      <c r="B47" s="72"/>
      <c r="P47" s="10" t="str">
        <f>IF('[1]All Data '!AZ52="","",'[1]All Data '!AZ52)</f>
        <v>Hamilton County</v>
      </c>
      <c r="Q47" s="10" t="str">
        <f>IF('[1]All Data '!BB52="","",'[1]All Data '!BB52)</f>
        <v>NE</v>
      </c>
      <c r="R47" s="10">
        <f>IF('[1]All Data '!BD52="","",'[1]All Data '!BD52)</f>
        <v>70</v>
      </c>
      <c r="S47" s="11">
        <f>IF(R47="","",'[1]All Data '!BE52)</f>
        <v>0.20017357172737171</v>
      </c>
      <c r="T47" s="12">
        <f>IF(S47="","",[1]Inputs_Outputs!$B$8*(1-'LOCH Calc COE Calc'!S47))</f>
        <v>254411.02075774234</v>
      </c>
      <c r="U47" s="13">
        <f t="shared" si="0"/>
        <v>52001612.642882541</v>
      </c>
      <c r="V47" s="13">
        <f t="shared" si="1"/>
        <v>1.7939218356305213</v>
      </c>
      <c r="W47" s="4">
        <f t="shared" si="2"/>
        <v>6.6223253044986752</v>
      </c>
      <c r="X47">
        <f>IF(W47="","",LOOKUP(_xlfn.CONCAT(P47,", ",Q47),'[1]T+S Costs'!$F$2:$F$3138,'[1]T+S Costs'!$N$2:$N$3138))</f>
        <v>19.475627177529951</v>
      </c>
      <c r="Y47" s="14">
        <f t="shared" si="3"/>
        <v>0.3912934269787301</v>
      </c>
      <c r="Z47" s="4">
        <f t="shared" si="4"/>
        <v>7.013618731477405</v>
      </c>
    </row>
    <row r="48" spans="1:26" x14ac:dyDescent="0.25">
      <c r="A48" s="73" t="s">
        <v>69</v>
      </c>
      <c r="B48" s="74" t="s">
        <v>70</v>
      </c>
      <c r="C48" t="s">
        <v>71</v>
      </c>
      <c r="P48" s="10" t="str">
        <f>IF('[1]All Data '!AZ53="","",'[1]All Data '!AZ53)</f>
        <v>Wells County</v>
      </c>
      <c r="Q48" s="10" t="str">
        <f>IF('[1]All Data '!BB53="","",'[1]All Data '!BB53)</f>
        <v>IN</v>
      </c>
      <c r="R48" s="10">
        <f>IF('[1]All Data '!BD53="","",'[1]All Data '!BD53)</f>
        <v>70</v>
      </c>
      <c r="S48" s="11">
        <f>IF(R48="","",'[1]All Data '!BE53)</f>
        <v>0.2</v>
      </c>
      <c r="T48" s="12">
        <f>IF(S48="","",[1]Inputs_Outputs!$B$8*(1-'LOCH Calc COE Calc'!S48))</f>
        <v>254466.23093681919</v>
      </c>
      <c r="U48" s="13">
        <f t="shared" si="0"/>
        <v>52012897.603485852</v>
      </c>
      <c r="V48" s="13">
        <f t="shared" si="1"/>
        <v>1.7943111377350451</v>
      </c>
      <c r="W48" s="4">
        <f t="shared" si="2"/>
        <v>6.6227146066031981</v>
      </c>
      <c r="X48">
        <f>IF(W48="","",LOOKUP(_xlfn.CONCAT(P48,", ",Q48),'[1]T+S Costs'!$F$2:$F$3138,'[1]T+S Costs'!$N$2:$N$3138))</f>
        <v>10.226892130452139</v>
      </c>
      <c r="Y48" s="14">
        <f t="shared" si="3"/>
        <v>0.20547300647053937</v>
      </c>
      <c r="Z48" s="4">
        <f t="shared" si="4"/>
        <v>6.8281876130737373</v>
      </c>
    </row>
    <row r="49" spans="1:28" x14ac:dyDescent="0.25">
      <c r="A49" s="75" t="s">
        <v>72</v>
      </c>
      <c r="B49" s="76">
        <f>($B$4*((B20*1000)*$C$4))/((B28)*B19)</f>
        <v>2.1917129629098118</v>
      </c>
      <c r="C49">
        <f>B49*$B$59/$B$58</f>
        <v>2.5548163450565586</v>
      </c>
      <c r="D49" s="66"/>
      <c r="P49" s="10" t="str">
        <f>IF('[1]All Data '!AZ54="","",'[1]All Data '!AZ54)</f>
        <v>Dakota County</v>
      </c>
      <c r="Q49" s="10" t="str">
        <f>IF('[1]All Data '!BB54="","",'[1]All Data '!BB54)</f>
        <v>NE</v>
      </c>
      <c r="R49" s="10">
        <f>IF('[1]All Data '!BD54="","",'[1]All Data '!BD54)</f>
        <v>70</v>
      </c>
      <c r="S49" s="11">
        <f>IF(R49="","",'[1]All Data '!BE54)</f>
        <v>0.2</v>
      </c>
      <c r="T49" s="12">
        <f>IF(S49="","",[1]Inputs_Outputs!$B$8*(1-'LOCH Calc COE Calc'!S49))</f>
        <v>254466.23093681919</v>
      </c>
      <c r="U49" s="13">
        <f t="shared" si="0"/>
        <v>52012897.603485852</v>
      </c>
      <c r="V49" s="13">
        <f t="shared" si="1"/>
        <v>1.7943111377350451</v>
      </c>
      <c r="W49" s="4">
        <f t="shared" si="2"/>
        <v>6.6227146066031981</v>
      </c>
      <c r="X49">
        <f>IF(W49="","",LOOKUP(_xlfn.CONCAT(P49,", ",Q49),'[1]T+S Costs'!$F$2:$F$3138,'[1]T+S Costs'!$N$2:$N$3138))</f>
        <v>25.118666722440103</v>
      </c>
      <c r="Y49" s="14">
        <f t="shared" si="3"/>
        <v>0.5046702267077765</v>
      </c>
      <c r="Z49" s="4">
        <f t="shared" si="4"/>
        <v>7.1273848333109751</v>
      </c>
    </row>
    <row r="50" spans="1:28" x14ac:dyDescent="0.25">
      <c r="A50" s="75" t="s">
        <v>73</v>
      </c>
      <c r="B50" s="76">
        <f>B24/((B28)*B19)</f>
        <v>1.1557268812469903</v>
      </c>
      <c r="C50">
        <f t="shared" ref="C50:C55" si="5">B50*$B$59/$B$58</f>
        <v>1.347197364161665</v>
      </c>
      <c r="D50" s="51"/>
      <c r="P50" s="10" t="str">
        <f>IF('[1]All Data '!AZ55="","",'[1]All Data '!AZ55)</f>
        <v>Lyon County</v>
      </c>
      <c r="Q50" s="10" t="str">
        <f>IF('[1]All Data '!BB55="","",'[1]All Data '!BB55)</f>
        <v>IA</v>
      </c>
      <c r="R50" s="10">
        <f>IF('[1]All Data '!BD55="","",'[1]All Data '!BD55)</f>
        <v>70</v>
      </c>
      <c r="S50" s="11">
        <f>IF(R50="","",'[1]All Data '!BE55)</f>
        <v>0.2</v>
      </c>
      <c r="T50" s="12">
        <f>IF(S50="","",[1]Inputs_Outputs!$B$8*(1-'LOCH Calc COE Calc'!S50))</f>
        <v>254466.23093681919</v>
      </c>
      <c r="U50" s="13">
        <f t="shared" si="0"/>
        <v>52012897.603485852</v>
      </c>
      <c r="V50" s="13">
        <f t="shared" si="1"/>
        <v>1.7943111377350451</v>
      </c>
      <c r="W50" s="4">
        <f t="shared" si="2"/>
        <v>6.6227146066031981</v>
      </c>
      <c r="X50">
        <f>IF(W50="","",LOOKUP(_xlfn.CONCAT(P50,", ",Q50),'[1]T+S Costs'!$F$2:$F$3138,'[1]T+S Costs'!$N$2:$N$3138))</f>
        <v>26.50331059812757</v>
      </c>
      <c r="Y50" s="14">
        <f t="shared" si="3"/>
        <v>0.53248971833821623</v>
      </c>
      <c r="Z50" s="4">
        <f t="shared" si="4"/>
        <v>7.1552043249414146</v>
      </c>
    </row>
    <row r="51" spans="1:28" x14ac:dyDescent="0.25">
      <c r="A51" s="75" t="s">
        <v>74</v>
      </c>
      <c r="B51" s="76">
        <f>(B25*B19)/((B28)*B19)</f>
        <v>0.79472657549742898</v>
      </c>
      <c r="C51">
        <f t="shared" si="5"/>
        <v>0.92638975964993009</v>
      </c>
      <c r="D51" s="51"/>
      <c r="P51" s="10" t="str">
        <f>IF('[1]All Data '!AZ56="","",'[1]All Data '!AZ56)</f>
        <v>Coles County</v>
      </c>
      <c r="Q51" s="10" t="str">
        <f>IF('[1]All Data '!BB56="","",'[1]All Data '!BB56)</f>
        <v>IL</v>
      </c>
      <c r="R51" s="10">
        <f>IF('[1]All Data '!BD56="","",'[1]All Data '!BD56)</f>
        <v>70</v>
      </c>
      <c r="S51" s="11">
        <f>IF(R51="","",'[1]All Data '!BE56)</f>
        <v>0.2</v>
      </c>
      <c r="T51" s="12">
        <f>IF(S51="","",[1]Inputs_Outputs!$B$8*(1-'LOCH Calc COE Calc'!S51))</f>
        <v>254466.23093681919</v>
      </c>
      <c r="U51" s="13">
        <f t="shared" si="0"/>
        <v>52012897.603485852</v>
      </c>
      <c r="V51" s="13">
        <f t="shared" si="1"/>
        <v>1.7943111377350451</v>
      </c>
      <c r="W51" s="4">
        <f t="shared" si="2"/>
        <v>6.6227146066031981</v>
      </c>
      <c r="X51">
        <f>IF(W51="","",LOOKUP(_xlfn.CONCAT(P51,", ",Q51),'[1]T+S Costs'!$F$2:$F$3138,'[1]T+S Costs'!$N$2:$N$3138))</f>
        <v>10.23827087777611</v>
      </c>
      <c r="Y51" s="14">
        <f t="shared" si="3"/>
        <v>0.2057016219084164</v>
      </c>
      <c r="Z51" s="4">
        <f t="shared" si="4"/>
        <v>6.8284162285116148</v>
      </c>
    </row>
    <row r="52" spans="1:28" ht="15.75" thickBot="1" x14ac:dyDescent="0.3">
      <c r="A52" s="77" t="s">
        <v>75</v>
      </c>
      <c r="B52" s="76">
        <f>(B23*B19)/((B28)*B19)</f>
        <v>1.9413674647353028</v>
      </c>
      <c r="C52">
        <f t="shared" si="5"/>
        <v>2.2629958459897379</v>
      </c>
      <c r="D52" s="51"/>
      <c r="P52" s="10" t="str">
        <f>IF('[1]All Data '!AZ57="","",'[1]All Data '!AZ57)</f>
        <v>Morgan County</v>
      </c>
      <c r="Q52" s="10" t="str">
        <f>IF('[1]All Data '!BB57="","",'[1]All Data '!BB57)</f>
        <v>IL</v>
      </c>
      <c r="R52" s="10">
        <f>IF('[1]All Data '!BD57="","",'[1]All Data '!BD57)</f>
        <v>70</v>
      </c>
      <c r="S52" s="11">
        <f>IF(R52="","",'[1]All Data '!BE57)</f>
        <v>0.2</v>
      </c>
      <c r="T52" s="12">
        <f>IF(S52="","",[1]Inputs_Outputs!$B$8*(1-'LOCH Calc COE Calc'!S52))</f>
        <v>254466.23093681919</v>
      </c>
      <c r="U52" s="13">
        <f t="shared" si="0"/>
        <v>52012897.603485852</v>
      </c>
      <c r="V52" s="13">
        <f t="shared" si="1"/>
        <v>1.7943111377350451</v>
      </c>
      <c r="W52" s="4">
        <f t="shared" si="2"/>
        <v>6.6227146066031981</v>
      </c>
      <c r="X52">
        <f>IF(W52="","",LOOKUP(_xlfn.CONCAT(P52,", ",Q52),'[1]T+S Costs'!$F$2:$F$3138,'[1]T+S Costs'!$N$2:$N$3138))</f>
        <v>9.9613421026386177</v>
      </c>
      <c r="Y52" s="14">
        <f t="shared" si="3"/>
        <v>0.20013772358232845</v>
      </c>
      <c r="Z52" s="4">
        <f t="shared" si="4"/>
        <v>6.8228523301855262</v>
      </c>
    </row>
    <row r="53" spans="1:28" ht="15.75" thickBot="1" x14ac:dyDescent="0.3">
      <c r="A53" s="78" t="s">
        <v>76</v>
      </c>
      <c r="B53" s="79">
        <f>SUM(B49:B52)</f>
        <v>6.0835338843895332</v>
      </c>
      <c r="C53">
        <f t="shared" si="5"/>
        <v>7.0913993148578909</v>
      </c>
      <c r="D53" s="80"/>
      <c r="P53" s="10" t="str">
        <f>IF('[1]All Data '!AZ58="","",'[1]All Data '!AZ58)</f>
        <v>Ogle County</v>
      </c>
      <c r="Q53" s="10" t="str">
        <f>IF('[1]All Data '!BB58="","",'[1]All Data '!BB58)</f>
        <v>IL</v>
      </c>
      <c r="R53" s="10">
        <f>IF('[1]All Data '!BD58="","",'[1]All Data '!BD58)</f>
        <v>70</v>
      </c>
      <c r="S53" s="11">
        <f>IF(R53="","",'[1]All Data '!BE58)</f>
        <v>0.2</v>
      </c>
      <c r="T53" s="12">
        <f>IF(S53="","",[1]Inputs_Outputs!$B$8*(1-'LOCH Calc COE Calc'!S53))</f>
        <v>254466.23093681919</v>
      </c>
      <c r="U53" s="13">
        <f t="shared" si="0"/>
        <v>52012897.603485852</v>
      </c>
      <c r="V53" s="13">
        <f t="shared" si="1"/>
        <v>1.7943111377350451</v>
      </c>
      <c r="W53" s="4">
        <f t="shared" si="2"/>
        <v>6.6227146066031981</v>
      </c>
      <c r="X53">
        <f>IF(W53="","",LOOKUP(_xlfn.CONCAT(P53,", ",Q53),'[1]T+S Costs'!$F$2:$F$3138,'[1]T+S Costs'!$N$2:$N$3138))</f>
        <v>14.779902790030992</v>
      </c>
      <c r="Y53" s="14">
        <f t="shared" si="3"/>
        <v>0.29694955445625859</v>
      </c>
      <c r="Z53" s="4">
        <f t="shared" si="4"/>
        <v>6.9196641610594565</v>
      </c>
    </row>
    <row r="54" spans="1:28" ht="15.75" thickBot="1" x14ac:dyDescent="0.3">
      <c r="A54" s="81" t="s">
        <v>77</v>
      </c>
      <c r="B54" s="82">
        <f>B44*1000000*B42/(B28)</f>
        <v>-4.2166473598807981</v>
      </c>
      <c r="C54">
        <f t="shared" si="5"/>
        <v>-4.9152237444727573</v>
      </c>
      <c r="D54" s="61"/>
      <c r="P54" s="10" t="str">
        <f>IF('[1]All Data '!AZ59="","",'[1]All Data '!AZ59)</f>
        <v>Jackson County</v>
      </c>
      <c r="Q54" s="10" t="str">
        <f>IF('[1]All Data '!BB59="","",'[1]All Data '!BB59)</f>
        <v>IA</v>
      </c>
      <c r="R54" s="10">
        <f>IF('[1]All Data '!BD59="","",'[1]All Data '!BD59)</f>
        <v>70</v>
      </c>
      <c r="S54" s="11">
        <f>IF(R54="","",'[1]All Data '!BE59)</f>
        <v>0.2</v>
      </c>
      <c r="T54" s="12">
        <f>IF(S54="","",[1]Inputs_Outputs!$B$8*(1-'LOCH Calc COE Calc'!S54))</f>
        <v>254466.23093681919</v>
      </c>
      <c r="U54" s="13">
        <f t="shared" si="0"/>
        <v>52012897.603485852</v>
      </c>
      <c r="V54" s="13">
        <f t="shared" si="1"/>
        <v>1.7943111377350451</v>
      </c>
      <c r="W54" s="4">
        <f t="shared" si="2"/>
        <v>6.6227146066031981</v>
      </c>
      <c r="X54">
        <f>IF(W54="","",LOOKUP(_xlfn.CONCAT(P54,", ",Q54),'[1]T+S Costs'!$F$2:$F$3138,'[1]T+S Costs'!$N$2:$N$3138))</f>
        <v>15.956850084365339</v>
      </c>
      <c r="Y54" s="14">
        <f t="shared" si="3"/>
        <v>0.32059612234213242</v>
      </c>
      <c r="Z54" s="4">
        <f t="shared" si="4"/>
        <v>6.9433107289453302</v>
      </c>
    </row>
    <row r="55" spans="1:28" ht="15.75" thickBot="1" x14ac:dyDescent="0.3">
      <c r="A55" s="78" t="s">
        <v>78</v>
      </c>
      <c r="B55" s="79">
        <f>B53+B54</f>
        <v>1.8668865245087352</v>
      </c>
      <c r="C55">
        <f t="shared" si="5"/>
        <v>2.1761755703851327</v>
      </c>
      <c r="D55" s="80"/>
      <c r="P55" s="10" t="str">
        <f>IF('[1]All Data '!AZ60="","",'[1]All Data '!AZ60)</f>
        <v>Sioux County</v>
      </c>
      <c r="Q55" s="10" t="str">
        <f>IF('[1]All Data '!BB60="","",'[1]All Data '!BB60)</f>
        <v>IA</v>
      </c>
      <c r="R55" s="10">
        <f>IF('[1]All Data '!BD60="","",'[1]All Data '!BD60)</f>
        <v>70</v>
      </c>
      <c r="S55" s="11">
        <f>IF(R55="","",'[1]All Data '!BE60)</f>
        <v>0.20000000000000004</v>
      </c>
      <c r="T55" s="12">
        <f>IF(S55="","",[1]Inputs_Outputs!$B$8*(1-'LOCH Calc COE Calc'!S55))</f>
        <v>254466.23093681916</v>
      </c>
      <c r="U55" s="13">
        <f t="shared" si="0"/>
        <v>52012897.60348583</v>
      </c>
      <c r="V55" s="13">
        <f t="shared" si="1"/>
        <v>1.7943111377350445</v>
      </c>
      <c r="W55" s="4">
        <f t="shared" si="2"/>
        <v>6.6227146066031981</v>
      </c>
      <c r="X55">
        <f>IF(W55="","",LOOKUP(_xlfn.CONCAT(P55,", ",Q55),'[1]T+S Costs'!$F$2:$F$3138,'[1]T+S Costs'!$N$2:$N$3138))</f>
        <v>26.50331059812757</v>
      </c>
      <c r="Y55" s="14">
        <f t="shared" si="3"/>
        <v>0.53248971833821623</v>
      </c>
      <c r="Z55" s="4">
        <f t="shared" si="4"/>
        <v>7.1552043249414146</v>
      </c>
    </row>
    <row r="56" spans="1:28" x14ac:dyDescent="0.25">
      <c r="A56" s="83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5"/>
      <c r="O56" s="85"/>
      <c r="P56" s="10" t="str">
        <f>IF('[1]All Data '!AZ61="","",'[1]All Data '!AZ61)</f>
        <v>Cass County</v>
      </c>
      <c r="Q56" s="10" t="str">
        <f>IF('[1]All Data '!BB61="","",'[1]All Data '!BB61)</f>
        <v>IN</v>
      </c>
      <c r="R56" s="10">
        <f>IF('[1]All Data '!BD61="","",'[1]All Data '!BD61)</f>
        <v>70</v>
      </c>
      <c r="S56" s="11">
        <f>IF(R56="","",'[1]All Data '!BE61)</f>
        <v>0.2</v>
      </c>
      <c r="T56" s="12">
        <f>IF(S56="","",[1]Inputs_Outputs!$B$8*(1-'LOCH Calc COE Calc'!S56))</f>
        <v>254466.23093681919</v>
      </c>
      <c r="U56" s="13">
        <f t="shared" si="0"/>
        <v>52012897.603485852</v>
      </c>
      <c r="V56" s="13">
        <f t="shared" si="1"/>
        <v>1.7943111377350451</v>
      </c>
      <c r="W56" s="4">
        <f t="shared" si="2"/>
        <v>6.6227146066031981</v>
      </c>
      <c r="X56">
        <f>IF(W56="","",LOOKUP(_xlfn.CONCAT(P56,", ",Q56),'[1]T+S Costs'!$F$2:$F$3138,'[1]T+S Costs'!$N$2:$N$3138))</f>
        <v>9.645341702663405</v>
      </c>
      <c r="Y56" s="14">
        <f t="shared" si="3"/>
        <v>0.19378881998575467</v>
      </c>
      <c r="Z56" s="4">
        <f t="shared" si="4"/>
        <v>6.8165034265889526</v>
      </c>
      <c r="AB56" s="86"/>
    </row>
    <row r="57" spans="1:28" x14ac:dyDescent="0.25"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P57" s="10" t="str">
        <f>IF('[1]All Data '!AZ62="","",'[1]All Data '!AZ62)</f>
        <v>Stearns County</v>
      </c>
      <c r="Q57" s="10" t="str">
        <f>IF('[1]All Data '!BB62="","",'[1]All Data '!BB62)</f>
        <v>MN</v>
      </c>
      <c r="R57" s="10">
        <f>IF('[1]All Data '!BD62="","",'[1]All Data '!BD62)</f>
        <v>70</v>
      </c>
      <c r="S57" s="11">
        <f>IF(R57="","",'[1]All Data '!BE62)</f>
        <v>0.2</v>
      </c>
      <c r="T57" s="12">
        <f>IF(S57="","",[1]Inputs_Outputs!$B$8*(1-'LOCH Calc COE Calc'!S57))</f>
        <v>254466.23093681919</v>
      </c>
      <c r="U57" s="13">
        <f t="shared" si="0"/>
        <v>52012897.603485852</v>
      </c>
      <c r="V57" s="13">
        <f t="shared" si="1"/>
        <v>1.7943111377350451</v>
      </c>
      <c r="W57" s="4">
        <f t="shared" si="2"/>
        <v>6.6227146066031981</v>
      </c>
      <c r="X57">
        <f>IF(W57="","",LOOKUP(_xlfn.CONCAT(P57,", ",Q57),'[1]T+S Costs'!$F$2:$F$3138,'[1]T+S Costs'!$N$2:$N$3138))</f>
        <v>28.567524642206308</v>
      </c>
      <c r="Y57" s="14">
        <f t="shared" si="3"/>
        <v>0.57396275435202404</v>
      </c>
      <c r="Z57" s="4">
        <f t="shared" si="4"/>
        <v>7.1966773609552224</v>
      </c>
      <c r="AB57" s="86"/>
    </row>
    <row r="58" spans="1:28" x14ac:dyDescent="0.25">
      <c r="A58" t="s">
        <v>79</v>
      </c>
      <c r="B58">
        <v>251.1</v>
      </c>
      <c r="D58" s="88"/>
      <c r="F58" s="88"/>
      <c r="G58" s="88"/>
      <c r="I58" s="88"/>
      <c r="K58" s="88"/>
      <c r="M58" s="88"/>
      <c r="P58" s="10" t="str">
        <f>IF('[1]All Data '!AZ63="","",'[1]All Data '!AZ63)</f>
        <v>Wright County</v>
      </c>
      <c r="Q58" s="10" t="str">
        <f>IF('[1]All Data '!BB63="","",'[1]All Data '!BB63)</f>
        <v>IA</v>
      </c>
      <c r="R58" s="10">
        <f>IF('[1]All Data '!BD63="","",'[1]All Data '!BD63)</f>
        <v>70</v>
      </c>
      <c r="S58" s="11">
        <f>IF(R58="","",'[1]All Data '!BE63)</f>
        <v>0.2</v>
      </c>
      <c r="T58" s="12">
        <f>IF(S58="","",[1]Inputs_Outputs!$B$8*(1-'LOCH Calc COE Calc'!S58))</f>
        <v>254466.23093681919</v>
      </c>
      <c r="U58" s="13">
        <f t="shared" si="0"/>
        <v>52012897.603485852</v>
      </c>
      <c r="V58" s="13">
        <f t="shared" si="1"/>
        <v>1.7943111377350451</v>
      </c>
      <c r="W58" s="4">
        <f t="shared" si="2"/>
        <v>6.6227146066031981</v>
      </c>
      <c r="X58">
        <f>IF(W58="","",LOOKUP(_xlfn.CONCAT(P58,", ",Q58),'[1]T+S Costs'!$F$2:$F$3138,'[1]T+S Costs'!$N$2:$N$3138))</f>
        <v>22.755451513990785</v>
      </c>
      <c r="Y58" s="14">
        <f t="shared" si="3"/>
        <v>0.45718982624759141</v>
      </c>
      <c r="Z58" s="4">
        <f t="shared" si="4"/>
        <v>7.0799044328507899</v>
      </c>
    </row>
    <row r="59" spans="1:28" x14ac:dyDescent="0.25">
      <c r="A59" t="s">
        <v>80</v>
      </c>
      <c r="B59">
        <v>292.7</v>
      </c>
      <c r="P59" s="10" t="str">
        <f>IF('[1]All Data '!AZ64="","",'[1]All Data '!AZ64)</f>
        <v>Red Lake County</v>
      </c>
      <c r="Q59" s="10" t="str">
        <f>IF('[1]All Data '!BB64="","",'[1]All Data '!BB64)</f>
        <v>MN</v>
      </c>
      <c r="R59" s="10">
        <f>IF('[1]All Data '!BD64="","",'[1]All Data '!BD64)</f>
        <v>70</v>
      </c>
      <c r="S59" s="11">
        <f>IF(R59="","",'[1]All Data '!BE64)</f>
        <v>0.16471382409392266</v>
      </c>
      <c r="T59" s="12">
        <f>IF(S59="","",[1]Inputs_Outputs!$B$8*(1-'LOCH Calc COE Calc'!S59))</f>
        <v>265690.15617056057</v>
      </c>
      <c r="U59" s="13">
        <f t="shared" si="0"/>
        <v>54307067.921262592</v>
      </c>
      <c r="V59" s="13">
        <f t="shared" si="1"/>
        <v>1.8734541107804861</v>
      </c>
      <c r="W59" s="4">
        <f t="shared" si="2"/>
        <v>6.7018575796486397</v>
      </c>
      <c r="X59">
        <f>IF(W59="","",LOOKUP(_xlfn.CONCAT(P59,", ",Q59),'[1]T+S Costs'!$F$2:$F$3138,'[1]T+S Costs'!$N$2:$N$3138))</f>
        <v>25.604386748235136</v>
      </c>
      <c r="Y59" s="14">
        <f t="shared" si="3"/>
        <v>0.514429042262883</v>
      </c>
      <c r="Z59" s="4">
        <f t="shared" si="4"/>
        <v>7.2162866219115225</v>
      </c>
    </row>
    <row r="60" spans="1:28" x14ac:dyDescent="0.25">
      <c r="A60" t="s">
        <v>81</v>
      </c>
      <c r="B60">
        <v>304.7</v>
      </c>
      <c r="P60" s="10" t="str">
        <f>IF('[1]All Data '!AZ65="","",'[1]All Data '!AZ65)</f>
        <v>Spink County</v>
      </c>
      <c r="Q60" s="10" t="str">
        <f>IF('[1]All Data '!BB65="","",'[1]All Data '!BB65)</f>
        <v>SD</v>
      </c>
      <c r="R60" s="10">
        <f>IF('[1]All Data '!BD65="","",'[1]All Data '!BD65)</f>
        <v>70</v>
      </c>
      <c r="S60" s="11">
        <f>IF(R60="","",'[1]All Data '!BE65)</f>
        <v>0.2</v>
      </c>
      <c r="T60" s="12">
        <f>IF(S60="","",[1]Inputs_Outputs!$B$8*(1-'LOCH Calc COE Calc'!S60))</f>
        <v>254466.23093681919</v>
      </c>
      <c r="U60" s="13">
        <f t="shared" si="0"/>
        <v>52012897.603485852</v>
      </c>
      <c r="V60" s="13">
        <f t="shared" si="1"/>
        <v>1.7943111377350451</v>
      </c>
      <c r="W60" s="4">
        <f t="shared" si="2"/>
        <v>6.6227146066031981</v>
      </c>
      <c r="X60">
        <f>IF(W60="","",LOOKUP(_xlfn.CONCAT(P60,", ",Q60),'[1]T+S Costs'!$F$2:$F$3138,'[1]T+S Costs'!$N$2:$N$3138))</f>
        <v>18.292935621178739</v>
      </c>
      <c r="Y60" s="14">
        <f t="shared" si="3"/>
        <v>0.36753144858773851</v>
      </c>
      <c r="Z60" s="4">
        <f t="shared" si="4"/>
        <v>6.9902460551909362</v>
      </c>
    </row>
    <row r="61" spans="1:28" x14ac:dyDescent="0.25">
      <c r="A61" t="s">
        <v>82</v>
      </c>
      <c r="P61" s="10" t="str">
        <f>IF('[1]All Data '!AZ66="","",'[1]All Data '!AZ66)</f>
        <v>O'Brien County</v>
      </c>
      <c r="Q61" s="10" t="str">
        <f>IF('[1]All Data '!BB66="","",'[1]All Data '!BB66)</f>
        <v>IA</v>
      </c>
      <c r="R61" s="10">
        <f>IF('[1]All Data '!BD66="","",'[1]All Data '!BD66)</f>
        <v>70</v>
      </c>
      <c r="S61" s="11">
        <f>IF(R61="","",'[1]All Data '!BE66)</f>
        <v>0.20000000000000004</v>
      </c>
      <c r="T61" s="12">
        <f>IF(S61="","",[1]Inputs_Outputs!$B$8*(1-'LOCH Calc COE Calc'!S61))</f>
        <v>254466.23093681916</v>
      </c>
      <c r="U61" s="13">
        <f t="shared" si="0"/>
        <v>52012897.60348583</v>
      </c>
      <c r="V61" s="13">
        <f t="shared" si="1"/>
        <v>1.7943111377350445</v>
      </c>
      <c r="W61" s="4">
        <f t="shared" si="2"/>
        <v>6.6227146066031981</v>
      </c>
      <c r="X61">
        <f>IF(W61="","",LOOKUP(_xlfn.CONCAT(P61,", ",Q61),'[1]T+S Costs'!$F$2:$F$3138,'[1]T+S Costs'!$N$2:$N$3138))</f>
        <v>27.251018290998797</v>
      </c>
      <c r="Y61" s="14">
        <f t="shared" si="3"/>
        <v>0.5475122438186536</v>
      </c>
      <c r="Z61" s="4">
        <f t="shared" si="4"/>
        <v>7.1702268504218516</v>
      </c>
    </row>
    <row r="62" spans="1:28" x14ac:dyDescent="0.25">
      <c r="P62" s="10" t="str">
        <f>IF('[1]All Data '!AZ67="","",'[1]All Data '!AZ67)</f>
        <v>Buffalo County</v>
      </c>
      <c r="Q62" s="10" t="str">
        <f>IF('[1]All Data '!BB67="","",'[1]All Data '!BB67)</f>
        <v>NE</v>
      </c>
      <c r="R62" s="10">
        <f>IF('[1]All Data '!BD67="","",'[1]All Data '!BD67)</f>
        <v>70</v>
      </c>
      <c r="S62" s="11">
        <f>IF(R62="","",'[1]All Data '!BE67)</f>
        <v>0.20000000000000004</v>
      </c>
      <c r="T62" s="12">
        <f>IF(S62="","",[1]Inputs_Outputs!$B$8*(1-'LOCH Calc COE Calc'!S62))</f>
        <v>254466.23093681916</v>
      </c>
      <c r="U62" s="13">
        <f t="shared" si="0"/>
        <v>52012897.60348583</v>
      </c>
      <c r="V62" s="13">
        <f t="shared" si="1"/>
        <v>1.7943111377350445</v>
      </c>
      <c r="W62" s="4">
        <f t="shared" si="2"/>
        <v>6.6227146066031981</v>
      </c>
      <c r="X62">
        <f>IF(W62="","",LOOKUP(_xlfn.CONCAT(P62,", ",Q62),'[1]T+S Costs'!$F$2:$F$3138,'[1]T+S Costs'!$N$2:$N$3138))</f>
        <v>18.347758170328405</v>
      </c>
      <c r="Y62" s="14">
        <f t="shared" si="3"/>
        <v>0.36863291263492637</v>
      </c>
      <c r="Z62" s="4">
        <f t="shared" si="4"/>
        <v>6.9913475192381247</v>
      </c>
    </row>
    <row r="63" spans="1:28" x14ac:dyDescent="0.25">
      <c r="P63" s="10" t="str">
        <f>IF('[1]All Data '!AZ68="","",'[1]All Data '!AZ68)</f>
        <v>Woodford County</v>
      </c>
      <c r="Q63" s="10" t="str">
        <f>IF('[1]All Data '!BB68="","",'[1]All Data '!BB68)</f>
        <v>IL</v>
      </c>
      <c r="R63" s="10">
        <f>IF('[1]All Data '!BD68="","",'[1]All Data '!BD68)</f>
        <v>70</v>
      </c>
      <c r="S63" s="11">
        <f>IF(R63="","",'[1]All Data '!BE68)</f>
        <v>0.2</v>
      </c>
      <c r="T63" s="12">
        <f>IF(S63="","",[1]Inputs_Outputs!$B$8*(1-'LOCH Calc COE Calc'!S63))</f>
        <v>254466.23093681919</v>
      </c>
      <c r="U63" s="13">
        <f t="shared" si="0"/>
        <v>52012897.603485852</v>
      </c>
      <c r="V63" s="13">
        <f t="shared" si="1"/>
        <v>1.7943111377350451</v>
      </c>
      <c r="W63" s="4">
        <f t="shared" si="2"/>
        <v>6.6227146066031981</v>
      </c>
      <c r="X63">
        <f>IF(W63="","",LOOKUP(_xlfn.CONCAT(P63,", ",Q63),'[1]T+S Costs'!$F$2:$F$3138,'[1]T+S Costs'!$N$2:$N$3138))</f>
        <v>10.23827087777611</v>
      </c>
      <c r="Y63" s="14">
        <f t="shared" si="3"/>
        <v>0.2057016219084164</v>
      </c>
      <c r="Z63" s="4">
        <f t="shared" si="4"/>
        <v>6.8284162285116148</v>
      </c>
    </row>
    <row r="64" spans="1:28" x14ac:dyDescent="0.25">
      <c r="P64" s="10" t="str">
        <f>IF('[1]All Data '!AZ69="","",'[1]All Data '!AZ69)</f>
        <v>Benton County</v>
      </c>
      <c r="Q64" s="10" t="str">
        <f>IF('[1]All Data '!BB69="","",'[1]All Data '!BB69)</f>
        <v>IN</v>
      </c>
      <c r="R64" s="10">
        <f>IF('[1]All Data '!BD69="","",'[1]All Data '!BD69)</f>
        <v>70</v>
      </c>
      <c r="S64" s="11">
        <f>IF(R64="","",'[1]All Data '!BE69)</f>
        <v>0.2</v>
      </c>
      <c r="T64" s="12">
        <f>IF(S64="","",[1]Inputs_Outputs!$B$8*(1-'LOCH Calc COE Calc'!S64))</f>
        <v>254466.23093681919</v>
      </c>
      <c r="U64" s="13">
        <f t="shared" si="0"/>
        <v>52012897.603485852</v>
      </c>
      <c r="V64" s="13">
        <f t="shared" si="1"/>
        <v>1.7943111377350451</v>
      </c>
      <c r="W64" s="4">
        <f t="shared" si="2"/>
        <v>6.6227146066031981</v>
      </c>
      <c r="X64">
        <f>IF(W64="","",LOOKUP(_xlfn.CONCAT(P64,", ",Q64),'[1]T+S Costs'!$F$2:$F$3138,'[1]T+S Costs'!$N$2:$N$3138))</f>
        <v>10.503820905589633</v>
      </c>
      <c r="Y64" s="14">
        <f t="shared" si="3"/>
        <v>0.21103690479662732</v>
      </c>
      <c r="Z64" s="4">
        <f t="shared" si="4"/>
        <v>6.8337515113998251</v>
      </c>
    </row>
    <row r="65" spans="16:26" x14ac:dyDescent="0.25">
      <c r="P65" s="10" t="str">
        <f>IF('[1]All Data '!AZ70="","",'[1]All Data '!AZ70)</f>
        <v>Muscatine County</v>
      </c>
      <c r="Q65" s="10" t="str">
        <f>IF('[1]All Data '!BB70="","",'[1]All Data '!BB70)</f>
        <v>IA</v>
      </c>
      <c r="R65" s="10">
        <f>IF('[1]All Data '!BD70="","",'[1]All Data '!BD70)</f>
        <v>70</v>
      </c>
      <c r="S65" s="11">
        <f>IF(R65="","",'[1]All Data '!BE70)</f>
        <v>0.2</v>
      </c>
      <c r="T65" s="12">
        <f>IF(S65="","",[1]Inputs_Outputs!$B$8*(1-'LOCH Calc COE Calc'!S65))</f>
        <v>254466.23093681919</v>
      </c>
      <c r="U65" s="13">
        <f t="shared" si="0"/>
        <v>52012897.603485852</v>
      </c>
      <c r="V65" s="13">
        <f t="shared" si="1"/>
        <v>1.7943111377350451</v>
      </c>
      <c r="W65" s="4">
        <f t="shared" si="2"/>
        <v>6.6227146066031981</v>
      </c>
      <c r="X65">
        <f>IF(W65="","",LOOKUP(_xlfn.CONCAT(P65,", ",Q65),'[1]T+S Costs'!$F$2:$F$3138,'[1]T+S Costs'!$N$2:$N$3138))</f>
        <v>14.779902790030992</v>
      </c>
      <c r="Y65" s="14">
        <f t="shared" si="3"/>
        <v>0.29694955445625859</v>
      </c>
      <c r="Z65" s="4">
        <f t="shared" si="4"/>
        <v>6.9196641610594565</v>
      </c>
    </row>
    <row r="66" spans="16:26" x14ac:dyDescent="0.25">
      <c r="P66" s="10" t="str">
        <f>IF('[1]All Data '!AZ71="","",'[1]All Data '!AZ71)</f>
        <v>Shelby County</v>
      </c>
      <c r="Q66" s="10" t="str">
        <f>IF('[1]All Data '!BB71="","",'[1]All Data '!BB71)</f>
        <v>IN</v>
      </c>
      <c r="R66" s="10">
        <f>IF('[1]All Data '!BD71="","",'[1]All Data '!BD71)</f>
        <v>70</v>
      </c>
      <c r="S66" s="11">
        <f>IF(R66="","",'[1]All Data '!BE71)</f>
        <v>0.2</v>
      </c>
      <c r="T66" s="12">
        <f>IF(S66="","",[1]Inputs_Outputs!$B$8*(1-'LOCH Calc COE Calc'!S66))</f>
        <v>254466.23093681919</v>
      </c>
      <c r="U66" s="13">
        <f t="shared" si="0"/>
        <v>52012897.603485852</v>
      </c>
      <c r="V66" s="13">
        <f t="shared" si="1"/>
        <v>1.7943111377350451</v>
      </c>
      <c r="W66" s="4">
        <f t="shared" si="2"/>
        <v>6.6227146066031981</v>
      </c>
      <c r="X66">
        <f>IF(W66="","",LOOKUP(_xlfn.CONCAT(P66,", ",Q66),'[1]T+S Costs'!$F$2:$F$3138,'[1]T+S Costs'!$N$2:$N$3138))</f>
        <v>9.9499633553146474</v>
      </c>
      <c r="Y66" s="14">
        <f t="shared" si="3"/>
        <v>0.1999091081444514</v>
      </c>
      <c r="Z66" s="4">
        <f t="shared" si="4"/>
        <v>6.8226237147476496</v>
      </c>
    </row>
    <row r="67" spans="16:26" x14ac:dyDescent="0.25">
      <c r="P67" s="10" t="str">
        <f>IF('[1]All Data '!AZ72="","",'[1]All Data '!AZ72)</f>
        <v>Mower County</v>
      </c>
      <c r="Q67" s="10" t="str">
        <f>IF('[1]All Data '!BB72="","",'[1]All Data '!BB72)</f>
        <v>MN</v>
      </c>
      <c r="R67" s="10">
        <f>IF('[1]All Data '!BD72="","",'[1]All Data '!BD72)</f>
        <v>70</v>
      </c>
      <c r="S67" s="11">
        <f>IF(R67="","",'[1]All Data '!BE72)</f>
        <v>0.20000000000000004</v>
      </c>
      <c r="T67" s="12">
        <f>IF(S67="","",[1]Inputs_Outputs!$B$8*(1-'LOCH Calc COE Calc'!S67))</f>
        <v>254466.23093681916</v>
      </c>
      <c r="U67" s="13">
        <f t="shared" ref="U67:U130" si="6">IF(S67="","",R67*T67*365*$B$19/100)</f>
        <v>52012897.60348583</v>
      </c>
      <c r="V67" s="13">
        <f t="shared" ref="V67:V130" si="7">IF(S67="","",(U67*$B$19)/(($B$28)*$B$19))</f>
        <v>1.7943111377350445</v>
      </c>
      <c r="W67" s="4">
        <f t="shared" ref="W67:W130" si="8">IF(S67="","",V67+$C$49+$C$50+$C$51)</f>
        <v>6.6227146066031981</v>
      </c>
      <c r="X67">
        <f>IF(W67="","",LOOKUP(_xlfn.CONCAT(P67,", ",Q67),'[1]T+S Costs'!$F$2:$F$3138,'[1]T+S Costs'!$N$2:$N$3138))</f>
        <v>22.990840972857654</v>
      </c>
      <c r="Y67" s="14">
        <f t="shared" ref="Y67:Y130" si="9">IF(X67="","",((X67*$B$60/$B$59)*$C$44)/$C$28)</f>
        <v>0.46191913982476612</v>
      </c>
      <c r="Z67" s="4">
        <f t="shared" ref="Z67:Z130" si="10">IF(Y67="","",W67+Y67)</f>
        <v>7.0846337464279641</v>
      </c>
    </row>
    <row r="68" spans="16:26" x14ac:dyDescent="0.25">
      <c r="P68" s="10" t="str">
        <f>IF('[1]All Data '!AZ73="","",'[1]All Data '!AZ73)</f>
        <v>Fillmore County</v>
      </c>
      <c r="Q68" s="10" t="str">
        <f>IF('[1]All Data '!BB73="","",'[1]All Data '!BB73)</f>
        <v>NE</v>
      </c>
      <c r="R68" s="10">
        <f>IF('[1]All Data '!BD73="","",'[1]All Data '!BD73)</f>
        <v>70</v>
      </c>
      <c r="S68" s="11">
        <f>IF(R68="","",'[1]All Data '!BE73)</f>
        <v>0.2003259363261734</v>
      </c>
      <c r="T68" s="12">
        <f>IF(S68="","",[1]Inputs_Outputs!$B$8*(1-'LOCH Calc COE Calc'!S68))</f>
        <v>254362.55620126077</v>
      </c>
      <c r="U68" s="13">
        <f t="shared" si="6"/>
        <v>51991706.487537697</v>
      </c>
      <c r="V68" s="13">
        <f t="shared" si="7"/>
        <v>1.7935800987597379</v>
      </c>
      <c r="W68" s="4">
        <f t="shared" si="8"/>
        <v>6.6219835676278915</v>
      </c>
      <c r="X68">
        <f>IF(W68="","",LOOKUP(_xlfn.CONCAT(P68,", ",Q68),'[1]T+S Costs'!$F$2:$F$3138,'[1]T+S Costs'!$N$2:$N$3138))</f>
        <v>19.212544841149334</v>
      </c>
      <c r="Y68" s="14">
        <f t="shared" si="9"/>
        <v>0.38600772356894658</v>
      </c>
      <c r="Z68" s="4">
        <f t="shared" si="10"/>
        <v>7.0079912911968378</v>
      </c>
    </row>
    <row r="69" spans="16:26" x14ac:dyDescent="0.25">
      <c r="P69" s="10" t="str">
        <f>IF('[1]All Data '!AZ74="","",'[1]All Data '!AZ74)</f>
        <v>Van Wert County</v>
      </c>
      <c r="Q69" s="10" t="str">
        <f>IF('[1]All Data '!BB74="","",'[1]All Data '!BB74)</f>
        <v>OH</v>
      </c>
      <c r="R69" s="10">
        <f>IF('[1]All Data '!BD74="","",'[1]All Data '!BD74)</f>
        <v>70</v>
      </c>
      <c r="S69" s="11">
        <f>IF(R69="","",'[1]All Data '!BE74)</f>
        <v>0.19918942065032208</v>
      </c>
      <c r="T69" s="12">
        <f>IF(S69="","",[1]Inputs_Outputs!$B$8*(1-'LOCH Calc COE Calc'!S69))</f>
        <v>254724.06227680386</v>
      </c>
      <c r="U69" s="13">
        <f t="shared" si="6"/>
        <v>52065598.329378709</v>
      </c>
      <c r="V69" s="13">
        <f t="shared" si="7"/>
        <v>1.796129177178976</v>
      </c>
      <c r="W69" s="4">
        <f t="shared" si="8"/>
        <v>6.624532646047129</v>
      </c>
      <c r="X69">
        <f>IF(W69="","",LOOKUP(_xlfn.CONCAT(P69,", ",Q69),'[1]T+S Costs'!$F$2:$F$3138,'[1]T+S Costs'!$N$2:$N$3138))</f>
        <v>11.431532302300234</v>
      </c>
      <c r="Y69" s="14">
        <f t="shared" si="9"/>
        <v>0.22967596418902184</v>
      </c>
      <c r="Z69" s="4">
        <f t="shared" si="10"/>
        <v>6.8542086102361512</v>
      </c>
    </row>
    <row r="70" spans="16:26" x14ac:dyDescent="0.25">
      <c r="P70" s="10" t="str">
        <f>IF('[1]All Data '!AZ75="","",'[1]All Data '!AZ75)</f>
        <v>Hamilton County</v>
      </c>
      <c r="Q70" s="10" t="str">
        <f>IF('[1]All Data '!BB75="","",'[1]All Data '!BB75)</f>
        <v>IA</v>
      </c>
      <c r="R70" s="10">
        <f>IF('[1]All Data '!BD75="","",'[1]All Data '!BD75)</f>
        <v>70</v>
      </c>
      <c r="S70" s="11">
        <f>IF(R70="","",'[1]All Data '!BE75)</f>
        <v>0.2</v>
      </c>
      <c r="T70" s="12">
        <f>IF(S70="","",[1]Inputs_Outputs!$B$8*(1-'LOCH Calc COE Calc'!S70))</f>
        <v>254466.23093681919</v>
      </c>
      <c r="U70" s="13">
        <f t="shared" si="6"/>
        <v>52012897.603485852</v>
      </c>
      <c r="V70" s="13">
        <f t="shared" si="7"/>
        <v>1.7943111377350451</v>
      </c>
      <c r="W70" s="4">
        <f t="shared" si="8"/>
        <v>6.6227146066031981</v>
      </c>
      <c r="X70">
        <f>IF(W70="","",LOOKUP(_xlfn.CONCAT(P70,", ",Q70),'[1]T+S Costs'!$F$2:$F$3138,'[1]T+S Costs'!$N$2:$N$3138))</f>
        <v>20.92772159808333</v>
      </c>
      <c r="Y70" s="14">
        <f t="shared" si="9"/>
        <v>0.42046809729541085</v>
      </c>
      <c r="Z70" s="4">
        <f t="shared" si="10"/>
        <v>7.0431827038986086</v>
      </c>
    </row>
    <row r="71" spans="16:26" x14ac:dyDescent="0.25">
      <c r="P71" s="10" t="str">
        <f>IF('[1]All Data '!AZ76="","",'[1]All Data '!AZ76)</f>
        <v>Warren County</v>
      </c>
      <c r="Q71" s="10" t="str">
        <f>IF('[1]All Data '!BB76="","",'[1]All Data '!BB76)</f>
        <v>IL</v>
      </c>
      <c r="R71" s="10">
        <f>IF('[1]All Data '!BD76="","",'[1]All Data '!BD76)</f>
        <v>70</v>
      </c>
      <c r="S71" s="11">
        <f>IF(R71="","",'[1]All Data '!BE76)</f>
        <v>0.2</v>
      </c>
      <c r="T71" s="12">
        <f>IF(S71="","",[1]Inputs_Outputs!$B$8*(1-'LOCH Calc COE Calc'!S71))</f>
        <v>254466.23093681919</v>
      </c>
      <c r="U71" s="13">
        <f t="shared" si="6"/>
        <v>52012897.603485852</v>
      </c>
      <c r="V71" s="13">
        <f t="shared" si="7"/>
        <v>1.7943111377350451</v>
      </c>
      <c r="W71" s="4">
        <f t="shared" si="8"/>
        <v>6.6227146066031981</v>
      </c>
      <c r="X71">
        <f>IF(W71="","",LOOKUP(_xlfn.CONCAT(P71,", ",Q71),'[1]T+S Costs'!$F$2:$F$3138,'[1]T+S Costs'!$N$2:$N$3138))</f>
        <v>11.733686263518571</v>
      </c>
      <c r="Y71" s="14">
        <f t="shared" si="9"/>
        <v>0.23574667286929127</v>
      </c>
      <c r="Z71" s="4">
        <f t="shared" si="10"/>
        <v>6.8584612794724897</v>
      </c>
    </row>
    <row r="72" spans="16:26" x14ac:dyDescent="0.25">
      <c r="P72" s="10" t="str">
        <f>IF('[1]All Data '!AZ77="","",'[1]All Data '!AZ77)</f>
        <v>Todd County</v>
      </c>
      <c r="Q72" s="10" t="str">
        <f>IF('[1]All Data '!BB77="","",'[1]All Data '!BB77)</f>
        <v>KY</v>
      </c>
      <c r="R72" s="10">
        <f>IF('[1]All Data '!BD77="","",'[1]All Data '!BD77)</f>
        <v>70</v>
      </c>
      <c r="S72" s="11">
        <f>IF(R72="","",'[1]All Data '!BE77)</f>
        <v>0.1796216381858822</v>
      </c>
      <c r="T72" s="12">
        <f>IF(S72="","",[1]Inputs_Outputs!$B$8*(1-'LOCH Calc COE Calc'!S72))</f>
        <v>260948.23709120089</v>
      </c>
      <c r="U72" s="13">
        <f t="shared" si="6"/>
        <v>53337819.661441468</v>
      </c>
      <c r="V72" s="13">
        <f t="shared" si="7"/>
        <v>1.8400175396998779</v>
      </c>
      <c r="W72" s="4">
        <f t="shared" si="8"/>
        <v>6.6684210085680311</v>
      </c>
      <c r="X72">
        <f>IF(W72="","",LOOKUP(_xlfn.CONCAT(P72,", ",Q72),'[1]T+S Costs'!$F$2:$F$3138,'[1]T+S Costs'!$N$2:$N$3138))</f>
        <v>13.771882573559814</v>
      </c>
      <c r="Y72" s="14">
        <f t="shared" si="9"/>
        <v>0.27669697509789404</v>
      </c>
      <c r="Z72" s="4">
        <f t="shared" si="10"/>
        <v>6.9451179836659254</v>
      </c>
    </row>
    <row r="73" spans="16:26" x14ac:dyDescent="0.25">
      <c r="P73" s="10" t="str">
        <f>IF('[1]All Data '!AZ78="","",'[1]All Data '!AZ78)</f>
        <v>Logan County</v>
      </c>
      <c r="Q73" s="10" t="str">
        <f>IF('[1]All Data '!BB78="","",'[1]All Data '!BB78)</f>
        <v>IL</v>
      </c>
      <c r="R73" s="10">
        <f>IF('[1]All Data '!BD78="","",'[1]All Data '!BD78)</f>
        <v>70</v>
      </c>
      <c r="S73" s="11">
        <f>IF(R73="","",'[1]All Data '!BE78)</f>
        <v>0.2</v>
      </c>
      <c r="T73" s="12">
        <f>IF(S73="","",[1]Inputs_Outputs!$B$8*(1-'LOCH Calc COE Calc'!S73))</f>
        <v>254466.23093681919</v>
      </c>
      <c r="U73" s="13">
        <f t="shared" si="6"/>
        <v>52012897.603485852</v>
      </c>
      <c r="V73" s="13">
        <f t="shared" si="7"/>
        <v>1.7943111377350451</v>
      </c>
      <c r="W73" s="4">
        <f t="shared" si="8"/>
        <v>6.6227146066031981</v>
      </c>
      <c r="X73">
        <f>IF(W73="","",LOOKUP(_xlfn.CONCAT(P73,", ",Q73),'[1]T+S Costs'!$F$2:$F$3138,'[1]T+S Costs'!$N$2:$N$3138))</f>
        <v>22.936316324598639</v>
      </c>
      <c r="Y73" s="14">
        <f t="shared" si="9"/>
        <v>0.46082366103593941</v>
      </c>
      <c r="Z73" s="4">
        <f t="shared" si="10"/>
        <v>7.0835382676391374</v>
      </c>
    </row>
    <row r="74" spans="16:26" x14ac:dyDescent="0.25">
      <c r="P74" s="10" t="str">
        <f>IF('[1]All Data '!AZ79="","",'[1]All Data '!AZ79)</f>
        <v>Beadle County</v>
      </c>
      <c r="Q74" s="10" t="str">
        <f>IF('[1]All Data '!BB79="","",'[1]All Data '!BB79)</f>
        <v>SD</v>
      </c>
      <c r="R74" s="10">
        <f>IF('[1]All Data '!BD79="","",'[1]All Data '!BD79)</f>
        <v>70</v>
      </c>
      <c r="S74" s="11">
        <f>IF(R74="","",'[1]All Data '!BE79)</f>
        <v>0.19927386880076933</v>
      </c>
      <c r="T74" s="12">
        <f>IF(S74="","",[1]Inputs_Outputs!$B$8*(1-'LOCH Calc COE Calc'!S74))</f>
        <v>254697.20077361149</v>
      </c>
      <c r="U74" s="13">
        <f t="shared" si="6"/>
        <v>52060107.83812619</v>
      </c>
      <c r="V74" s="13">
        <f t="shared" si="7"/>
        <v>1.7959397693578405</v>
      </c>
      <c r="W74" s="4">
        <f t="shared" si="8"/>
        <v>6.6243432382259941</v>
      </c>
      <c r="X74">
        <f>IF(W74="","",LOOKUP(_xlfn.CONCAT(P74,", ",Q74),'[1]T+S Costs'!$F$2:$F$3138,'[1]T+S Costs'!$N$2:$N$3138))</f>
        <v>22.547888955001937</v>
      </c>
      <c r="Y74" s="14">
        <f t="shared" si="9"/>
        <v>0.45301959520553658</v>
      </c>
      <c r="Z74" s="4">
        <f t="shared" si="10"/>
        <v>7.0773628334315308</v>
      </c>
    </row>
    <row r="75" spans="16:26" x14ac:dyDescent="0.25">
      <c r="P75" s="10" t="str">
        <f>IF('[1]All Data '!AZ80="","",'[1]All Data '!AZ80)</f>
        <v>McLeod County</v>
      </c>
      <c r="Q75" s="10" t="str">
        <f>IF('[1]All Data '!BB80="","",'[1]All Data '!BB80)</f>
        <v>MN</v>
      </c>
      <c r="R75" s="10">
        <f>IF('[1]All Data '!BD80="","",'[1]All Data '!BD80)</f>
        <v>70</v>
      </c>
      <c r="S75" s="11">
        <f>IF(R75="","",'[1]All Data '!BE80)</f>
        <v>0.19982476779180039</v>
      </c>
      <c r="T75" s="12">
        <f>IF(S75="","",[1]Inputs_Outputs!$B$8*(1-'LOCH Calc COE Calc'!S75))</f>
        <v>254521.96928626829</v>
      </c>
      <c r="U75" s="13">
        <f t="shared" si="6"/>
        <v>52024290.522113249</v>
      </c>
      <c r="V75" s="13">
        <f t="shared" si="7"/>
        <v>1.7947041641136234</v>
      </c>
      <c r="W75" s="4">
        <f t="shared" si="8"/>
        <v>6.6231076329817764</v>
      </c>
      <c r="X75">
        <f>IF(W75="","",LOOKUP(_xlfn.CONCAT(P75,", ",Q75),'[1]T+S Costs'!$F$2:$F$3138,'[1]T+S Costs'!$N$2:$N$3138))</f>
        <v>28.567524642206308</v>
      </c>
      <c r="Y75" s="14">
        <f t="shared" si="9"/>
        <v>0.57396275435202404</v>
      </c>
      <c r="Z75" s="4">
        <f t="shared" si="10"/>
        <v>7.1970703873338007</v>
      </c>
    </row>
    <row r="76" spans="16:26" x14ac:dyDescent="0.25">
      <c r="P76" s="10" t="str">
        <f>IF('[1]All Data '!AZ81="","",'[1]All Data '!AZ81)</f>
        <v>Clinton County</v>
      </c>
      <c r="Q76" s="10" t="str">
        <f>IF('[1]All Data '!BB81="","",'[1]All Data '!BB81)</f>
        <v>IL</v>
      </c>
      <c r="R76" s="10">
        <f>IF('[1]All Data '!BD81="","",'[1]All Data '!BD81)</f>
        <v>70</v>
      </c>
      <c r="S76" s="11">
        <f>IF(R76="","",'[1]All Data '!BE81)</f>
        <v>0.18837444908574125</v>
      </c>
      <c r="T76" s="12">
        <f>IF(S76="","",[1]Inputs_Outputs!$B$8*(1-'LOCH Calc COE Calc'!S76))</f>
        <v>258164.11859146354</v>
      </c>
      <c r="U76" s="13">
        <f t="shared" si="6"/>
        <v>52768745.840095155</v>
      </c>
      <c r="V76" s="13">
        <f t="shared" si="7"/>
        <v>1.8203859570947454</v>
      </c>
      <c r="W76" s="4">
        <f t="shared" si="8"/>
        <v>6.6487894259628986</v>
      </c>
      <c r="X76">
        <f>IF(W76="","",LOOKUP(_xlfn.CONCAT(P76,", ",Q76),'[1]T+S Costs'!$F$2:$F$3138,'[1]T+S Costs'!$N$2:$N$3138))</f>
        <v>11.733686263518571</v>
      </c>
      <c r="Y76" s="14">
        <f t="shared" si="9"/>
        <v>0.23574667286929127</v>
      </c>
      <c r="Z76" s="4">
        <f t="shared" si="10"/>
        <v>6.8845360988321902</v>
      </c>
    </row>
    <row r="77" spans="16:26" x14ac:dyDescent="0.25">
      <c r="P77" s="10" t="str">
        <f>IF('[1]All Data '!AZ82="","",'[1]All Data '!AZ82)</f>
        <v>Cedar County</v>
      </c>
      <c r="Q77" s="10" t="str">
        <f>IF('[1]All Data '!BB82="","",'[1]All Data '!BB82)</f>
        <v>NE</v>
      </c>
      <c r="R77" s="10">
        <f>IF('[1]All Data '!BD82="","",'[1]All Data '!BD82)</f>
        <v>70</v>
      </c>
      <c r="S77" s="11">
        <f>IF(R77="","",'[1]All Data '!BE82)</f>
        <v>0.2</v>
      </c>
      <c r="T77" s="12">
        <f>IF(S77="","",[1]Inputs_Outputs!$B$8*(1-'LOCH Calc COE Calc'!S77))</f>
        <v>254466.23093681919</v>
      </c>
      <c r="U77" s="13">
        <f t="shared" si="6"/>
        <v>52012897.603485852</v>
      </c>
      <c r="V77" s="13">
        <f t="shared" si="7"/>
        <v>1.7943111377350451</v>
      </c>
      <c r="W77" s="4">
        <f t="shared" si="8"/>
        <v>6.6227146066031981</v>
      </c>
      <c r="X77">
        <f>IF(W77="","",LOOKUP(_xlfn.CONCAT(P77,", ",Q77),'[1]T+S Costs'!$F$2:$F$3138,'[1]T+S Costs'!$N$2:$N$3138))</f>
        <v>23.05554734766578</v>
      </c>
      <c r="Y77" s="14">
        <f t="shared" si="9"/>
        <v>0.46321918417842128</v>
      </c>
      <c r="Z77" s="4">
        <f t="shared" si="10"/>
        <v>7.0859337907816196</v>
      </c>
    </row>
    <row r="78" spans="16:26" x14ac:dyDescent="0.25">
      <c r="P78" s="10" t="str">
        <f>IF('[1]All Data '!AZ83="","",'[1]All Data '!AZ83)</f>
        <v>York County</v>
      </c>
      <c r="Q78" s="10" t="str">
        <f>IF('[1]All Data '!BB83="","",'[1]All Data '!BB83)</f>
        <v>NE</v>
      </c>
      <c r="R78" s="10">
        <f>IF('[1]All Data '!BD83="","",'[1]All Data '!BD83)</f>
        <v>70</v>
      </c>
      <c r="S78" s="11">
        <f>IF(R78="","",'[1]All Data '!BE83)</f>
        <v>0.20012512619260903</v>
      </c>
      <c r="T78" s="12">
        <f>IF(S78="","",[1]Inputs_Outputs!$B$8*(1-'LOCH Calc COE Calc'!S78))</f>
        <v>254426.4304485383</v>
      </c>
      <c r="U78" s="13">
        <f t="shared" si="6"/>
        <v>52004762.383681223</v>
      </c>
      <c r="V78" s="13">
        <f t="shared" si="7"/>
        <v>1.7940304935837688</v>
      </c>
      <c r="W78" s="4">
        <f t="shared" si="8"/>
        <v>6.6224339624519217</v>
      </c>
      <c r="X78">
        <f>IF(W78="","",LOOKUP(_xlfn.CONCAT(P78,", ",Q78),'[1]T+S Costs'!$F$2:$F$3138,'[1]T+S Costs'!$N$2:$N$3138))</f>
        <v>19.71101663639682</v>
      </c>
      <c r="Y78" s="14">
        <f t="shared" si="9"/>
        <v>0.39602274055590481</v>
      </c>
      <c r="Z78" s="4">
        <f t="shared" si="10"/>
        <v>7.0184567030078266</v>
      </c>
    </row>
    <row r="79" spans="16:26" x14ac:dyDescent="0.25">
      <c r="P79" s="10" t="str">
        <f>IF('[1]All Data '!AZ84="","",'[1]All Data '!AZ84)</f>
        <v>Dawson County</v>
      </c>
      <c r="Q79" s="10" t="str">
        <f>IF('[1]All Data '!BB84="","",'[1]All Data '!BB84)</f>
        <v>NE</v>
      </c>
      <c r="R79" s="10">
        <f>IF('[1]All Data '!BD84="","",'[1]All Data '!BD84)</f>
        <v>70</v>
      </c>
      <c r="S79" s="11">
        <f>IF(R79="","",'[1]All Data '!BE84)</f>
        <v>0.2</v>
      </c>
      <c r="T79" s="12">
        <f>IF(S79="","",[1]Inputs_Outputs!$B$8*(1-'LOCH Calc COE Calc'!S79))</f>
        <v>254466.23093681919</v>
      </c>
      <c r="U79" s="13">
        <f t="shared" si="6"/>
        <v>52012897.603485852</v>
      </c>
      <c r="V79" s="13">
        <f t="shared" si="7"/>
        <v>1.7943111377350451</v>
      </c>
      <c r="W79" s="4">
        <f t="shared" si="8"/>
        <v>6.6227146066031981</v>
      </c>
      <c r="X79">
        <f>IF(W79="","",LOOKUP(_xlfn.CONCAT(P79,", ",Q79),'[1]T+S Costs'!$F$2:$F$3138,'[1]T+S Costs'!$N$2:$N$3138))</f>
        <v>16.907728539613444</v>
      </c>
      <c r="Y79" s="14">
        <f t="shared" si="9"/>
        <v>0.33970064133926914</v>
      </c>
      <c r="Z79" s="4">
        <f t="shared" si="10"/>
        <v>6.9624152479424675</v>
      </c>
    </row>
    <row r="80" spans="16:26" x14ac:dyDescent="0.25">
      <c r="P80" s="10" t="str">
        <f>IF('[1]All Data '!AZ85="","",'[1]All Data '!AZ85)</f>
        <v>Ford County</v>
      </c>
      <c r="Q80" s="10" t="str">
        <f>IF('[1]All Data '!BB85="","",'[1]All Data '!BB85)</f>
        <v>IL</v>
      </c>
      <c r="R80" s="10">
        <f>IF('[1]All Data '!BD85="","",'[1]All Data '!BD85)</f>
        <v>70</v>
      </c>
      <c r="S80" s="11">
        <f>IF(R80="","",'[1]All Data '!BE85)</f>
        <v>0.2</v>
      </c>
      <c r="T80" s="12">
        <f>IF(S80="","",[1]Inputs_Outputs!$B$8*(1-'LOCH Calc COE Calc'!S80))</f>
        <v>254466.23093681919</v>
      </c>
      <c r="U80" s="13">
        <f t="shared" si="6"/>
        <v>52012897.603485852</v>
      </c>
      <c r="V80" s="13">
        <f t="shared" si="7"/>
        <v>1.7943111377350451</v>
      </c>
      <c r="W80" s="4">
        <f t="shared" si="8"/>
        <v>6.6227146066031981</v>
      </c>
      <c r="X80">
        <f>IF(W80="","",LOOKUP(_xlfn.CONCAT(P80,", ",Q80),'[1]T+S Costs'!$F$2:$F$3138,'[1]T+S Costs'!$N$2:$N$3138))</f>
        <v>10.515199652913603</v>
      </c>
      <c r="Y80" s="14">
        <f t="shared" si="9"/>
        <v>0.21126552023450434</v>
      </c>
      <c r="Z80" s="4">
        <f t="shared" si="10"/>
        <v>6.8339801268377025</v>
      </c>
    </row>
    <row r="81" spans="16:26" x14ac:dyDescent="0.25">
      <c r="P81" s="10" t="str">
        <f>IF('[1]All Data '!AZ86="","",'[1]All Data '!AZ86)</f>
        <v>Montgomery County</v>
      </c>
      <c r="Q81" s="10" t="str">
        <f>IF('[1]All Data '!BB86="","",'[1]All Data '!BB86)</f>
        <v>IN</v>
      </c>
      <c r="R81" s="10">
        <f>IF('[1]All Data '!BD86="","",'[1]All Data '!BD86)</f>
        <v>70</v>
      </c>
      <c r="S81" s="11">
        <f>IF(R81="","",'[1]All Data '!BE86)</f>
        <v>0.2</v>
      </c>
      <c r="T81" s="12">
        <f>IF(S81="","",[1]Inputs_Outputs!$B$8*(1-'LOCH Calc COE Calc'!S81))</f>
        <v>254466.23093681919</v>
      </c>
      <c r="U81" s="13">
        <f t="shared" si="6"/>
        <v>52012897.603485852</v>
      </c>
      <c r="V81" s="13">
        <f t="shared" si="7"/>
        <v>1.7943111377350451</v>
      </c>
      <c r="W81" s="4">
        <f t="shared" si="8"/>
        <v>6.6227146066031981</v>
      </c>
      <c r="X81">
        <f>IF(W81="","",LOOKUP(_xlfn.CONCAT(P81,", ",Q81),'[1]T+S Costs'!$F$2:$F$3138,'[1]T+S Costs'!$N$2:$N$3138))</f>
        <v>9.645341702663405</v>
      </c>
      <c r="Y81" s="14">
        <f t="shared" si="9"/>
        <v>0.19378881998575467</v>
      </c>
      <c r="Z81" s="4">
        <f t="shared" si="10"/>
        <v>6.8165034265889526</v>
      </c>
    </row>
    <row r="82" spans="16:26" x14ac:dyDescent="0.25">
      <c r="P82" s="10" t="str">
        <f>IF('[1]All Data '!AZ87="","",'[1]All Data '!AZ87)</f>
        <v>Lawrence County</v>
      </c>
      <c r="Q82" s="10" t="str">
        <f>IF('[1]All Data '!BB87="","",'[1]All Data '!BB87)</f>
        <v>IL</v>
      </c>
      <c r="R82" s="10">
        <f>IF('[1]All Data '!BD87="","",'[1]All Data '!BD87)</f>
        <v>70</v>
      </c>
      <c r="S82" s="11">
        <f>IF(R82="","",'[1]All Data '!BE87)</f>
        <v>0.19980705809093852</v>
      </c>
      <c r="T82" s="12">
        <f>IF(S82="","",[1]Inputs_Outputs!$B$8*(1-'LOCH Calc COE Calc'!S82))</f>
        <v>254527.60243730494</v>
      </c>
      <c r="U82" s="13">
        <f t="shared" si="6"/>
        <v>52025441.938185126</v>
      </c>
      <c r="V82" s="13">
        <f t="shared" si="7"/>
        <v>1.7947438850055006</v>
      </c>
      <c r="W82" s="4">
        <f t="shared" si="8"/>
        <v>6.6231473538736543</v>
      </c>
      <c r="X82">
        <f>IF(W82="","",LOOKUP(_xlfn.CONCAT(P82,", ",Q82),'[1]T+S Costs'!$F$2:$F$3138,'[1]T+S Costs'!$N$2:$N$3138))</f>
        <v>11.158715096751457</v>
      </c>
      <c r="Y82" s="14">
        <f t="shared" si="9"/>
        <v>0.22419467322340378</v>
      </c>
      <c r="Z82" s="4">
        <f t="shared" si="10"/>
        <v>6.8473420270970582</v>
      </c>
    </row>
    <row r="83" spans="16:26" x14ac:dyDescent="0.25">
      <c r="P83" s="10" t="str">
        <f>IF('[1]All Data '!AZ88="","",'[1]All Data '!AZ88)</f>
        <v>White County</v>
      </c>
      <c r="Q83" s="10" t="str">
        <f>IF('[1]All Data '!BB88="","",'[1]All Data '!BB88)</f>
        <v>IN</v>
      </c>
      <c r="R83" s="10">
        <f>IF('[1]All Data '!BD88="","",'[1]All Data '!BD88)</f>
        <v>70</v>
      </c>
      <c r="S83" s="11">
        <f>IF(R83="","",'[1]All Data '!BE88)</f>
        <v>0.2</v>
      </c>
      <c r="T83" s="12">
        <f>IF(S83="","",[1]Inputs_Outputs!$B$8*(1-'LOCH Calc COE Calc'!S83))</f>
        <v>254466.23093681919</v>
      </c>
      <c r="U83" s="13">
        <f t="shared" si="6"/>
        <v>52012897.603485852</v>
      </c>
      <c r="V83" s="13">
        <f t="shared" si="7"/>
        <v>1.7943111377350451</v>
      </c>
      <c r="W83" s="4">
        <f t="shared" si="8"/>
        <v>6.6227146066031981</v>
      </c>
      <c r="X83">
        <f>IF(W83="","",LOOKUP(_xlfn.CONCAT(P83,", ",Q83),'[1]T+S Costs'!$F$2:$F$3138,'[1]T+S Costs'!$N$2:$N$3138))</f>
        <v>10.226892130452139</v>
      </c>
      <c r="Y83" s="14">
        <f t="shared" si="9"/>
        <v>0.20547300647053937</v>
      </c>
      <c r="Z83" s="4">
        <f t="shared" si="10"/>
        <v>6.8281876130737373</v>
      </c>
    </row>
    <row r="84" spans="16:26" x14ac:dyDescent="0.25">
      <c r="P84" s="10" t="str">
        <f>IF('[1]All Data '!AZ89="","",'[1]All Data '!AZ89)</f>
        <v>Whiteside County</v>
      </c>
      <c r="Q84" s="10" t="str">
        <f>IF('[1]All Data '!BB89="","",'[1]All Data '!BB89)</f>
        <v>IL</v>
      </c>
      <c r="R84" s="10">
        <f>IF('[1]All Data '!BD89="","",'[1]All Data '!BD89)</f>
        <v>70</v>
      </c>
      <c r="S84" s="11">
        <f>IF(R84="","",'[1]All Data '!BE89)</f>
        <v>0.20000000000000004</v>
      </c>
      <c r="T84" s="12">
        <f>IF(S84="","",[1]Inputs_Outputs!$B$8*(1-'LOCH Calc COE Calc'!S84))</f>
        <v>254466.23093681916</v>
      </c>
      <c r="U84" s="13">
        <f t="shared" si="6"/>
        <v>52012897.60348583</v>
      </c>
      <c r="V84" s="13">
        <f t="shared" si="7"/>
        <v>1.7943111377350445</v>
      </c>
      <c r="W84" s="4">
        <f t="shared" si="8"/>
        <v>6.6227146066031981</v>
      </c>
      <c r="X84">
        <f>IF(W84="","",LOOKUP(_xlfn.CONCAT(P84,", ",Q84),'[1]T+S Costs'!$F$2:$F$3138,'[1]T+S Costs'!$N$2:$N$3138))</f>
        <v>14.253738117269759</v>
      </c>
      <c r="Y84" s="14">
        <f t="shared" si="9"/>
        <v>0.28637814763669162</v>
      </c>
      <c r="Z84" s="4">
        <f t="shared" si="10"/>
        <v>6.9090927542398894</v>
      </c>
    </row>
    <row r="85" spans="16:26" x14ac:dyDescent="0.25">
      <c r="P85" s="10" t="str">
        <f>IF('[1]All Data '!AZ90="","",'[1]All Data '!AZ90)</f>
        <v>Carlisle County</v>
      </c>
      <c r="Q85" s="10" t="str">
        <f>IF('[1]All Data '!BB90="","",'[1]All Data '!BB90)</f>
        <v>KY</v>
      </c>
      <c r="R85" s="10">
        <f>IF('[1]All Data '!BD90="","",'[1]All Data '!BD90)</f>
        <v>69.967513351177146</v>
      </c>
      <c r="S85" s="11">
        <f>IF(R85="","",'[1]All Data '!BE90)</f>
        <v>0.19061543707663681</v>
      </c>
      <c r="T85" s="12">
        <f>IF(S85="","",[1]Inputs_Outputs!$B$8*(1-'LOCH Calc COE Calc'!S85))</f>
        <v>257451.29888194121</v>
      </c>
      <c r="U85" s="13">
        <f t="shared" si="6"/>
        <v>52598623.400056355</v>
      </c>
      <c r="V85" s="13">
        <f t="shared" si="7"/>
        <v>1.8145171706397523</v>
      </c>
      <c r="W85" s="4">
        <f t="shared" si="8"/>
        <v>6.6429206395079055</v>
      </c>
      <c r="X85">
        <f>IF(W85="","",LOOKUP(_xlfn.CONCAT(P85,", ",Q85),'[1]T+S Costs'!$F$2:$F$3138,'[1]T+S Costs'!$N$2:$N$3138))</f>
        <v>16.201391362655677</v>
      </c>
      <c r="Y85" s="14">
        <f t="shared" si="9"/>
        <v>0.32550930916521897</v>
      </c>
      <c r="Z85" s="4">
        <f t="shared" si="10"/>
        <v>6.9684299486731245</v>
      </c>
    </row>
    <row r="86" spans="16:26" x14ac:dyDescent="0.25">
      <c r="P86" s="10" t="str">
        <f>IF('[1]All Data '!AZ91="","",'[1]All Data '!AZ91)</f>
        <v>Phelps County</v>
      </c>
      <c r="Q86" s="10" t="str">
        <f>IF('[1]All Data '!BB91="","",'[1]All Data '!BB91)</f>
        <v>NE</v>
      </c>
      <c r="R86" s="10">
        <f>IF('[1]All Data '!BD91="","",'[1]All Data '!BD91)</f>
        <v>70</v>
      </c>
      <c r="S86" s="11">
        <f>IF(R86="","",'[1]All Data '!BE91)</f>
        <v>0.20000969617049746</v>
      </c>
      <c r="T86" s="12">
        <f>IF(S86="","",[1]Inputs_Outputs!$B$8*(1-'LOCH Calc COE Calc'!S86))</f>
        <v>254463.1467518679</v>
      </c>
      <c r="U86" s="13">
        <f t="shared" si="6"/>
        <v>52012267.196081802</v>
      </c>
      <c r="V86" s="13">
        <f t="shared" si="7"/>
        <v>1.7942893903016486</v>
      </c>
      <c r="W86" s="4">
        <f t="shared" si="8"/>
        <v>6.6226928591698018</v>
      </c>
      <c r="X86">
        <f>IF(W86="","",LOOKUP(_xlfn.CONCAT(P86,", ",Q86),'[1]T+S Costs'!$F$2:$F$3138,'[1]T+S Costs'!$N$2:$N$3138))</f>
        <v>17.149425466375014</v>
      </c>
      <c r="Y86" s="14">
        <f t="shared" si="9"/>
        <v>0.34455668103959136</v>
      </c>
      <c r="Z86" s="4">
        <f t="shared" si="10"/>
        <v>6.9672495402093935</v>
      </c>
    </row>
    <row r="87" spans="16:26" x14ac:dyDescent="0.25">
      <c r="P87" s="10" t="str">
        <f>IF('[1]All Data '!AZ92="","",'[1]All Data '!AZ92)</f>
        <v>Adams County</v>
      </c>
      <c r="Q87" s="10" t="str">
        <f>IF('[1]All Data '!BB92="","",'[1]All Data '!BB92)</f>
        <v>NE</v>
      </c>
      <c r="R87" s="10">
        <f>IF('[1]All Data '!BD92="","",'[1]All Data '!BD92)</f>
        <v>70</v>
      </c>
      <c r="S87" s="11">
        <f>IF(R87="","",'[1]All Data '!BE92)</f>
        <v>0.20032035223938063</v>
      </c>
      <c r="T87" s="12">
        <f>IF(S87="","",[1]Inputs_Outputs!$B$8*(1-'LOCH Calc COE Calc'!S87))</f>
        <v>254364.33240315999</v>
      </c>
      <c r="U87" s="13">
        <f t="shared" si="6"/>
        <v>51992069.543205909</v>
      </c>
      <c r="V87" s="13">
        <f t="shared" si="7"/>
        <v>1.7935926232461463</v>
      </c>
      <c r="W87" s="4">
        <f t="shared" si="8"/>
        <v>6.6219960921142995</v>
      </c>
      <c r="X87">
        <f>IF(W87="","",LOOKUP(_xlfn.CONCAT(P87,", ",Q87),'[1]T+S Costs'!$F$2:$F$3138,'[1]T+S Costs'!$N$2:$N$3138))</f>
        <v>17.412507802755631</v>
      </c>
      <c r="Y87" s="14">
        <f t="shared" si="9"/>
        <v>0.34984238444937493</v>
      </c>
      <c r="Z87" s="4">
        <f t="shared" si="10"/>
        <v>6.9718384765636747</v>
      </c>
    </row>
    <row r="88" spans="16:26" x14ac:dyDescent="0.25">
      <c r="P88" s="10" t="str">
        <f>IF('[1]All Data '!AZ93="","",'[1]All Data '!AZ93)</f>
        <v>Cass County</v>
      </c>
      <c r="Q88" s="10" t="str">
        <f>IF('[1]All Data '!BB93="","",'[1]All Data '!BB93)</f>
        <v>IL</v>
      </c>
      <c r="R88" s="10">
        <f>IF('[1]All Data '!BD93="","",'[1]All Data '!BD93)</f>
        <v>70</v>
      </c>
      <c r="S88" s="11">
        <f>IF(R88="","",'[1]All Data '!BE93)</f>
        <v>0.2</v>
      </c>
      <c r="T88" s="12">
        <f>IF(S88="","",[1]Inputs_Outputs!$B$8*(1-'LOCH Calc COE Calc'!S88))</f>
        <v>254466.23093681919</v>
      </c>
      <c r="U88" s="13">
        <f t="shared" si="6"/>
        <v>52012897.603485852</v>
      </c>
      <c r="V88" s="13">
        <f t="shared" si="7"/>
        <v>1.7943111377350451</v>
      </c>
      <c r="W88" s="4">
        <f t="shared" si="8"/>
        <v>6.6227146066031981</v>
      </c>
      <c r="X88">
        <f>IF(W88="","",LOOKUP(_xlfn.CONCAT(P88,", ",Q88),'[1]T+S Costs'!$F$2:$F$3138,'[1]T+S Costs'!$N$2:$N$3138))</f>
        <v>9.9613421026386177</v>
      </c>
      <c r="Y88" s="14">
        <f t="shared" si="9"/>
        <v>0.20013772358232845</v>
      </c>
      <c r="Z88" s="4">
        <f t="shared" si="10"/>
        <v>6.8228523301855262</v>
      </c>
    </row>
    <row r="89" spans="16:26" x14ac:dyDescent="0.25">
      <c r="P89" s="10" t="str">
        <f>IF('[1]All Data '!AZ94="","",'[1]All Data '!AZ94)</f>
        <v>Kearney County</v>
      </c>
      <c r="Q89" s="10" t="str">
        <f>IF('[1]All Data '!BB94="","",'[1]All Data '!BB94)</f>
        <v>NE</v>
      </c>
      <c r="R89" s="10">
        <f>IF('[1]All Data '!BD94="","",'[1]All Data '!BD94)</f>
        <v>70</v>
      </c>
      <c r="S89" s="11">
        <f>IF(R89="","",'[1]All Data '!BE94)</f>
        <v>0.2003023349177005</v>
      </c>
      <c r="T89" s="12">
        <f>IF(S89="","",[1]Inputs_Outputs!$B$8*(1-'LOCH Calc COE Calc'!S89))</f>
        <v>254370.06340308441</v>
      </c>
      <c r="U89" s="13">
        <f t="shared" si="6"/>
        <v>51993240.959590457</v>
      </c>
      <c r="V89" s="13">
        <f t="shared" si="7"/>
        <v>1.7936330340973499</v>
      </c>
      <c r="W89" s="4">
        <f t="shared" si="8"/>
        <v>6.6220365029655035</v>
      </c>
      <c r="X89">
        <f>IF(W89="","",LOOKUP(_xlfn.CONCAT(P89,", ",Q89),'[1]T+S Costs'!$F$2:$F$3138,'[1]T+S Costs'!$N$2:$N$3138))</f>
        <v>17.149425466375014</v>
      </c>
      <c r="Y89" s="14">
        <f t="shared" si="9"/>
        <v>0.34455668103959136</v>
      </c>
      <c r="Z89" s="4">
        <f t="shared" si="10"/>
        <v>6.9665931840050952</v>
      </c>
    </row>
    <row r="90" spans="16:26" x14ac:dyDescent="0.25">
      <c r="P90" s="10" t="str">
        <f>IF('[1]All Data '!AZ95="","",'[1]All Data '!AZ95)</f>
        <v>Douglas County</v>
      </c>
      <c r="Q90" s="10" t="str">
        <f>IF('[1]All Data '!BB95="","",'[1]All Data '!BB95)</f>
        <v>IL</v>
      </c>
      <c r="R90" s="10">
        <f>IF('[1]All Data '!BD95="","",'[1]All Data '!BD95)</f>
        <v>70</v>
      </c>
      <c r="S90" s="11">
        <f>IF(R90="","",'[1]All Data '!BE95)</f>
        <v>0.20000000000000004</v>
      </c>
      <c r="T90" s="12">
        <f>IF(S90="","",[1]Inputs_Outputs!$B$8*(1-'LOCH Calc COE Calc'!S90))</f>
        <v>254466.23093681916</v>
      </c>
      <c r="U90" s="13">
        <f t="shared" si="6"/>
        <v>52012897.60348583</v>
      </c>
      <c r="V90" s="13">
        <f t="shared" si="7"/>
        <v>1.7943111377350445</v>
      </c>
      <c r="W90" s="4">
        <f t="shared" si="8"/>
        <v>6.6227146066031981</v>
      </c>
      <c r="X90">
        <f>IF(W90="","",LOOKUP(_xlfn.CONCAT(P90,", ",Q90),'[1]T+S Costs'!$F$2:$F$3138,'[1]T+S Costs'!$N$2:$N$3138))</f>
        <v>9.9613421026386177</v>
      </c>
      <c r="Y90" s="14">
        <f t="shared" si="9"/>
        <v>0.20013772358232845</v>
      </c>
      <c r="Z90" s="4">
        <f t="shared" si="10"/>
        <v>6.8228523301855262</v>
      </c>
    </row>
    <row r="91" spans="16:26" x14ac:dyDescent="0.25">
      <c r="P91" s="10" t="str">
        <f>IF('[1]All Data '!AZ96="","",'[1]All Data '!AZ96)</f>
        <v>Pottawattamie County</v>
      </c>
      <c r="Q91" s="10" t="str">
        <f>IF('[1]All Data '!BB96="","",'[1]All Data '!BB96)</f>
        <v>IA</v>
      </c>
      <c r="R91" s="10">
        <f>IF('[1]All Data '!BD96="","",'[1]All Data '!BD96)</f>
        <v>70</v>
      </c>
      <c r="S91" s="11">
        <f>IF(R91="","",'[1]All Data '!BE96)</f>
        <v>0.20000000000000004</v>
      </c>
      <c r="T91" s="12">
        <f>IF(S91="","",[1]Inputs_Outputs!$B$8*(1-'LOCH Calc COE Calc'!S91))</f>
        <v>254466.23093681916</v>
      </c>
      <c r="U91" s="13">
        <f t="shared" si="6"/>
        <v>52012897.60348583</v>
      </c>
      <c r="V91" s="13">
        <f t="shared" si="7"/>
        <v>1.7943111377350445</v>
      </c>
      <c r="W91" s="4">
        <f t="shared" si="8"/>
        <v>6.6227146066031981</v>
      </c>
      <c r="X91">
        <f>IF(W91="","",LOOKUP(_xlfn.CONCAT(P91,", ",Q91),'[1]T+S Costs'!$F$2:$F$3138,'[1]T+S Costs'!$N$2:$N$3138))</f>
        <v>24.349573619949826</v>
      </c>
      <c r="Y91" s="14">
        <f t="shared" si="9"/>
        <v>0.48921803751787779</v>
      </c>
      <c r="Z91" s="4">
        <f t="shared" si="10"/>
        <v>7.111932644121076</v>
      </c>
    </row>
    <row r="92" spans="16:26" x14ac:dyDescent="0.25">
      <c r="P92" s="10" t="str">
        <f>IF('[1]All Data '!AZ97="","",'[1]All Data '!AZ97)</f>
        <v>Queen Anne's County</v>
      </c>
      <c r="Q92" s="10" t="str">
        <f>IF('[1]All Data '!BB97="","",'[1]All Data '!BB97)</f>
        <v>MD</v>
      </c>
      <c r="R92" s="10">
        <f>IF('[1]All Data '!BD97="","",'[1]All Data '!BD97)</f>
        <v>70</v>
      </c>
      <c r="S92" s="11">
        <f>IF(R92="","",'[1]All Data '!BE97)</f>
        <v>0.19009108627538054</v>
      </c>
      <c r="T92" s="12">
        <f>IF(S92="","",[1]Inputs_Outputs!$B$8*(1-'LOCH Calc COE Calc'!S92))</f>
        <v>257618.08584704672</v>
      </c>
      <c r="U92" s="13">
        <f t="shared" si="6"/>
        <v>52657136.747136347</v>
      </c>
      <c r="V92" s="13">
        <f t="shared" si="7"/>
        <v>1.8165357305587202</v>
      </c>
      <c r="W92" s="4">
        <f t="shared" si="8"/>
        <v>6.6449391994268741</v>
      </c>
      <c r="X92">
        <f>IF(W92="","",LOOKUP(_xlfn.CONCAT(P92,", ",Q92),'[1]T+S Costs'!$F$2:$F$3138,'[1]T+S Costs'!$N$2:$N$3138))</f>
        <v>11.647857162854162</v>
      </c>
      <c r="Y92" s="14">
        <f t="shared" si="9"/>
        <v>0.23402224250166609</v>
      </c>
      <c r="Z92" s="4">
        <f t="shared" si="10"/>
        <v>6.8789614419285403</v>
      </c>
    </row>
    <row r="93" spans="16:26" x14ac:dyDescent="0.25">
      <c r="P93" s="10" t="str">
        <f>IF('[1]All Data '!AZ98="","",'[1]All Data '!AZ98)</f>
        <v>Woodbury County</v>
      </c>
      <c r="Q93" s="10" t="str">
        <f>IF('[1]All Data '!BB98="","",'[1]All Data '!BB98)</f>
        <v>IA</v>
      </c>
      <c r="R93" s="10">
        <f>IF('[1]All Data '!BD98="","",'[1]All Data '!BD98)</f>
        <v>70</v>
      </c>
      <c r="S93" s="11">
        <f>IF(R93="","",'[1]All Data '!BE98)</f>
        <v>0.20000000000000004</v>
      </c>
      <c r="T93" s="12">
        <f>IF(S93="","",[1]Inputs_Outputs!$B$8*(1-'LOCH Calc COE Calc'!S93))</f>
        <v>254466.23093681916</v>
      </c>
      <c r="U93" s="13">
        <f t="shared" si="6"/>
        <v>52012897.60348583</v>
      </c>
      <c r="V93" s="13">
        <f t="shared" si="7"/>
        <v>1.7943111377350445</v>
      </c>
      <c r="W93" s="4">
        <f t="shared" si="8"/>
        <v>6.6227146066031981</v>
      </c>
      <c r="X93">
        <f>IF(W93="","",LOOKUP(_xlfn.CONCAT(P93,", ",Q93),'[1]T+S Costs'!$F$2:$F$3138,'[1]T+S Costs'!$N$2:$N$3138))</f>
        <v>25.568060230554796</v>
      </c>
      <c r="Y93" s="14">
        <f t="shared" si="9"/>
        <v>0.51369919015266485</v>
      </c>
      <c r="Z93" s="4">
        <f t="shared" si="10"/>
        <v>7.1364137967558632</v>
      </c>
    </row>
    <row r="94" spans="16:26" x14ac:dyDescent="0.25">
      <c r="P94" s="10" t="str">
        <f>IF('[1]All Data '!AZ99="","",'[1]All Data '!AZ99)</f>
        <v>Renville County</v>
      </c>
      <c r="Q94" s="10" t="str">
        <f>IF('[1]All Data '!BB99="","",'[1]All Data '!BB99)</f>
        <v>MN</v>
      </c>
      <c r="R94" s="10">
        <f>IF('[1]All Data '!BD99="","",'[1]All Data '!BD99)</f>
        <v>70</v>
      </c>
      <c r="S94" s="11">
        <f>IF(R94="","",'[1]All Data '!BE99)</f>
        <v>0.19984946845427057</v>
      </c>
      <c r="T94" s="12">
        <f>IF(S94="","",[1]Inputs_Outputs!$B$8*(1-'LOCH Calc COE Calc'!S94))</f>
        <v>254514.11243066777</v>
      </c>
      <c r="U94" s="13">
        <f t="shared" si="6"/>
        <v>52022684.580828495</v>
      </c>
      <c r="V94" s="13">
        <f t="shared" si="7"/>
        <v>1.7946487632713986</v>
      </c>
      <c r="W94" s="4">
        <f t="shared" si="8"/>
        <v>6.6230522321395515</v>
      </c>
      <c r="X94">
        <f>IF(W94="","",LOOKUP(_xlfn.CONCAT(P94,", ",Q94),'[1]T+S Costs'!$F$2:$F$3138,'[1]T+S Costs'!$N$2:$N$3138))</f>
        <v>24.533687956278321</v>
      </c>
      <c r="Y94" s="14">
        <f t="shared" si="9"/>
        <v>0.49291715996262314</v>
      </c>
      <c r="Z94" s="4">
        <f t="shared" si="10"/>
        <v>7.1159693921021745</v>
      </c>
    </row>
    <row r="95" spans="16:26" x14ac:dyDescent="0.25">
      <c r="P95" s="10" t="str">
        <f>IF('[1]All Data '!AZ100="","",'[1]All Data '!AZ100)</f>
        <v>Washington County</v>
      </c>
      <c r="Q95" s="10" t="str">
        <f>IF('[1]All Data '!BB100="","",'[1]All Data '!BB100)</f>
        <v>IL</v>
      </c>
      <c r="R95" s="10">
        <f>IF('[1]All Data '!BD100="","",'[1]All Data '!BD100)</f>
        <v>70</v>
      </c>
      <c r="S95" s="11">
        <f>IF(R95="","",'[1]All Data '!BE100)</f>
        <v>0.18744723043661937</v>
      </c>
      <c r="T95" s="12">
        <f>IF(S95="","",[1]Inputs_Outputs!$B$8*(1-'LOCH Calc COE Calc'!S95))</f>
        <v>258459.05088508403</v>
      </c>
      <c r="U95" s="13">
        <f t="shared" si="6"/>
        <v>52829030.000911176</v>
      </c>
      <c r="V95" s="13">
        <f t="shared" si="7"/>
        <v>1.8224656055312889</v>
      </c>
      <c r="W95" s="4">
        <f t="shared" si="8"/>
        <v>6.6508690743994423</v>
      </c>
      <c r="X95">
        <f>IF(W95="","",LOOKUP(_xlfn.CONCAT(P95,", ",Q95),'[1]T+S Costs'!$F$2:$F$3138,'[1]T+S Costs'!$N$2:$N$3138))</f>
        <v>12.273697375036683</v>
      </c>
      <c r="Y95" s="14">
        <f t="shared" si="9"/>
        <v>0.24659627460516276</v>
      </c>
      <c r="Z95" s="4">
        <f t="shared" si="10"/>
        <v>6.8974653490046052</v>
      </c>
    </row>
    <row r="96" spans="16:26" x14ac:dyDescent="0.25">
      <c r="P96" s="10" t="str">
        <f>IF('[1]All Data '!AZ101="","",'[1]All Data '!AZ101)</f>
        <v>Vermillion County</v>
      </c>
      <c r="Q96" s="10" t="str">
        <f>IF('[1]All Data '!BB101="","",'[1]All Data '!BB101)</f>
        <v>IN</v>
      </c>
      <c r="R96" s="10">
        <f>IF('[1]All Data '!BD101="","",'[1]All Data '!BD101)</f>
        <v>70</v>
      </c>
      <c r="S96" s="11">
        <f>IF(R96="","",'[1]All Data '!BE101)</f>
        <v>0.2</v>
      </c>
      <c r="T96" s="12">
        <f>IF(S96="","",[1]Inputs_Outputs!$B$8*(1-'LOCH Calc COE Calc'!S96))</f>
        <v>254466.23093681919</v>
      </c>
      <c r="U96" s="13">
        <f t="shared" si="6"/>
        <v>52012897.603485852</v>
      </c>
      <c r="V96" s="13">
        <f t="shared" si="7"/>
        <v>1.7943111377350451</v>
      </c>
      <c r="W96" s="4">
        <f t="shared" si="8"/>
        <v>6.6227146066031981</v>
      </c>
      <c r="X96">
        <f>IF(W96="","",LOOKUP(_xlfn.CONCAT(P96,", ",Q96),'[1]T+S Costs'!$F$2:$F$3138,'[1]T+S Costs'!$N$2:$N$3138))</f>
        <v>10.766903241970251</v>
      </c>
      <c r="Y96" s="14">
        <f t="shared" si="9"/>
        <v>0.21632260820641083</v>
      </c>
      <c r="Z96" s="4">
        <f t="shared" si="10"/>
        <v>6.8390372148096086</v>
      </c>
    </row>
    <row r="97" spans="16:26" x14ac:dyDescent="0.25">
      <c r="P97" s="10" t="str">
        <f>IF('[1]All Data '!AZ102="","",'[1]All Data '!AZ102)</f>
        <v>Otter Tail County</v>
      </c>
      <c r="Q97" s="10" t="str">
        <f>IF('[1]All Data '!BB102="","",'[1]All Data '!BB102)</f>
        <v>MN</v>
      </c>
      <c r="R97" s="10">
        <f>IF('[1]All Data '!BD102="","",'[1]All Data '!BD102)</f>
        <v>70</v>
      </c>
      <c r="S97" s="11">
        <f>IF(R97="","",'[1]All Data '!BE102)</f>
        <v>0.20000000000000004</v>
      </c>
      <c r="T97" s="12">
        <f>IF(S97="","",[1]Inputs_Outputs!$B$8*(1-'LOCH Calc COE Calc'!S97))</f>
        <v>254466.23093681916</v>
      </c>
      <c r="U97" s="13">
        <f t="shared" si="6"/>
        <v>52012897.60348583</v>
      </c>
      <c r="V97" s="13">
        <f t="shared" si="7"/>
        <v>1.7943111377350445</v>
      </c>
      <c r="W97" s="4">
        <f t="shared" si="8"/>
        <v>6.6227146066031981</v>
      </c>
      <c r="X97">
        <f>IF(W97="","",LOOKUP(_xlfn.CONCAT(P97,", ",Q97),'[1]T+S Costs'!$F$2:$F$3138,'[1]T+S Costs'!$N$2:$N$3138))</f>
        <v>21.658151702525863</v>
      </c>
      <c r="Y97" s="14">
        <f t="shared" si="9"/>
        <v>0.43514349111612993</v>
      </c>
      <c r="Z97" s="4">
        <f t="shared" si="10"/>
        <v>7.0578580977193281</v>
      </c>
    </row>
    <row r="98" spans="16:26" x14ac:dyDescent="0.25">
      <c r="P98" s="10" t="str">
        <f>IF('[1]All Data '!AZ103="","",'[1]All Data '!AZ103)</f>
        <v>Sangamon County</v>
      </c>
      <c r="Q98" s="10" t="str">
        <f>IF('[1]All Data '!BB103="","",'[1]All Data '!BB103)</f>
        <v>IL</v>
      </c>
      <c r="R98" s="10">
        <f>IF('[1]All Data '!BD103="","",'[1]All Data '!BD103)</f>
        <v>70</v>
      </c>
      <c r="S98" s="11">
        <f>IF(R98="","",'[1]All Data '!BE103)</f>
        <v>0.2</v>
      </c>
      <c r="T98" s="12">
        <f>IF(S98="","",[1]Inputs_Outputs!$B$8*(1-'LOCH Calc COE Calc'!S98))</f>
        <v>254466.23093681919</v>
      </c>
      <c r="U98" s="13">
        <f t="shared" si="6"/>
        <v>52012897.603485852</v>
      </c>
      <c r="V98" s="13">
        <f t="shared" si="7"/>
        <v>1.7943111377350451</v>
      </c>
      <c r="W98" s="4">
        <f t="shared" si="8"/>
        <v>6.6227146066031981</v>
      </c>
      <c r="X98">
        <f>IF(W98="","",LOOKUP(_xlfn.CONCAT(P98,", ",Q98),'[1]T+S Costs'!$F$2:$F$3138,'[1]T+S Costs'!$N$2:$N$3138))</f>
        <v>13.48642385239916</v>
      </c>
      <c r="Y98" s="14">
        <f t="shared" si="9"/>
        <v>0.27096169785902846</v>
      </c>
      <c r="Z98" s="4">
        <f t="shared" si="10"/>
        <v>6.8936763044622262</v>
      </c>
    </row>
    <row r="99" spans="16:26" x14ac:dyDescent="0.25">
      <c r="P99" s="10" t="str">
        <f>IF('[1]All Data '!AZ104="","",'[1]All Data '!AZ104)</f>
        <v>Merrick County</v>
      </c>
      <c r="Q99" s="10" t="str">
        <f>IF('[1]All Data '!BB104="","",'[1]All Data '!BB104)</f>
        <v>NE</v>
      </c>
      <c r="R99" s="10">
        <f>IF('[1]All Data '!BD104="","",'[1]All Data '!BD104)</f>
        <v>70</v>
      </c>
      <c r="S99" s="11">
        <f>IF(R99="","",'[1]All Data '!BE104)</f>
        <v>0.2</v>
      </c>
      <c r="T99" s="12">
        <f>IF(S99="","",[1]Inputs_Outputs!$B$8*(1-'LOCH Calc COE Calc'!S99))</f>
        <v>254466.23093681919</v>
      </c>
      <c r="U99" s="13">
        <f t="shared" si="6"/>
        <v>52012897.603485852</v>
      </c>
      <c r="V99" s="13">
        <f t="shared" si="7"/>
        <v>1.7943111377350451</v>
      </c>
      <c r="W99" s="4">
        <f t="shared" si="8"/>
        <v>6.6227146066031981</v>
      </c>
      <c r="X99">
        <f>IF(W99="","",LOOKUP(_xlfn.CONCAT(P99,", ",Q99),'[1]T+S Costs'!$F$2:$F$3138,'[1]T+S Costs'!$N$2:$N$3138))</f>
        <v>20.638728033107419</v>
      </c>
      <c r="Y99" s="14">
        <f t="shared" si="9"/>
        <v>0.41466179994829933</v>
      </c>
      <c r="Z99" s="4">
        <f t="shared" si="10"/>
        <v>7.0373764065514974</v>
      </c>
    </row>
    <row r="100" spans="16:26" x14ac:dyDescent="0.25">
      <c r="P100" s="10" t="str">
        <f>IF('[1]All Data '!AZ105="","",'[1]All Data '!AZ105)</f>
        <v>Nance County</v>
      </c>
      <c r="Q100" s="10" t="str">
        <f>IF('[1]All Data '!BB105="","",'[1]All Data '!BB105)</f>
        <v>NE</v>
      </c>
      <c r="R100" s="10">
        <f>IF('[1]All Data '!BD105="","",'[1]All Data '!BD105)</f>
        <v>70</v>
      </c>
      <c r="S100" s="11">
        <f>IF(R100="","",'[1]All Data '!BE105)</f>
        <v>0.2</v>
      </c>
      <c r="T100" s="12">
        <f>IF(S100="","",[1]Inputs_Outputs!$B$8*(1-'LOCH Calc COE Calc'!S100))</f>
        <v>254466.23093681919</v>
      </c>
      <c r="U100" s="13">
        <f t="shared" si="6"/>
        <v>52012897.603485852</v>
      </c>
      <c r="V100" s="13">
        <f t="shared" si="7"/>
        <v>1.7943111377350451</v>
      </c>
      <c r="W100" s="4">
        <f t="shared" si="8"/>
        <v>6.6227146066031981</v>
      </c>
      <c r="X100">
        <f>IF(W100="","",LOOKUP(_xlfn.CONCAT(P100,", ",Q100),'[1]T+S Costs'!$F$2:$F$3138,'[1]T+S Costs'!$N$2:$N$3138))</f>
        <v>20.874117491974292</v>
      </c>
      <c r="Y100" s="14">
        <f t="shared" si="9"/>
        <v>0.41939111352547431</v>
      </c>
      <c r="Z100" s="4">
        <f t="shared" si="10"/>
        <v>7.0421057201286725</v>
      </c>
    </row>
    <row r="101" spans="16:26" x14ac:dyDescent="0.25">
      <c r="P101" s="10" t="str">
        <f>IF('[1]All Data '!AZ106="","",'[1]All Data '!AZ106)</f>
        <v>Butler County</v>
      </c>
      <c r="Q101" s="10" t="str">
        <f>IF('[1]All Data '!BB106="","",'[1]All Data '!BB106)</f>
        <v>NE</v>
      </c>
      <c r="R101" s="10">
        <f>IF('[1]All Data '!BD106="","",'[1]All Data '!BD106)</f>
        <v>70</v>
      </c>
      <c r="S101" s="11">
        <f>IF(R101="","",'[1]All Data '!BE106)</f>
        <v>0.20000000000000004</v>
      </c>
      <c r="T101" s="12">
        <f>IF(S101="","",[1]Inputs_Outputs!$B$8*(1-'LOCH Calc COE Calc'!S101))</f>
        <v>254466.23093681916</v>
      </c>
      <c r="U101" s="13">
        <f t="shared" si="6"/>
        <v>52012897.60348583</v>
      </c>
      <c r="V101" s="13">
        <f t="shared" si="7"/>
        <v>1.7943111377350445</v>
      </c>
      <c r="W101" s="4">
        <f t="shared" si="8"/>
        <v>6.6227146066031981</v>
      </c>
      <c r="X101">
        <f>IF(W101="","",LOOKUP(_xlfn.CONCAT(P101,", ",Q101),'[1]T+S Costs'!$F$2:$F$3138,'[1]T+S Costs'!$N$2:$N$3138))</f>
        <v>21.137199828354909</v>
      </c>
      <c r="Y101" s="14">
        <f t="shared" si="9"/>
        <v>0.42467681693525772</v>
      </c>
      <c r="Z101" s="4">
        <f t="shared" si="10"/>
        <v>7.047391423538456</v>
      </c>
    </row>
    <row r="102" spans="16:26" x14ac:dyDescent="0.25">
      <c r="P102" s="10" t="str">
        <f>IF('[1]All Data '!AZ107="","",'[1]All Data '!AZ107)</f>
        <v>Rush County</v>
      </c>
      <c r="Q102" s="10" t="str">
        <f>IF('[1]All Data '!BB107="","",'[1]All Data '!BB107)</f>
        <v>IN</v>
      </c>
      <c r="R102" s="10">
        <f>IF('[1]All Data '!BD107="","",'[1]All Data '!BD107)</f>
        <v>70</v>
      </c>
      <c r="S102" s="11">
        <f>IF(R102="","",'[1]All Data '!BE107)</f>
        <v>0.2</v>
      </c>
      <c r="T102" s="12">
        <f>IF(S102="","",[1]Inputs_Outputs!$B$8*(1-'LOCH Calc COE Calc'!S102))</f>
        <v>254466.23093681919</v>
      </c>
      <c r="U102" s="13">
        <f t="shared" si="6"/>
        <v>52012897.603485852</v>
      </c>
      <c r="V102" s="13">
        <f t="shared" si="7"/>
        <v>1.7943111377350451</v>
      </c>
      <c r="W102" s="4">
        <f t="shared" si="8"/>
        <v>6.6227146066031981</v>
      </c>
      <c r="X102">
        <f>IF(W102="","",LOOKUP(_xlfn.CONCAT(P102,", ",Q102),'[1]T+S Costs'!$F$2:$F$3138,'[1]T+S Costs'!$N$2:$N$3138))</f>
        <v>9.9499633553146474</v>
      </c>
      <c r="Y102" s="14">
        <f t="shared" si="9"/>
        <v>0.1999091081444514</v>
      </c>
      <c r="Z102" s="4">
        <f t="shared" si="10"/>
        <v>6.8226237147476496</v>
      </c>
    </row>
    <row r="103" spans="16:26" x14ac:dyDescent="0.25">
      <c r="P103" s="10" t="str">
        <f>IF('[1]All Data '!AZ108="","",'[1]All Data '!AZ108)</f>
        <v>Buchanan County</v>
      </c>
      <c r="Q103" s="10" t="str">
        <f>IF('[1]All Data '!BB108="","",'[1]All Data '!BB108)</f>
        <v>IA</v>
      </c>
      <c r="R103" s="10">
        <f>IF('[1]All Data '!BD108="","",'[1]All Data '!BD108)</f>
        <v>70</v>
      </c>
      <c r="S103" s="11">
        <f>IF(R103="","",'[1]All Data '!BE108)</f>
        <v>0.2</v>
      </c>
      <c r="T103" s="12">
        <f>IF(S103="","",[1]Inputs_Outputs!$B$8*(1-'LOCH Calc COE Calc'!S103))</f>
        <v>254466.23093681919</v>
      </c>
      <c r="U103" s="13">
        <f t="shared" si="6"/>
        <v>52012897.603485852</v>
      </c>
      <c r="V103" s="13">
        <f t="shared" si="7"/>
        <v>1.7943111377350451</v>
      </c>
      <c r="W103" s="4">
        <f t="shared" si="8"/>
        <v>6.6227146066031981</v>
      </c>
      <c r="X103">
        <f>IF(W103="","",LOOKUP(_xlfn.CONCAT(P103,", ",Q103),'[1]T+S Costs'!$F$2:$F$3138,'[1]T+S Costs'!$N$2:$N$3138))</f>
        <v>18.781523590767762</v>
      </c>
      <c r="Y103" s="14">
        <f t="shared" si="9"/>
        <v>0.37734788526822938</v>
      </c>
      <c r="Z103" s="4">
        <f t="shared" si="10"/>
        <v>7.0000624918714278</v>
      </c>
    </row>
    <row r="104" spans="16:26" x14ac:dyDescent="0.25">
      <c r="P104" s="10" t="str">
        <f>IF('[1]All Data '!AZ109="","",'[1]All Data '!AZ109)</f>
        <v>Christian County</v>
      </c>
      <c r="Q104" s="10" t="str">
        <f>IF('[1]All Data '!BB109="","",'[1]All Data '!BB109)</f>
        <v>IL</v>
      </c>
      <c r="R104" s="10">
        <f>IF('[1]All Data '!BD109="","",'[1]All Data '!BD109)</f>
        <v>70</v>
      </c>
      <c r="S104" s="11">
        <f>IF(R104="","",'[1]All Data '!BE109)</f>
        <v>0.19999999999999998</v>
      </c>
      <c r="T104" s="12">
        <f>IF(S104="","",[1]Inputs_Outputs!$B$8*(1-'LOCH Calc COE Calc'!S104))</f>
        <v>254466.23093681919</v>
      </c>
      <c r="U104" s="13">
        <f t="shared" si="6"/>
        <v>52012897.603485852</v>
      </c>
      <c r="V104" s="13">
        <f t="shared" si="7"/>
        <v>1.7943111377350451</v>
      </c>
      <c r="W104" s="4">
        <f t="shared" si="8"/>
        <v>6.6227146066031981</v>
      </c>
      <c r="X104">
        <f>IF(W104="","",LOOKUP(_xlfn.CONCAT(P104,", ",Q104),'[1]T+S Costs'!$F$2:$F$3138,'[1]T+S Costs'!$N$2:$N$3138))</f>
        <v>12.669483965743556</v>
      </c>
      <c r="Y104" s="14">
        <f t="shared" si="9"/>
        <v>0.25454819779706905</v>
      </c>
      <c r="Z104" s="4">
        <f t="shared" si="10"/>
        <v>6.8772628044002673</v>
      </c>
    </row>
    <row r="105" spans="16:26" x14ac:dyDescent="0.25">
      <c r="P105" s="10" t="str">
        <f>IF('[1]All Data '!AZ110="","",'[1]All Data '!AZ110)</f>
        <v>Hendricks County</v>
      </c>
      <c r="Q105" s="10" t="str">
        <f>IF('[1]All Data '!BB110="","",'[1]All Data '!BB110)</f>
        <v>IN</v>
      </c>
      <c r="R105" s="10">
        <f>IF('[1]All Data '!BD110="","",'[1]All Data '!BD110)</f>
        <v>70</v>
      </c>
      <c r="S105" s="11">
        <f>IF(R105="","",'[1]All Data '!BE110)</f>
        <v>0.2</v>
      </c>
      <c r="T105" s="12">
        <f>IF(S105="","",[1]Inputs_Outputs!$B$8*(1-'LOCH Calc COE Calc'!S105))</f>
        <v>254466.23093681919</v>
      </c>
      <c r="U105" s="13">
        <f t="shared" si="6"/>
        <v>52012897.603485852</v>
      </c>
      <c r="V105" s="13">
        <f t="shared" si="7"/>
        <v>1.7943111377350451</v>
      </c>
      <c r="W105" s="4">
        <f t="shared" si="8"/>
        <v>6.6227146066031981</v>
      </c>
      <c r="X105">
        <f>IF(W105="","",LOOKUP(_xlfn.CONCAT(P105,", ",Q105),'[1]T+S Costs'!$F$2:$F$3138,'[1]T+S Costs'!$N$2:$N$3138))</f>
        <v>12.280276636058304</v>
      </c>
      <c r="Y105" s="14">
        <f t="shared" si="9"/>
        <v>0.24672846144405997</v>
      </c>
      <c r="Z105" s="4">
        <f t="shared" si="10"/>
        <v>6.869443068047258</v>
      </c>
    </row>
    <row r="106" spans="16:26" x14ac:dyDescent="0.25">
      <c r="P106" s="10" t="str">
        <f>IF('[1]All Data '!AZ111="","",'[1]All Data '!AZ111)</f>
        <v>Saunders County</v>
      </c>
      <c r="Q106" s="10" t="str">
        <f>IF('[1]All Data '!BB111="","",'[1]All Data '!BB111)</f>
        <v>NE</v>
      </c>
      <c r="R106" s="10">
        <f>IF('[1]All Data '!BD111="","",'[1]All Data '!BD111)</f>
        <v>70</v>
      </c>
      <c r="S106" s="11">
        <f>IF(R106="","",'[1]All Data '!BE111)</f>
        <v>0.2</v>
      </c>
      <c r="T106" s="12">
        <f>IF(S106="","",[1]Inputs_Outputs!$B$8*(1-'LOCH Calc COE Calc'!S106))</f>
        <v>254466.23093681919</v>
      </c>
      <c r="U106" s="13">
        <f t="shared" si="6"/>
        <v>52012897.603485852</v>
      </c>
      <c r="V106" s="13">
        <f t="shared" si="7"/>
        <v>1.7943111377350451</v>
      </c>
      <c r="W106" s="4">
        <f t="shared" si="8"/>
        <v>6.6227146066031981</v>
      </c>
      <c r="X106">
        <f>IF(W106="","",LOOKUP(_xlfn.CONCAT(P106,", ",Q106),'[1]T+S Costs'!$F$2:$F$3138,'[1]T+S Costs'!$N$2:$N$3138))</f>
        <v>21.372589287221778</v>
      </c>
      <c r="Y106" s="14">
        <f t="shared" si="9"/>
        <v>0.42940613051243243</v>
      </c>
      <c r="Z106" s="4">
        <f t="shared" si="10"/>
        <v>7.0521207371156303</v>
      </c>
    </row>
    <row r="107" spans="16:26" x14ac:dyDescent="0.25">
      <c r="P107" s="10" t="str">
        <f>IF('[1]All Data '!AZ112="","",'[1]All Data '!AZ112)</f>
        <v>Huntington County</v>
      </c>
      <c r="Q107" s="10" t="str">
        <f>IF('[1]All Data '!BB112="","",'[1]All Data '!BB112)</f>
        <v>IN</v>
      </c>
      <c r="R107" s="10">
        <f>IF('[1]All Data '!BD112="","",'[1]All Data '!BD112)</f>
        <v>70</v>
      </c>
      <c r="S107" s="11">
        <f>IF(R107="","",'[1]All Data '!BE112)</f>
        <v>0.19999999999999998</v>
      </c>
      <c r="T107" s="12">
        <f>IF(S107="","",[1]Inputs_Outputs!$B$8*(1-'LOCH Calc COE Calc'!S107))</f>
        <v>254466.23093681919</v>
      </c>
      <c r="U107" s="13">
        <f t="shared" si="6"/>
        <v>52012897.603485852</v>
      </c>
      <c r="V107" s="13">
        <f t="shared" si="7"/>
        <v>1.7943111377350451</v>
      </c>
      <c r="W107" s="4">
        <f t="shared" si="8"/>
        <v>6.6227146066031981</v>
      </c>
      <c r="X107">
        <f>IF(W107="","",LOOKUP(_xlfn.CONCAT(P107,", ",Q107),'[1]T+S Costs'!$F$2:$F$3138,'[1]T+S Costs'!$N$2:$N$3138))</f>
        <v>9.9499633553146474</v>
      </c>
      <c r="Y107" s="14">
        <f t="shared" si="9"/>
        <v>0.1999091081444514</v>
      </c>
      <c r="Z107" s="4">
        <f t="shared" si="10"/>
        <v>6.8226237147476496</v>
      </c>
    </row>
    <row r="108" spans="16:26" x14ac:dyDescent="0.25">
      <c r="P108" s="10" t="str">
        <f>IF('[1]All Data '!AZ113="","",'[1]All Data '!AZ113)</f>
        <v>Mills County</v>
      </c>
      <c r="Q108" s="10" t="str">
        <f>IF('[1]All Data '!BB113="","",'[1]All Data '!BB113)</f>
        <v>IA</v>
      </c>
      <c r="R108" s="10">
        <f>IF('[1]All Data '!BD113="","",'[1]All Data '!BD113)</f>
        <v>70</v>
      </c>
      <c r="S108" s="11">
        <f>IF(R108="","",'[1]All Data '!BE113)</f>
        <v>0.2</v>
      </c>
      <c r="T108" s="12">
        <f>IF(S108="","",[1]Inputs_Outputs!$B$8*(1-'LOCH Calc COE Calc'!S108))</f>
        <v>254466.23093681919</v>
      </c>
      <c r="U108" s="13">
        <f t="shared" si="6"/>
        <v>52012897.603485852</v>
      </c>
      <c r="V108" s="13">
        <f t="shared" si="7"/>
        <v>1.7943111377350451</v>
      </c>
      <c r="W108" s="4">
        <f t="shared" si="8"/>
        <v>6.6227146066031981</v>
      </c>
      <c r="X108">
        <f>IF(W108="","",LOOKUP(_xlfn.CONCAT(P108,", ",Q108),'[1]T+S Costs'!$F$2:$F$3138,'[1]T+S Costs'!$N$2:$N$3138))</f>
        <v>23.449555100752974</v>
      </c>
      <c r="Y108" s="14">
        <f t="shared" si="9"/>
        <v>0.47113536795809202</v>
      </c>
      <c r="Z108" s="4">
        <f t="shared" si="10"/>
        <v>7.09384997456129</v>
      </c>
    </row>
    <row r="109" spans="16:26" x14ac:dyDescent="0.25">
      <c r="P109" s="10" t="str">
        <f>IF('[1]All Data '!AZ114="","",'[1]All Data '!AZ114)</f>
        <v>Fremont County</v>
      </c>
      <c r="Q109" s="10" t="str">
        <f>IF('[1]All Data '!BB114="","",'[1]All Data '!BB114)</f>
        <v>IA</v>
      </c>
      <c r="R109" s="10">
        <f>IF('[1]All Data '!BD114="","",'[1]All Data '!BD114)</f>
        <v>70</v>
      </c>
      <c r="S109" s="11">
        <f>IF(R109="","",'[1]All Data '!BE114)</f>
        <v>0.2</v>
      </c>
      <c r="T109" s="12">
        <f>IF(S109="","",[1]Inputs_Outputs!$B$8*(1-'LOCH Calc COE Calc'!S109))</f>
        <v>254466.23093681919</v>
      </c>
      <c r="U109" s="13">
        <f t="shared" si="6"/>
        <v>52012897.603485852</v>
      </c>
      <c r="V109" s="13">
        <f t="shared" si="7"/>
        <v>1.7943111377350451</v>
      </c>
      <c r="W109" s="4">
        <f t="shared" si="8"/>
        <v>6.6227146066031981</v>
      </c>
      <c r="X109">
        <f>IF(W109="","",LOOKUP(_xlfn.CONCAT(P109,", ",Q109),'[1]T+S Costs'!$F$2:$F$3138,'[1]T+S Costs'!$N$2:$N$3138))</f>
        <v>16.459799628088515</v>
      </c>
      <c r="Y109" s="14">
        <f t="shared" si="9"/>
        <v>0.33070110375130063</v>
      </c>
      <c r="Z109" s="4">
        <f t="shared" si="10"/>
        <v>6.9534157103544985</v>
      </c>
    </row>
    <row r="110" spans="16:26" x14ac:dyDescent="0.25">
      <c r="P110" s="10" t="str">
        <f>IF('[1]All Data '!AZ115="","",'[1]All Data '!AZ115)</f>
        <v>Talbot County</v>
      </c>
      <c r="Q110" s="10" t="str">
        <f>IF('[1]All Data '!BB115="","",'[1]All Data '!BB115)</f>
        <v>MD</v>
      </c>
      <c r="R110" s="10">
        <f>IF('[1]All Data '!BD115="","",'[1]All Data '!BD115)</f>
        <v>70</v>
      </c>
      <c r="S110" s="11">
        <f>IF(R110="","",'[1]All Data '!BE115)</f>
        <v>0.19145106045258511</v>
      </c>
      <c r="T110" s="12">
        <f>IF(S110="","",[1]Inputs_Outputs!$B$8*(1-'LOCH Calc COE Calc'!S110))</f>
        <v>257185.50146824092</v>
      </c>
      <c r="U110" s="13">
        <f t="shared" si="6"/>
        <v>52568716.500108451</v>
      </c>
      <c r="V110" s="13">
        <f t="shared" si="7"/>
        <v>1.8134854595422329</v>
      </c>
      <c r="W110" s="4">
        <f t="shared" si="8"/>
        <v>6.6418889284103866</v>
      </c>
      <c r="X110">
        <f>IF(W110="","",LOOKUP(_xlfn.CONCAT(P110,", ",Q110),'[1]T+S Costs'!$F$2:$F$3138,'[1]T+S Costs'!$N$2:$N$3138))</f>
        <v>11.073574342594528</v>
      </c>
      <c r="Y110" s="14">
        <f t="shared" si="9"/>
        <v>0.22248407272946663</v>
      </c>
      <c r="Z110" s="4">
        <f t="shared" si="10"/>
        <v>6.8643730011398532</v>
      </c>
    </row>
    <row r="111" spans="16:26" x14ac:dyDescent="0.25">
      <c r="P111" s="10" t="str">
        <f>IF('[1]All Data '!AZ116="","",'[1]All Data '!AZ116)</f>
        <v>Thomas County</v>
      </c>
      <c r="Q111" s="10" t="str">
        <f>IF('[1]All Data '!BB116="","",'[1]All Data '!BB116)</f>
        <v>KS</v>
      </c>
      <c r="R111" s="10">
        <f>IF('[1]All Data '!BD116="","",'[1]All Data '!BD116)</f>
        <v>70</v>
      </c>
      <c r="S111" s="11">
        <f>IF(R111="","",'[1]All Data '!BE116)</f>
        <v>0.17900526822636378</v>
      </c>
      <c r="T111" s="12">
        <f>IF(S111="","",[1]Inputs_Outputs!$B$8*(1-'LOCH Calc COE Calc'!S111))</f>
        <v>261144.29376677755</v>
      </c>
      <c r="U111" s="13">
        <f t="shared" si="6"/>
        <v>53377893.645929337</v>
      </c>
      <c r="V111" s="13">
        <f t="shared" si="7"/>
        <v>1.8413999890540391</v>
      </c>
      <c r="W111" s="4">
        <f t="shared" si="8"/>
        <v>6.6698034579221925</v>
      </c>
      <c r="X111">
        <f>IF(W111="","",LOOKUP(_xlfn.CONCAT(P111,", ",Q111),'[1]T+S Costs'!$F$2:$F$3138,'[1]T+S Costs'!$N$2:$N$3138))</f>
        <v>13.946508191124188</v>
      </c>
      <c r="Y111" s="14">
        <f t="shared" si="9"/>
        <v>0.2802054555032838</v>
      </c>
      <c r="Z111" s="4">
        <f t="shared" si="10"/>
        <v>6.9500089134254761</v>
      </c>
    </row>
    <row r="112" spans="16:26" x14ac:dyDescent="0.25">
      <c r="P112" s="10" t="str">
        <f>IF('[1]All Data '!AZ117="","",'[1]All Data '!AZ117)</f>
        <v>Newton County</v>
      </c>
      <c r="Q112" s="10" t="str">
        <f>IF('[1]All Data '!BB117="","",'[1]All Data '!BB117)</f>
        <v>IN</v>
      </c>
      <c r="R112" s="10">
        <f>IF('[1]All Data '!BD117="","",'[1]All Data '!BD117)</f>
        <v>70</v>
      </c>
      <c r="S112" s="11">
        <f>IF(R112="","",'[1]All Data '!BE117)</f>
        <v>0.2</v>
      </c>
      <c r="T112" s="12">
        <f>IF(S112="","",[1]Inputs_Outputs!$B$8*(1-'LOCH Calc COE Calc'!S112))</f>
        <v>254466.23093681919</v>
      </c>
      <c r="U112" s="13">
        <f t="shared" si="6"/>
        <v>52012897.603485852</v>
      </c>
      <c r="V112" s="13">
        <f t="shared" si="7"/>
        <v>1.7943111377350451</v>
      </c>
      <c r="W112" s="4">
        <f t="shared" si="8"/>
        <v>6.6227146066031981</v>
      </c>
      <c r="X112">
        <f>IF(W112="","",LOOKUP(_xlfn.CONCAT(P112,", ",Q112),'[1]T+S Costs'!$F$2:$F$3138,'[1]T+S Costs'!$N$2:$N$3138))</f>
        <v>11.431532302300234</v>
      </c>
      <c r="Y112" s="14">
        <f t="shared" si="9"/>
        <v>0.22967596418902184</v>
      </c>
      <c r="Z112" s="4">
        <f t="shared" si="10"/>
        <v>6.8523905707922204</v>
      </c>
    </row>
    <row r="113" spans="16:26" x14ac:dyDescent="0.25">
      <c r="P113" s="10" t="str">
        <f>IF('[1]All Data '!AZ118="","",'[1]All Data '!AZ118)</f>
        <v>Jasper County</v>
      </c>
      <c r="Q113" s="10" t="str">
        <f>IF('[1]All Data '!BB118="","",'[1]All Data '!BB118)</f>
        <v>IN</v>
      </c>
      <c r="R113" s="10">
        <f>IF('[1]All Data '!BD118="","",'[1]All Data '!BD118)</f>
        <v>70</v>
      </c>
      <c r="S113" s="11">
        <f>IF(R113="","",'[1]All Data '!BE118)</f>
        <v>0.2</v>
      </c>
      <c r="T113" s="12">
        <f>IF(S113="","",[1]Inputs_Outputs!$B$8*(1-'LOCH Calc COE Calc'!S113))</f>
        <v>254466.23093681919</v>
      </c>
      <c r="U113" s="13">
        <f t="shared" si="6"/>
        <v>52012897.603485852</v>
      </c>
      <c r="V113" s="13">
        <f t="shared" si="7"/>
        <v>1.7943111377350451</v>
      </c>
      <c r="W113" s="4">
        <f t="shared" si="8"/>
        <v>6.6227146066031981</v>
      </c>
      <c r="X113">
        <f>IF(W113="","",LOOKUP(_xlfn.CONCAT(P113,", ",Q113),'[1]T+S Costs'!$F$2:$F$3138,'[1]T+S Costs'!$N$2:$N$3138))</f>
        <v>10.766903241970251</v>
      </c>
      <c r="Y113" s="14">
        <f t="shared" si="9"/>
        <v>0.21632260820641083</v>
      </c>
      <c r="Z113" s="4">
        <f t="shared" si="10"/>
        <v>6.8390372148096086</v>
      </c>
    </row>
    <row r="114" spans="16:26" x14ac:dyDescent="0.25">
      <c r="P114" s="10" t="str">
        <f>IF('[1]All Data '!AZ119="","",'[1]All Data '!AZ119)</f>
        <v>Paulding County</v>
      </c>
      <c r="Q114" s="10" t="str">
        <f>IF('[1]All Data '!BB119="","",'[1]All Data '!BB119)</f>
        <v>OH</v>
      </c>
      <c r="R114" s="10">
        <f>IF('[1]All Data '!BD119="","",'[1]All Data '!BD119)</f>
        <v>70</v>
      </c>
      <c r="S114" s="11">
        <f>IF(R114="","",'[1]All Data '!BE119)</f>
        <v>0.19904768276072457</v>
      </c>
      <c r="T114" s="12">
        <f>IF(S114="","",[1]Inputs_Outputs!$B$8*(1-'LOCH Calc COE Calc'!S114))</f>
        <v>254769.1466599874</v>
      </c>
      <c r="U114" s="13">
        <f t="shared" si="6"/>
        <v>52074813.577301435</v>
      </c>
      <c r="V114" s="13">
        <f t="shared" si="7"/>
        <v>1.7964470795214065</v>
      </c>
      <c r="W114" s="4">
        <f t="shared" si="8"/>
        <v>6.6248505483895599</v>
      </c>
      <c r="X114">
        <f>IF(W114="","",LOOKUP(_xlfn.CONCAT(P114,", ",Q114),'[1]T+S Costs'!$F$2:$F$3138,'[1]T+S Costs'!$N$2:$N$3138))</f>
        <v>11.722307516194601</v>
      </c>
      <c r="Y114" s="14">
        <f t="shared" si="9"/>
        <v>0.23551805743141421</v>
      </c>
      <c r="Z114" s="4">
        <f t="shared" si="10"/>
        <v>6.8603686058209741</v>
      </c>
    </row>
    <row r="115" spans="16:26" x14ac:dyDescent="0.25">
      <c r="P115" s="10" t="str">
        <f>IF('[1]All Data '!AZ120="","",'[1]All Data '!AZ120)</f>
        <v>Miami County</v>
      </c>
      <c r="Q115" s="10" t="str">
        <f>IF('[1]All Data '!BB120="","",'[1]All Data '!BB120)</f>
        <v>IN</v>
      </c>
      <c r="R115" s="10">
        <f>IF('[1]All Data '!BD120="","",'[1]All Data '!BD120)</f>
        <v>70</v>
      </c>
      <c r="S115" s="11">
        <f>IF(R115="","",'[1]All Data '!BE120)</f>
        <v>0.2</v>
      </c>
      <c r="T115" s="12">
        <f>IF(S115="","",[1]Inputs_Outputs!$B$8*(1-'LOCH Calc COE Calc'!S115))</f>
        <v>254466.23093681919</v>
      </c>
      <c r="U115" s="13">
        <f t="shared" si="6"/>
        <v>52012897.603485852</v>
      </c>
      <c r="V115" s="13">
        <f t="shared" si="7"/>
        <v>1.7943111377350451</v>
      </c>
      <c r="W115" s="4">
        <f t="shared" si="8"/>
        <v>6.6227146066031981</v>
      </c>
      <c r="X115">
        <f>IF(W115="","",LOOKUP(_xlfn.CONCAT(P115,", ",Q115),'[1]T+S Costs'!$F$2:$F$3138,'[1]T+S Costs'!$N$2:$N$3138))</f>
        <v>13.214294563564014</v>
      </c>
      <c r="Y115" s="14">
        <f t="shared" si="9"/>
        <v>0.26549422813192036</v>
      </c>
      <c r="Z115" s="4">
        <f t="shared" si="10"/>
        <v>6.8882088347351189</v>
      </c>
    </row>
    <row r="116" spans="16:26" x14ac:dyDescent="0.25">
      <c r="P116" s="10" t="str">
        <f>IF('[1]All Data '!AZ121="","",'[1]All Data '!AZ121)</f>
        <v>Yellow Medicine County</v>
      </c>
      <c r="Q116" s="10" t="str">
        <f>IF('[1]All Data '!BB121="","",'[1]All Data '!BB121)</f>
        <v>MN</v>
      </c>
      <c r="R116" s="10">
        <f>IF('[1]All Data '!BD121="","",'[1]All Data '!BD121)</f>
        <v>70</v>
      </c>
      <c r="S116" s="11">
        <f>IF(R116="","",'[1]All Data '!BE121)</f>
        <v>0.19977123727158597</v>
      </c>
      <c r="T116" s="12">
        <f>IF(S116="","",[1]Inputs_Outputs!$B$8*(1-'LOCH Calc COE Calc'!S116))</f>
        <v>254538.99642341709</v>
      </c>
      <c r="U116" s="13">
        <f t="shared" si="6"/>
        <v>52027770.868946455</v>
      </c>
      <c r="V116" s="13">
        <f t="shared" si="7"/>
        <v>1.7948242271244099</v>
      </c>
      <c r="W116" s="4">
        <f t="shared" si="8"/>
        <v>6.6232276959925631</v>
      </c>
      <c r="X116">
        <f>IF(W116="","",LOOKUP(_xlfn.CONCAT(P116,", ",Q116),'[1]T+S Costs'!$F$2:$F$3138,'[1]T+S Costs'!$N$2:$N$3138))</f>
        <v>25.355150850611391</v>
      </c>
      <c r="Y116" s="14">
        <f t="shared" si="9"/>
        <v>0.50942153376940391</v>
      </c>
      <c r="Z116" s="4">
        <f t="shared" si="10"/>
        <v>7.1326492297619666</v>
      </c>
    </row>
    <row r="117" spans="16:26" x14ac:dyDescent="0.25">
      <c r="P117" s="10" t="str">
        <f>IF('[1]All Data '!AZ122="","",'[1]All Data '!AZ122)</f>
        <v>Crawford County</v>
      </c>
      <c r="Q117" s="10" t="str">
        <f>IF('[1]All Data '!BB122="","",'[1]All Data '!BB122)</f>
        <v>IA</v>
      </c>
      <c r="R117" s="10">
        <f>IF('[1]All Data '!BD122="","",'[1]All Data '!BD122)</f>
        <v>70</v>
      </c>
      <c r="S117" s="11">
        <f>IF(R117="","",'[1]All Data '!BE122)</f>
        <v>0.2</v>
      </c>
      <c r="T117" s="12">
        <f>IF(S117="","",[1]Inputs_Outputs!$B$8*(1-'LOCH Calc COE Calc'!S117))</f>
        <v>254466.23093681919</v>
      </c>
      <c r="U117" s="13">
        <f t="shared" si="6"/>
        <v>52012897.603485852</v>
      </c>
      <c r="V117" s="13">
        <f t="shared" si="7"/>
        <v>1.7943111377350451</v>
      </c>
      <c r="W117" s="4">
        <f t="shared" si="8"/>
        <v>6.6227146066031981</v>
      </c>
      <c r="X117">
        <f>IF(W117="","",LOOKUP(_xlfn.CONCAT(P117,", ",Q117),'[1]T+S Costs'!$F$2:$F$3138,'[1]T+S Costs'!$N$2:$N$3138))</f>
        <v>24.624720746168862</v>
      </c>
      <c r="Y117" s="14">
        <f t="shared" si="9"/>
        <v>0.49474613994868494</v>
      </c>
      <c r="Z117" s="4">
        <f t="shared" si="10"/>
        <v>7.1174607465518829</v>
      </c>
    </row>
    <row r="118" spans="16:26" x14ac:dyDescent="0.25">
      <c r="P118" s="10" t="str">
        <f>IF('[1]All Data '!AZ123="","",'[1]All Data '!AZ123)</f>
        <v>Polk County</v>
      </c>
      <c r="Q118" s="10" t="str">
        <f>IF('[1]All Data '!BB123="","",'[1]All Data '!BB123)</f>
        <v>MN</v>
      </c>
      <c r="R118" s="10">
        <f>IF('[1]All Data '!BD123="","",'[1]All Data '!BD123)</f>
        <v>70</v>
      </c>
      <c r="S118" s="11">
        <f>IF(R118="","",'[1]All Data '!BE123)</f>
        <v>0.16577352827591929</v>
      </c>
      <c r="T118" s="12">
        <f>IF(S118="","",[1]Inputs_Outputs!$B$8*(1-'LOCH Calc COE Calc'!S118))</f>
        <v>265353.08250918472</v>
      </c>
      <c r="U118" s="13">
        <f t="shared" si="6"/>
        <v>54238170.064877361</v>
      </c>
      <c r="V118" s="13">
        <f t="shared" si="7"/>
        <v>1.8710773120099096</v>
      </c>
      <c r="W118" s="4">
        <f t="shared" si="8"/>
        <v>6.699480780878063</v>
      </c>
      <c r="X118">
        <f>IF(W118="","",LOOKUP(_xlfn.CONCAT(P118,", ",Q118),'[1]T+S Costs'!$F$2:$F$3138,'[1]T+S Costs'!$N$2:$N$3138))</f>
        <v>28.238641261713141</v>
      </c>
      <c r="Y118" s="14">
        <f t="shared" si="9"/>
        <v>0.5673550131041325</v>
      </c>
      <c r="Z118" s="4">
        <f t="shared" si="10"/>
        <v>7.2668357939821959</v>
      </c>
    </row>
    <row r="119" spans="16:26" x14ac:dyDescent="0.25">
      <c r="P119" s="10" t="str">
        <f>IF('[1]All Data '!AZ124="","",'[1]All Data '!AZ124)</f>
        <v>Lyon County</v>
      </c>
      <c r="Q119" s="10" t="str">
        <f>IF('[1]All Data '!BB124="","",'[1]All Data '!BB124)</f>
        <v>MN</v>
      </c>
      <c r="R119" s="10">
        <f>IF('[1]All Data '!BD124="","",'[1]All Data '!BD124)</f>
        <v>70</v>
      </c>
      <c r="S119" s="11">
        <f>IF(R119="","",'[1]All Data '!BE124)</f>
        <v>0.2</v>
      </c>
      <c r="T119" s="12">
        <f>IF(S119="","",[1]Inputs_Outputs!$B$8*(1-'LOCH Calc COE Calc'!S119))</f>
        <v>254466.23093681919</v>
      </c>
      <c r="U119" s="13">
        <f t="shared" si="6"/>
        <v>52012897.603485852</v>
      </c>
      <c r="V119" s="13">
        <f t="shared" si="7"/>
        <v>1.7943111377350451</v>
      </c>
      <c r="W119" s="4">
        <f t="shared" si="8"/>
        <v>6.6227146066031981</v>
      </c>
      <c r="X119">
        <f>IF(W119="","",LOOKUP(_xlfn.CONCAT(P119,", ",Q119),'[1]T+S Costs'!$F$2:$F$3138,'[1]T+S Costs'!$N$2:$N$3138))</f>
        <v>25.853622645858877</v>
      </c>
      <c r="Y119" s="14">
        <f t="shared" si="9"/>
        <v>0.51943655075636219</v>
      </c>
      <c r="Z119" s="4">
        <f t="shared" si="10"/>
        <v>7.1421511573595602</v>
      </c>
    </row>
    <row r="120" spans="16:26" x14ac:dyDescent="0.25">
      <c r="P120" s="10" t="str">
        <f>IF('[1]All Data '!AZ125="","",'[1]All Data '!AZ125)</f>
        <v>Cumberland County</v>
      </c>
      <c r="Q120" s="10" t="str">
        <f>IF('[1]All Data '!BB125="","",'[1]All Data '!BB125)</f>
        <v>IL</v>
      </c>
      <c r="R120" s="10">
        <f>IF('[1]All Data '!BD125="","",'[1]All Data '!BD125)</f>
        <v>70</v>
      </c>
      <c r="S120" s="11">
        <f>IF(R120="","",'[1]All Data '!BE125)</f>
        <v>0.2</v>
      </c>
      <c r="T120" s="12">
        <f>IF(S120="","",[1]Inputs_Outputs!$B$8*(1-'LOCH Calc COE Calc'!S120))</f>
        <v>254466.23093681919</v>
      </c>
      <c r="U120" s="13">
        <f t="shared" si="6"/>
        <v>52012897.603485852</v>
      </c>
      <c r="V120" s="13">
        <f t="shared" si="7"/>
        <v>1.7943111377350451</v>
      </c>
      <c r="W120" s="4">
        <f t="shared" si="8"/>
        <v>6.6227146066031981</v>
      </c>
      <c r="X120">
        <f>IF(W120="","",LOOKUP(_xlfn.CONCAT(P120,", ",Q120),'[1]T+S Costs'!$F$2:$F$3138,'[1]T+S Costs'!$N$2:$N$3138))</f>
        <v>10.515199652913603</v>
      </c>
      <c r="Y120" s="14">
        <f t="shared" si="9"/>
        <v>0.21126552023450434</v>
      </c>
      <c r="Z120" s="4">
        <f t="shared" si="10"/>
        <v>6.8339801268377025</v>
      </c>
    </row>
    <row r="121" spans="16:26" x14ac:dyDescent="0.25">
      <c r="P121" s="10" t="str">
        <f>IF('[1]All Data '!AZ126="","",'[1]All Data '!AZ126)</f>
        <v>Johnson County</v>
      </c>
      <c r="Q121" s="10" t="str">
        <f>IF('[1]All Data '!BB126="","",'[1]All Data '!BB126)</f>
        <v>NE</v>
      </c>
      <c r="R121" s="10">
        <f>IF('[1]All Data '!BD126="","",'[1]All Data '!BD126)</f>
        <v>70</v>
      </c>
      <c r="S121" s="11">
        <f>IF(R121="","",'[1]All Data '!BE126)</f>
        <v>0.2</v>
      </c>
      <c r="T121" s="12">
        <f>IF(S121="","",[1]Inputs_Outputs!$B$8*(1-'LOCH Calc COE Calc'!S121))</f>
        <v>254466.23093681919</v>
      </c>
      <c r="U121" s="13">
        <f t="shared" si="6"/>
        <v>52012897.603485852</v>
      </c>
      <c r="V121" s="13">
        <f t="shared" si="7"/>
        <v>1.7943111377350451</v>
      </c>
      <c r="W121" s="4">
        <f t="shared" si="8"/>
        <v>6.6227146066031981</v>
      </c>
      <c r="X121">
        <f>IF(W121="","",LOOKUP(_xlfn.CONCAT(P121,", ",Q121),'[1]T+S Costs'!$F$2:$F$3138,'[1]T+S Costs'!$N$2:$N$3138))</f>
        <v>20.375645696726803</v>
      </c>
      <c r="Y121" s="14">
        <f t="shared" si="9"/>
        <v>0.40937609653851587</v>
      </c>
      <c r="Z121" s="4">
        <f t="shared" si="10"/>
        <v>7.0320907031417139</v>
      </c>
    </row>
    <row r="122" spans="16:26" x14ac:dyDescent="0.25">
      <c r="P122" s="10" t="str">
        <f>IF('[1]All Data '!AZ127="","",'[1]All Data '!AZ127)</f>
        <v>Fayette County</v>
      </c>
      <c r="Q122" s="10" t="str">
        <f>IF('[1]All Data '!BB127="","",'[1]All Data '!BB127)</f>
        <v>IN</v>
      </c>
      <c r="R122" s="10">
        <f>IF('[1]All Data '!BD127="","",'[1]All Data '!BD127)</f>
        <v>70</v>
      </c>
      <c r="S122" s="11">
        <f>IF(R122="","",'[1]All Data '!BE127)</f>
        <v>0.2</v>
      </c>
      <c r="T122" s="12">
        <f>IF(S122="","",[1]Inputs_Outputs!$B$8*(1-'LOCH Calc COE Calc'!S122))</f>
        <v>254466.23093681919</v>
      </c>
      <c r="U122" s="13">
        <f t="shared" si="6"/>
        <v>52012897.603485852</v>
      </c>
      <c r="V122" s="13">
        <f t="shared" si="7"/>
        <v>1.7943111377350451</v>
      </c>
      <c r="W122" s="4">
        <f t="shared" si="8"/>
        <v>6.6227146066031981</v>
      </c>
      <c r="X122">
        <f>IF(W122="","",LOOKUP(_xlfn.CONCAT(P122,", ",Q122),'[1]T+S Costs'!$F$2:$F$3138,'[1]T+S Costs'!$N$2:$N$3138))</f>
        <v>19.681542109964614</v>
      </c>
      <c r="Y122" s="14">
        <f t="shared" si="9"/>
        <v>0.39543055482801515</v>
      </c>
      <c r="Z122" s="4">
        <f t="shared" si="10"/>
        <v>7.0181451614312129</v>
      </c>
    </row>
    <row r="123" spans="16:26" x14ac:dyDescent="0.25">
      <c r="P123" s="10" t="str">
        <f>IF('[1]All Data '!AZ128="","",'[1]All Data '!AZ128)</f>
        <v>Nobles County</v>
      </c>
      <c r="Q123" s="10" t="str">
        <f>IF('[1]All Data '!BB128="","",'[1]All Data '!BB128)</f>
        <v>MN</v>
      </c>
      <c r="R123" s="10">
        <f>IF('[1]All Data '!BD128="","",'[1]All Data '!BD128)</f>
        <v>70</v>
      </c>
      <c r="S123" s="11">
        <f>IF(R123="","",'[1]All Data '!BE128)</f>
        <v>0.2</v>
      </c>
      <c r="T123" s="12">
        <f>IF(S123="","",[1]Inputs_Outputs!$B$8*(1-'LOCH Calc COE Calc'!S123))</f>
        <v>254466.23093681919</v>
      </c>
      <c r="U123" s="13">
        <f t="shared" si="6"/>
        <v>52012897.603485852</v>
      </c>
      <c r="V123" s="13">
        <f t="shared" si="7"/>
        <v>1.7943111377350451</v>
      </c>
      <c r="W123" s="4">
        <f t="shared" si="8"/>
        <v>6.6227146066031981</v>
      </c>
      <c r="X123">
        <f>IF(W123="","",LOOKUP(_xlfn.CONCAT(P123,", ",Q123),'[1]T+S Costs'!$F$2:$F$3138,'[1]T+S Costs'!$N$2:$N$3138))</f>
        <v>27.48640774986567</v>
      </c>
      <c r="Y123" s="14">
        <f t="shared" si="9"/>
        <v>0.55224155739582836</v>
      </c>
      <c r="Z123" s="4">
        <f t="shared" si="10"/>
        <v>7.1749561639990267</v>
      </c>
    </row>
    <row r="124" spans="16:26" x14ac:dyDescent="0.25">
      <c r="P124" s="10" t="str">
        <f>IF('[1]All Data '!AZ129="","",'[1]All Data '!AZ129)</f>
        <v>Hand County</v>
      </c>
      <c r="Q124" s="10" t="str">
        <f>IF('[1]All Data '!BB129="","",'[1]All Data '!BB129)</f>
        <v>SD</v>
      </c>
      <c r="R124" s="10">
        <f>IF('[1]All Data '!BD129="","",'[1]All Data '!BD129)</f>
        <v>70</v>
      </c>
      <c r="S124" s="11">
        <f>IF(R124="","",'[1]All Data '!BE129)</f>
        <v>0.19748035461594679</v>
      </c>
      <c r="T124" s="12">
        <f>IF(S124="","",[1]Inputs_Outputs!$B$8*(1-'LOCH Calc COE Calc'!S124))</f>
        <v>255267.6867670409</v>
      </c>
      <c r="U124" s="13">
        <f t="shared" si="6"/>
        <v>52176715.175183162</v>
      </c>
      <c r="V124" s="13">
        <f t="shared" si="7"/>
        <v>1.7999624224547315</v>
      </c>
      <c r="W124" s="4">
        <f t="shared" si="8"/>
        <v>6.6283658913228845</v>
      </c>
      <c r="X124">
        <f>IF(W124="","",LOOKUP(_xlfn.CONCAT(P124,", ",Q124),'[1]T+S Costs'!$F$2:$F$3138,'[1]T+S Costs'!$N$2:$N$3138))</f>
        <v>19.986297784980131</v>
      </c>
      <c r="Y124" s="14">
        <f t="shared" si="9"/>
        <v>0.40155353568922314</v>
      </c>
      <c r="Z124" s="4">
        <f t="shared" si="10"/>
        <v>7.0299194270121079</v>
      </c>
    </row>
    <row r="125" spans="16:26" x14ac:dyDescent="0.25">
      <c r="P125" s="10" t="str">
        <f>IF('[1]All Data '!AZ130="","",'[1]All Data '!AZ130)</f>
        <v>Turner County</v>
      </c>
      <c r="Q125" s="10" t="str">
        <f>IF('[1]All Data '!BB130="","",'[1]All Data '!BB130)</f>
        <v>SD</v>
      </c>
      <c r="R125" s="10">
        <f>IF('[1]All Data '!BD130="","",'[1]All Data '!BD130)</f>
        <v>70</v>
      </c>
      <c r="S125" s="11">
        <f>IF(R125="","",'[1]All Data '!BE130)</f>
        <v>0.19987951707439627</v>
      </c>
      <c r="T125" s="12">
        <f>IF(S125="","",[1]Inputs_Outputs!$B$8*(1-'LOCH Calc COE Calc'!S125))</f>
        <v>254504.55448178243</v>
      </c>
      <c r="U125" s="13">
        <f t="shared" si="6"/>
        <v>52020730.936076336</v>
      </c>
      <c r="V125" s="13">
        <f t="shared" si="7"/>
        <v>1.7945813675541922</v>
      </c>
      <c r="W125" s="4">
        <f t="shared" si="8"/>
        <v>6.6229848364223454</v>
      </c>
      <c r="X125">
        <f>IF(W125="","",LOOKUP(_xlfn.CONCAT(P125,", ",Q125),'[1]T+S Costs'!$F$2:$F$3138,'[1]T+S Costs'!$N$2:$N$3138))</f>
        <v>24.883277263573234</v>
      </c>
      <c r="Y125" s="14">
        <f t="shared" si="9"/>
        <v>0.49994091313060174</v>
      </c>
      <c r="Z125" s="4">
        <f t="shared" si="10"/>
        <v>7.1229257495529472</v>
      </c>
    </row>
    <row r="126" spans="16:26" x14ac:dyDescent="0.25">
      <c r="P126" s="10" t="str">
        <f>IF('[1]All Data '!AZ131="","",'[1]All Data '!AZ131)</f>
        <v>Cerro Gordo County</v>
      </c>
      <c r="Q126" s="10" t="str">
        <f>IF('[1]All Data '!BB131="","",'[1]All Data '!BB131)</f>
        <v>IA</v>
      </c>
      <c r="R126" s="10">
        <f>IF('[1]All Data '!BD131="","",'[1]All Data '!BD131)</f>
        <v>70</v>
      </c>
      <c r="S126" s="11">
        <f>IF(R126="","",'[1]All Data '!BE131)</f>
        <v>0.2</v>
      </c>
      <c r="T126" s="12">
        <f>IF(S126="","",[1]Inputs_Outputs!$B$8*(1-'LOCH Calc COE Calc'!S126))</f>
        <v>254466.23093681919</v>
      </c>
      <c r="U126" s="13">
        <f t="shared" si="6"/>
        <v>52012897.603485852</v>
      </c>
      <c r="V126" s="13">
        <f t="shared" si="7"/>
        <v>1.7943111377350451</v>
      </c>
      <c r="W126" s="4">
        <f t="shared" si="8"/>
        <v>6.6227146066031981</v>
      </c>
      <c r="X126">
        <f>IF(W126="","",LOOKUP(_xlfn.CONCAT(P126,", ",Q126),'[1]T+S Costs'!$F$2:$F$3138,'[1]T+S Costs'!$N$2:$N$3138))</f>
        <v>22.755451513990785</v>
      </c>
      <c r="Y126" s="14">
        <f t="shared" si="9"/>
        <v>0.45718982624759141</v>
      </c>
      <c r="Z126" s="4">
        <f t="shared" si="10"/>
        <v>7.0799044328507899</v>
      </c>
    </row>
    <row r="127" spans="16:26" x14ac:dyDescent="0.25">
      <c r="P127" s="10" t="str">
        <f>IF('[1]All Data '!AZ132="","",'[1]All Data '!AZ132)</f>
        <v>Dane County</v>
      </c>
      <c r="Q127" s="10" t="str">
        <f>IF('[1]All Data '!BB132="","",'[1]All Data '!BB132)</f>
        <v>WI</v>
      </c>
      <c r="R127" s="10">
        <f>IF('[1]All Data '!BD132="","",'[1]All Data '!BD132)</f>
        <v>70</v>
      </c>
      <c r="S127" s="11">
        <f>IF(R127="","",'[1]All Data '!BE132)</f>
        <v>0.2</v>
      </c>
      <c r="T127" s="12">
        <f>IF(S127="","",[1]Inputs_Outputs!$B$8*(1-'LOCH Calc COE Calc'!S127))</f>
        <v>254466.23093681919</v>
      </c>
      <c r="U127" s="13">
        <f t="shared" si="6"/>
        <v>52012897.603485852</v>
      </c>
      <c r="V127" s="13">
        <f t="shared" si="7"/>
        <v>1.7943111377350451</v>
      </c>
      <c r="W127" s="4">
        <f t="shared" si="8"/>
        <v>6.6227146066031981</v>
      </c>
      <c r="X127">
        <f>IF(W127="","",LOOKUP(_xlfn.CONCAT(P127,", ",Q127),'[1]T+S Costs'!$F$2:$F$3138,'[1]T+S Costs'!$N$2:$N$3138))</f>
        <v>17.672847843277651</v>
      </c>
      <c r="Y127" s="14">
        <f t="shared" si="9"/>
        <v>0.3550729911819363</v>
      </c>
      <c r="Z127" s="4">
        <f t="shared" si="10"/>
        <v>6.9777875977851345</v>
      </c>
    </row>
    <row r="128" spans="16:26" x14ac:dyDescent="0.25">
      <c r="P128" s="10" t="str">
        <f>IF('[1]All Data '!AZ133="","",'[1]All Data '!AZ133)</f>
        <v>Cass County</v>
      </c>
      <c r="Q128" s="10" t="str">
        <f>IF('[1]All Data '!BB133="","",'[1]All Data '!BB133)</f>
        <v>ND</v>
      </c>
      <c r="R128" s="10">
        <f>IF('[1]All Data '!BD133="","",'[1]All Data '!BD133)</f>
        <v>70</v>
      </c>
      <c r="S128" s="11">
        <f>IF(R128="","",'[1]All Data '!BE133)</f>
        <v>0.18701476955537485</v>
      </c>
      <c r="T128" s="12">
        <f>IF(S128="","",[1]Inputs_Outputs!$B$8*(1-'LOCH Calc COE Calc'!S128))</f>
        <v>258596.60924818143</v>
      </c>
      <c r="U128" s="13">
        <f t="shared" si="6"/>
        <v>52857146.930328295</v>
      </c>
      <c r="V128" s="13">
        <f t="shared" si="7"/>
        <v>1.8234355672511042</v>
      </c>
      <c r="W128" s="4">
        <f t="shared" si="8"/>
        <v>6.6518390361192576</v>
      </c>
      <c r="X128">
        <f>IF(W128="","",LOOKUP(_xlfn.CONCAT(P128,", ",Q128),'[1]T+S Costs'!$F$2:$F$3138,'[1]T+S Costs'!$N$2:$N$3138))</f>
        <v>17.19959842281223</v>
      </c>
      <c r="Y128" s="14">
        <f t="shared" si="9"/>
        <v>0.3455647280661141</v>
      </c>
      <c r="Z128" s="4">
        <f t="shared" si="10"/>
        <v>6.9974037641853721</v>
      </c>
    </row>
    <row r="129" spans="16:26" x14ac:dyDescent="0.25">
      <c r="P129" s="10" t="str">
        <f>IF('[1]All Data '!AZ134="","",'[1]All Data '!AZ134)</f>
        <v>Winnebago County</v>
      </c>
      <c r="Q129" s="10" t="str">
        <f>IF('[1]All Data '!BB134="","",'[1]All Data '!BB134)</f>
        <v>IL</v>
      </c>
      <c r="R129" s="10">
        <f>IF('[1]All Data '!BD134="","",'[1]All Data '!BD134)</f>
        <v>70</v>
      </c>
      <c r="S129" s="11">
        <f>IF(R129="","",'[1]All Data '!BE134)</f>
        <v>0.2</v>
      </c>
      <c r="T129" s="12">
        <f>IF(S129="","",[1]Inputs_Outputs!$B$8*(1-'LOCH Calc COE Calc'!S129))</f>
        <v>254466.23093681919</v>
      </c>
      <c r="U129" s="13">
        <f t="shared" si="6"/>
        <v>52012897.603485852</v>
      </c>
      <c r="V129" s="13">
        <f t="shared" si="7"/>
        <v>1.7943111377350451</v>
      </c>
      <c r="W129" s="4">
        <f t="shared" si="8"/>
        <v>6.6227146066031981</v>
      </c>
      <c r="X129">
        <f>IF(W129="","",LOOKUP(_xlfn.CONCAT(P129,", ",Q129),'[1]T+S Costs'!$F$2:$F$3138,'[1]T+S Costs'!$N$2:$N$3138))</f>
        <v>15.707614186741594</v>
      </c>
      <c r="Y129" s="14">
        <f t="shared" si="9"/>
        <v>0.31558861384865328</v>
      </c>
      <c r="Z129" s="4">
        <f t="shared" si="10"/>
        <v>6.9383032204518518</v>
      </c>
    </row>
    <row r="130" spans="16:26" x14ac:dyDescent="0.25">
      <c r="P130" s="10" t="str">
        <f>IF('[1]All Data '!AZ135="","",'[1]All Data '!AZ135)</f>
        <v>Dodge County</v>
      </c>
      <c r="Q130" s="10" t="str">
        <f>IF('[1]All Data '!BB135="","",'[1]All Data '!BB135)</f>
        <v>NE</v>
      </c>
      <c r="R130" s="10">
        <f>IF('[1]All Data '!BD135="","",'[1]All Data '!BD135)</f>
        <v>70</v>
      </c>
      <c r="S130" s="11">
        <f>IF(R130="","",'[1]All Data '!BE135)</f>
        <v>0.2</v>
      </c>
      <c r="T130" s="12">
        <f>IF(S130="","",[1]Inputs_Outputs!$B$8*(1-'LOCH Calc COE Calc'!S130))</f>
        <v>254466.23093681919</v>
      </c>
      <c r="U130" s="13">
        <f t="shared" si="6"/>
        <v>52012897.603485852</v>
      </c>
      <c r="V130" s="13">
        <f t="shared" si="7"/>
        <v>1.7943111377350451</v>
      </c>
      <c r="W130" s="4">
        <f t="shared" si="8"/>
        <v>6.6227146066031981</v>
      </c>
      <c r="X130">
        <f>IF(W130="","",LOOKUP(_xlfn.CONCAT(P130,", ",Q130),'[1]T+S Costs'!$F$2:$F$3138,'[1]T+S Costs'!$N$2:$N$3138))</f>
        <v>23.449555100752974</v>
      </c>
      <c r="Y130" s="14">
        <f t="shared" si="9"/>
        <v>0.47113536795809202</v>
      </c>
      <c r="Z130" s="4">
        <f t="shared" si="10"/>
        <v>7.09384997456129</v>
      </c>
    </row>
    <row r="131" spans="16:26" x14ac:dyDescent="0.25">
      <c r="P131" s="10" t="str">
        <f>IF('[1]All Data '!AZ136="","",'[1]All Data '!AZ136)</f>
        <v>Allen County</v>
      </c>
      <c r="Q131" s="10" t="str">
        <f>IF('[1]All Data '!BB136="","",'[1]All Data '!BB136)</f>
        <v>OH</v>
      </c>
      <c r="R131" s="10">
        <f>IF('[1]All Data '!BD136="","",'[1]All Data '!BD136)</f>
        <v>70</v>
      </c>
      <c r="S131" s="11">
        <f>IF(R131="","",'[1]All Data '!BE136)</f>
        <v>0.19743095158224311</v>
      </c>
      <c r="T131" s="12">
        <f>IF(S131="","",[1]Inputs_Outputs!$B$8*(1-'LOCH Calc COE Calc'!S131))</f>
        <v>255283.40102177017</v>
      </c>
      <c r="U131" s="13">
        <f t="shared" ref="U131:U194" si="11">IF(S131="","",R131*T131*365*$B$19/100)</f>
        <v>52179927.168849833</v>
      </c>
      <c r="V131" s="13">
        <f t="shared" ref="V131:V194" si="12">IF(S131="","",(U131*$B$19)/(($B$28)*$B$19))</f>
        <v>1.8000732279717473</v>
      </c>
      <c r="W131" s="4">
        <f t="shared" ref="W131:W194" si="13">IF(S131="","",V131+$C$49+$C$50+$C$51)</f>
        <v>6.6284766968399005</v>
      </c>
      <c r="X131">
        <f>IF(W131="","",LOOKUP(_xlfn.CONCAT(P131,", ",Q131),'[1]T+S Costs'!$F$2:$F$3138,'[1]T+S Costs'!$N$2:$N$3138))</f>
        <v>12.262318627712713</v>
      </c>
      <c r="Y131" s="14">
        <f t="shared" ref="Y131:Y194" si="14">IF(X131="","",((X131*$B$60/$B$59)*$C$44)/$C$28)</f>
        <v>0.2463676591672857</v>
      </c>
      <c r="Z131" s="4">
        <f t="shared" ref="Z131:Z194" si="15">IF(Y131="","",W131+Y131)</f>
        <v>6.8748443560071859</v>
      </c>
    </row>
    <row r="132" spans="16:26" x14ac:dyDescent="0.25">
      <c r="P132" s="10" t="str">
        <f>IF('[1]All Data '!AZ137="","",'[1]All Data '!AZ137)</f>
        <v>Madison County</v>
      </c>
      <c r="Q132" s="10" t="str">
        <f>IF('[1]All Data '!BB137="","",'[1]All Data '!BB137)</f>
        <v>NE</v>
      </c>
      <c r="R132" s="10">
        <f>IF('[1]All Data '!BD137="","",'[1]All Data '!BD137)</f>
        <v>70</v>
      </c>
      <c r="S132" s="11">
        <f>IF(R132="","",'[1]All Data '!BE137)</f>
        <v>0.2</v>
      </c>
      <c r="T132" s="12">
        <f>IF(S132="","",[1]Inputs_Outputs!$B$8*(1-'LOCH Calc COE Calc'!S132))</f>
        <v>254466.23093681919</v>
      </c>
      <c r="U132" s="13">
        <f t="shared" si="11"/>
        <v>52012897.603485852</v>
      </c>
      <c r="V132" s="13">
        <f t="shared" si="12"/>
        <v>1.7943111377350451</v>
      </c>
      <c r="W132" s="4">
        <f t="shared" si="13"/>
        <v>6.6227146066031981</v>
      </c>
      <c r="X132">
        <f>IF(W132="","",LOOKUP(_xlfn.CONCAT(P132,", ",Q132),'[1]T+S Costs'!$F$2:$F$3138,'[1]T+S Costs'!$N$2:$N$3138))</f>
        <v>22.072450195927679</v>
      </c>
      <c r="Y132" s="14">
        <f t="shared" si="14"/>
        <v>0.44346734512080904</v>
      </c>
      <c r="Z132" s="4">
        <f t="shared" si="15"/>
        <v>7.0661819517240074</v>
      </c>
    </row>
    <row r="133" spans="16:26" x14ac:dyDescent="0.25">
      <c r="P133" s="10" t="str">
        <f>IF('[1]All Data '!AZ138="","",'[1]All Data '!AZ138)</f>
        <v>Douglas County</v>
      </c>
      <c r="Q133" s="10" t="str">
        <f>IF('[1]All Data '!BB138="","",'[1]All Data '!BB138)</f>
        <v>SD</v>
      </c>
      <c r="R133" s="10">
        <f>IF('[1]All Data '!BD138="","",'[1]All Data '!BD138)</f>
        <v>70</v>
      </c>
      <c r="S133" s="11">
        <f>IF(R133="","",'[1]All Data '!BE138)</f>
        <v>0.19545694551554491</v>
      </c>
      <c r="T133" s="12">
        <f>IF(S133="","",[1]Inputs_Outputs!$B$8*(1-'LOCH Calc COE Calc'!S133))</f>
        <v>255911.29837631906</v>
      </c>
      <c r="U133" s="13">
        <f t="shared" si="11"/>
        <v>52308269.388119623</v>
      </c>
      <c r="V133" s="13">
        <f t="shared" si="12"/>
        <v>1.8045007043110386</v>
      </c>
      <c r="W133" s="4">
        <f t="shared" si="13"/>
        <v>6.6329041731791918</v>
      </c>
      <c r="X133">
        <f>IF(W133="","",LOOKUP(_xlfn.CONCAT(P133,", ",Q133),'[1]T+S Costs'!$F$2:$F$3138,'[1]T+S Costs'!$N$2:$N$3138))</f>
        <v>22.072450195927679</v>
      </c>
      <c r="Y133" s="14">
        <f t="shared" si="14"/>
        <v>0.44346734512080904</v>
      </c>
      <c r="Z133" s="4">
        <f t="shared" si="15"/>
        <v>7.0763715183000011</v>
      </c>
    </row>
    <row r="134" spans="16:26" x14ac:dyDescent="0.25">
      <c r="P134" s="10" t="str">
        <f>IF('[1]All Data '!AZ139="","",'[1]All Data '!AZ139)</f>
        <v>Charles Mix County</v>
      </c>
      <c r="Q134" s="10" t="str">
        <f>IF('[1]All Data '!BB139="","",'[1]All Data '!BB139)</f>
        <v>SD</v>
      </c>
      <c r="R134" s="10">
        <f>IF('[1]All Data '!BD139="","",'[1]All Data '!BD139)</f>
        <v>70</v>
      </c>
      <c r="S134" s="11">
        <f>IF(R134="","",'[1]All Data '!BE139)</f>
        <v>0.19545694551554491</v>
      </c>
      <c r="T134" s="12">
        <f>IF(S134="","",[1]Inputs_Outputs!$B$8*(1-'LOCH Calc COE Calc'!S134))</f>
        <v>255911.29837631906</v>
      </c>
      <c r="U134" s="13">
        <f t="shared" si="11"/>
        <v>52308269.388119623</v>
      </c>
      <c r="V134" s="13">
        <f t="shared" si="12"/>
        <v>1.8045007043110386</v>
      </c>
      <c r="W134" s="4">
        <f t="shared" si="13"/>
        <v>6.6329041731791918</v>
      </c>
      <c r="X134">
        <f>IF(W134="","",LOOKUP(_xlfn.CONCAT(P134,", ",Q134),'[1]T+S Costs'!$F$2:$F$3138,'[1]T+S Costs'!$N$2:$N$3138))</f>
        <v>21.14473879921708</v>
      </c>
      <c r="Y134" s="14">
        <f t="shared" si="14"/>
        <v>0.42482828572841447</v>
      </c>
      <c r="Z134" s="4">
        <f t="shared" si="15"/>
        <v>7.0577324589076067</v>
      </c>
    </row>
    <row r="135" spans="16:26" x14ac:dyDescent="0.25">
      <c r="P135" s="10" t="str">
        <f>IF('[1]All Data '!AZ140="","",'[1]All Data '!AZ140)</f>
        <v>Goodhue County</v>
      </c>
      <c r="Q135" s="10" t="str">
        <f>IF('[1]All Data '!BB140="","",'[1]All Data '!BB140)</f>
        <v>MN</v>
      </c>
      <c r="R135" s="10">
        <f>IF('[1]All Data '!BD140="","",'[1]All Data '!BD140)</f>
        <v>70</v>
      </c>
      <c r="S135" s="11">
        <f>IF(R135="","",'[1]All Data '!BE140)</f>
        <v>0.19999999999999998</v>
      </c>
      <c r="T135" s="12">
        <f>IF(S135="","",[1]Inputs_Outputs!$B$8*(1-'LOCH Calc COE Calc'!S135))</f>
        <v>254466.23093681919</v>
      </c>
      <c r="U135" s="13">
        <f t="shared" si="11"/>
        <v>52012897.603485852</v>
      </c>
      <c r="V135" s="13">
        <f t="shared" si="12"/>
        <v>1.7943111377350451</v>
      </c>
      <c r="W135" s="4">
        <f t="shared" si="13"/>
        <v>6.6227146066031981</v>
      </c>
      <c r="X135">
        <f>IF(W135="","",LOOKUP(_xlfn.CONCAT(P135,", ",Q135),'[1]T+S Costs'!$F$2:$F$3138,'[1]T+S Costs'!$N$2:$N$3138))</f>
        <v>24.624720746168862</v>
      </c>
      <c r="Y135" s="14">
        <f t="shared" si="14"/>
        <v>0.49474613994868494</v>
      </c>
      <c r="Z135" s="4">
        <f t="shared" si="15"/>
        <v>7.1174607465518829</v>
      </c>
    </row>
    <row r="136" spans="16:26" x14ac:dyDescent="0.25">
      <c r="P136" s="10" t="str">
        <f>IF('[1]All Data '!AZ141="","",'[1]All Data '!AZ141)</f>
        <v>McLean County</v>
      </c>
      <c r="Q136" s="10" t="str">
        <f>IF('[1]All Data '!BB141="","",'[1]All Data '!BB141)</f>
        <v>ND</v>
      </c>
      <c r="R136" s="10">
        <f>IF('[1]All Data '!BD141="","",'[1]All Data '!BD141)</f>
        <v>70</v>
      </c>
      <c r="S136" s="11">
        <f>IF(R136="","",'[1]All Data '!BE141)</f>
        <v>0.1669933079964514</v>
      </c>
      <c r="T136" s="12">
        <f>IF(S136="","",[1]Inputs_Outputs!$B$8*(1-'LOCH Calc COE Calc'!S136))</f>
        <v>264965.09157411352</v>
      </c>
      <c r="U136" s="13">
        <f t="shared" si="11"/>
        <v>54158864.717748813</v>
      </c>
      <c r="V136" s="13">
        <f t="shared" si="12"/>
        <v>1.8683414815872421</v>
      </c>
      <c r="W136" s="4">
        <f t="shared" si="13"/>
        <v>6.6967449504553951</v>
      </c>
      <c r="X136">
        <f>IF(W136="","",LOOKUP(_xlfn.CONCAT(P136,", ",Q136),'[1]T+S Costs'!$F$2:$F$3138,'[1]T+S Costs'!$N$2:$N$3138))</f>
        <v>13.912371949152277</v>
      </c>
      <c r="Y136" s="14">
        <f t="shared" si="14"/>
        <v>0.27951960918965257</v>
      </c>
      <c r="Z136" s="4">
        <f t="shared" si="15"/>
        <v>6.9762645596450472</v>
      </c>
    </row>
    <row r="137" spans="16:26" x14ac:dyDescent="0.25">
      <c r="P137" s="10" t="str">
        <f>IF('[1]All Data '!AZ142="","",'[1]All Data '!AZ142)</f>
        <v>McHenry County</v>
      </c>
      <c r="Q137" s="10" t="str">
        <f>IF('[1]All Data '!BB142="","",'[1]All Data '!BB142)</f>
        <v>IL</v>
      </c>
      <c r="R137" s="10">
        <f>IF('[1]All Data '!BD142="","",'[1]All Data '!BD142)</f>
        <v>70</v>
      </c>
      <c r="S137" s="11">
        <f>IF(R137="","",'[1]All Data '!BE142)</f>
        <v>0.2</v>
      </c>
      <c r="T137" s="12">
        <f>IF(S137="","",[1]Inputs_Outputs!$B$8*(1-'LOCH Calc COE Calc'!S137))</f>
        <v>254466.23093681919</v>
      </c>
      <c r="U137" s="13">
        <f t="shared" si="11"/>
        <v>52012897.603485852</v>
      </c>
      <c r="V137" s="13">
        <f t="shared" si="12"/>
        <v>1.7943111377350451</v>
      </c>
      <c r="W137" s="4">
        <f t="shared" si="13"/>
        <v>6.6227146066031981</v>
      </c>
      <c r="X137">
        <f>IF(W137="","",LOOKUP(_xlfn.CONCAT(P137,", ",Q137),'[1]T+S Costs'!$F$2:$F$3138,'[1]T+S Costs'!$N$2:$N$3138))</f>
        <v>15.734346417315198</v>
      </c>
      <c r="Y137" s="14">
        <f t="shared" si="14"/>
        <v>0.31612570289932063</v>
      </c>
      <c r="Z137" s="4">
        <f t="shared" si="15"/>
        <v>6.9388403095025186</v>
      </c>
    </row>
    <row r="138" spans="16:26" x14ac:dyDescent="0.25">
      <c r="P138" s="10" t="str">
        <f>IF('[1]All Data '!AZ143="","",'[1]All Data '!AZ143)</f>
        <v>Delaware County</v>
      </c>
      <c r="Q138" s="10" t="str">
        <f>IF('[1]All Data '!BB143="","",'[1]All Data '!BB143)</f>
        <v>IA</v>
      </c>
      <c r="R138" s="10">
        <f>IF('[1]All Data '!BD143="","",'[1]All Data '!BD143)</f>
        <v>70</v>
      </c>
      <c r="S138" s="11">
        <f>IF(R138="","",'[1]All Data '!BE143)</f>
        <v>0.2</v>
      </c>
      <c r="T138" s="12">
        <f>IF(S138="","",[1]Inputs_Outputs!$B$8*(1-'LOCH Calc COE Calc'!S138))</f>
        <v>254466.23093681919</v>
      </c>
      <c r="U138" s="13">
        <f t="shared" si="11"/>
        <v>52012897.603485852</v>
      </c>
      <c r="V138" s="13">
        <f t="shared" si="12"/>
        <v>1.7943111377350451</v>
      </c>
      <c r="W138" s="4">
        <f t="shared" si="13"/>
        <v>6.6227146066031981</v>
      </c>
      <c r="X138">
        <f>IF(W138="","",LOOKUP(_xlfn.CONCAT(P138,", ",Q138),'[1]T+S Costs'!$F$2:$F$3138,'[1]T+S Costs'!$N$2:$N$3138))</f>
        <v>16.981486552374061</v>
      </c>
      <c r="Y138" s="14">
        <f t="shared" si="14"/>
        <v>0.34118254614865784</v>
      </c>
      <c r="Z138" s="4">
        <f t="shared" si="15"/>
        <v>6.9638971527518558</v>
      </c>
    </row>
    <row r="139" spans="16:26" x14ac:dyDescent="0.25">
      <c r="P139" s="10" t="str">
        <f>IF('[1]All Data '!AZ144="","",'[1]All Data '!AZ144)</f>
        <v>Cuming County</v>
      </c>
      <c r="Q139" s="10" t="str">
        <f>IF('[1]All Data '!BB144="","",'[1]All Data '!BB144)</f>
        <v>NE</v>
      </c>
      <c r="R139" s="10">
        <f>IF('[1]All Data '!BD144="","",'[1]All Data '!BD144)</f>
        <v>70</v>
      </c>
      <c r="S139" s="11">
        <f>IF(R139="","",'[1]All Data '!BE144)</f>
        <v>0.2</v>
      </c>
      <c r="T139" s="12">
        <f>IF(S139="","",[1]Inputs_Outputs!$B$8*(1-'LOCH Calc COE Calc'!S139))</f>
        <v>254466.23093681919</v>
      </c>
      <c r="U139" s="13">
        <f t="shared" si="11"/>
        <v>52012897.603485852</v>
      </c>
      <c r="V139" s="13">
        <f t="shared" si="12"/>
        <v>1.7943111377350451</v>
      </c>
      <c r="W139" s="4">
        <f t="shared" si="13"/>
        <v>6.6227146066031981</v>
      </c>
      <c r="X139">
        <f>IF(W139="","",LOOKUP(_xlfn.CONCAT(P139,", ",Q139),'[1]T+S Costs'!$F$2:$F$3138,'[1]T+S Costs'!$N$2:$N$3138))</f>
        <v>23.304783245289528</v>
      </c>
      <c r="Y139" s="14">
        <f t="shared" si="14"/>
        <v>0.46822669267190048</v>
      </c>
      <c r="Z139" s="4">
        <f t="shared" si="15"/>
        <v>7.0909412992750989</v>
      </c>
    </row>
    <row r="140" spans="16:26" x14ac:dyDescent="0.25">
      <c r="P140" s="10" t="str">
        <f>IF('[1]All Data '!AZ145="","",'[1]All Data '!AZ145)</f>
        <v>Sarpy County</v>
      </c>
      <c r="Q140" s="10" t="str">
        <f>IF('[1]All Data '!BB145="","",'[1]All Data '!BB145)</f>
        <v>NE</v>
      </c>
      <c r="R140" s="10">
        <f>IF('[1]All Data '!BD145="","",'[1]All Data '!BD145)</f>
        <v>70</v>
      </c>
      <c r="S140" s="11">
        <f>IF(R140="","",'[1]All Data '!BE145)</f>
        <v>0.19996853308653403</v>
      </c>
      <c r="T140" s="12">
        <f>IF(S140="","",[1]Inputs_Outputs!$B$8*(1-'LOCH Calc COE Calc'!S140))</f>
        <v>254476.2400204053</v>
      </c>
      <c r="U140" s="13">
        <f t="shared" si="11"/>
        <v>52014943.460170843</v>
      </c>
      <c r="V140" s="13">
        <f t="shared" si="12"/>
        <v>1.7943817145266725</v>
      </c>
      <c r="W140" s="4">
        <f t="shared" si="13"/>
        <v>6.6227851833948259</v>
      </c>
      <c r="X140">
        <f>IF(W140="","",LOOKUP(_xlfn.CONCAT(P140,", ",Q140),'[1]T+S Costs'!$F$2:$F$3138,'[1]T+S Costs'!$N$2:$N$3138))</f>
        <v>21.62182518484552</v>
      </c>
      <c r="Y140" s="14">
        <f t="shared" si="14"/>
        <v>0.43441363900591162</v>
      </c>
      <c r="Z140" s="4">
        <f t="shared" si="15"/>
        <v>7.0571988224007374</v>
      </c>
    </row>
    <row r="141" spans="16:26" x14ac:dyDescent="0.25">
      <c r="P141" s="10" t="str">
        <f>IF('[1]All Data '!AZ146="","",'[1]All Data '!AZ146)</f>
        <v>Fulton County</v>
      </c>
      <c r="Q141" s="10" t="str">
        <f>IF('[1]All Data '!BB146="","",'[1]All Data '!BB146)</f>
        <v>KY</v>
      </c>
      <c r="R141" s="10">
        <f>IF('[1]All Data '!BD146="","",'[1]All Data '!BD146)</f>
        <v>69.942827174692212</v>
      </c>
      <c r="S141" s="11">
        <f>IF(R141="","",'[1]All Data '!BE146)</f>
        <v>0.18795834954403395</v>
      </c>
      <c r="T141" s="12">
        <f>IF(S141="","",[1]Inputs_Outputs!$B$8*(1-'LOCH Calc COE Calc'!S141))</f>
        <v>258296.47269405454</v>
      </c>
      <c r="U141" s="13">
        <f t="shared" si="11"/>
        <v>52752677.804460756</v>
      </c>
      <c r="V141" s="13">
        <f t="shared" si="12"/>
        <v>1.8198316512085375</v>
      </c>
      <c r="W141" s="4">
        <f t="shared" si="13"/>
        <v>6.6482351200766914</v>
      </c>
      <c r="X141">
        <f>IF(W141="","",LOOKUP(_xlfn.CONCAT(P141,", ",Q141),'[1]T+S Costs'!$F$2:$F$3138,'[1]T+S Costs'!$N$2:$N$3138))</f>
        <v>16.747671445410958</v>
      </c>
      <c r="Y141" s="14">
        <f t="shared" si="14"/>
        <v>0.33648486357088964</v>
      </c>
      <c r="Z141" s="4">
        <f t="shared" si="15"/>
        <v>6.9847199836475813</v>
      </c>
    </row>
    <row r="142" spans="16:26" x14ac:dyDescent="0.25">
      <c r="P142" s="10" t="str">
        <f>IF('[1]All Data '!AZ147="","",'[1]All Data '!AZ147)</f>
        <v>Queen Anne's County</v>
      </c>
      <c r="Q142" s="10" t="str">
        <f>IF('[1]All Data '!BB147="","",'[1]All Data '!BB147)</f>
        <v>MD</v>
      </c>
      <c r="R142" s="10">
        <f>IF('[1]All Data '!BD147="","",'[1]All Data '!BD147)</f>
        <v>70</v>
      </c>
      <c r="S142" s="11">
        <f>IF(R142="","",'[1]All Data '!BE147)</f>
        <v>0.19048484172663929</v>
      </c>
      <c r="T142" s="12">
        <f>IF(S142="","",[1]Inputs_Outputs!$B$8*(1-'LOCH Calc COE Calc'!S142))</f>
        <v>257492.83901505591</v>
      </c>
      <c r="U142" s="13">
        <f t="shared" si="11"/>
        <v>52631536.294677429</v>
      </c>
      <c r="V142" s="13">
        <f t="shared" si="12"/>
        <v>1.8156525808190485</v>
      </c>
      <c r="W142" s="4">
        <f t="shared" si="13"/>
        <v>6.6440560496872019</v>
      </c>
      <c r="X142">
        <f>IF(W142="","",LOOKUP(_xlfn.CONCAT(P142,", ",Q142),'[1]T+S Costs'!$F$2:$F$3138,'[1]T+S Costs'!$N$2:$N$3138))</f>
        <v>11.647857162854162</v>
      </c>
      <c r="Y142" s="14">
        <f t="shared" si="14"/>
        <v>0.23402224250166609</v>
      </c>
      <c r="Z142" s="4">
        <f t="shared" si="15"/>
        <v>6.8780782921888681</v>
      </c>
    </row>
    <row r="143" spans="16:26" x14ac:dyDescent="0.25">
      <c r="P143" s="10" t="str">
        <f>IF('[1]All Data '!AZ148="","",'[1]All Data '!AZ148)</f>
        <v>Dixon County</v>
      </c>
      <c r="Q143" s="10" t="str">
        <f>IF('[1]All Data '!BB148="","",'[1]All Data '!BB148)</f>
        <v>NE</v>
      </c>
      <c r="R143" s="10">
        <f>IF('[1]All Data '!BD148="","",'[1]All Data '!BD148)</f>
        <v>70</v>
      </c>
      <c r="S143" s="11">
        <f>IF(R143="","",'[1]All Data '!BE148)</f>
        <v>0.19999999999999998</v>
      </c>
      <c r="T143" s="12">
        <f>IF(S143="","",[1]Inputs_Outputs!$B$8*(1-'LOCH Calc COE Calc'!S143))</f>
        <v>254466.23093681919</v>
      </c>
      <c r="U143" s="13">
        <f t="shared" si="11"/>
        <v>52012897.603485852</v>
      </c>
      <c r="V143" s="13">
        <f t="shared" si="12"/>
        <v>1.7943111377350451</v>
      </c>
      <c r="W143" s="4">
        <f t="shared" si="13"/>
        <v>6.6227146066031981</v>
      </c>
      <c r="X143">
        <f>IF(W143="","",LOOKUP(_xlfn.CONCAT(P143,", ",Q143),'[1]T+S Costs'!$F$2:$F$3138,'[1]T+S Costs'!$N$2:$N$3138))</f>
        <v>24.883277263573234</v>
      </c>
      <c r="Y143" s="14">
        <f t="shared" si="14"/>
        <v>0.49994091313060174</v>
      </c>
      <c r="Z143" s="4">
        <f t="shared" si="15"/>
        <v>7.1226555197338</v>
      </c>
    </row>
    <row r="144" spans="16:26" x14ac:dyDescent="0.25">
      <c r="P144" s="10" t="str">
        <f>IF('[1]All Data '!AZ149="","",'[1]All Data '!AZ149)</f>
        <v>Freeborn County</v>
      </c>
      <c r="Q144" s="10" t="str">
        <f>IF('[1]All Data '!BB149="","",'[1]All Data '!BB149)</f>
        <v>MN</v>
      </c>
      <c r="R144" s="10">
        <f>IF('[1]All Data '!BD149="","",'[1]All Data '!BD149)</f>
        <v>70</v>
      </c>
      <c r="S144" s="11">
        <f>IF(R144="","",'[1]All Data '!BE149)</f>
        <v>0.2</v>
      </c>
      <c r="T144" s="12">
        <f>IF(S144="","",[1]Inputs_Outputs!$B$8*(1-'LOCH Calc COE Calc'!S144))</f>
        <v>254466.23093681919</v>
      </c>
      <c r="U144" s="13">
        <f t="shared" si="11"/>
        <v>52012897.603485852</v>
      </c>
      <c r="V144" s="13">
        <f t="shared" si="12"/>
        <v>1.7943111377350451</v>
      </c>
      <c r="W144" s="4">
        <f t="shared" si="13"/>
        <v>6.6227146066031981</v>
      </c>
      <c r="X144">
        <f>IF(W144="","",LOOKUP(_xlfn.CONCAT(P144,", ",Q144),'[1]T+S Costs'!$F$2:$F$3138,'[1]T+S Costs'!$N$2:$N$3138))</f>
        <v>24.140095389678251</v>
      </c>
      <c r="Y144" s="14">
        <f t="shared" si="14"/>
        <v>0.48500931787803103</v>
      </c>
      <c r="Z144" s="4">
        <f t="shared" si="15"/>
        <v>7.1077239244812294</v>
      </c>
    </row>
    <row r="145" spans="16:26" x14ac:dyDescent="0.25">
      <c r="P145" s="10" t="str">
        <f>IF('[1]All Data '!AZ150="","",'[1]All Data '!AZ150)</f>
        <v>Hall County</v>
      </c>
      <c r="Q145" s="10" t="str">
        <f>IF('[1]All Data '!BB150="","",'[1]All Data '!BB150)</f>
        <v>NE</v>
      </c>
      <c r="R145" s="10">
        <f>IF('[1]All Data '!BD150="","",'[1]All Data '!BD150)</f>
        <v>70</v>
      </c>
      <c r="S145" s="11">
        <f>IF(R145="","",'[1]All Data '!BE150)</f>
        <v>0.20012735690604508</v>
      </c>
      <c r="T145" s="12">
        <f>IF(S145="","",[1]Inputs_Outputs!$B$8*(1-'LOCH Calc COE Calc'!S145))</f>
        <v>254425.72089698783</v>
      </c>
      <c r="U145" s="13">
        <f t="shared" si="11"/>
        <v>52004617.351344317</v>
      </c>
      <c r="V145" s="13">
        <f t="shared" si="12"/>
        <v>1.7940254903413146</v>
      </c>
      <c r="W145" s="4">
        <f t="shared" si="13"/>
        <v>6.6224289592094685</v>
      </c>
      <c r="X145">
        <f>IF(W145="","",LOOKUP(_xlfn.CONCAT(P145,", ",Q145),'[1]T+S Costs'!$F$2:$F$3138,'[1]T+S Costs'!$N$2:$N$3138))</f>
        <v>19.109312301956511</v>
      </c>
      <c r="Y145" s="14">
        <f t="shared" si="14"/>
        <v>0.38393363303166822</v>
      </c>
      <c r="Z145" s="4">
        <f t="shared" si="15"/>
        <v>7.0063625922411363</v>
      </c>
    </row>
    <row r="146" spans="16:26" x14ac:dyDescent="0.25">
      <c r="P146" s="10" t="str">
        <f>IF('[1]All Data '!AZ151="","",'[1]All Data '!AZ151)</f>
        <v>Hartley County</v>
      </c>
      <c r="Q146" s="10" t="str">
        <f>IF('[1]All Data '!BB151="","",'[1]All Data '!BB151)</f>
        <v>TX</v>
      </c>
      <c r="R146" s="10">
        <f>IF('[1]All Data '!BD151="","",'[1]All Data '!BD151)</f>
        <v>69.333249186666109</v>
      </c>
      <c r="S146" s="11">
        <f>IF(R146="","",'[1]All Data '!BE151)</f>
        <v>0.22426069201172341</v>
      </c>
      <c r="T146" s="12">
        <f>IF(S146="","",[1]Inputs_Outputs!$B$8*(1-'LOCH Calc COE Calc'!S146))</f>
        <v>246749.32236664137</v>
      </c>
      <c r="U146" s="13">
        <f t="shared" si="11"/>
        <v>49955162.182519063</v>
      </c>
      <c r="V146" s="13">
        <f t="shared" si="12"/>
        <v>1.7233245602807412</v>
      </c>
      <c r="W146" s="4">
        <f t="shared" si="13"/>
        <v>6.5517280291488946</v>
      </c>
      <c r="X146">
        <f>IF(W146="","",LOOKUP(_xlfn.CONCAT(P146,", ",Q146),'[1]T+S Costs'!$F$2:$F$3138,'[1]T+S Costs'!$N$2:$N$3138))</f>
        <v>12.67382663496511</v>
      </c>
      <c r="Y146" s="14">
        <f t="shared" si="14"/>
        <v>0.2546354482823267</v>
      </c>
      <c r="Z146" s="4">
        <f t="shared" si="15"/>
        <v>6.8063634774312209</v>
      </c>
    </row>
    <row r="147" spans="16:26" x14ac:dyDescent="0.25">
      <c r="P147" s="10" t="str">
        <f>IF('[1]All Data '!AZ152="","",'[1]All Data '!AZ152)</f>
        <v>Fulton County</v>
      </c>
      <c r="Q147" s="10" t="str">
        <f>IF('[1]All Data '!BB152="","",'[1]All Data '!BB152)</f>
        <v>OH</v>
      </c>
      <c r="R147" s="10">
        <f>IF('[1]All Data '!BD152="","",'[1]All Data '!BD152)</f>
        <v>70</v>
      </c>
      <c r="S147" s="11">
        <f>IF(R147="","",'[1]All Data '!BE152)</f>
        <v>0.19604310405313749</v>
      </c>
      <c r="T147" s="12">
        <f>IF(S147="","",[1]Inputs_Outputs!$B$8*(1-'LOCH Calc COE Calc'!S147))</f>
        <v>255724.85143407827</v>
      </c>
      <c r="U147" s="13">
        <f t="shared" si="11"/>
        <v>52270159.633125611</v>
      </c>
      <c r="V147" s="13">
        <f t="shared" si="12"/>
        <v>1.8031860158204378</v>
      </c>
      <c r="W147" s="4">
        <f t="shared" si="13"/>
        <v>6.6315894846885914</v>
      </c>
      <c r="X147">
        <f>IF(W147="","",LOOKUP(_xlfn.CONCAT(P147,", ",Q147),'[1]T+S Costs'!$F$2:$F$3138,'[1]T+S Costs'!$N$2:$N$3138))</f>
        <v>12.951212227183397</v>
      </c>
      <c r="Y147" s="14">
        <f t="shared" si="14"/>
        <v>0.26020852472213685</v>
      </c>
      <c r="Z147" s="4">
        <f t="shared" si="15"/>
        <v>6.8917980094107278</v>
      </c>
    </row>
    <row r="148" spans="16:26" x14ac:dyDescent="0.25">
      <c r="P148" s="10" t="str">
        <f>IF('[1]All Data '!AZ153="","",'[1]All Data '!AZ153)</f>
        <v>Henry County</v>
      </c>
      <c r="Q148" s="10" t="str">
        <f>IF('[1]All Data '!BB153="","",'[1]All Data '!BB153)</f>
        <v>OH</v>
      </c>
      <c r="R148" s="10">
        <f>IF('[1]All Data '!BD153="","",'[1]All Data '!BD153)</f>
        <v>70</v>
      </c>
      <c r="S148" s="11">
        <f>IF(R148="","",'[1]All Data '!BE153)</f>
        <v>0.19604310405313749</v>
      </c>
      <c r="T148" s="12">
        <f>IF(S148="","",[1]Inputs_Outputs!$B$8*(1-'LOCH Calc COE Calc'!S148))</f>
        <v>255724.85143407827</v>
      </c>
      <c r="U148" s="13">
        <f t="shared" si="11"/>
        <v>52270159.633125611</v>
      </c>
      <c r="V148" s="13">
        <f t="shared" si="12"/>
        <v>1.8031860158204378</v>
      </c>
      <c r="W148" s="4">
        <f t="shared" si="13"/>
        <v>6.6315894846885914</v>
      </c>
      <c r="X148">
        <f>IF(W148="","",LOOKUP(_xlfn.CONCAT(P148,", ",Q148),'[1]T+S Costs'!$F$2:$F$3138,'[1]T+S Costs'!$N$2:$N$3138))</f>
        <v>13.491223338701507</v>
      </c>
      <c r="Y148" s="14">
        <f t="shared" si="14"/>
        <v>0.27105812645800831</v>
      </c>
      <c r="Z148" s="4">
        <f t="shared" si="15"/>
        <v>6.9026476111466</v>
      </c>
    </row>
    <row r="149" spans="16:26" x14ac:dyDescent="0.25">
      <c r="P149" s="10" t="str">
        <f>IF('[1]All Data '!AZ154="","",'[1]All Data '!AZ154)</f>
        <v>Cedar County</v>
      </c>
      <c r="Q149" s="10" t="str">
        <f>IF('[1]All Data '!BB154="","",'[1]All Data '!BB154)</f>
        <v>IA</v>
      </c>
      <c r="R149" s="10">
        <f>IF('[1]All Data '!BD154="","",'[1]All Data '!BD154)</f>
        <v>70</v>
      </c>
      <c r="S149" s="11">
        <f>IF(R149="","",'[1]All Data '!BE154)</f>
        <v>0.2</v>
      </c>
      <c r="T149" s="12">
        <f>IF(S149="","",[1]Inputs_Outputs!$B$8*(1-'LOCH Calc COE Calc'!S149))</f>
        <v>254466.23093681919</v>
      </c>
      <c r="U149" s="13">
        <f t="shared" si="11"/>
        <v>52012897.603485852</v>
      </c>
      <c r="V149" s="13">
        <f t="shared" si="12"/>
        <v>1.7943111377350451</v>
      </c>
      <c r="W149" s="4">
        <f t="shared" si="13"/>
        <v>6.6227146066031981</v>
      </c>
      <c r="X149">
        <f>IF(W149="","",LOOKUP(_xlfn.CONCAT(P149,", ",Q149),'[1]T+S Costs'!$F$2:$F$3138,'[1]T+S Costs'!$N$2:$N$3138))</f>
        <v>15.707614186741594</v>
      </c>
      <c r="Y149" s="14">
        <f t="shared" si="14"/>
        <v>0.31558861384865328</v>
      </c>
      <c r="Z149" s="4">
        <f t="shared" si="15"/>
        <v>6.9383032204518518</v>
      </c>
    </row>
    <row r="150" spans="16:26" x14ac:dyDescent="0.25">
      <c r="P150" s="10" t="str">
        <f>IF('[1]All Data '!AZ155="","",'[1]All Data '!AZ155)</f>
        <v>Dallam County</v>
      </c>
      <c r="Q150" s="10" t="str">
        <f>IF('[1]All Data '!BB155="","",'[1]All Data '!BB155)</f>
        <v>TX</v>
      </c>
      <c r="R150" s="10">
        <f>IF('[1]All Data '!BD155="","",'[1]All Data '!BD155)</f>
        <v>69.750712433509648</v>
      </c>
      <c r="S150" s="11">
        <f>IF(R150="","",'[1]All Data '!BE155)</f>
        <v>0.19619688533945187</v>
      </c>
      <c r="T150" s="12">
        <f>IF(S150="","",[1]Inputs_Outputs!$B$8*(1-'LOCH Calc COE Calc'!S150))</f>
        <v>255675.93625368198</v>
      </c>
      <c r="U150" s="13">
        <f t="shared" si="11"/>
        <v>52074049.820932843</v>
      </c>
      <c r="V150" s="13">
        <f t="shared" si="12"/>
        <v>1.796420731891841</v>
      </c>
      <c r="W150" s="4">
        <f t="shared" si="13"/>
        <v>6.6248242007599947</v>
      </c>
      <c r="X150">
        <f>IF(W150="","",LOOKUP(_xlfn.CONCAT(P150,", ",Q150),'[1]T+S Costs'!$F$2:$F$3138,'[1]T+S Costs'!$N$2:$N$3138))</f>
        <v>13.496653906724578</v>
      </c>
      <c r="Y150" s="14">
        <f t="shared" si="14"/>
        <v>0.27116723439855467</v>
      </c>
      <c r="Z150" s="4">
        <f t="shared" si="15"/>
        <v>6.8959914351585496</v>
      </c>
    </row>
    <row r="151" spans="16:26" x14ac:dyDescent="0.25">
      <c r="P151" s="10" t="str">
        <f>IF('[1]All Data '!AZ156="","",'[1]All Data '!AZ156)</f>
        <v>Weld County</v>
      </c>
      <c r="Q151" s="10" t="str">
        <f>IF('[1]All Data '!BB156="","",'[1]All Data '!BB156)</f>
        <v>CO</v>
      </c>
      <c r="R151" s="10">
        <f>IF('[1]All Data '!BD156="","",'[1]All Data '!BD156)</f>
        <v>70</v>
      </c>
      <c r="S151" s="11">
        <f>IF(R151="","",'[1]All Data '!BE156)</f>
        <v>0.19194643067846609</v>
      </c>
      <c r="T151" s="12">
        <f>IF(S151="","",[1]Inputs_Outputs!$B$8*(1-'LOCH Calc COE Calc'!S151))</f>
        <v>257027.9327253681</v>
      </c>
      <c r="U151" s="13">
        <f t="shared" si="11"/>
        <v>52536509.449065246</v>
      </c>
      <c r="V151" s="13">
        <f t="shared" si="12"/>
        <v>1.8123743991502321</v>
      </c>
      <c r="W151" s="4">
        <f t="shared" si="13"/>
        <v>6.640777868018386</v>
      </c>
      <c r="X151">
        <f>IF(W151="","",LOOKUP(_xlfn.CONCAT(P151,", ",Q151),'[1]T+S Costs'!$F$2:$F$3138,'[1]T+S Costs'!$N$2:$N$3138))</f>
        <v>14.597887428729823</v>
      </c>
      <c r="Y151" s="14">
        <f t="shared" si="14"/>
        <v>0.29329260344579372</v>
      </c>
      <c r="Z151" s="4">
        <f t="shared" si="15"/>
        <v>6.9340704714641799</v>
      </c>
    </row>
    <row r="152" spans="16:26" x14ac:dyDescent="0.25">
      <c r="P152" s="10" t="str">
        <f>IF('[1]All Data '!AZ157="","",'[1]All Data '!AZ157)</f>
        <v>Knox County</v>
      </c>
      <c r="Q152" s="10" t="str">
        <f>IF('[1]All Data '!BB157="","",'[1]All Data '!BB157)</f>
        <v>IL</v>
      </c>
      <c r="R152" s="10">
        <f>IF('[1]All Data '!BD157="","",'[1]All Data '!BD157)</f>
        <v>70</v>
      </c>
      <c r="S152" s="11">
        <f>IF(R152="","",'[1]All Data '!BE157)</f>
        <v>0.2</v>
      </c>
      <c r="T152" s="12">
        <f>IF(S152="","",[1]Inputs_Outputs!$B$8*(1-'LOCH Calc COE Calc'!S152))</f>
        <v>254466.23093681919</v>
      </c>
      <c r="U152" s="13">
        <f t="shared" si="11"/>
        <v>52012897.603485852</v>
      </c>
      <c r="V152" s="13">
        <f t="shared" si="12"/>
        <v>1.7943111377350451</v>
      </c>
      <c r="W152" s="4">
        <f t="shared" si="13"/>
        <v>6.6227146066031981</v>
      </c>
      <c r="X152">
        <f>IF(W152="","",LOOKUP(_xlfn.CONCAT(P152,", ",Q152),'[1]T+S Costs'!$F$2:$F$3138,'[1]T+S Costs'!$N$2:$N$3138))</f>
        <v>11.442911049624204</v>
      </c>
      <c r="Y152" s="14">
        <f t="shared" si="14"/>
        <v>0.22990457962689895</v>
      </c>
      <c r="Z152" s="4">
        <f t="shared" si="15"/>
        <v>6.8526191862300969</v>
      </c>
    </row>
    <row r="153" spans="16:26" x14ac:dyDescent="0.25">
      <c r="P153" s="10" t="str">
        <f>IF('[1]All Data '!AZ158="","",'[1]All Data '!AZ158)</f>
        <v>Hardin County</v>
      </c>
      <c r="Q153" s="10" t="str">
        <f>IF('[1]All Data '!BB158="","",'[1]All Data '!BB158)</f>
        <v>IA</v>
      </c>
      <c r="R153" s="10">
        <f>IF('[1]All Data '!BD158="","",'[1]All Data '!BD158)</f>
        <v>70</v>
      </c>
      <c r="S153" s="11">
        <f>IF(R153="","",'[1]All Data '!BE158)</f>
        <v>0.20000000000000004</v>
      </c>
      <c r="T153" s="12">
        <f>IF(S153="","",[1]Inputs_Outputs!$B$8*(1-'LOCH Calc COE Calc'!S153))</f>
        <v>254466.23093681916</v>
      </c>
      <c r="U153" s="13">
        <f t="shared" si="11"/>
        <v>52012897.60348583</v>
      </c>
      <c r="V153" s="13">
        <f t="shared" si="12"/>
        <v>1.7943111377350445</v>
      </c>
      <c r="W153" s="4">
        <f t="shared" si="13"/>
        <v>6.6227146066031981</v>
      </c>
      <c r="X153">
        <f>IF(W153="","",LOOKUP(_xlfn.CONCAT(P153,", ",Q153),'[1]T+S Costs'!$F$2:$F$3138,'[1]T+S Costs'!$N$2:$N$3138))</f>
        <v>20.44309624159272</v>
      </c>
      <c r="Y153" s="14">
        <f t="shared" si="14"/>
        <v>0.410731275224757</v>
      </c>
      <c r="Z153" s="4">
        <f t="shared" si="15"/>
        <v>7.033445881827955</v>
      </c>
    </row>
    <row r="154" spans="16:26" x14ac:dyDescent="0.25">
      <c r="P154" s="10" t="str">
        <f>IF('[1]All Data '!AZ159="","",'[1]All Data '!AZ159)</f>
        <v>Vanderburgh County</v>
      </c>
      <c r="Q154" s="10" t="str">
        <f>IF('[1]All Data '!BB159="","",'[1]All Data '!BB159)</f>
        <v>IN</v>
      </c>
      <c r="R154" s="10">
        <f>IF('[1]All Data '!BD159="","",'[1]All Data '!BD159)</f>
        <v>70</v>
      </c>
      <c r="S154" s="11">
        <f>IF(R154="","",'[1]All Data '!BE159)</f>
        <v>0.19879746229351211</v>
      </c>
      <c r="T154" s="12">
        <f>IF(S154="","",[1]Inputs_Outputs!$B$8*(1-'LOCH Calc COE Calc'!S154))</f>
        <v>254848.73748398089</v>
      </c>
      <c r="U154" s="13">
        <f t="shared" si="11"/>
        <v>52091081.941725694</v>
      </c>
      <c r="V154" s="13">
        <f t="shared" si="12"/>
        <v>1.7970082962354166</v>
      </c>
      <c r="W154" s="4">
        <f t="shared" si="13"/>
        <v>6.6254117651035696</v>
      </c>
      <c r="X154">
        <f>IF(W154="","",LOOKUP(_xlfn.CONCAT(P154,", ",Q154),'[1]T+S Costs'!$F$2:$F$3138,'[1]T+S Costs'!$N$2:$N$3138))</f>
        <v>11.740265524540192</v>
      </c>
      <c r="Y154" s="14">
        <f t="shared" si="14"/>
        <v>0.23587885970818845</v>
      </c>
      <c r="Z154" s="4">
        <f t="shared" si="15"/>
        <v>6.8612906248117582</v>
      </c>
    </row>
    <row r="155" spans="16:26" x14ac:dyDescent="0.25">
      <c r="P155" s="10" t="str">
        <f>IF('[1]All Data '!AZ160="","",'[1]All Data '!AZ160)</f>
        <v>Tazewell County</v>
      </c>
      <c r="Q155" s="10" t="str">
        <f>IF('[1]All Data '!BB160="","",'[1]All Data '!BB160)</f>
        <v>IL</v>
      </c>
      <c r="R155" s="10">
        <f>IF('[1]All Data '!BD160="","",'[1]All Data '!BD160)</f>
        <v>70</v>
      </c>
      <c r="S155" s="11">
        <f>IF(R155="","",'[1]All Data '!BE160)</f>
        <v>0.2</v>
      </c>
      <c r="T155" s="12">
        <f>IF(S155="","",[1]Inputs_Outputs!$B$8*(1-'LOCH Calc COE Calc'!S155))</f>
        <v>254466.23093681919</v>
      </c>
      <c r="U155" s="13">
        <f t="shared" si="11"/>
        <v>52012897.603485852</v>
      </c>
      <c r="V155" s="13">
        <f t="shared" si="12"/>
        <v>1.7943111377350451</v>
      </c>
      <c r="W155" s="4">
        <f t="shared" si="13"/>
        <v>6.6227146066031981</v>
      </c>
      <c r="X155">
        <f>IF(W155="","",LOOKUP(_xlfn.CONCAT(P155,", ",Q155),'[1]T+S Costs'!$F$2:$F$3138,'[1]T+S Costs'!$N$2:$N$3138))</f>
        <v>9.6567204499873753</v>
      </c>
      <c r="Y155" s="14">
        <f t="shared" si="14"/>
        <v>0.19401743542363176</v>
      </c>
      <c r="Z155" s="4">
        <f t="shared" si="15"/>
        <v>6.81673204202683</v>
      </c>
    </row>
    <row r="156" spans="16:26" x14ac:dyDescent="0.25">
      <c r="P156" s="10" t="str">
        <f>IF('[1]All Data '!AZ161="","",'[1]All Data '!AZ161)</f>
        <v>Perkins County</v>
      </c>
      <c r="Q156" s="10" t="str">
        <f>IF('[1]All Data '!BB161="","",'[1]All Data '!BB161)</f>
        <v>NE</v>
      </c>
      <c r="R156" s="10">
        <f>IF('[1]All Data '!BD161="","",'[1]All Data '!BD161)</f>
        <v>70</v>
      </c>
      <c r="S156" s="11">
        <f>IF(R156="","",'[1]All Data '!BE161)</f>
        <v>0.20000000000000004</v>
      </c>
      <c r="T156" s="12">
        <f>IF(S156="","",[1]Inputs_Outputs!$B$8*(1-'LOCH Calc COE Calc'!S156))</f>
        <v>254466.23093681916</v>
      </c>
      <c r="U156" s="13">
        <f t="shared" si="11"/>
        <v>52012897.60348583</v>
      </c>
      <c r="V156" s="13">
        <f t="shared" si="12"/>
        <v>1.7943111377350445</v>
      </c>
      <c r="W156" s="4">
        <f t="shared" si="13"/>
        <v>6.6227146066031981</v>
      </c>
      <c r="X156">
        <f>IF(W156="","",LOOKUP(_xlfn.CONCAT(P156,", ",Q156),'[1]T+S Costs'!$F$2:$F$3138,'[1]T+S Costs'!$N$2:$N$3138))</f>
        <v>12.36609662735856</v>
      </c>
      <c r="Y156" s="14">
        <f t="shared" si="14"/>
        <v>0.24845270879142681</v>
      </c>
      <c r="Z156" s="4">
        <f t="shared" si="15"/>
        <v>6.8711673153946249</v>
      </c>
    </row>
    <row r="157" spans="16:26" x14ac:dyDescent="0.25">
      <c r="P157" s="10" t="str">
        <f>IF('[1]All Data '!AZ162="","",'[1]All Data '!AZ162)</f>
        <v>Lincoln County</v>
      </c>
      <c r="Q157" s="10" t="str">
        <f>IF('[1]All Data '!BB162="","",'[1]All Data '!BB162)</f>
        <v>SD</v>
      </c>
      <c r="R157" s="10">
        <f>IF('[1]All Data '!BD162="","",'[1]All Data '!BD162)</f>
        <v>70</v>
      </c>
      <c r="S157" s="11">
        <f>IF(R157="","",'[1]All Data '!BE162)</f>
        <v>0.2</v>
      </c>
      <c r="T157" s="12">
        <f>IF(S157="","",[1]Inputs_Outputs!$B$8*(1-'LOCH Calc COE Calc'!S157))</f>
        <v>254466.23093681919</v>
      </c>
      <c r="U157" s="13">
        <f t="shared" si="11"/>
        <v>52012897.603485852</v>
      </c>
      <c r="V157" s="13">
        <f t="shared" si="12"/>
        <v>1.7943111377350451</v>
      </c>
      <c r="W157" s="4">
        <f t="shared" si="13"/>
        <v>6.6227146066031981</v>
      </c>
      <c r="X157">
        <f>IF(W157="","",LOOKUP(_xlfn.CONCAT(P157,", ",Q157),'[1]T+S Costs'!$F$2:$F$3138,'[1]T+S Costs'!$N$2:$N$3138))</f>
        <v>25.783295782770086</v>
      </c>
      <c r="Y157" s="14">
        <f t="shared" si="14"/>
        <v>0.51802358269038762</v>
      </c>
      <c r="Z157" s="4">
        <f t="shared" si="15"/>
        <v>7.1407381892935859</v>
      </c>
    </row>
    <row r="158" spans="16:26" x14ac:dyDescent="0.25">
      <c r="P158" s="10" t="str">
        <f>IF('[1]All Data '!AZ163="","",'[1]All Data '!AZ163)</f>
        <v>Edgar County</v>
      </c>
      <c r="Q158" s="10" t="str">
        <f>IF('[1]All Data '!BB163="","",'[1]All Data '!BB163)</f>
        <v>IL</v>
      </c>
      <c r="R158" s="10">
        <f>IF('[1]All Data '!BD163="","",'[1]All Data '!BD163)</f>
        <v>70</v>
      </c>
      <c r="S158" s="11">
        <f>IF(R158="","",'[1]All Data '!BE163)</f>
        <v>0.20000000000000004</v>
      </c>
      <c r="T158" s="12">
        <f>IF(S158="","",[1]Inputs_Outputs!$B$8*(1-'LOCH Calc COE Calc'!S158))</f>
        <v>254466.23093681916</v>
      </c>
      <c r="U158" s="13">
        <f t="shared" si="11"/>
        <v>52012897.60348583</v>
      </c>
      <c r="V158" s="13">
        <f t="shared" si="12"/>
        <v>1.7943111377350445</v>
      </c>
      <c r="W158" s="4">
        <f t="shared" si="13"/>
        <v>6.6227146066031981</v>
      </c>
      <c r="X158">
        <f>IF(W158="","",LOOKUP(_xlfn.CONCAT(P158,", ",Q158),'[1]T+S Costs'!$F$2:$F$3138,'[1]T+S Costs'!$N$2:$N$3138))</f>
        <v>10.778281989294221</v>
      </c>
      <c r="Y158" s="14">
        <f t="shared" si="14"/>
        <v>0.21655122364428786</v>
      </c>
      <c r="Z158" s="4">
        <f t="shared" si="15"/>
        <v>6.839265830247486</v>
      </c>
    </row>
    <row r="159" spans="16:26" x14ac:dyDescent="0.25">
      <c r="P159" s="10" t="str">
        <f>IF('[1]All Data '!AZ164="","",'[1]All Data '!AZ164)</f>
        <v>Lake County</v>
      </c>
      <c r="Q159" s="10" t="str">
        <f>IF('[1]All Data '!BB164="","",'[1]All Data '!BB164)</f>
        <v>TN</v>
      </c>
      <c r="R159" s="10">
        <f>IF('[1]All Data '!BD164="","",'[1]All Data '!BD164)</f>
        <v>67.61612403758707</v>
      </c>
      <c r="S159" s="11">
        <f>IF(R159="","",'[1]All Data '!BE164)</f>
        <v>0.18087498460198262</v>
      </c>
      <c r="T159" s="12">
        <f>IF(S159="","",[1]Inputs_Outputs!$B$8*(1-'LOCH Calc COE Calc'!S159))</f>
        <v>260549.56916799681</v>
      </c>
      <c r="U159" s="13">
        <f t="shared" si="11"/>
        <v>51442667.801465176</v>
      </c>
      <c r="V159" s="13">
        <f t="shared" si="12"/>
        <v>1.7746396767709942</v>
      </c>
      <c r="W159" s="4">
        <f t="shared" si="13"/>
        <v>6.6030431456391474</v>
      </c>
      <c r="X159">
        <f>IF(W159="","",LOOKUP(_xlfn.CONCAT(P159,", ",Q159),'[1]T+S Costs'!$F$2:$F$3138,'[1]T+S Costs'!$N$2:$N$3138))</f>
        <v>19.090925484598088</v>
      </c>
      <c r="Y159" s="14">
        <f t="shared" si="14"/>
        <v>0.38356421536363489</v>
      </c>
      <c r="Z159" s="4">
        <f t="shared" si="15"/>
        <v>6.9866073610027826</v>
      </c>
    </row>
    <row r="160" spans="16:26" x14ac:dyDescent="0.25">
      <c r="P160" s="10" t="str">
        <f>IF('[1]All Data '!AZ165="","",'[1]All Data '!AZ165)</f>
        <v>Palo Alto County</v>
      </c>
      <c r="Q160" s="10" t="str">
        <f>IF('[1]All Data '!BB165="","",'[1]All Data '!BB165)</f>
        <v>IA</v>
      </c>
      <c r="R160" s="10">
        <f>IF('[1]All Data '!BD165="","",'[1]All Data '!BD165)</f>
        <v>70</v>
      </c>
      <c r="S160" s="11">
        <f>IF(R160="","",'[1]All Data '!BE165)</f>
        <v>0.2</v>
      </c>
      <c r="T160" s="12">
        <f>IF(S160="","",[1]Inputs_Outputs!$B$8*(1-'LOCH Calc COE Calc'!S160))</f>
        <v>254466.23093681919</v>
      </c>
      <c r="U160" s="13">
        <f t="shared" si="11"/>
        <v>52012897.603485852</v>
      </c>
      <c r="V160" s="13">
        <f t="shared" si="12"/>
        <v>1.7943111377350451</v>
      </c>
      <c r="W160" s="4">
        <f t="shared" si="13"/>
        <v>6.6227146066031981</v>
      </c>
      <c r="X160">
        <f>IF(W160="","",LOOKUP(_xlfn.CONCAT(P160,", ",Q160),'[1]T+S Costs'!$F$2:$F$3138,'[1]T+S Costs'!$N$2:$N$3138))</f>
        <v>24.624720746168862</v>
      </c>
      <c r="Y160" s="14">
        <f t="shared" si="14"/>
        <v>0.49474613994868494</v>
      </c>
      <c r="Z160" s="4">
        <f t="shared" si="15"/>
        <v>7.1174607465518829</v>
      </c>
    </row>
    <row r="161" spans="16:26" x14ac:dyDescent="0.25">
      <c r="P161" s="10" t="str">
        <f>IF('[1]All Data '!AZ166="","",'[1]All Data '!AZ166)</f>
        <v>Buena Vista County</v>
      </c>
      <c r="Q161" s="10" t="str">
        <f>IF('[1]All Data '!BB166="","",'[1]All Data '!BB166)</f>
        <v>IA</v>
      </c>
      <c r="R161" s="10">
        <f>IF('[1]All Data '!BD166="","",'[1]All Data '!BD166)</f>
        <v>70</v>
      </c>
      <c r="S161" s="11">
        <f>IF(R161="","",'[1]All Data '!BE166)</f>
        <v>0.19999999999999998</v>
      </c>
      <c r="T161" s="12">
        <f>IF(S161="","",[1]Inputs_Outputs!$B$8*(1-'LOCH Calc COE Calc'!S161))</f>
        <v>254466.23093681919</v>
      </c>
      <c r="U161" s="13">
        <f t="shared" si="11"/>
        <v>52012897.603485852</v>
      </c>
      <c r="V161" s="13">
        <f t="shared" si="12"/>
        <v>1.7943111377350451</v>
      </c>
      <c r="W161" s="4">
        <f t="shared" si="13"/>
        <v>6.6227146066031981</v>
      </c>
      <c r="X161">
        <f>IF(W161="","",LOOKUP(_xlfn.CONCAT(P161,", ",Q161),'[1]T+S Costs'!$F$2:$F$3138,'[1]T+S Costs'!$N$2:$N$3138))</f>
        <v>24.873956643792607</v>
      </c>
      <c r="Y161" s="14">
        <f t="shared" si="14"/>
        <v>0.49975364844216413</v>
      </c>
      <c r="Z161" s="4">
        <f t="shared" si="15"/>
        <v>7.1224682550453622</v>
      </c>
    </row>
    <row r="162" spans="16:26" x14ac:dyDescent="0.25">
      <c r="P162" s="10" t="str">
        <f>IF('[1]All Data '!AZ167="","",'[1]All Data '!AZ167)</f>
        <v>Boone County</v>
      </c>
      <c r="Q162" s="10" t="str">
        <f>IF('[1]All Data '!BB167="","",'[1]All Data '!BB167)</f>
        <v>NE</v>
      </c>
      <c r="R162" s="10">
        <f>IF('[1]All Data '!BD167="","",'[1]All Data '!BD167)</f>
        <v>70</v>
      </c>
      <c r="S162" s="11">
        <f>IF(R162="","",'[1]All Data '!BE167)</f>
        <v>0.2</v>
      </c>
      <c r="T162" s="12">
        <f>IF(S162="","",[1]Inputs_Outputs!$B$8*(1-'LOCH Calc COE Calc'!S162))</f>
        <v>254466.23093681919</v>
      </c>
      <c r="U162" s="13">
        <f t="shared" si="11"/>
        <v>52012897.603485852</v>
      </c>
      <c r="V162" s="13">
        <f t="shared" si="12"/>
        <v>1.7943111377350451</v>
      </c>
      <c r="W162" s="4">
        <f t="shared" si="13"/>
        <v>6.6227146066031981</v>
      </c>
      <c r="X162">
        <f>IF(W162="","",LOOKUP(_xlfn.CONCAT(P162,", ",Q162),'[1]T+S Costs'!$F$2:$F$3138,'[1]T+S Costs'!$N$2:$N$3138))</f>
        <v>21.14473879921708</v>
      </c>
      <c r="Y162" s="14">
        <f t="shared" si="14"/>
        <v>0.42482828572841447</v>
      </c>
      <c r="Z162" s="4">
        <f t="shared" si="15"/>
        <v>7.047542892331613</v>
      </c>
    </row>
    <row r="163" spans="16:26" x14ac:dyDescent="0.25">
      <c r="P163" s="10" t="str">
        <f>IF('[1]All Data '!AZ168="","",'[1]All Data '!AZ168)</f>
        <v>Clay County</v>
      </c>
      <c r="Q163" s="10" t="str">
        <f>IF('[1]All Data '!BB168="","",'[1]All Data '!BB168)</f>
        <v>MN</v>
      </c>
      <c r="R163" s="10">
        <f>IF('[1]All Data '!BD168="","",'[1]All Data '!BD168)</f>
        <v>70</v>
      </c>
      <c r="S163" s="11">
        <f>IF(R163="","",'[1]All Data '!BE168)</f>
        <v>0.19050905444108818</v>
      </c>
      <c r="T163" s="12">
        <f>IF(S163="","",[1]Inputs_Outputs!$B$8*(1-'LOCH Calc COE Calc'!S163))</f>
        <v>257485.13736732275</v>
      </c>
      <c r="U163" s="13">
        <f t="shared" si="11"/>
        <v>52629962.077880785</v>
      </c>
      <c r="V163" s="13">
        <f t="shared" si="12"/>
        <v>1.8155982743900361</v>
      </c>
      <c r="W163" s="4">
        <f t="shared" si="13"/>
        <v>6.6440017432581895</v>
      </c>
      <c r="X163">
        <f>IF(W163="","",LOOKUP(_xlfn.CONCAT(P163,", ",Q163),'[1]T+S Costs'!$F$2:$F$3138,'[1]T+S Costs'!$N$2:$N$3138))</f>
        <v>19.719650276563414</v>
      </c>
      <c r="Y163" s="14">
        <f t="shared" si="14"/>
        <v>0.39619620283351431</v>
      </c>
      <c r="Z163" s="4">
        <f t="shared" si="15"/>
        <v>7.0401979460917037</v>
      </c>
    </row>
    <row r="164" spans="16:26" x14ac:dyDescent="0.25">
      <c r="P164" s="10" t="str">
        <f>IF('[1]All Data '!AZ169="","",'[1]All Data '!AZ169)</f>
        <v>Auglaize County</v>
      </c>
      <c r="Q164" s="10" t="str">
        <f>IF('[1]All Data '!BB169="","",'[1]All Data '!BB169)</f>
        <v>OH</v>
      </c>
      <c r="R164" s="10">
        <f>IF('[1]All Data '!BD169="","",'[1]All Data '!BD169)</f>
        <v>70</v>
      </c>
      <c r="S164" s="11">
        <f>IF(R164="","",'[1]All Data '!BE169)</f>
        <v>0.1983722918435088</v>
      </c>
      <c r="T164" s="12">
        <f>IF(S164="","",[1]Inputs_Outputs!$B$8*(1-'LOCH Calc COE Calc'!S164))</f>
        <v>254983.97688637846</v>
      </c>
      <c r="U164" s="13">
        <f t="shared" si="11"/>
        <v>52118724.875575751</v>
      </c>
      <c r="V164" s="13">
        <f t="shared" si="12"/>
        <v>1.7979619063277623</v>
      </c>
      <c r="W164" s="4">
        <f t="shared" si="13"/>
        <v>6.626365375195916</v>
      </c>
      <c r="X164">
        <f>IF(W164="","",LOOKUP(_xlfn.CONCAT(P164,", ",Q164),'[1]T+S Costs'!$F$2:$F$3138,'[1]T+S Costs'!$N$2:$N$3138))</f>
        <v>11.722307516194601</v>
      </c>
      <c r="Y164" s="14">
        <f t="shared" si="14"/>
        <v>0.23551805743141421</v>
      </c>
      <c r="Z164" s="4">
        <f t="shared" si="15"/>
        <v>6.8618834326273301</v>
      </c>
    </row>
    <row r="165" spans="16:26" x14ac:dyDescent="0.25">
      <c r="P165" s="10" t="str">
        <f>IF('[1]All Data '!AZ170="","",'[1]All Data '!AZ170)</f>
        <v>Dodge County</v>
      </c>
      <c r="Q165" s="10" t="str">
        <f>IF('[1]All Data '!BB170="","",'[1]All Data '!BB170)</f>
        <v>WI</v>
      </c>
      <c r="R165" s="10">
        <f>IF('[1]All Data '!BD170="","",'[1]All Data '!BD170)</f>
        <v>70</v>
      </c>
      <c r="S165" s="11">
        <f>IF(R165="","",'[1]All Data '!BE170)</f>
        <v>0.2</v>
      </c>
      <c r="T165" s="12">
        <f>IF(S165="","",[1]Inputs_Outputs!$B$8*(1-'LOCH Calc COE Calc'!S165))</f>
        <v>254466.23093681919</v>
      </c>
      <c r="U165" s="13">
        <f t="shared" si="11"/>
        <v>52012897.603485852</v>
      </c>
      <c r="V165" s="13">
        <f t="shared" si="12"/>
        <v>1.7943111377350451</v>
      </c>
      <c r="W165" s="4">
        <f t="shared" si="13"/>
        <v>6.6227146066031981</v>
      </c>
      <c r="X165">
        <f>IF(W165="","",LOOKUP(_xlfn.CONCAT(P165,", ",Q165),'[1]T+S Costs'!$F$2:$F$3138,'[1]T+S Costs'!$N$2:$N$3138))</f>
        <v>16.925140150406421</v>
      </c>
      <c r="Y165" s="14">
        <f t="shared" si="14"/>
        <v>0.34005046570149883</v>
      </c>
      <c r="Z165" s="4">
        <f t="shared" si="15"/>
        <v>6.9627650723046965</v>
      </c>
    </row>
    <row r="166" spans="16:26" x14ac:dyDescent="0.25">
      <c r="P166" s="10" t="str">
        <f>IF('[1]All Data '!AZ171="","",'[1]All Data '!AZ171)</f>
        <v>Johnson County</v>
      </c>
      <c r="Q166" s="10" t="str">
        <f>IF('[1]All Data '!BB171="","",'[1]All Data '!BB171)</f>
        <v>IN</v>
      </c>
      <c r="R166" s="10">
        <f>IF('[1]All Data '!BD171="","",'[1]All Data '!BD171)</f>
        <v>70</v>
      </c>
      <c r="S166" s="11">
        <f>IF(R166="","",'[1]All Data '!BE171)</f>
        <v>0.2</v>
      </c>
      <c r="T166" s="12">
        <f>IF(S166="","",[1]Inputs_Outputs!$B$8*(1-'LOCH Calc COE Calc'!S166))</f>
        <v>254466.23093681919</v>
      </c>
      <c r="U166" s="13">
        <f t="shared" si="11"/>
        <v>52012897.603485852</v>
      </c>
      <c r="V166" s="13">
        <f t="shared" si="12"/>
        <v>1.7943111377350451</v>
      </c>
      <c r="W166" s="4">
        <f t="shared" si="13"/>
        <v>6.6227146066031981</v>
      </c>
      <c r="X166">
        <f>IF(W166="","",LOOKUP(_xlfn.CONCAT(P166,", ",Q166),'[1]T+S Costs'!$F$2:$F$3138,'[1]T+S Costs'!$N$2:$N$3138))</f>
        <v>15.956850084365339</v>
      </c>
      <c r="Y166" s="14">
        <f t="shared" si="14"/>
        <v>0.32059612234213242</v>
      </c>
      <c r="Z166" s="4">
        <f t="shared" si="15"/>
        <v>6.9433107289453302</v>
      </c>
    </row>
    <row r="167" spans="16:26" x14ac:dyDescent="0.25">
      <c r="P167" s="10" t="str">
        <f>IF('[1]All Data '!AZ172="","",'[1]All Data '!AZ172)</f>
        <v>Vermilion County</v>
      </c>
      <c r="Q167" s="10" t="str">
        <f>IF('[1]All Data '!BB172="","",'[1]All Data '!BB172)</f>
        <v>IL</v>
      </c>
      <c r="R167" s="10">
        <f>IF('[1]All Data '!BD172="","",'[1]All Data '!BD172)</f>
        <v>70</v>
      </c>
      <c r="S167" s="11">
        <f>IF(R167="","",'[1]All Data '!BE172)</f>
        <v>0.2</v>
      </c>
      <c r="T167" s="12">
        <f>IF(S167="","",[1]Inputs_Outputs!$B$8*(1-'LOCH Calc COE Calc'!S167))</f>
        <v>254466.23093681919</v>
      </c>
      <c r="U167" s="13">
        <f t="shared" si="11"/>
        <v>52012897.603485852</v>
      </c>
      <c r="V167" s="13">
        <f t="shared" si="12"/>
        <v>1.7943111377350451</v>
      </c>
      <c r="W167" s="4">
        <f t="shared" si="13"/>
        <v>6.6227146066031981</v>
      </c>
      <c r="X167">
        <f>IF(W167="","",LOOKUP(_xlfn.CONCAT(P167,", ",Q167),'[1]T+S Costs'!$F$2:$F$3138,'[1]T+S Costs'!$N$2:$N$3138))</f>
        <v>10.778281989294221</v>
      </c>
      <c r="Y167" s="14">
        <f t="shared" si="14"/>
        <v>0.21655122364428786</v>
      </c>
      <c r="Z167" s="4">
        <f t="shared" si="15"/>
        <v>6.839265830247486</v>
      </c>
    </row>
    <row r="168" spans="16:26" x14ac:dyDescent="0.25">
      <c r="P168" s="10" t="str">
        <f>IF('[1]All Data '!AZ173="","",'[1]All Data '!AZ173)</f>
        <v>Kingsbury County</v>
      </c>
      <c r="Q168" s="10" t="str">
        <f>IF('[1]All Data '!BB173="","",'[1]All Data '!BB173)</f>
        <v>SD</v>
      </c>
      <c r="R168" s="10">
        <f>IF('[1]All Data '!BD173="","",'[1]All Data '!BD173)</f>
        <v>70</v>
      </c>
      <c r="S168" s="11">
        <f>IF(R168="","",'[1]All Data '!BE173)</f>
        <v>0.1994595898076412</v>
      </c>
      <c r="T168" s="12">
        <f>IF(S168="","",[1]Inputs_Outputs!$B$8*(1-'LOCH Calc COE Calc'!S168))</f>
        <v>254638.12611783089</v>
      </c>
      <c r="U168" s="13">
        <f t="shared" si="11"/>
        <v>52048032.978484638</v>
      </c>
      <c r="V168" s="13">
        <f t="shared" si="12"/>
        <v>1.7955232177689133</v>
      </c>
      <c r="W168" s="4">
        <f t="shared" si="13"/>
        <v>6.6239266866370663</v>
      </c>
      <c r="X168">
        <f>IF(W168="","",LOOKUP(_xlfn.CONCAT(P168,", ",Q168),'[1]T+S Costs'!$F$2:$F$3138,'[1]T+S Costs'!$N$2:$N$3138))</f>
        <v>23.946379269446279</v>
      </c>
      <c r="Y168" s="14">
        <f t="shared" si="14"/>
        <v>0.48111728175228063</v>
      </c>
      <c r="Z168" s="4">
        <f t="shared" si="15"/>
        <v>7.1050439683893467</v>
      </c>
    </row>
    <row r="169" spans="16:26" x14ac:dyDescent="0.25">
      <c r="P169" s="10" t="str">
        <f>IF('[1]All Data '!AZ174="","",'[1]All Data '!AZ174)</f>
        <v>Talbot County</v>
      </c>
      <c r="Q169" s="10" t="str">
        <f>IF('[1]All Data '!BB174="","",'[1]All Data '!BB174)</f>
        <v>MD</v>
      </c>
      <c r="R169" s="10">
        <f>IF('[1]All Data '!BD174="","",'[1]All Data '!BD174)</f>
        <v>70</v>
      </c>
      <c r="S169" s="11">
        <f>IF(R169="","",'[1]All Data '!BE174)</f>
        <v>0.19143499587406862</v>
      </c>
      <c r="T169" s="12">
        <f>IF(S169="","",[1]Inputs_Outputs!$B$8*(1-'LOCH Calc COE Calc'!S169))</f>
        <v>257190.61133417426</v>
      </c>
      <c r="U169" s="13">
        <f t="shared" si="11"/>
        <v>52569760.956705227</v>
      </c>
      <c r="V169" s="13">
        <f t="shared" si="12"/>
        <v>1.8135214906074268</v>
      </c>
      <c r="W169" s="4">
        <f t="shared" si="13"/>
        <v>6.6419249594755803</v>
      </c>
      <c r="X169">
        <f>IF(W169="","",LOOKUP(_xlfn.CONCAT(P169,", ",Q169),'[1]T+S Costs'!$F$2:$F$3138,'[1]T+S Costs'!$N$2:$N$3138))</f>
        <v>11.073574342594528</v>
      </c>
      <c r="Y169" s="14">
        <f t="shared" si="14"/>
        <v>0.22248407272946663</v>
      </c>
      <c r="Z169" s="4">
        <f t="shared" si="15"/>
        <v>6.8644090322050468</v>
      </c>
    </row>
    <row r="170" spans="16:26" x14ac:dyDescent="0.25">
      <c r="P170" s="10" t="str">
        <f>IF('[1]All Data '!AZ175="","",'[1]All Data '!AZ175)</f>
        <v>Hamilton County</v>
      </c>
      <c r="Q170" s="10" t="str">
        <f>IF('[1]All Data '!BB175="","",'[1]All Data '!BB175)</f>
        <v>IN</v>
      </c>
      <c r="R170" s="10">
        <f>IF('[1]All Data '!BD175="","",'[1]All Data '!BD175)</f>
        <v>70</v>
      </c>
      <c r="S170" s="11">
        <f>IF(R170="","",'[1]All Data '!BE175)</f>
        <v>0.2</v>
      </c>
      <c r="T170" s="12">
        <f>IF(S170="","",[1]Inputs_Outputs!$B$8*(1-'LOCH Calc COE Calc'!S170))</f>
        <v>254466.23093681919</v>
      </c>
      <c r="U170" s="13">
        <f t="shared" si="11"/>
        <v>52012897.603485852</v>
      </c>
      <c r="V170" s="13">
        <f t="shared" si="12"/>
        <v>1.7943111377350451</v>
      </c>
      <c r="W170" s="4">
        <f t="shared" si="13"/>
        <v>6.6227146066031981</v>
      </c>
      <c r="X170">
        <f>IF(W170="","",LOOKUP(_xlfn.CONCAT(P170,", ",Q170),'[1]T+S Costs'!$F$2:$F$3138,'[1]T+S Costs'!$N$2:$N$3138))</f>
        <v>20.92772159808333</v>
      </c>
      <c r="Y170" s="14">
        <f t="shared" si="14"/>
        <v>0.42046809729541085</v>
      </c>
      <c r="Z170" s="4">
        <f t="shared" si="15"/>
        <v>7.0431827038986086</v>
      </c>
    </row>
    <row r="171" spans="16:26" x14ac:dyDescent="0.25">
      <c r="P171" s="10" t="str">
        <f>IF('[1]All Data '!AZ176="","",'[1]All Data '!AZ176)</f>
        <v>Brookings County</v>
      </c>
      <c r="Q171" s="10" t="str">
        <f>IF('[1]All Data '!BB176="","",'[1]All Data '!BB176)</f>
        <v>SD</v>
      </c>
      <c r="R171" s="10">
        <f>IF('[1]All Data '!BD176="","",'[1]All Data '!BD176)</f>
        <v>70</v>
      </c>
      <c r="S171" s="11">
        <f>IF(R171="","",'[1]All Data '!BE176)</f>
        <v>0.19957289098391887</v>
      </c>
      <c r="T171" s="12">
        <f>IF(S171="","",[1]Inputs_Outputs!$B$8*(1-'LOCH Calc COE Calc'!S171))</f>
        <v>254602.08696372079</v>
      </c>
      <c r="U171" s="13">
        <f t="shared" si="11"/>
        <v>52040666.575384527</v>
      </c>
      <c r="V171" s="13">
        <f t="shared" si="12"/>
        <v>1.7952690958157715</v>
      </c>
      <c r="W171" s="4">
        <f t="shared" si="13"/>
        <v>6.6236725646839254</v>
      </c>
      <c r="X171">
        <f>IF(W171="","",LOOKUP(_xlfn.CONCAT(P171,", ",Q171),'[1]T+S Costs'!$F$2:$F$3138,'[1]T+S Costs'!$N$2:$N$3138))</f>
        <v>24.943322859941254</v>
      </c>
      <c r="Y171" s="14">
        <f t="shared" si="14"/>
        <v>0.50114731572619731</v>
      </c>
      <c r="Z171" s="4">
        <f t="shared" si="15"/>
        <v>7.124819880410123</v>
      </c>
    </row>
    <row r="172" spans="16:26" x14ac:dyDescent="0.25">
      <c r="P172" s="10" t="str">
        <f>IF('[1]All Data '!AZ177="","",'[1]All Data '!AZ177)</f>
        <v>Des Moines County</v>
      </c>
      <c r="Q172" s="10" t="str">
        <f>IF('[1]All Data '!BB177="","",'[1]All Data '!BB177)</f>
        <v>IA</v>
      </c>
      <c r="R172" s="10">
        <f>IF('[1]All Data '!BD177="","",'[1]All Data '!BD177)</f>
        <v>70</v>
      </c>
      <c r="S172" s="11">
        <f>IF(R172="","",'[1]All Data '!BE177)</f>
        <v>0.2</v>
      </c>
      <c r="T172" s="12">
        <f>IF(S172="","",[1]Inputs_Outputs!$B$8*(1-'LOCH Calc COE Calc'!S172))</f>
        <v>254466.23093681919</v>
      </c>
      <c r="U172" s="13">
        <f t="shared" si="11"/>
        <v>52012897.603485852</v>
      </c>
      <c r="V172" s="13">
        <f t="shared" si="12"/>
        <v>1.7943111377350451</v>
      </c>
      <c r="W172" s="4">
        <f t="shared" si="13"/>
        <v>6.6227146066031981</v>
      </c>
      <c r="X172">
        <f>IF(W172="","",LOOKUP(_xlfn.CONCAT(P172,", ",Q172),'[1]T+S Costs'!$F$2:$F$3138,'[1]T+S Costs'!$N$2:$N$3138))</f>
        <v>12.522933272660428</v>
      </c>
      <c r="Y172" s="14">
        <f t="shared" si="14"/>
        <v>0.25160378309864195</v>
      </c>
      <c r="Z172" s="4">
        <f t="shared" si="15"/>
        <v>6.8743183897018403</v>
      </c>
    </row>
    <row r="173" spans="16:26" x14ac:dyDescent="0.25">
      <c r="P173" s="10" t="str">
        <f>IF('[1]All Data '!AZ178="","",'[1]All Data '!AZ178)</f>
        <v>Starke County</v>
      </c>
      <c r="Q173" s="10" t="str">
        <f>IF('[1]All Data '!BB178="","",'[1]All Data '!BB178)</f>
        <v>IN</v>
      </c>
      <c r="R173" s="10">
        <f>IF('[1]All Data '!BD178="","",'[1]All Data '!BD178)</f>
        <v>70</v>
      </c>
      <c r="S173" s="11">
        <f>IF(R173="","",'[1]All Data '!BE178)</f>
        <v>0.2</v>
      </c>
      <c r="T173" s="12">
        <f>IF(S173="","",[1]Inputs_Outputs!$B$8*(1-'LOCH Calc COE Calc'!S173))</f>
        <v>254466.23093681919</v>
      </c>
      <c r="U173" s="13">
        <f t="shared" si="11"/>
        <v>52012897.603485852</v>
      </c>
      <c r="V173" s="13">
        <f t="shared" si="12"/>
        <v>1.7943111377350451</v>
      </c>
      <c r="W173" s="4">
        <f t="shared" si="13"/>
        <v>6.6227146066031981</v>
      </c>
      <c r="X173">
        <f>IF(W173="","",LOOKUP(_xlfn.CONCAT(P173,", ",Q173),'[1]T+S Costs'!$F$2:$F$3138,'[1]T+S Costs'!$N$2:$N$3138))</f>
        <v>10.766903241970251</v>
      </c>
      <c r="Y173" s="14">
        <f t="shared" si="14"/>
        <v>0.21632260820641083</v>
      </c>
      <c r="Z173" s="4">
        <f t="shared" si="15"/>
        <v>6.8390372148096086</v>
      </c>
    </row>
    <row r="174" spans="16:26" x14ac:dyDescent="0.25">
      <c r="P174" s="10" t="str">
        <f>IF('[1]All Data '!AZ179="","",'[1]All Data '!AZ179)</f>
        <v>Kent County</v>
      </c>
      <c r="Q174" s="10" t="str">
        <f>IF('[1]All Data '!BB179="","",'[1]All Data '!BB179)</f>
        <v>MD</v>
      </c>
      <c r="R174" s="10">
        <f>IF('[1]All Data '!BD179="","",'[1]All Data '!BD179)</f>
        <v>70</v>
      </c>
      <c r="S174" s="11">
        <f>IF(R174="","",'[1]All Data '!BE179)</f>
        <v>0.18978656012894479</v>
      </c>
      <c r="T174" s="12">
        <f>IF(S174="","",[1]Inputs_Outputs!$B$8*(1-'LOCH Calc COE Calc'!S174))</f>
        <v>257714.95037292823</v>
      </c>
      <c r="U174" s="13">
        <f t="shared" si="11"/>
        <v>52676935.856226541</v>
      </c>
      <c r="V174" s="13">
        <f t="shared" si="12"/>
        <v>1.8172187488790719</v>
      </c>
      <c r="W174" s="4">
        <f t="shared" si="13"/>
        <v>6.6456222177472251</v>
      </c>
      <c r="X174">
        <f>IF(W174="","",LOOKUP(_xlfn.CONCAT(P174,", ",Q174),'[1]T+S Costs'!$F$2:$F$3138,'[1]T+S Costs'!$N$2:$N$3138))</f>
        <v>12.181119781666681</v>
      </c>
      <c r="Y174" s="14">
        <f t="shared" si="14"/>
        <v>0.24473625729013707</v>
      </c>
      <c r="Z174" s="4">
        <f t="shared" si="15"/>
        <v>6.8903584750373623</v>
      </c>
    </row>
    <row r="175" spans="16:26" x14ac:dyDescent="0.25">
      <c r="P175" s="10" t="str">
        <f>IF('[1]All Data '!AZ180="","",'[1]All Data '!AZ180)</f>
        <v>Franklin County</v>
      </c>
      <c r="Q175" s="10" t="str">
        <f>IF('[1]All Data '!BB180="","",'[1]All Data '!BB180)</f>
        <v>IA</v>
      </c>
      <c r="R175" s="10">
        <f>IF('[1]All Data '!BD180="","",'[1]All Data '!BD180)</f>
        <v>70</v>
      </c>
      <c r="S175" s="11">
        <f>IF(R175="","",'[1]All Data '!BE180)</f>
        <v>0.2</v>
      </c>
      <c r="T175" s="12">
        <f>IF(S175="","",[1]Inputs_Outputs!$B$8*(1-'LOCH Calc COE Calc'!S175))</f>
        <v>254466.23093681919</v>
      </c>
      <c r="U175" s="13">
        <f t="shared" si="11"/>
        <v>52012897.603485852</v>
      </c>
      <c r="V175" s="13">
        <f t="shared" si="12"/>
        <v>1.7943111377350451</v>
      </c>
      <c r="W175" s="4">
        <f t="shared" si="13"/>
        <v>6.6227146066031981</v>
      </c>
      <c r="X175">
        <f>IF(W175="","",LOOKUP(_xlfn.CONCAT(P175,", ",Q175),'[1]T+S Costs'!$F$2:$F$3138,'[1]T+S Costs'!$N$2:$N$3138))</f>
        <v>22.70071857709695</v>
      </c>
      <c r="Y175" s="14">
        <f t="shared" si="14"/>
        <v>0.45609016263981245</v>
      </c>
      <c r="Z175" s="4">
        <f t="shared" si="15"/>
        <v>7.0788047692430105</v>
      </c>
    </row>
    <row r="176" spans="16:26" x14ac:dyDescent="0.25">
      <c r="P176" s="10" t="str">
        <f>IF('[1]All Data '!AZ181="","",'[1]All Data '!AZ181)</f>
        <v>Shelby County</v>
      </c>
      <c r="Q176" s="10" t="str">
        <f>IF('[1]All Data '!BB181="","",'[1]All Data '!BB181)</f>
        <v>OH</v>
      </c>
      <c r="R176" s="10">
        <f>IF('[1]All Data '!BD181="","",'[1]All Data '!BD181)</f>
        <v>70</v>
      </c>
      <c r="S176" s="11">
        <f>IF(R176="","",'[1]All Data '!BE181)</f>
        <v>0.1988145934503798</v>
      </c>
      <c r="T176" s="12">
        <f>IF(S176="","",[1]Inputs_Outputs!$B$8*(1-'LOCH Calc COE Calc'!S176))</f>
        <v>254843.28835783128</v>
      </c>
      <c r="U176" s="13">
        <f t="shared" si="11"/>
        <v>52089968.140340716</v>
      </c>
      <c r="V176" s="13">
        <f t="shared" si="12"/>
        <v>1.7969698729534545</v>
      </c>
      <c r="W176" s="4">
        <f t="shared" si="13"/>
        <v>6.6253733418216081</v>
      </c>
      <c r="X176">
        <f>IF(W176="","",LOOKUP(_xlfn.CONCAT(P176,", ",Q176),'[1]T+S Costs'!$F$2:$F$3138,'[1]T+S Costs'!$N$2:$N$3138))</f>
        <v>11.722307516194601</v>
      </c>
      <c r="Y176" s="14">
        <f t="shared" si="14"/>
        <v>0.23551805743141421</v>
      </c>
      <c r="Z176" s="4">
        <f t="shared" si="15"/>
        <v>6.8608913992530223</v>
      </c>
    </row>
    <row r="177" spans="16:26" x14ac:dyDescent="0.25">
      <c r="P177" s="10" t="str">
        <f>IF('[1]All Data '!AZ182="","",'[1]All Data '!AZ182)</f>
        <v>White County</v>
      </c>
      <c r="Q177" s="10" t="str">
        <f>IF('[1]All Data '!BB182="","",'[1]All Data '!BB182)</f>
        <v>IL</v>
      </c>
      <c r="R177" s="10">
        <f>IF('[1]All Data '!BD182="","",'[1]All Data '!BD182)</f>
        <v>70</v>
      </c>
      <c r="S177" s="11">
        <f>IF(R177="","",'[1]All Data '!BE182)</f>
        <v>0.19680476805150515</v>
      </c>
      <c r="T177" s="12">
        <f>IF(S177="","",[1]Inputs_Outputs!$B$8*(1-'LOCH Calc COE Calc'!S177))</f>
        <v>255482.57922544717</v>
      </c>
      <c r="U177" s="13">
        <f t="shared" si="11"/>
        <v>52220639.193681411</v>
      </c>
      <c r="V177" s="13">
        <f t="shared" si="12"/>
        <v>1.8014776880760841</v>
      </c>
      <c r="W177" s="4">
        <f t="shared" si="13"/>
        <v>6.6298811569442373</v>
      </c>
      <c r="X177">
        <f>IF(W177="","",LOOKUP(_xlfn.CONCAT(P177,", ",Q177),'[1]T+S Costs'!$F$2:$F$3138,'[1]T+S Costs'!$N$2:$N$3138))</f>
        <v>12.280276636058304</v>
      </c>
      <c r="Y177" s="14">
        <f t="shared" si="14"/>
        <v>0.24672846144405997</v>
      </c>
      <c r="Z177" s="4">
        <f t="shared" si="15"/>
        <v>6.8766096183882972</v>
      </c>
    </row>
    <row r="178" spans="16:26" x14ac:dyDescent="0.25">
      <c r="P178" s="10" t="str">
        <f>IF('[1]All Data '!AZ183="","",'[1]All Data '!AZ183)</f>
        <v>Lac qui Parle County</v>
      </c>
      <c r="Q178" s="10" t="str">
        <f>IF('[1]All Data '!BB183="","",'[1]All Data '!BB183)</f>
        <v>MN</v>
      </c>
      <c r="R178" s="10">
        <f>IF('[1]All Data '!BD183="","",'[1]All Data '!BD183)</f>
        <v>70</v>
      </c>
      <c r="S178" s="11">
        <f>IF(R178="","",'[1]All Data '!BE183)</f>
        <v>0.2</v>
      </c>
      <c r="T178" s="12">
        <f>IF(S178="","",[1]Inputs_Outputs!$B$8*(1-'LOCH Calc COE Calc'!S178))</f>
        <v>254466.23093681919</v>
      </c>
      <c r="U178" s="13">
        <f t="shared" si="11"/>
        <v>52012897.603485852</v>
      </c>
      <c r="V178" s="13">
        <f t="shared" si="12"/>
        <v>1.7943111377350451</v>
      </c>
      <c r="W178" s="4">
        <f t="shared" si="13"/>
        <v>6.6227146066031981</v>
      </c>
      <c r="X178">
        <f>IF(W178="","",LOOKUP(_xlfn.CONCAT(P178,", ",Q178),'[1]T+S Costs'!$F$2:$F$3138,'[1]T+S Costs'!$N$2:$N$3138))</f>
        <v>24.533687956278321</v>
      </c>
      <c r="Y178" s="14">
        <f t="shared" si="14"/>
        <v>0.49291715996262314</v>
      </c>
      <c r="Z178" s="4">
        <f t="shared" si="15"/>
        <v>7.1156317665658211</v>
      </c>
    </row>
    <row r="179" spans="16:26" x14ac:dyDescent="0.25">
      <c r="P179" s="10" t="str">
        <f>IF('[1]All Data '!AZ184="","",'[1]All Data '!AZ184)</f>
        <v>Yuma County</v>
      </c>
      <c r="Q179" s="10" t="str">
        <f>IF('[1]All Data '!BB184="","",'[1]All Data '!BB184)</f>
        <v>CO</v>
      </c>
      <c r="R179" s="10">
        <f>IF('[1]All Data '!BD184="","",'[1]All Data '!BD184)</f>
        <v>70</v>
      </c>
      <c r="S179" s="11">
        <f>IF(R179="","",'[1]All Data '!BE184)</f>
        <v>0.2</v>
      </c>
      <c r="T179" s="12">
        <f>IF(S179="","",[1]Inputs_Outputs!$B$8*(1-'LOCH Calc COE Calc'!S179))</f>
        <v>254466.23093681919</v>
      </c>
      <c r="U179" s="13">
        <f t="shared" si="11"/>
        <v>52012897.603485852</v>
      </c>
      <c r="V179" s="13">
        <f t="shared" si="12"/>
        <v>1.7943111377350451</v>
      </c>
      <c r="W179" s="4">
        <f t="shared" si="13"/>
        <v>6.6227146066031981</v>
      </c>
      <c r="X179">
        <f>IF(W179="","",LOOKUP(_xlfn.CONCAT(P179,", ",Q179),'[1]T+S Costs'!$F$2:$F$3138,'[1]T+S Costs'!$N$2:$N$3138))</f>
        <v>14.039555245775546</v>
      </c>
      <c r="Y179" s="14">
        <f t="shared" si="14"/>
        <v>0.28207490497224946</v>
      </c>
      <c r="Z179" s="4">
        <f t="shared" si="15"/>
        <v>6.9047895115754478</v>
      </c>
    </row>
    <row r="180" spans="16:26" x14ac:dyDescent="0.25">
      <c r="P180" s="10" t="str">
        <f>IF('[1]All Data '!AZ185="","",'[1]All Data '!AZ185)</f>
        <v>Pierce County</v>
      </c>
      <c r="Q180" s="10" t="str">
        <f>IF('[1]All Data '!BB185="","",'[1]All Data '!BB185)</f>
        <v>NE</v>
      </c>
      <c r="R180" s="10">
        <f>IF('[1]All Data '!BD185="","",'[1]All Data '!BD185)</f>
        <v>70</v>
      </c>
      <c r="S180" s="11">
        <f>IF(R180="","",'[1]All Data '!BE185)</f>
        <v>0.2</v>
      </c>
      <c r="T180" s="12">
        <f>IF(S180="","",[1]Inputs_Outputs!$B$8*(1-'LOCH Calc COE Calc'!S180))</f>
        <v>254466.23093681919</v>
      </c>
      <c r="U180" s="13">
        <f t="shared" si="11"/>
        <v>52012897.603485852</v>
      </c>
      <c r="V180" s="13">
        <f t="shared" si="12"/>
        <v>1.7943111377350451</v>
      </c>
      <c r="W180" s="4">
        <f t="shared" si="13"/>
        <v>6.6227146066031981</v>
      </c>
      <c r="X180">
        <f>IF(W180="","",LOOKUP(_xlfn.CONCAT(P180,", ",Q180),'[1]T+S Costs'!$F$2:$F$3138,'[1]T+S Costs'!$N$2:$N$3138))</f>
        <v>16.542237477317091</v>
      </c>
      <c r="Y180" s="14">
        <f t="shared" si="14"/>
        <v>0.3323573989885919</v>
      </c>
      <c r="Z180" s="4">
        <f t="shared" si="15"/>
        <v>6.9550720055917896</v>
      </c>
    </row>
    <row r="181" spans="16:26" x14ac:dyDescent="0.25">
      <c r="P181" s="10" t="str">
        <f>IF('[1]All Data '!AZ186="","",'[1]All Data '!AZ186)</f>
        <v>Knox County</v>
      </c>
      <c r="Q181" s="10" t="str">
        <f>IF('[1]All Data '!BB186="","",'[1]All Data '!BB186)</f>
        <v>NE</v>
      </c>
      <c r="R181" s="10">
        <f>IF('[1]All Data '!BD186="","",'[1]All Data '!BD186)</f>
        <v>70</v>
      </c>
      <c r="S181" s="11">
        <f>IF(R181="","",'[1]All Data '!BE186)</f>
        <v>0.2</v>
      </c>
      <c r="T181" s="12">
        <f>IF(S181="","",[1]Inputs_Outputs!$B$8*(1-'LOCH Calc COE Calc'!S181))</f>
        <v>254466.23093681919</v>
      </c>
      <c r="U181" s="13">
        <f t="shared" si="11"/>
        <v>52012897.603485852</v>
      </c>
      <c r="V181" s="13">
        <f t="shared" si="12"/>
        <v>1.7943111377350451</v>
      </c>
      <c r="W181" s="4">
        <f t="shared" si="13"/>
        <v>6.6227146066031981</v>
      </c>
      <c r="X181">
        <f>IF(W181="","",LOOKUP(_xlfn.CONCAT(P181,", ",Q181),'[1]T+S Costs'!$F$2:$F$3138,'[1]T+S Costs'!$N$2:$N$3138))</f>
        <v>22.072450195927679</v>
      </c>
      <c r="Y181" s="14">
        <f t="shared" si="14"/>
        <v>0.44346734512080904</v>
      </c>
      <c r="Z181" s="4">
        <f t="shared" si="15"/>
        <v>7.0661819517240074</v>
      </c>
    </row>
    <row r="182" spans="16:26" x14ac:dyDescent="0.25">
      <c r="P182" s="10" t="str">
        <f>IF('[1]All Data '!AZ187="","",'[1]All Data '!AZ187)</f>
        <v>Whitley County</v>
      </c>
      <c r="Q182" s="10" t="str">
        <f>IF('[1]All Data '!BB187="","",'[1]All Data '!BB187)</f>
        <v>IN</v>
      </c>
      <c r="R182" s="10">
        <f>IF('[1]All Data '!BD187="","",'[1]All Data '!BD187)</f>
        <v>70</v>
      </c>
      <c r="S182" s="11">
        <f>IF(R182="","",'[1]All Data '!BE187)</f>
        <v>0.2</v>
      </c>
      <c r="T182" s="12">
        <f>IF(S182="","",[1]Inputs_Outputs!$B$8*(1-'LOCH Calc COE Calc'!S182))</f>
        <v>254466.23093681919</v>
      </c>
      <c r="U182" s="13">
        <f t="shared" si="11"/>
        <v>52012897.603485852</v>
      </c>
      <c r="V182" s="13">
        <f t="shared" si="12"/>
        <v>1.7943111377350451</v>
      </c>
      <c r="W182" s="4">
        <f t="shared" si="13"/>
        <v>6.6227146066031981</v>
      </c>
      <c r="X182">
        <f>IF(W182="","",LOOKUP(_xlfn.CONCAT(P182,", ",Q182),'[1]T+S Costs'!$F$2:$F$3138,'[1]T+S Costs'!$N$2:$N$3138))</f>
        <v>10.503820905589633</v>
      </c>
      <c r="Y182" s="14">
        <f t="shared" si="14"/>
        <v>0.21103690479662732</v>
      </c>
      <c r="Z182" s="4">
        <f t="shared" si="15"/>
        <v>6.8337515113998251</v>
      </c>
    </row>
    <row r="183" spans="16:26" x14ac:dyDescent="0.25">
      <c r="P183" s="10" t="str">
        <f>IF('[1]All Data '!AZ188="","",'[1]All Data '!AZ188)</f>
        <v>Butler County</v>
      </c>
      <c r="Q183" s="10" t="str">
        <f>IF('[1]All Data '!BB188="","",'[1]All Data '!BB188)</f>
        <v>IA</v>
      </c>
      <c r="R183" s="10">
        <f>IF('[1]All Data '!BD188="","",'[1]All Data '!BD188)</f>
        <v>70</v>
      </c>
      <c r="S183" s="11">
        <f>IF(R183="","",'[1]All Data '!BE188)</f>
        <v>0.2</v>
      </c>
      <c r="T183" s="12">
        <f>IF(S183="","",[1]Inputs_Outputs!$B$8*(1-'LOCH Calc COE Calc'!S183))</f>
        <v>254466.23093681919</v>
      </c>
      <c r="U183" s="13">
        <f t="shared" si="11"/>
        <v>52012897.603485852</v>
      </c>
      <c r="V183" s="13">
        <f t="shared" si="12"/>
        <v>1.7943111377350451</v>
      </c>
      <c r="W183" s="4">
        <f t="shared" si="13"/>
        <v>6.6227146066031981</v>
      </c>
      <c r="X183">
        <f>IF(W183="","",LOOKUP(_xlfn.CONCAT(P183,", ",Q183),'[1]T+S Costs'!$F$2:$F$3138,'[1]T+S Costs'!$N$2:$N$3138))</f>
        <v>20.44309624159272</v>
      </c>
      <c r="Y183" s="14">
        <f t="shared" si="14"/>
        <v>0.410731275224757</v>
      </c>
      <c r="Z183" s="4">
        <f t="shared" si="15"/>
        <v>7.033445881827955</v>
      </c>
    </row>
    <row r="184" spans="16:26" x14ac:dyDescent="0.25">
      <c r="P184" s="10" t="str">
        <f>IF('[1]All Data '!AZ189="","",'[1]All Data '!AZ189)</f>
        <v>Wabash County</v>
      </c>
      <c r="Q184" s="10" t="str">
        <f>IF('[1]All Data '!BB189="","",'[1]All Data '!BB189)</f>
        <v>IL</v>
      </c>
      <c r="R184" s="10">
        <f>IF('[1]All Data '!BD189="","",'[1]All Data '!BD189)</f>
        <v>70</v>
      </c>
      <c r="S184" s="11">
        <f>IF(R184="","",'[1]All Data '!BE189)</f>
        <v>0.19973740738688406</v>
      </c>
      <c r="T184" s="12">
        <f>IF(S184="","",[1]Inputs_Outputs!$B$8*(1-'LOCH Calc COE Calc'!S184))</f>
        <v>254549.75712748349</v>
      </c>
      <c r="U184" s="13">
        <f t="shared" si="11"/>
        <v>52029970.356857635</v>
      </c>
      <c r="V184" s="13">
        <f t="shared" si="12"/>
        <v>1.7949001037980461</v>
      </c>
      <c r="W184" s="4">
        <f t="shared" si="13"/>
        <v>6.6233035726661997</v>
      </c>
      <c r="X184">
        <f>IF(W184="","",LOOKUP(_xlfn.CONCAT(P184,", ",Q184),'[1]T+S Costs'!$F$2:$F$3138,'[1]T+S Costs'!$N$2:$N$3138))</f>
        <v>11.4633367494027</v>
      </c>
      <c r="Y184" s="14">
        <f t="shared" si="14"/>
        <v>0.23031496138210053</v>
      </c>
      <c r="Z184" s="4">
        <f t="shared" si="15"/>
        <v>6.8536185340483007</v>
      </c>
    </row>
    <row r="185" spans="16:26" x14ac:dyDescent="0.25">
      <c r="P185" s="10" t="str">
        <f>IF('[1]All Data '!AZ190="","",'[1]All Data '!AZ190)</f>
        <v>Bremer County</v>
      </c>
      <c r="Q185" s="10" t="str">
        <f>IF('[1]All Data '!BB190="","",'[1]All Data '!BB190)</f>
        <v>IA</v>
      </c>
      <c r="R185" s="10">
        <f>IF('[1]All Data '!BD190="","",'[1]All Data '!BD190)</f>
        <v>70</v>
      </c>
      <c r="S185" s="11">
        <f>IF(R185="","",'[1]All Data '!BE190)</f>
        <v>0.2</v>
      </c>
      <c r="T185" s="12">
        <f>IF(S185="","",[1]Inputs_Outputs!$B$8*(1-'LOCH Calc COE Calc'!S185))</f>
        <v>254466.23093681919</v>
      </c>
      <c r="U185" s="13">
        <f t="shared" si="11"/>
        <v>52012897.603485852</v>
      </c>
      <c r="V185" s="13">
        <f t="shared" si="12"/>
        <v>1.7943111377350451</v>
      </c>
      <c r="W185" s="4">
        <f t="shared" si="13"/>
        <v>6.6227146066031981</v>
      </c>
      <c r="X185">
        <f>IF(W185="","",LOOKUP(_xlfn.CONCAT(P185,", ",Q185),'[1]T+S Costs'!$F$2:$F$3138,'[1]T+S Costs'!$N$2:$N$3138))</f>
        <v>19.94462444634523</v>
      </c>
      <c r="Y185" s="14">
        <f t="shared" si="14"/>
        <v>0.40071625823779866</v>
      </c>
      <c r="Z185" s="4">
        <f t="shared" si="15"/>
        <v>7.0234308648409964</v>
      </c>
    </row>
    <row r="186" spans="16:26" x14ac:dyDescent="0.25">
      <c r="P186" s="10" t="str">
        <f>IF('[1]All Data '!AZ191="","",'[1]All Data '!AZ191)</f>
        <v>Chickasaw County</v>
      </c>
      <c r="Q186" s="10" t="str">
        <f>IF('[1]All Data '!BB191="","",'[1]All Data '!BB191)</f>
        <v>IA</v>
      </c>
      <c r="R186" s="10">
        <f>IF('[1]All Data '!BD191="","",'[1]All Data '!BD191)</f>
        <v>70</v>
      </c>
      <c r="S186" s="11">
        <f>IF(R186="","",'[1]All Data '!BE191)</f>
        <v>0.2</v>
      </c>
      <c r="T186" s="12">
        <f>IF(S186="","",[1]Inputs_Outputs!$B$8*(1-'LOCH Calc COE Calc'!S186))</f>
        <v>254466.23093681919</v>
      </c>
      <c r="U186" s="13">
        <f t="shared" si="11"/>
        <v>52012897.603485852</v>
      </c>
      <c r="V186" s="13">
        <f t="shared" si="12"/>
        <v>1.7943111377350451</v>
      </c>
      <c r="W186" s="4">
        <f t="shared" si="13"/>
        <v>6.6227146066031981</v>
      </c>
      <c r="X186">
        <f>IF(W186="","",LOOKUP(_xlfn.CONCAT(P186,", ",Q186),'[1]T+S Costs'!$F$2:$F$3138,'[1]T+S Costs'!$N$2:$N$3138))</f>
        <v>20.44309624159272</v>
      </c>
      <c r="Y186" s="14">
        <f t="shared" si="14"/>
        <v>0.410731275224757</v>
      </c>
      <c r="Z186" s="4">
        <f t="shared" si="15"/>
        <v>7.033445881827955</v>
      </c>
    </row>
    <row r="187" spans="16:26" x14ac:dyDescent="0.25">
      <c r="P187" s="10" t="str">
        <f>IF('[1]All Data '!AZ192="","",'[1]All Data '!AZ192)</f>
        <v>Winnebago County</v>
      </c>
      <c r="Q187" s="10" t="str">
        <f>IF('[1]All Data '!BB192="","",'[1]All Data '!BB192)</f>
        <v>IA</v>
      </c>
      <c r="R187" s="10">
        <f>IF('[1]All Data '!BD192="","",'[1]All Data '!BD192)</f>
        <v>70</v>
      </c>
      <c r="S187" s="11">
        <f>IF(R187="","",'[1]All Data '!BE192)</f>
        <v>0.2</v>
      </c>
      <c r="T187" s="12">
        <f>IF(S187="","",[1]Inputs_Outputs!$B$8*(1-'LOCH Calc COE Calc'!S187))</f>
        <v>254466.23093681919</v>
      </c>
      <c r="U187" s="13">
        <f t="shared" si="11"/>
        <v>52012897.603485852</v>
      </c>
      <c r="V187" s="13">
        <f t="shared" si="12"/>
        <v>1.7943111377350451</v>
      </c>
      <c r="W187" s="4">
        <f t="shared" si="13"/>
        <v>6.6227146066031981</v>
      </c>
      <c r="X187">
        <f>IF(W187="","",LOOKUP(_xlfn.CONCAT(P187,", ",Q187),'[1]T+S Costs'!$F$2:$F$3138,'[1]T+S Costs'!$N$2:$N$3138))</f>
        <v>13.949400389530187</v>
      </c>
      <c r="Y187" s="14">
        <f t="shared" si="14"/>
        <v>0.28026356393878987</v>
      </c>
      <c r="Z187" s="4">
        <f t="shared" si="15"/>
        <v>6.9029781705419877</v>
      </c>
    </row>
    <row r="188" spans="16:26" x14ac:dyDescent="0.25">
      <c r="P188" s="10" t="str">
        <f>IF('[1]All Data '!AZ193="","",'[1]All Data '!AZ193)</f>
        <v>Scott County</v>
      </c>
      <c r="Q188" s="10" t="str">
        <f>IF('[1]All Data '!BB193="","",'[1]All Data '!BB193)</f>
        <v>IL</v>
      </c>
      <c r="R188" s="10">
        <f>IF('[1]All Data '!BD193="","",'[1]All Data '!BD193)</f>
        <v>70</v>
      </c>
      <c r="S188" s="11">
        <f>IF(R188="","",'[1]All Data '!BE193)</f>
        <v>0.2</v>
      </c>
      <c r="T188" s="12">
        <f>IF(S188="","",[1]Inputs_Outputs!$B$8*(1-'LOCH Calc COE Calc'!S188))</f>
        <v>254466.23093681919</v>
      </c>
      <c r="U188" s="13">
        <f t="shared" si="11"/>
        <v>52012897.603485852</v>
      </c>
      <c r="V188" s="13">
        <f t="shared" si="12"/>
        <v>1.7943111377350451</v>
      </c>
      <c r="W188" s="4">
        <f t="shared" si="13"/>
        <v>6.6227146066031981</v>
      </c>
      <c r="X188">
        <f>IF(W188="","",LOOKUP(_xlfn.CONCAT(P188,", ",Q188),'[1]T+S Costs'!$F$2:$F$3138,'[1]T+S Costs'!$N$2:$N$3138))</f>
        <v>14.516820453650375</v>
      </c>
      <c r="Y188" s="14">
        <f t="shared" si="14"/>
        <v>0.29166385104647513</v>
      </c>
      <c r="Z188" s="4">
        <f t="shared" si="15"/>
        <v>6.914378457649673</v>
      </c>
    </row>
    <row r="189" spans="16:26" x14ac:dyDescent="0.25">
      <c r="P189" s="10" t="str">
        <f>IF('[1]All Data '!AZ194="","",'[1]All Data '!AZ194)</f>
        <v>Jay County</v>
      </c>
      <c r="Q189" s="10" t="str">
        <f>IF('[1]All Data '!BB194="","",'[1]All Data '!BB194)</f>
        <v>IN</v>
      </c>
      <c r="R189" s="10">
        <f>IF('[1]All Data '!BD194="","",'[1]All Data '!BD194)</f>
        <v>70</v>
      </c>
      <c r="S189" s="11">
        <f>IF(R189="","",'[1]All Data '!BE194)</f>
        <v>0.2</v>
      </c>
      <c r="T189" s="12">
        <f>IF(S189="","",[1]Inputs_Outputs!$B$8*(1-'LOCH Calc COE Calc'!S189))</f>
        <v>254466.23093681919</v>
      </c>
      <c r="U189" s="13">
        <f t="shared" si="11"/>
        <v>52012897.603485852</v>
      </c>
      <c r="V189" s="13">
        <f t="shared" si="12"/>
        <v>1.7943111377350451</v>
      </c>
      <c r="W189" s="4">
        <f t="shared" si="13"/>
        <v>6.6227146066031981</v>
      </c>
      <c r="X189">
        <f>IF(W189="","",LOOKUP(_xlfn.CONCAT(P189,", ",Q189),'[1]T+S Costs'!$F$2:$F$3138,'[1]T+S Costs'!$N$2:$N$3138))</f>
        <v>10.226892130452139</v>
      </c>
      <c r="Y189" s="14">
        <f t="shared" si="14"/>
        <v>0.20547300647053937</v>
      </c>
      <c r="Z189" s="4">
        <f t="shared" si="15"/>
        <v>6.8281876130737373</v>
      </c>
    </row>
    <row r="190" spans="16:26" x14ac:dyDescent="0.25">
      <c r="P190" s="10" t="str">
        <f>IF('[1]All Data '!AZ195="","",'[1]All Data '!AZ195)</f>
        <v>Greene County</v>
      </c>
      <c r="Q190" s="10" t="str">
        <f>IF('[1]All Data '!BB195="","",'[1]All Data '!BB195)</f>
        <v>OH</v>
      </c>
      <c r="R190" s="10">
        <f>IF('[1]All Data '!BD195="","",'[1]All Data '!BD195)</f>
        <v>70</v>
      </c>
      <c r="S190" s="11">
        <f>IF(R190="","",'[1]All Data '!BE195)</f>
        <v>0.2</v>
      </c>
      <c r="T190" s="12">
        <f>IF(S190="","",[1]Inputs_Outputs!$B$8*(1-'LOCH Calc COE Calc'!S190))</f>
        <v>254466.23093681919</v>
      </c>
      <c r="U190" s="13">
        <f t="shared" si="11"/>
        <v>52012897.603485852</v>
      </c>
      <c r="V190" s="13">
        <f t="shared" si="12"/>
        <v>1.7943111377350451</v>
      </c>
      <c r="W190" s="4">
        <f t="shared" si="13"/>
        <v>6.6227146066031981</v>
      </c>
      <c r="X190">
        <f>IF(W190="","",LOOKUP(_xlfn.CONCAT(P190,", ",Q190),'[1]T+S Costs'!$F$2:$F$3138,'[1]T+S Costs'!$N$2:$N$3138))</f>
        <v>12.511554525336457</v>
      </c>
      <c r="Y190" s="14">
        <f t="shared" si="14"/>
        <v>0.2513751676607649</v>
      </c>
      <c r="Z190" s="4">
        <f t="shared" si="15"/>
        <v>6.8740897742639628</v>
      </c>
    </row>
    <row r="191" spans="16:26" x14ac:dyDescent="0.25">
      <c r="P191" s="10" t="str">
        <f>IF('[1]All Data '!AZ196="","",'[1]All Data '!AZ196)</f>
        <v>Wabash County</v>
      </c>
      <c r="Q191" s="10" t="str">
        <f>IF('[1]All Data '!BB196="","",'[1]All Data '!BB196)</f>
        <v>IN</v>
      </c>
      <c r="R191" s="10">
        <f>IF('[1]All Data '!BD196="","",'[1]All Data '!BD196)</f>
        <v>70</v>
      </c>
      <c r="S191" s="11">
        <f>IF(R191="","",'[1]All Data '!BE196)</f>
        <v>0.2</v>
      </c>
      <c r="T191" s="12">
        <f>IF(S191="","",[1]Inputs_Outputs!$B$8*(1-'LOCH Calc COE Calc'!S191))</f>
        <v>254466.23093681919</v>
      </c>
      <c r="U191" s="13">
        <f t="shared" si="11"/>
        <v>52012897.603485852</v>
      </c>
      <c r="V191" s="13">
        <f t="shared" si="12"/>
        <v>1.7943111377350451</v>
      </c>
      <c r="W191" s="4">
        <f t="shared" si="13"/>
        <v>6.6227146066031981</v>
      </c>
      <c r="X191">
        <f>IF(W191="","",LOOKUP(_xlfn.CONCAT(P191,", ",Q191),'[1]T+S Costs'!$F$2:$F$3138,'[1]T+S Costs'!$N$2:$N$3138))</f>
        <v>9.645341702663405</v>
      </c>
      <c r="Y191" s="14">
        <f t="shared" si="14"/>
        <v>0.19378881998575467</v>
      </c>
      <c r="Z191" s="4">
        <f t="shared" si="15"/>
        <v>6.8165034265889526</v>
      </c>
    </row>
    <row r="192" spans="16:26" x14ac:dyDescent="0.25">
      <c r="P192" s="10" t="str">
        <f>IF('[1]All Data '!AZ197="","",'[1]All Data '!AZ197)</f>
        <v>Moody County</v>
      </c>
      <c r="Q192" s="10" t="str">
        <f>IF('[1]All Data '!BB197="","",'[1]All Data '!BB197)</f>
        <v>SD</v>
      </c>
      <c r="R192" s="10">
        <f>IF('[1]All Data '!BD197="","",'[1]All Data '!BD197)</f>
        <v>70</v>
      </c>
      <c r="S192" s="11">
        <f>IF(R192="","",'[1]All Data '!BE197)</f>
        <v>0.2</v>
      </c>
      <c r="T192" s="12">
        <f>IF(S192="","",[1]Inputs_Outputs!$B$8*(1-'LOCH Calc COE Calc'!S192))</f>
        <v>254466.23093681919</v>
      </c>
      <c r="U192" s="13">
        <f t="shared" si="11"/>
        <v>52012897.603485852</v>
      </c>
      <c r="V192" s="13">
        <f t="shared" si="12"/>
        <v>1.7943111377350451</v>
      </c>
      <c r="W192" s="4">
        <f t="shared" si="13"/>
        <v>6.6227146066031981</v>
      </c>
      <c r="X192">
        <f>IF(W192="","",LOOKUP(_xlfn.CONCAT(P192,", ",Q192),'[1]T+S Costs'!$F$2:$F$3138,'[1]T+S Costs'!$N$2:$N$3138))</f>
        <v>25.853622645858877</v>
      </c>
      <c r="Y192" s="14">
        <f t="shared" si="14"/>
        <v>0.51943655075636219</v>
      </c>
      <c r="Z192" s="4">
        <f t="shared" si="15"/>
        <v>7.1421511573595602</v>
      </c>
    </row>
    <row r="193" spans="16:26" x14ac:dyDescent="0.25">
      <c r="P193" s="10" t="str">
        <f>IF('[1]All Data '!AZ198="","",'[1]All Data '!AZ198)</f>
        <v>Brown County</v>
      </c>
      <c r="Q193" s="10" t="str">
        <f>IF('[1]All Data '!BB198="","",'[1]All Data '!BB198)</f>
        <v>SD</v>
      </c>
      <c r="R193" s="10">
        <f>IF('[1]All Data '!BD198="","",'[1]All Data '!BD198)</f>
        <v>70</v>
      </c>
      <c r="S193" s="11">
        <f>IF(R193="","",'[1]All Data '!BE198)</f>
        <v>0.2</v>
      </c>
      <c r="T193" s="12">
        <f>IF(S193="","",[1]Inputs_Outputs!$B$8*(1-'LOCH Calc COE Calc'!S193))</f>
        <v>254466.23093681919</v>
      </c>
      <c r="U193" s="13">
        <f t="shared" si="11"/>
        <v>52012897.603485852</v>
      </c>
      <c r="V193" s="13">
        <f t="shared" si="12"/>
        <v>1.7943111377350451</v>
      </c>
      <c r="W193" s="4">
        <f t="shared" si="13"/>
        <v>6.6227146066031981</v>
      </c>
      <c r="X193">
        <f>IF(W193="","",LOOKUP(_xlfn.CONCAT(P193,", ",Q193),'[1]T+S Costs'!$F$2:$F$3138,'[1]T+S Costs'!$N$2:$N$3138))</f>
        <v>19.812052340184071</v>
      </c>
      <c r="Y193" s="14">
        <f t="shared" si="14"/>
        <v>0.39805269350282374</v>
      </c>
      <c r="Z193" s="4">
        <f t="shared" si="15"/>
        <v>7.020767300106022</v>
      </c>
    </row>
    <row r="194" spans="16:26" x14ac:dyDescent="0.25">
      <c r="P194" s="10" t="str">
        <f>IF('[1]All Data '!AZ199="","",'[1]All Data '!AZ199)</f>
        <v>Union County</v>
      </c>
      <c r="Q194" s="10" t="str">
        <f>IF('[1]All Data '!BB199="","",'[1]All Data '!BB199)</f>
        <v>IN</v>
      </c>
      <c r="R194" s="10">
        <f>IF('[1]All Data '!BD199="","",'[1]All Data '!BD199)</f>
        <v>70</v>
      </c>
      <c r="S194" s="11">
        <f>IF(R194="","",'[1]All Data '!BE199)</f>
        <v>0.19961374960915934</v>
      </c>
      <c r="T194" s="12">
        <f>IF(S194="","",[1]Inputs_Outputs!$B$8*(1-'LOCH Calc COE Calc'!S194))</f>
        <v>254589.09053826306</v>
      </c>
      <c r="U194" s="13">
        <f t="shared" si="11"/>
        <v>52038010.106020965</v>
      </c>
      <c r="V194" s="13">
        <f t="shared" si="12"/>
        <v>1.7951774544578447</v>
      </c>
      <c r="W194" s="4">
        <f t="shared" si="13"/>
        <v>6.6235809233259983</v>
      </c>
      <c r="X194">
        <f>IF(W194="","",LOOKUP(_xlfn.CONCAT(P194,", ",Q194),'[1]T+S Costs'!$F$2:$F$3138,'[1]T+S Costs'!$N$2:$N$3138))</f>
        <v>10.503820905589633</v>
      </c>
      <c r="Y194" s="14">
        <f t="shared" si="14"/>
        <v>0.21103690479662732</v>
      </c>
      <c r="Z194" s="4">
        <f t="shared" si="15"/>
        <v>6.8346178281226253</v>
      </c>
    </row>
    <row r="195" spans="16:26" x14ac:dyDescent="0.25">
      <c r="P195" s="10" t="str">
        <f>IF('[1]All Data '!AZ200="","",'[1]All Data '!AZ200)</f>
        <v>Christian County</v>
      </c>
      <c r="Q195" s="10" t="str">
        <f>IF('[1]All Data '!BB200="","",'[1]All Data '!BB200)</f>
        <v>KY</v>
      </c>
      <c r="R195" s="10">
        <f>IF('[1]All Data '!BD200="","",'[1]All Data '!BD200)</f>
        <v>70</v>
      </c>
      <c r="S195" s="11">
        <f>IF(R195="","",'[1]All Data '!BE200)</f>
        <v>0.17947889903464756</v>
      </c>
      <c r="T195" s="12">
        <f>IF(S195="","",[1]Inputs_Outputs!$B$8*(1-'LOCH Calc COE Calc'!S195))</f>
        <v>260993.63995847813</v>
      </c>
      <c r="U195" s="13">
        <f t="shared" ref="U195:U258" si="16">IF(S195="","",R195*T195*365*$B$19/100)</f>
        <v>53347100.007512935</v>
      </c>
      <c r="V195" s="13">
        <f t="shared" ref="V195:V258" si="17">IF(S195="","",(U195*$B$19)/(($B$28)*$B$19))</f>
        <v>1.8403376877609416</v>
      </c>
      <c r="W195" s="4">
        <f t="shared" ref="W195:W258" si="18">IF(S195="","",V195+$C$49+$C$50+$C$51)</f>
        <v>6.6687411566290953</v>
      </c>
      <c r="X195">
        <f>IF(W195="","",LOOKUP(_xlfn.CONCAT(P195,", ",Q195),'[1]T+S Costs'!$F$2:$F$3138,'[1]T+S Costs'!$N$2:$N$3138))</f>
        <v>13.771882573559814</v>
      </c>
      <c r="Y195" s="14">
        <f t="shared" ref="Y195:Y258" si="19">IF(X195="","",((X195*$B$60/$B$59)*$C$44)/$C$28)</f>
        <v>0.27669697509789404</v>
      </c>
      <c r="Z195" s="4">
        <f t="shared" ref="Z195:Z258" si="20">IF(Y195="","",W195+Y195)</f>
        <v>6.9454381317269895</v>
      </c>
    </row>
    <row r="196" spans="16:26" x14ac:dyDescent="0.25">
      <c r="P196" s="10" t="str">
        <f>IF('[1]All Data '!AZ201="","",'[1]All Data '!AZ201)</f>
        <v>Grundy County</v>
      </c>
      <c r="Q196" s="10" t="str">
        <f>IF('[1]All Data '!BB201="","",'[1]All Data '!BB201)</f>
        <v>IA</v>
      </c>
      <c r="R196" s="10">
        <f>IF('[1]All Data '!BD201="","",'[1]All Data '!BD201)</f>
        <v>70</v>
      </c>
      <c r="S196" s="11">
        <f>IF(R196="","",'[1]All Data '!BE201)</f>
        <v>0.2</v>
      </c>
      <c r="T196" s="12">
        <f>IF(S196="","",[1]Inputs_Outputs!$B$8*(1-'LOCH Calc COE Calc'!S196))</f>
        <v>254466.23093681919</v>
      </c>
      <c r="U196" s="13">
        <f t="shared" si="16"/>
        <v>52012897.603485852</v>
      </c>
      <c r="V196" s="13">
        <f t="shared" si="17"/>
        <v>1.7943111377350451</v>
      </c>
      <c r="W196" s="4">
        <f t="shared" si="18"/>
        <v>6.6227146066031981</v>
      </c>
      <c r="X196">
        <f>IF(W196="","",LOOKUP(_xlfn.CONCAT(P196,", ",Q196),'[1]T+S Costs'!$F$2:$F$3138,'[1]T+S Costs'!$N$2:$N$3138))</f>
        <v>19.94462444634523</v>
      </c>
      <c r="Y196" s="14">
        <f t="shared" si="19"/>
        <v>0.40071625823779866</v>
      </c>
      <c r="Z196" s="4">
        <f t="shared" si="20"/>
        <v>7.0234308648409964</v>
      </c>
    </row>
    <row r="197" spans="16:26" x14ac:dyDescent="0.25">
      <c r="P197" s="10" t="str">
        <f>IF('[1]All Data '!AZ202="","",'[1]All Data '!AZ202)</f>
        <v>Tipton County</v>
      </c>
      <c r="Q197" s="10" t="str">
        <f>IF('[1]All Data '!BB202="","",'[1]All Data '!BB202)</f>
        <v>IN</v>
      </c>
      <c r="R197" s="10">
        <f>IF('[1]All Data '!BD202="","",'[1]All Data '!BD202)</f>
        <v>70</v>
      </c>
      <c r="S197" s="11">
        <f>IF(R197="","",'[1]All Data '!BE202)</f>
        <v>0.2</v>
      </c>
      <c r="T197" s="12">
        <f>IF(S197="","",[1]Inputs_Outputs!$B$8*(1-'LOCH Calc COE Calc'!S197))</f>
        <v>254466.23093681919</v>
      </c>
      <c r="U197" s="13">
        <f t="shared" si="16"/>
        <v>52012897.603485852</v>
      </c>
      <c r="V197" s="13">
        <f t="shared" si="17"/>
        <v>1.7943111377350451</v>
      </c>
      <c r="W197" s="4">
        <f t="shared" si="18"/>
        <v>6.6227146066031981</v>
      </c>
      <c r="X197">
        <f>IF(W197="","",LOOKUP(_xlfn.CONCAT(P197,", ",Q197),'[1]T+S Costs'!$F$2:$F$3138,'[1]T+S Costs'!$N$2:$N$3138))</f>
        <v>14.02492791942451</v>
      </c>
      <c r="Y197" s="14">
        <f t="shared" si="19"/>
        <v>0.28178102089841406</v>
      </c>
      <c r="Z197" s="4">
        <f t="shared" si="20"/>
        <v>6.9044956275016123</v>
      </c>
    </row>
    <row r="198" spans="16:26" x14ac:dyDescent="0.25">
      <c r="P198" s="10" t="str">
        <f>IF('[1]All Data '!AZ203="","",'[1]All Data '!AZ203)</f>
        <v>Defiance County</v>
      </c>
      <c r="Q198" s="10" t="str">
        <f>IF('[1]All Data '!BB203="","",'[1]All Data '!BB203)</f>
        <v>OH</v>
      </c>
      <c r="R198" s="10">
        <f>IF('[1]All Data '!BD203="","",'[1]All Data '!BD203)</f>
        <v>70</v>
      </c>
      <c r="S198" s="11">
        <f>IF(R198="","",'[1]All Data '!BE203)</f>
        <v>0.1981326761309245</v>
      </c>
      <c r="T198" s="12">
        <f>IF(S198="","",[1]Inputs_Outputs!$B$8*(1-'LOCH Calc COE Calc'!S198))</f>
        <v>255060.19452044665</v>
      </c>
      <c r="U198" s="13">
        <f t="shared" si="16"/>
        <v>52134303.759979293</v>
      </c>
      <c r="V198" s="13">
        <f t="shared" si="17"/>
        <v>1.7984993377550955</v>
      </c>
      <c r="W198" s="4">
        <f t="shared" si="18"/>
        <v>6.6269028066232494</v>
      </c>
      <c r="X198">
        <f>IF(W198="","",LOOKUP(_xlfn.CONCAT(P198,", ",Q198),'[1]T+S Costs'!$F$2:$F$3138,'[1]T+S Costs'!$N$2:$N$3138))</f>
        <v>12.262318627712713</v>
      </c>
      <c r="Y198" s="14">
        <f t="shared" si="19"/>
        <v>0.2463676591672857</v>
      </c>
      <c r="Z198" s="4">
        <f t="shared" si="20"/>
        <v>6.8732704657905348</v>
      </c>
    </row>
    <row r="199" spans="16:26" x14ac:dyDescent="0.25">
      <c r="P199" s="10" t="str">
        <f>IF('[1]All Data '!AZ204="","",'[1]All Data '!AZ204)</f>
        <v>Lake County</v>
      </c>
      <c r="Q199" s="10" t="str">
        <f>IF('[1]All Data '!BB204="","",'[1]All Data '!BB204)</f>
        <v>SD</v>
      </c>
      <c r="R199" s="10">
        <f>IF('[1]All Data '!BD204="","",'[1]All Data '!BD204)</f>
        <v>70</v>
      </c>
      <c r="S199" s="11">
        <f>IF(R199="","",'[1]All Data '!BE204)</f>
        <v>0.2</v>
      </c>
      <c r="T199" s="12">
        <f>IF(S199="","",[1]Inputs_Outputs!$B$8*(1-'LOCH Calc COE Calc'!S199))</f>
        <v>254466.23093681919</v>
      </c>
      <c r="U199" s="13">
        <f t="shared" si="16"/>
        <v>52012897.603485852</v>
      </c>
      <c r="V199" s="13">
        <f t="shared" si="17"/>
        <v>1.7943111377350451</v>
      </c>
      <c r="W199" s="4">
        <f t="shared" si="18"/>
        <v>6.6227146066031981</v>
      </c>
      <c r="X199">
        <f>IF(W199="","",LOOKUP(_xlfn.CONCAT(P199,", ",Q199),'[1]T+S Costs'!$F$2:$F$3138,'[1]T+S Costs'!$N$2:$N$3138))</f>
        <v>24.694086962317506</v>
      </c>
      <c r="Y199" s="14">
        <f t="shared" si="19"/>
        <v>0.49613980723271806</v>
      </c>
      <c r="Z199" s="4">
        <f t="shared" si="20"/>
        <v>7.1188544138359164</v>
      </c>
    </row>
    <row r="200" spans="16:26" x14ac:dyDescent="0.25">
      <c r="P200" s="10" t="str">
        <f>IF('[1]All Data '!AZ205="","",'[1]All Data '!AZ205)</f>
        <v>Clark County</v>
      </c>
      <c r="Q200" s="10" t="str">
        <f>IF('[1]All Data '!BB205="","",'[1]All Data '!BB205)</f>
        <v>OH</v>
      </c>
      <c r="R200" s="10">
        <f>IF('[1]All Data '!BD205="","",'[1]All Data '!BD205)</f>
        <v>70</v>
      </c>
      <c r="S200" s="11">
        <f>IF(R200="","",'[1]All Data '!BE205)</f>
        <v>0.2</v>
      </c>
      <c r="T200" s="12">
        <f>IF(S200="","",[1]Inputs_Outputs!$B$8*(1-'LOCH Calc COE Calc'!S200))</f>
        <v>254466.23093681919</v>
      </c>
      <c r="U200" s="13">
        <f t="shared" si="16"/>
        <v>52012897.603485852</v>
      </c>
      <c r="V200" s="13">
        <f t="shared" si="17"/>
        <v>1.7943111377350451</v>
      </c>
      <c r="W200" s="4">
        <f t="shared" si="18"/>
        <v>6.6227146066031981</v>
      </c>
      <c r="X200">
        <f>IF(W200="","",LOOKUP(_xlfn.CONCAT(P200,", ",Q200),'[1]T+S Costs'!$F$2:$F$3138,'[1]T+S Costs'!$N$2:$N$3138))</f>
        <v>12.511554525336457</v>
      </c>
      <c r="Y200" s="14">
        <f t="shared" si="19"/>
        <v>0.2513751676607649</v>
      </c>
      <c r="Z200" s="4">
        <f t="shared" si="20"/>
        <v>6.8740897742639628</v>
      </c>
    </row>
    <row r="201" spans="16:26" x14ac:dyDescent="0.25">
      <c r="P201" s="10" t="str">
        <f>IF('[1]All Data '!AZ206="","",'[1]All Data '!AZ206)</f>
        <v>Seward County</v>
      </c>
      <c r="Q201" s="10" t="str">
        <f>IF('[1]All Data '!BB206="","",'[1]All Data '!BB206)</f>
        <v>NE</v>
      </c>
      <c r="R201" s="10">
        <f>IF('[1]All Data '!BD206="","",'[1]All Data '!BD206)</f>
        <v>70</v>
      </c>
      <c r="S201" s="11">
        <f>IF(R201="","",'[1]All Data '!BE206)</f>
        <v>0.20011910704142927</v>
      </c>
      <c r="T201" s="12">
        <f>IF(S201="","",[1]Inputs_Outputs!$B$8*(1-'LOCH Calc COE Calc'!S201))</f>
        <v>254428.34503693102</v>
      </c>
      <c r="U201" s="13">
        <f t="shared" si="16"/>
        <v>52005153.725548707</v>
      </c>
      <c r="V201" s="13">
        <f t="shared" si="17"/>
        <v>1.7940439938712713</v>
      </c>
      <c r="W201" s="4">
        <f t="shared" si="18"/>
        <v>6.6224474627394248</v>
      </c>
      <c r="X201">
        <f>IF(W201="","",LOOKUP(_xlfn.CONCAT(P201,", ",Q201),'[1]T+S Costs'!$F$2:$F$3138,'[1]T+S Costs'!$N$2:$N$3138))</f>
        <v>20.375645696726803</v>
      </c>
      <c r="Y201" s="14">
        <f t="shared" si="19"/>
        <v>0.40937609653851587</v>
      </c>
      <c r="Z201" s="4">
        <f t="shared" si="20"/>
        <v>7.0318235592779406</v>
      </c>
    </row>
    <row r="202" spans="16:26" x14ac:dyDescent="0.25">
      <c r="P202" s="10" t="str">
        <f>IF('[1]All Data '!AZ207="","",'[1]All Data '!AZ207)</f>
        <v>Knox County</v>
      </c>
      <c r="Q202" s="10" t="str">
        <f>IF('[1]All Data '!BB207="","",'[1]All Data '!BB207)</f>
        <v>IN</v>
      </c>
      <c r="R202" s="10">
        <f>IF('[1]All Data '!BD207="","",'[1]All Data '!BD207)</f>
        <v>70</v>
      </c>
      <c r="S202" s="11">
        <f>IF(R202="","",'[1]All Data '!BE207)</f>
        <v>0.2</v>
      </c>
      <c r="T202" s="12">
        <f>IF(S202="","",[1]Inputs_Outputs!$B$8*(1-'LOCH Calc COE Calc'!S202))</f>
        <v>254466.23093681919</v>
      </c>
      <c r="U202" s="13">
        <f t="shared" si="16"/>
        <v>52012897.603485852</v>
      </c>
      <c r="V202" s="13">
        <f t="shared" si="17"/>
        <v>1.7943111377350451</v>
      </c>
      <c r="W202" s="4">
        <f t="shared" si="18"/>
        <v>6.6227146066031981</v>
      </c>
      <c r="X202">
        <f>IF(W202="","",LOOKUP(_xlfn.CONCAT(P202,", ",Q202),'[1]T+S Costs'!$F$2:$F$3138,'[1]T+S Costs'!$N$2:$N$3138))</f>
        <v>13.223341516018539</v>
      </c>
      <c r="Y202" s="14">
        <f t="shared" si="19"/>
        <v>0.26567599444924489</v>
      </c>
      <c r="Z202" s="4">
        <f t="shared" si="20"/>
        <v>6.8883906010524427</v>
      </c>
    </row>
    <row r="203" spans="16:26" x14ac:dyDescent="0.25">
      <c r="P203" s="10" t="str">
        <f>IF('[1]All Data '!AZ208="","",'[1]All Data '!AZ208)</f>
        <v>Madison County</v>
      </c>
      <c r="Q203" s="10" t="str">
        <f>IF('[1]All Data '!BB208="","",'[1]All Data '!BB208)</f>
        <v>IN</v>
      </c>
      <c r="R203" s="10">
        <f>IF('[1]All Data '!BD208="","",'[1]All Data '!BD208)</f>
        <v>70</v>
      </c>
      <c r="S203" s="11">
        <f>IF(R203="","",'[1]All Data '!BE208)</f>
        <v>0.2</v>
      </c>
      <c r="T203" s="12">
        <f>IF(S203="","",[1]Inputs_Outputs!$B$8*(1-'LOCH Calc COE Calc'!S203))</f>
        <v>254466.23093681919</v>
      </c>
      <c r="U203" s="13">
        <f t="shared" si="16"/>
        <v>52012897.603485852</v>
      </c>
      <c r="V203" s="13">
        <f t="shared" si="17"/>
        <v>1.7943111377350451</v>
      </c>
      <c r="W203" s="4">
        <f t="shared" si="18"/>
        <v>6.6227146066031981</v>
      </c>
      <c r="X203">
        <f>IF(W203="","",LOOKUP(_xlfn.CONCAT(P203,", ",Q203),'[1]T+S Costs'!$F$2:$F$3138,'[1]T+S Costs'!$N$2:$N$3138))</f>
        <v>20.44309624159272</v>
      </c>
      <c r="Y203" s="14">
        <f t="shared" si="19"/>
        <v>0.410731275224757</v>
      </c>
      <c r="Z203" s="4">
        <f t="shared" si="20"/>
        <v>7.033445881827955</v>
      </c>
    </row>
    <row r="204" spans="16:26" x14ac:dyDescent="0.25">
      <c r="P204" s="10" t="str">
        <f>IF('[1]All Data '!AZ209="","",'[1]All Data '!AZ209)</f>
        <v>Hutchinson County</v>
      </c>
      <c r="Q204" s="10" t="str">
        <f>IF('[1]All Data '!BB209="","",'[1]All Data '!BB209)</f>
        <v>SD</v>
      </c>
      <c r="R204" s="10">
        <f>IF('[1]All Data '!BD209="","",'[1]All Data '!BD209)</f>
        <v>70</v>
      </c>
      <c r="S204" s="11">
        <f>IF(R204="","",'[1]All Data '!BE209)</f>
        <v>0.1988351896510866</v>
      </c>
      <c r="T204" s="12">
        <f>IF(S204="","",[1]Inputs_Outputs!$B$8*(1-'LOCH Calc COE Calc'!S204))</f>
        <v>254836.73706087441</v>
      </c>
      <c r="U204" s="13">
        <f t="shared" si="16"/>
        <v>52088629.05524274</v>
      </c>
      <c r="V204" s="13">
        <f t="shared" si="17"/>
        <v>1.7969236779630506</v>
      </c>
      <c r="W204" s="4">
        <f t="shared" si="18"/>
        <v>6.6253271468312036</v>
      </c>
      <c r="X204">
        <f>IF(W204="","",LOOKUP(_xlfn.CONCAT(P204,", ",Q204),'[1]T+S Costs'!$F$2:$F$3138,'[1]T+S Costs'!$N$2:$N$3138))</f>
        <v>22.806311450042038</v>
      </c>
      <c r="Y204" s="14">
        <f t="shared" si="19"/>
        <v>0.45821167568494214</v>
      </c>
      <c r="Z204" s="4">
        <f t="shared" si="20"/>
        <v>7.0835388225161457</v>
      </c>
    </row>
    <row r="205" spans="16:26" x14ac:dyDescent="0.25">
      <c r="P205" s="10" t="str">
        <f>IF('[1]All Data '!AZ210="","",'[1]All Data '!AZ210)</f>
        <v>Nemaha County</v>
      </c>
      <c r="Q205" s="10" t="str">
        <f>IF('[1]All Data '!BB210="","",'[1]All Data '!BB210)</f>
        <v>NE</v>
      </c>
      <c r="R205" s="10">
        <f>IF('[1]All Data '!BD210="","",'[1]All Data '!BD210)</f>
        <v>70</v>
      </c>
      <c r="S205" s="11">
        <f>IF(R205="","",'[1]All Data '!BE210)</f>
        <v>0.2</v>
      </c>
      <c r="T205" s="12">
        <f>IF(S205="","",[1]Inputs_Outputs!$B$8*(1-'LOCH Calc COE Calc'!S205))</f>
        <v>254466.23093681919</v>
      </c>
      <c r="U205" s="13">
        <f t="shared" si="16"/>
        <v>52012897.603485852</v>
      </c>
      <c r="V205" s="13">
        <f t="shared" si="17"/>
        <v>1.7943111377350451</v>
      </c>
      <c r="W205" s="4">
        <f t="shared" si="18"/>
        <v>6.6227146066031981</v>
      </c>
      <c r="X205">
        <f>IF(W205="","",LOOKUP(_xlfn.CONCAT(P205,", ",Q205),'[1]T+S Costs'!$F$2:$F$3138,'[1]T+S Costs'!$N$2:$N$3138))</f>
        <v>20.874117491974292</v>
      </c>
      <c r="Y205" s="14">
        <f t="shared" si="19"/>
        <v>0.41939111352547431</v>
      </c>
      <c r="Z205" s="4">
        <f t="shared" si="20"/>
        <v>7.0421057201286725</v>
      </c>
    </row>
    <row r="206" spans="16:26" x14ac:dyDescent="0.25">
      <c r="P206" s="10" t="str">
        <f>IF('[1]All Data '!AZ211="","",'[1]All Data '!AZ211)</f>
        <v>Richardson County</v>
      </c>
      <c r="Q206" s="10" t="str">
        <f>IF('[1]All Data '!BB211="","",'[1]All Data '!BB211)</f>
        <v>NE</v>
      </c>
      <c r="R206" s="10">
        <f>IF('[1]All Data '!BD211="","",'[1]All Data '!BD211)</f>
        <v>70</v>
      </c>
      <c r="S206" s="11">
        <f>IF(R206="","",'[1]All Data '!BE211)</f>
        <v>0.2</v>
      </c>
      <c r="T206" s="12">
        <f>IF(S206="","",[1]Inputs_Outputs!$B$8*(1-'LOCH Calc COE Calc'!S206))</f>
        <v>254466.23093681919</v>
      </c>
      <c r="U206" s="13">
        <f t="shared" si="16"/>
        <v>52012897.603485852</v>
      </c>
      <c r="V206" s="13">
        <f t="shared" si="17"/>
        <v>1.7943111377350451</v>
      </c>
      <c r="W206" s="4">
        <f t="shared" si="18"/>
        <v>6.6227146066031981</v>
      </c>
      <c r="X206">
        <f>IF(W206="","",LOOKUP(_xlfn.CONCAT(P206,", ",Q206),'[1]T+S Costs'!$F$2:$F$3138,'[1]T+S Costs'!$N$2:$N$3138))</f>
        <v>20.638728033107419</v>
      </c>
      <c r="Y206" s="14">
        <f t="shared" si="19"/>
        <v>0.41466179994829933</v>
      </c>
      <c r="Z206" s="4">
        <f t="shared" si="20"/>
        <v>7.0373764065514974</v>
      </c>
    </row>
    <row r="207" spans="16:26" x14ac:dyDescent="0.25">
      <c r="P207" s="10" t="str">
        <f>IF('[1]All Data '!AZ212="","",'[1]All Data '!AZ212)</f>
        <v>Atchison County</v>
      </c>
      <c r="Q207" s="10" t="str">
        <f>IF('[1]All Data '!BB212="","",'[1]All Data '!BB212)</f>
        <v>MO</v>
      </c>
      <c r="R207" s="10">
        <f>IF('[1]All Data '!BD212="","",'[1]All Data '!BD212)</f>
        <v>70</v>
      </c>
      <c r="S207" s="11">
        <f>IF(R207="","",'[1]All Data '!BE212)</f>
        <v>0.2</v>
      </c>
      <c r="T207" s="12">
        <f>IF(S207="","",[1]Inputs_Outputs!$B$8*(1-'LOCH Calc COE Calc'!S207))</f>
        <v>254466.23093681919</v>
      </c>
      <c r="U207" s="13">
        <f t="shared" si="16"/>
        <v>52012897.603485852</v>
      </c>
      <c r="V207" s="13">
        <f t="shared" si="17"/>
        <v>1.7943111377350451</v>
      </c>
      <c r="W207" s="4">
        <f t="shared" si="18"/>
        <v>6.6227146066031981</v>
      </c>
      <c r="X207">
        <f>IF(W207="","",LOOKUP(_xlfn.CONCAT(P207,", ",Q207),'[1]T+S Costs'!$F$2:$F$3138,'[1]T+S Costs'!$N$2:$N$3138))</f>
        <v>21.372589287221778</v>
      </c>
      <c r="Y207" s="14">
        <f t="shared" si="19"/>
        <v>0.42940613051243243</v>
      </c>
      <c r="Z207" s="4">
        <f t="shared" si="20"/>
        <v>7.0521207371156303</v>
      </c>
    </row>
    <row r="208" spans="16:26" x14ac:dyDescent="0.25">
      <c r="P208" s="10" t="str">
        <f>IF('[1]All Data '!AZ213="","",'[1]All Data '!AZ213)</f>
        <v>Thurston County</v>
      </c>
      <c r="Q208" s="10" t="str">
        <f>IF('[1]All Data '!BB213="","",'[1]All Data '!BB213)</f>
        <v>NE</v>
      </c>
      <c r="R208" s="10">
        <f>IF('[1]All Data '!BD213="","",'[1]All Data '!BD213)</f>
        <v>70</v>
      </c>
      <c r="S208" s="11">
        <f>IF(R208="","",'[1]All Data '!BE213)</f>
        <v>0.2</v>
      </c>
      <c r="T208" s="12">
        <f>IF(S208="","",[1]Inputs_Outputs!$B$8*(1-'LOCH Calc COE Calc'!S208))</f>
        <v>254466.23093681919</v>
      </c>
      <c r="U208" s="13">
        <f t="shared" si="16"/>
        <v>52012897.603485852</v>
      </c>
      <c r="V208" s="13">
        <f t="shared" si="17"/>
        <v>1.7943111377350451</v>
      </c>
      <c r="W208" s="4">
        <f t="shared" si="18"/>
        <v>6.6227146066031981</v>
      </c>
      <c r="X208">
        <f>IF(W208="","",LOOKUP(_xlfn.CONCAT(P208,", ",Q208),'[1]T+S Costs'!$F$2:$F$3138,'[1]T+S Costs'!$N$2:$N$3138))</f>
        <v>24.83419897644044</v>
      </c>
      <c r="Y208" s="14">
        <f t="shared" si="19"/>
        <v>0.49895485958853181</v>
      </c>
      <c r="Z208" s="4">
        <f t="shared" si="20"/>
        <v>7.1216694661917295</v>
      </c>
    </row>
    <row r="209" spans="16:26" x14ac:dyDescent="0.25">
      <c r="P209" s="10" t="str">
        <f>IF('[1]All Data '!AZ214="","",'[1]All Data '!AZ214)</f>
        <v>Hickman County</v>
      </c>
      <c r="Q209" s="10" t="str">
        <f>IF('[1]All Data '!BB214="","",'[1]All Data '!BB214)</f>
        <v>KY</v>
      </c>
      <c r="R209" s="10">
        <f>IF('[1]All Data '!BD214="","",'[1]All Data '!BD214)</f>
        <v>70</v>
      </c>
      <c r="S209" s="11">
        <f>IF(R209="","",'[1]All Data '!BE214)</f>
        <v>0.19287894172829964</v>
      </c>
      <c r="T209" s="12">
        <f>IF(S209="","",[1]Inputs_Outputs!$B$8*(1-'LOCH Calc COE Calc'!S209))</f>
        <v>256731.31701017049</v>
      </c>
      <c r="U209" s="13">
        <f t="shared" si="16"/>
        <v>52475881.19687885</v>
      </c>
      <c r="V209" s="13">
        <f t="shared" si="17"/>
        <v>1.8102828804467601</v>
      </c>
      <c r="W209" s="4">
        <f t="shared" si="18"/>
        <v>6.6386863493149137</v>
      </c>
      <c r="X209">
        <f>IF(W209="","",LOOKUP(_xlfn.CONCAT(P209,", ",Q209),'[1]T+S Costs'!$F$2:$F$3138,'[1]T+S Costs'!$N$2:$N$3138))</f>
        <v>16.201391362655677</v>
      </c>
      <c r="Y209" s="14">
        <f t="shared" si="19"/>
        <v>0.32550930916521897</v>
      </c>
      <c r="Z209" s="4">
        <f t="shared" si="20"/>
        <v>6.9641956584801328</v>
      </c>
    </row>
    <row r="210" spans="16:26" x14ac:dyDescent="0.25">
      <c r="P210" s="10" t="str">
        <f>IF('[1]All Data '!AZ215="","",'[1]All Data '!AZ215)</f>
        <v>Hanson County</v>
      </c>
      <c r="Q210" s="10" t="str">
        <f>IF('[1]All Data '!BB215="","",'[1]All Data '!BB215)</f>
        <v>SD</v>
      </c>
      <c r="R210" s="10">
        <f>IF('[1]All Data '!BD215="","",'[1]All Data '!BD215)</f>
        <v>70</v>
      </c>
      <c r="S210" s="11">
        <f>IF(R210="","",'[1]All Data '!BE215)</f>
        <v>0.19826682515424238</v>
      </c>
      <c r="T210" s="12">
        <f>IF(S210="","",[1]Inputs_Outputs!$B$8*(1-'LOCH Calc COE Calc'!S210))</f>
        <v>255017.52402501224</v>
      </c>
      <c r="U210" s="13">
        <f t="shared" si="16"/>
        <v>52125581.91071251</v>
      </c>
      <c r="V210" s="13">
        <f t="shared" si="17"/>
        <v>1.7981984563967766</v>
      </c>
      <c r="W210" s="4">
        <f t="shared" si="18"/>
        <v>6.6266019252649304</v>
      </c>
      <c r="X210">
        <f>IF(W210="","",LOOKUP(_xlfn.CONCAT(P210,", ",Q210),'[1]T+S Costs'!$F$2:$F$3138,'[1]T+S Costs'!$N$2:$N$3138))</f>
        <v>23.05554734766578</v>
      </c>
      <c r="Y210" s="14">
        <f t="shared" si="19"/>
        <v>0.46321918417842128</v>
      </c>
      <c r="Z210" s="4">
        <f t="shared" si="20"/>
        <v>7.0898211094433519</v>
      </c>
    </row>
    <row r="211" spans="16:26" x14ac:dyDescent="0.25">
      <c r="P211" s="10" t="str">
        <f>IF('[1]All Data '!AZ216="","",'[1]All Data '!AZ216)</f>
        <v>Davison County</v>
      </c>
      <c r="Q211" s="10" t="str">
        <f>IF('[1]All Data '!BB216="","",'[1]All Data '!BB216)</f>
        <v>SD</v>
      </c>
      <c r="R211" s="10">
        <f>IF('[1]All Data '!BD216="","",'[1]All Data '!BD216)</f>
        <v>70</v>
      </c>
      <c r="S211" s="11">
        <f>IF(R211="","",'[1]All Data '!BE216)</f>
        <v>0.19826682515424238</v>
      </c>
      <c r="T211" s="12">
        <f>IF(S211="","",[1]Inputs_Outputs!$B$8*(1-'LOCH Calc COE Calc'!S211))</f>
        <v>255017.52402501224</v>
      </c>
      <c r="U211" s="13">
        <f t="shared" si="16"/>
        <v>52125581.91071251</v>
      </c>
      <c r="V211" s="13">
        <f t="shared" si="17"/>
        <v>1.7981984563967766</v>
      </c>
      <c r="W211" s="4">
        <f t="shared" si="18"/>
        <v>6.6266019252649304</v>
      </c>
      <c r="X211">
        <f>IF(W211="","",LOOKUP(_xlfn.CONCAT(P211,", ",Q211),'[1]T+S Costs'!$F$2:$F$3138,'[1]T+S Costs'!$N$2:$N$3138))</f>
        <v>22.570921991175169</v>
      </c>
      <c r="Y211" s="14">
        <f t="shared" si="19"/>
        <v>0.45348236210776743</v>
      </c>
      <c r="Z211" s="4">
        <f t="shared" si="20"/>
        <v>7.0800842873726975</v>
      </c>
    </row>
    <row r="212" spans="16:26" x14ac:dyDescent="0.25">
      <c r="P212" s="10" t="str">
        <f>IF('[1]All Data '!AZ217="","",'[1]All Data '!AZ217)</f>
        <v>Burt County</v>
      </c>
      <c r="Q212" s="10" t="str">
        <f>IF('[1]All Data '!BB217="","",'[1]All Data '!BB217)</f>
        <v>NE</v>
      </c>
      <c r="R212" s="10">
        <f>IF('[1]All Data '!BD217="","",'[1]All Data '!BD217)</f>
        <v>70</v>
      </c>
      <c r="S212" s="11">
        <f>IF(R212="","",'[1]All Data '!BE217)</f>
        <v>0.2</v>
      </c>
      <c r="T212" s="12">
        <f>IF(S212="","",[1]Inputs_Outputs!$B$8*(1-'LOCH Calc COE Calc'!S212))</f>
        <v>254466.23093681919</v>
      </c>
      <c r="U212" s="13">
        <f t="shared" si="16"/>
        <v>52012897.603485852</v>
      </c>
      <c r="V212" s="13">
        <f t="shared" si="17"/>
        <v>1.7943111377350451</v>
      </c>
      <c r="W212" s="4">
        <f t="shared" si="18"/>
        <v>6.6227146066031981</v>
      </c>
      <c r="X212">
        <f>IF(W212="","",LOOKUP(_xlfn.CONCAT(P212,", ",Q212),'[1]T+S Costs'!$F$2:$F$3138,'[1]T+S Costs'!$N$2:$N$3138))</f>
        <v>24.349573619949826</v>
      </c>
      <c r="Y212" s="14">
        <f t="shared" si="19"/>
        <v>0.48921803751787779</v>
      </c>
      <c r="Z212" s="4">
        <f t="shared" si="20"/>
        <v>7.111932644121076</v>
      </c>
    </row>
    <row r="213" spans="16:26" x14ac:dyDescent="0.25">
      <c r="P213" s="10" t="str">
        <f>IF('[1]All Data '!AZ218="","",'[1]All Data '!AZ218)</f>
        <v>Simpson County</v>
      </c>
      <c r="Q213" s="10" t="str">
        <f>IF('[1]All Data '!BB218="","",'[1]All Data '!BB218)</f>
        <v>KY</v>
      </c>
      <c r="R213" s="10">
        <f>IF('[1]All Data '!BD218="","",'[1]All Data '!BD218)</f>
        <v>70</v>
      </c>
      <c r="S213" s="11">
        <f>IF(R213="","",'[1]All Data '!BE218)</f>
        <v>0.18665110539120622</v>
      </c>
      <c r="T213" s="12">
        <f>IF(S213="","",[1]Inputs_Outputs!$B$8*(1-'LOCH Calc COE Calc'!S213))</f>
        <v>258712.28455965989</v>
      </c>
      <c r="U213" s="13">
        <f t="shared" si="16"/>
        <v>52880790.963994481</v>
      </c>
      <c r="V213" s="13">
        <f t="shared" si="17"/>
        <v>1.8242512255763073</v>
      </c>
      <c r="W213" s="4">
        <f t="shared" si="18"/>
        <v>6.6526546944444611</v>
      </c>
      <c r="X213">
        <f>IF(W213="","",LOOKUP(_xlfn.CONCAT(P213,", ",Q213),'[1]T+S Costs'!$F$2:$F$3138,'[1]T+S Costs'!$N$2:$N$3138))</f>
        <v>14.375665822920915</v>
      </c>
      <c r="Y213" s="14">
        <f t="shared" si="19"/>
        <v>0.28882785101995101</v>
      </c>
      <c r="Z213" s="4">
        <f t="shared" si="20"/>
        <v>6.941482545464412</v>
      </c>
    </row>
    <row r="214" spans="16:26" x14ac:dyDescent="0.25">
      <c r="P214" s="10" t="str">
        <f>IF('[1]All Data '!AZ219="","",'[1]All Data '!AZ219)</f>
        <v>Benton County</v>
      </c>
      <c r="Q214" s="10" t="str">
        <f>IF('[1]All Data '!BB219="","",'[1]All Data '!BB219)</f>
        <v>IA</v>
      </c>
      <c r="R214" s="10">
        <f>IF('[1]All Data '!BD219="","",'[1]All Data '!BD219)</f>
        <v>70</v>
      </c>
      <c r="S214" s="11">
        <f>IF(R214="","",'[1]All Data '!BE219)</f>
        <v>0.2</v>
      </c>
      <c r="T214" s="12">
        <f>IF(S214="","",[1]Inputs_Outputs!$B$8*(1-'LOCH Calc COE Calc'!S214))</f>
        <v>254466.23093681919</v>
      </c>
      <c r="U214" s="13">
        <f t="shared" si="16"/>
        <v>52012897.603485852</v>
      </c>
      <c r="V214" s="13">
        <f t="shared" si="17"/>
        <v>1.7943111377350451</v>
      </c>
      <c r="W214" s="4">
        <f t="shared" si="18"/>
        <v>6.6227146066031981</v>
      </c>
      <c r="X214">
        <f>IF(W214="","",LOOKUP(_xlfn.CONCAT(P214,", ",Q214),'[1]T+S Costs'!$F$2:$F$3138,'[1]T+S Costs'!$N$2:$N$3138))</f>
        <v>22.2362850780064</v>
      </c>
      <c r="Y214" s="14">
        <f t="shared" si="19"/>
        <v>0.4467590240938592</v>
      </c>
      <c r="Z214" s="4">
        <f t="shared" si="20"/>
        <v>7.0694736306970576</v>
      </c>
    </row>
    <row r="215" spans="16:26" x14ac:dyDescent="0.25">
      <c r="P215" s="10" t="str">
        <f>IF('[1]All Data '!AZ220="","",'[1]All Data '!AZ220)</f>
        <v>Lancaster County</v>
      </c>
      <c r="Q215" s="10" t="str">
        <f>IF('[1]All Data '!BB220="","",'[1]All Data '!BB220)</f>
        <v>NE</v>
      </c>
      <c r="R215" s="10">
        <f>IF('[1]All Data '!BD220="","",'[1]All Data '!BD220)</f>
        <v>70</v>
      </c>
      <c r="S215" s="11">
        <f>IF(R215="","",'[1]All Data '!BE220)</f>
        <v>0.2</v>
      </c>
      <c r="T215" s="12">
        <f>IF(S215="","",[1]Inputs_Outputs!$B$8*(1-'LOCH Calc COE Calc'!S215))</f>
        <v>254466.23093681919</v>
      </c>
      <c r="U215" s="13">
        <f t="shared" si="16"/>
        <v>52012897.603485852</v>
      </c>
      <c r="V215" s="13">
        <f t="shared" si="17"/>
        <v>1.7943111377350451</v>
      </c>
      <c r="W215" s="4">
        <f t="shared" si="18"/>
        <v>6.6227146066031981</v>
      </c>
      <c r="X215">
        <f>IF(W215="","",LOOKUP(_xlfn.CONCAT(P215,", ",Q215),'[1]T+S Costs'!$F$2:$F$3138,'[1]T+S Costs'!$N$2:$N$3138))</f>
        <v>20.638728033107419</v>
      </c>
      <c r="Y215" s="14">
        <f t="shared" si="19"/>
        <v>0.41466179994829933</v>
      </c>
      <c r="Z215" s="4">
        <f t="shared" si="20"/>
        <v>7.0373764065514974</v>
      </c>
    </row>
    <row r="216" spans="16:26" x14ac:dyDescent="0.25">
      <c r="P216" s="10" t="str">
        <f>IF('[1]All Data '!AZ221="","",'[1]All Data '!AZ221)</f>
        <v>Boone County</v>
      </c>
      <c r="Q216" s="10" t="str">
        <f>IF('[1]All Data '!BB221="","",'[1]All Data '!BB221)</f>
        <v>IA</v>
      </c>
      <c r="R216" s="10">
        <f>IF('[1]All Data '!BD221="","",'[1]All Data '!BD221)</f>
        <v>70</v>
      </c>
      <c r="S216" s="11">
        <f>IF(R216="","",'[1]All Data '!BE221)</f>
        <v>0.2</v>
      </c>
      <c r="T216" s="12">
        <f>IF(S216="","",[1]Inputs_Outputs!$B$8*(1-'LOCH Calc COE Calc'!S216))</f>
        <v>254466.23093681919</v>
      </c>
      <c r="U216" s="13">
        <f t="shared" si="16"/>
        <v>52012897.603485852</v>
      </c>
      <c r="V216" s="13">
        <f t="shared" si="17"/>
        <v>1.7943111377350451</v>
      </c>
      <c r="W216" s="4">
        <f t="shared" si="18"/>
        <v>6.6227146066031981</v>
      </c>
      <c r="X216">
        <f>IF(W216="","",LOOKUP(_xlfn.CONCAT(P216,", ",Q216),'[1]T+S Costs'!$F$2:$F$3138,'[1]T+S Costs'!$N$2:$N$3138))</f>
        <v>20.92772159808333</v>
      </c>
      <c r="Y216" s="14">
        <f t="shared" si="19"/>
        <v>0.42046809729541085</v>
      </c>
      <c r="Z216" s="4">
        <f t="shared" si="20"/>
        <v>7.0431827038986086</v>
      </c>
    </row>
    <row r="217" spans="16:26" x14ac:dyDescent="0.25">
      <c r="P217" s="10" t="str">
        <f>IF('[1]All Data '!AZ222="","",'[1]All Data '!AZ222)</f>
        <v>Ward County</v>
      </c>
      <c r="Q217" s="10" t="str">
        <f>IF('[1]All Data '!BB222="","",'[1]All Data '!BB222)</f>
        <v>ND</v>
      </c>
      <c r="R217" s="10">
        <f>IF('[1]All Data '!BD222="","",'[1]All Data '!BD222)</f>
        <v>70</v>
      </c>
      <c r="S217" s="11">
        <f>IF(R217="","",'[1]All Data '!BE222)</f>
        <v>0.16168869953701626</v>
      </c>
      <c r="T217" s="12">
        <f>IF(S217="","",[1]Inputs_Outputs!$B$8*(1-'LOCH Calc COE Calc'!S217))</f>
        <v>266652.39622569853</v>
      </c>
      <c r="U217" s="13">
        <f t="shared" si="16"/>
        <v>54503749.788532779</v>
      </c>
      <c r="V217" s="13">
        <f t="shared" si="17"/>
        <v>1.8802391291373515</v>
      </c>
      <c r="W217" s="4">
        <f t="shared" si="18"/>
        <v>6.7086425980055049</v>
      </c>
      <c r="X217">
        <f>IF(W217="","",LOOKUP(_xlfn.CONCAT(P217,", ",Q217),'[1]T+S Costs'!$F$2:$F$3138,'[1]T+S Costs'!$N$2:$N$3138))</f>
        <v>13.013450910558621</v>
      </c>
      <c r="Y217" s="14">
        <f t="shared" si="19"/>
        <v>0.26145898959736474</v>
      </c>
      <c r="Z217" s="4">
        <f t="shared" si="20"/>
        <v>6.97010158760287</v>
      </c>
    </row>
    <row r="218" spans="16:26" x14ac:dyDescent="0.25">
      <c r="P218" s="10" t="str">
        <f>IF('[1]All Data '!AZ223="","",'[1]All Data '!AZ223)</f>
        <v>Holt County</v>
      </c>
      <c r="Q218" s="10" t="str">
        <f>IF('[1]All Data '!BB223="","",'[1]All Data '!BB223)</f>
        <v>NE</v>
      </c>
      <c r="R218" s="10">
        <f>IF('[1]All Data '!BD223="","",'[1]All Data '!BD223)</f>
        <v>70</v>
      </c>
      <c r="S218" s="11">
        <f>IF(R218="","",'[1]All Data '!BE223)</f>
        <v>0.2</v>
      </c>
      <c r="T218" s="12">
        <f>IF(S218="","",[1]Inputs_Outputs!$B$8*(1-'LOCH Calc COE Calc'!S218))</f>
        <v>254466.23093681919</v>
      </c>
      <c r="U218" s="13">
        <f t="shared" si="16"/>
        <v>52012897.603485852</v>
      </c>
      <c r="V218" s="13">
        <f t="shared" si="17"/>
        <v>1.7943111377350451</v>
      </c>
      <c r="W218" s="4">
        <f t="shared" si="18"/>
        <v>6.6227146066031981</v>
      </c>
      <c r="X218">
        <f>IF(W218="","",LOOKUP(_xlfn.CONCAT(P218,", ",Q218),'[1]T+S Costs'!$F$2:$F$3138,'[1]T+S Costs'!$N$2:$N$3138))</f>
        <v>19.109312301956511</v>
      </c>
      <c r="Y218" s="14">
        <f t="shared" si="19"/>
        <v>0.38393363303166822</v>
      </c>
      <c r="Z218" s="4">
        <f t="shared" si="20"/>
        <v>7.0066482396348659</v>
      </c>
    </row>
    <row r="219" spans="16:26" x14ac:dyDescent="0.25">
      <c r="P219" s="10" t="str">
        <f>IF('[1]All Data '!AZ224="","",'[1]All Data '!AZ224)</f>
        <v>Linn County</v>
      </c>
      <c r="Q219" s="10" t="str">
        <f>IF('[1]All Data '!BB224="","",'[1]All Data '!BB224)</f>
        <v>IA</v>
      </c>
      <c r="R219" s="10">
        <f>IF('[1]All Data '!BD224="","",'[1]All Data '!BD224)</f>
        <v>70</v>
      </c>
      <c r="S219" s="11">
        <f>IF(R219="","",'[1]All Data '!BE224)</f>
        <v>0.2</v>
      </c>
      <c r="T219" s="12">
        <f>IF(S219="","",[1]Inputs_Outputs!$B$8*(1-'LOCH Calc COE Calc'!S219))</f>
        <v>254466.23093681919</v>
      </c>
      <c r="U219" s="13">
        <f t="shared" si="16"/>
        <v>52012897.603485852</v>
      </c>
      <c r="V219" s="13">
        <f t="shared" si="17"/>
        <v>1.7943111377350451</v>
      </c>
      <c r="W219" s="4">
        <f t="shared" si="18"/>
        <v>6.6227146066031981</v>
      </c>
      <c r="X219">
        <f>IF(W219="","",LOOKUP(_xlfn.CONCAT(P219,", ",Q219),'[1]T+S Costs'!$F$2:$F$3138,'[1]T+S Costs'!$N$2:$N$3138))</f>
        <v>16.455321879612825</v>
      </c>
      <c r="Y219" s="14">
        <f t="shared" si="19"/>
        <v>0.33061113932909075</v>
      </c>
      <c r="Z219" s="4">
        <f t="shared" si="20"/>
        <v>6.9533257459322888</v>
      </c>
    </row>
    <row r="220" spans="16:26" x14ac:dyDescent="0.25">
      <c r="P220" s="10" t="str">
        <f>IF('[1]All Data '!AZ225="","",'[1]All Data '!AZ225)</f>
        <v>Louisa County</v>
      </c>
      <c r="Q220" s="10" t="str">
        <f>IF('[1]All Data '!BB225="","",'[1]All Data '!BB225)</f>
        <v>IA</v>
      </c>
      <c r="R220" s="10">
        <f>IF('[1]All Data '!BD225="","",'[1]All Data '!BD225)</f>
        <v>70</v>
      </c>
      <c r="S220" s="11">
        <f>IF(R220="","",'[1]All Data '!BE225)</f>
        <v>0.2</v>
      </c>
      <c r="T220" s="12">
        <f>IF(S220="","",[1]Inputs_Outputs!$B$8*(1-'LOCH Calc COE Calc'!S220))</f>
        <v>254466.23093681919</v>
      </c>
      <c r="U220" s="13">
        <f t="shared" si="16"/>
        <v>52012897.603485852</v>
      </c>
      <c r="V220" s="13">
        <f t="shared" si="17"/>
        <v>1.7943111377350451</v>
      </c>
      <c r="W220" s="4">
        <f t="shared" si="18"/>
        <v>6.6227146066031981</v>
      </c>
      <c r="X220">
        <f>IF(W220="","",LOOKUP(_xlfn.CONCAT(P220,", ",Q220),'[1]T+S Costs'!$F$2:$F$3138,'[1]T+S Costs'!$N$2:$N$3138))</f>
        <v>22.936316324598639</v>
      </c>
      <c r="Y220" s="14">
        <f t="shared" si="19"/>
        <v>0.46082366103593941</v>
      </c>
      <c r="Z220" s="4">
        <f t="shared" si="20"/>
        <v>7.0835382676391374</v>
      </c>
    </row>
    <row r="221" spans="16:26" x14ac:dyDescent="0.25">
      <c r="P221" s="10" t="str">
        <f>IF('[1]All Data '!AZ226="","",'[1]All Data '!AZ226)</f>
        <v>Marshall County</v>
      </c>
      <c r="Q221" s="10" t="str">
        <f>IF('[1]All Data '!BB226="","",'[1]All Data '!BB226)</f>
        <v>IA</v>
      </c>
      <c r="R221" s="10">
        <f>IF('[1]All Data '!BD226="","",'[1]All Data '!BD226)</f>
        <v>70</v>
      </c>
      <c r="S221" s="11">
        <f>IF(R221="","",'[1]All Data '!BE226)</f>
        <v>0.2</v>
      </c>
      <c r="T221" s="12">
        <f>IF(S221="","",[1]Inputs_Outputs!$B$8*(1-'LOCH Calc COE Calc'!S221))</f>
        <v>254466.23093681919</v>
      </c>
      <c r="U221" s="13">
        <f t="shared" si="16"/>
        <v>52012897.603485852</v>
      </c>
      <c r="V221" s="13">
        <f t="shared" si="17"/>
        <v>1.7943111377350451</v>
      </c>
      <c r="W221" s="4">
        <f t="shared" si="18"/>
        <v>6.6227146066031981</v>
      </c>
      <c r="X221">
        <f>IF(W221="","",LOOKUP(_xlfn.CONCAT(P221,", ",Q221),'[1]T+S Costs'!$F$2:$F$3138,'[1]T+S Costs'!$N$2:$N$3138))</f>
        <v>19.681542109964614</v>
      </c>
      <c r="Y221" s="14">
        <f t="shared" si="19"/>
        <v>0.39543055482801515</v>
      </c>
      <c r="Z221" s="4">
        <f t="shared" si="20"/>
        <v>7.0181451614312129</v>
      </c>
    </row>
    <row r="222" spans="16:26" x14ac:dyDescent="0.25">
      <c r="P222" s="10" t="str">
        <f>IF('[1]All Data '!AZ227="","",'[1]All Data '!AZ227)</f>
        <v>Porter County</v>
      </c>
      <c r="Q222" s="10" t="str">
        <f>IF('[1]All Data '!BB227="","",'[1]All Data '!BB227)</f>
        <v>IN</v>
      </c>
      <c r="R222" s="10">
        <f>IF('[1]All Data '!BD227="","",'[1]All Data '!BD227)</f>
        <v>70</v>
      </c>
      <c r="S222" s="11">
        <f>IF(R222="","",'[1]All Data '!BE227)</f>
        <v>0.2</v>
      </c>
      <c r="T222" s="12">
        <f>IF(S222="","",[1]Inputs_Outputs!$B$8*(1-'LOCH Calc COE Calc'!S222))</f>
        <v>254466.23093681919</v>
      </c>
      <c r="U222" s="13">
        <f t="shared" si="16"/>
        <v>52012897.603485852</v>
      </c>
      <c r="V222" s="13">
        <f t="shared" si="17"/>
        <v>1.7943111377350451</v>
      </c>
      <c r="W222" s="4">
        <f t="shared" si="18"/>
        <v>6.6227146066031981</v>
      </c>
      <c r="X222">
        <f>IF(W222="","",LOOKUP(_xlfn.CONCAT(P222,", ",Q222),'[1]T+S Costs'!$F$2:$F$3138,'[1]T+S Costs'!$N$2:$N$3138))</f>
        <v>11.985389852575219</v>
      </c>
      <c r="Y222" s="14">
        <f t="shared" si="19"/>
        <v>0.24080376084119776</v>
      </c>
      <c r="Z222" s="4">
        <f t="shared" si="20"/>
        <v>6.8635183674443958</v>
      </c>
    </row>
    <row r="223" spans="16:26" x14ac:dyDescent="0.25">
      <c r="P223" s="10" t="str">
        <f>IF('[1]All Data '!AZ228="","",'[1]All Data '!AZ228)</f>
        <v>Lincoln County</v>
      </c>
      <c r="Q223" s="10" t="str">
        <f>IF('[1]All Data '!BB228="","",'[1]All Data '!BB228)</f>
        <v>MN</v>
      </c>
      <c r="R223" s="10">
        <f>IF('[1]All Data '!BD228="","",'[1]All Data '!BD228)</f>
        <v>70</v>
      </c>
      <c r="S223" s="11">
        <f>IF(R223="","",'[1]All Data '!BE228)</f>
        <v>0.19945264252270592</v>
      </c>
      <c r="T223" s="12">
        <f>IF(S223="","",[1]Inputs_Outputs!$B$8*(1-'LOCH Calc COE Calc'!S223))</f>
        <v>254640.33592959683</v>
      </c>
      <c r="U223" s="13">
        <f t="shared" si="16"/>
        <v>52048484.664009601</v>
      </c>
      <c r="V223" s="13">
        <f t="shared" si="17"/>
        <v>1.7955387997573344</v>
      </c>
      <c r="W223" s="4">
        <f t="shared" si="18"/>
        <v>6.6239422686254876</v>
      </c>
      <c r="X223">
        <f>IF(W223="","",LOOKUP(_xlfn.CONCAT(P223,", ",Q223),'[1]T+S Costs'!$F$2:$F$3138,'[1]T+S Costs'!$N$2:$N$3138))</f>
        <v>16.872119862026231</v>
      </c>
      <c r="Y223" s="14">
        <f t="shared" si="19"/>
        <v>0.33898521167139395</v>
      </c>
      <c r="Z223" s="4">
        <f t="shared" si="20"/>
        <v>6.9629274802968819</v>
      </c>
    </row>
    <row r="224" spans="16:26" x14ac:dyDescent="0.25">
      <c r="P224" s="10" t="str">
        <f>IF('[1]All Data '!AZ229="","",'[1]All Data '!AZ229)</f>
        <v>Faribault County</v>
      </c>
      <c r="Q224" s="10" t="str">
        <f>IF('[1]All Data '!BB229="","",'[1]All Data '!BB229)</f>
        <v>MN</v>
      </c>
      <c r="R224" s="10">
        <f>IF('[1]All Data '!BD229="","",'[1]All Data '!BD229)</f>
        <v>70</v>
      </c>
      <c r="S224" s="11">
        <f>IF(R224="","",'[1]All Data '!BE229)</f>
        <v>0.2</v>
      </c>
      <c r="T224" s="12">
        <f>IF(S224="","",[1]Inputs_Outputs!$B$8*(1-'LOCH Calc COE Calc'!S224))</f>
        <v>254466.23093681919</v>
      </c>
      <c r="U224" s="13">
        <f t="shared" si="16"/>
        <v>52012897.603485852</v>
      </c>
      <c r="V224" s="13">
        <f t="shared" si="17"/>
        <v>1.7943111377350451</v>
      </c>
      <c r="W224" s="4">
        <f t="shared" si="18"/>
        <v>6.6227146066031981</v>
      </c>
      <c r="X224">
        <f>IF(W224="","",LOOKUP(_xlfn.CONCAT(P224,", ",Q224),'[1]T+S Costs'!$F$2:$F$3138,'[1]T+S Costs'!$N$2:$N$3138))</f>
        <v>24.624720746168862</v>
      </c>
      <c r="Y224" s="14">
        <f t="shared" si="19"/>
        <v>0.49474613994868494</v>
      </c>
      <c r="Z224" s="4">
        <f t="shared" si="20"/>
        <v>7.1174607465518829</v>
      </c>
    </row>
    <row r="225" spans="16:26" x14ac:dyDescent="0.25">
      <c r="P225" s="10" t="str">
        <f>IF('[1]All Data '!AZ230="","",'[1]All Data '!AZ230)</f>
        <v>Pocahontas County</v>
      </c>
      <c r="Q225" s="10" t="str">
        <f>IF('[1]All Data '!BB230="","",'[1]All Data '!BB230)</f>
        <v>IA</v>
      </c>
      <c r="R225" s="10">
        <f>IF('[1]All Data '!BD230="","",'[1]All Data '!BD230)</f>
        <v>70</v>
      </c>
      <c r="S225" s="11">
        <f>IF(R225="","",'[1]All Data '!BE230)</f>
        <v>0.2</v>
      </c>
      <c r="T225" s="12">
        <f>IF(S225="","",[1]Inputs_Outputs!$B$8*(1-'LOCH Calc COE Calc'!S225))</f>
        <v>254466.23093681919</v>
      </c>
      <c r="U225" s="13">
        <f t="shared" si="16"/>
        <v>52012897.603485852</v>
      </c>
      <c r="V225" s="13">
        <f t="shared" si="17"/>
        <v>1.7943111377350451</v>
      </c>
      <c r="W225" s="4">
        <f t="shared" si="18"/>
        <v>6.6227146066031981</v>
      </c>
      <c r="X225">
        <f>IF(W225="","",LOOKUP(_xlfn.CONCAT(P225,", ",Q225),'[1]T+S Costs'!$F$2:$F$3138,'[1]T+S Costs'!$N$2:$N$3138))</f>
        <v>24.140095389678251</v>
      </c>
      <c r="Y225" s="14">
        <f t="shared" si="19"/>
        <v>0.48500931787803103</v>
      </c>
      <c r="Z225" s="4">
        <f t="shared" si="20"/>
        <v>7.1077239244812294</v>
      </c>
    </row>
    <row r="226" spans="16:26" x14ac:dyDescent="0.25">
      <c r="P226" s="10" t="str">
        <f>IF('[1]All Data '!AZ231="","",'[1]All Data '!AZ231)</f>
        <v>Delaware County</v>
      </c>
      <c r="Q226" s="10" t="str">
        <f>IF('[1]All Data '!BB231="","",'[1]All Data '!BB231)</f>
        <v>IN</v>
      </c>
      <c r="R226" s="10">
        <f>IF('[1]All Data '!BD231="","",'[1]All Data '!BD231)</f>
        <v>70</v>
      </c>
      <c r="S226" s="11">
        <f>IF(R226="","",'[1]All Data '!BE231)</f>
        <v>0.2</v>
      </c>
      <c r="T226" s="12">
        <f>IF(S226="","",[1]Inputs_Outputs!$B$8*(1-'LOCH Calc COE Calc'!S226))</f>
        <v>254466.23093681919</v>
      </c>
      <c r="U226" s="13">
        <f t="shared" si="16"/>
        <v>52012897.603485852</v>
      </c>
      <c r="V226" s="13">
        <f t="shared" si="17"/>
        <v>1.7943111377350451</v>
      </c>
      <c r="W226" s="4">
        <f t="shared" si="18"/>
        <v>6.6227146066031981</v>
      </c>
      <c r="X226">
        <f>IF(W226="","",LOOKUP(_xlfn.CONCAT(P226,", ",Q226),'[1]T+S Costs'!$F$2:$F$3138,'[1]T+S Costs'!$N$2:$N$3138))</f>
        <v>16.981486552374061</v>
      </c>
      <c r="Y226" s="14">
        <f t="shared" si="19"/>
        <v>0.34118254614865784</v>
      </c>
      <c r="Z226" s="4">
        <f t="shared" si="20"/>
        <v>6.9638971527518558</v>
      </c>
    </row>
    <row r="227" spans="16:26" x14ac:dyDescent="0.25">
      <c r="P227" s="10" t="str">
        <f>IF('[1]All Data '!AZ232="","",'[1]All Data '!AZ232)</f>
        <v>Fayette County</v>
      </c>
      <c r="Q227" s="10" t="str">
        <f>IF('[1]All Data '!BB232="","",'[1]All Data '!BB232)</f>
        <v>IA</v>
      </c>
      <c r="R227" s="10">
        <f>IF('[1]All Data '!BD232="","",'[1]All Data '!BD232)</f>
        <v>70</v>
      </c>
      <c r="S227" s="11">
        <f>IF(R227="","",'[1]All Data '!BE232)</f>
        <v>0.2</v>
      </c>
      <c r="T227" s="12">
        <f>IF(S227="","",[1]Inputs_Outputs!$B$8*(1-'LOCH Calc COE Calc'!S227))</f>
        <v>254466.23093681919</v>
      </c>
      <c r="U227" s="13">
        <f t="shared" si="16"/>
        <v>52012897.603485852</v>
      </c>
      <c r="V227" s="13">
        <f t="shared" si="17"/>
        <v>1.7943111377350451</v>
      </c>
      <c r="W227" s="4">
        <f t="shared" si="18"/>
        <v>6.6227146066031981</v>
      </c>
      <c r="X227">
        <f>IF(W227="","",LOOKUP(_xlfn.CONCAT(P227,", ",Q227),'[1]T+S Costs'!$F$2:$F$3138,'[1]T+S Costs'!$N$2:$N$3138))</f>
        <v>19.681542109964614</v>
      </c>
      <c r="Y227" s="14">
        <f t="shared" si="19"/>
        <v>0.39543055482801515</v>
      </c>
      <c r="Z227" s="4">
        <f t="shared" si="20"/>
        <v>7.0181451614312129</v>
      </c>
    </row>
    <row r="228" spans="16:26" x14ac:dyDescent="0.25">
      <c r="P228" s="10" t="str">
        <f>IF('[1]All Data '!AZ233="","",'[1]All Data '!AZ233)</f>
        <v>Sedgwick County</v>
      </c>
      <c r="Q228" s="10" t="str">
        <f>IF('[1]All Data '!BB233="","",'[1]All Data '!BB233)</f>
        <v>CO</v>
      </c>
      <c r="R228" s="10">
        <f>IF('[1]All Data '!BD233="","",'[1]All Data '!BD233)</f>
        <v>70</v>
      </c>
      <c r="S228" s="11">
        <f>IF(R228="","",'[1]All Data '!BE233)</f>
        <v>0.18007851408305733</v>
      </c>
      <c r="T228" s="12">
        <f>IF(S228="","",[1]Inputs_Outputs!$B$8*(1-'LOCH Calc COE Calc'!S228))</f>
        <v>260802.91273175084</v>
      </c>
      <c r="U228" s="13">
        <f t="shared" si="16"/>
        <v>53308115.36236988</v>
      </c>
      <c r="V228" s="13">
        <f t="shared" si="17"/>
        <v>1.8389928178112978</v>
      </c>
      <c r="W228" s="4">
        <f t="shared" si="18"/>
        <v>6.6673962866794509</v>
      </c>
      <c r="X228">
        <f>IF(W228="","",LOOKUP(_xlfn.CONCAT(P228,", ",Q228),'[1]T+S Costs'!$F$2:$F$3138,'[1]T+S Costs'!$N$2:$N$3138))</f>
        <v>16.759849420284183</v>
      </c>
      <c r="Y228" s="14">
        <f t="shared" si="19"/>
        <v>0.33672953664243532</v>
      </c>
      <c r="Z228" s="4">
        <f t="shared" si="20"/>
        <v>7.0041258233218864</v>
      </c>
    </row>
    <row r="229" spans="16:26" x14ac:dyDescent="0.25">
      <c r="P229" s="10" t="str">
        <f>IF('[1]All Data '!AZ234="","",'[1]All Data '!AZ234)</f>
        <v>Sanilac County</v>
      </c>
      <c r="Q229" s="10" t="str">
        <f>IF('[1]All Data '!BB234="","",'[1]All Data '!BB234)</f>
        <v>MI</v>
      </c>
      <c r="R229" s="10">
        <f>IF('[1]All Data '!BD234="","",'[1]All Data '!BD234)</f>
        <v>70</v>
      </c>
      <c r="S229" s="11">
        <f>IF(R229="","",'[1]All Data '!BE234)</f>
        <v>0.19373964479628025</v>
      </c>
      <c r="T229" s="12">
        <f>IF(S229="","",[1]Inputs_Outputs!$B$8*(1-'LOCH Calc COE Calc'!S229))</f>
        <v>256457.5421780895</v>
      </c>
      <c r="U229" s="13">
        <f t="shared" si="16"/>
        <v>52419921.621201493</v>
      </c>
      <c r="V229" s="13">
        <f t="shared" si="17"/>
        <v>1.8083524190703095</v>
      </c>
      <c r="W229" s="4">
        <f t="shared" si="18"/>
        <v>6.6367558879384632</v>
      </c>
      <c r="X229">
        <f>IF(W229="","",LOOKUP(_xlfn.CONCAT(P229,", ",Q229),'[1]T+S Costs'!$F$2:$F$3138,'[1]T+S Costs'!$N$2:$N$3138))</f>
        <v>16.925140150406421</v>
      </c>
      <c r="Y229" s="14">
        <f t="shared" si="19"/>
        <v>0.34005046570149883</v>
      </c>
      <c r="Z229" s="4">
        <f t="shared" si="20"/>
        <v>6.9768063536399616</v>
      </c>
    </row>
    <row r="230" spans="16:26" x14ac:dyDescent="0.25">
      <c r="P230" s="10" t="str">
        <f>IF('[1]All Data '!AZ235="","",'[1]All Data '!AZ235)</f>
        <v>Logan County</v>
      </c>
      <c r="Q230" s="10" t="str">
        <f>IF('[1]All Data '!BB235="","",'[1]All Data '!BB235)</f>
        <v>KY</v>
      </c>
      <c r="R230" s="10">
        <f>IF('[1]All Data '!BD235="","",'[1]All Data '!BD235)</f>
        <v>70</v>
      </c>
      <c r="S230" s="11">
        <f>IF(R230="","",'[1]All Data '!BE235)</f>
        <v>0.18515949051132402</v>
      </c>
      <c r="T230" s="12">
        <f>IF(S230="","",[1]Inputs_Outputs!$B$8*(1-'LOCH Calc COE Calc'!S230))</f>
        <v>259186.74158027599</v>
      </c>
      <c r="U230" s="13">
        <f t="shared" si="16"/>
        <v>52977769.979008406</v>
      </c>
      <c r="V230" s="13">
        <f t="shared" si="17"/>
        <v>1.8275967520665366</v>
      </c>
      <c r="W230" s="4">
        <f t="shared" si="18"/>
        <v>6.6560002209346898</v>
      </c>
      <c r="X230">
        <f>IF(W230="","",LOOKUP(_xlfn.CONCAT(P230,", ",Q230),'[1]T+S Costs'!$F$2:$F$3138,'[1]T+S Costs'!$N$2:$N$3138))</f>
        <v>22.936316324598639</v>
      </c>
      <c r="Y230" s="14">
        <f t="shared" si="19"/>
        <v>0.46082366103593941</v>
      </c>
      <c r="Z230" s="4">
        <f t="shared" si="20"/>
        <v>7.1168238819706291</v>
      </c>
    </row>
    <row r="231" spans="16:26" x14ac:dyDescent="0.25">
      <c r="P231" s="10" t="str">
        <f>IF('[1]All Data '!AZ236="","",'[1]All Data '!AZ236)</f>
        <v>Clay County</v>
      </c>
      <c r="Q231" s="10" t="str">
        <f>IF('[1]All Data '!BB236="","",'[1]All Data '!BB236)</f>
        <v>NE</v>
      </c>
      <c r="R231" s="10">
        <f>IF('[1]All Data '!BD236="","",'[1]All Data '!BD236)</f>
        <v>70</v>
      </c>
      <c r="S231" s="11">
        <f>IF(R231="","",'[1]All Data '!BE236)</f>
        <v>0.20024795679109456</v>
      </c>
      <c r="T231" s="12">
        <f>IF(S231="","",[1]Inputs_Outputs!$B$8*(1-'LOCH Calc COE Calc'!S231))</f>
        <v>254387.36014923791</v>
      </c>
      <c r="U231" s="13">
        <f t="shared" si="16"/>
        <v>51996776.41450423</v>
      </c>
      <c r="V231" s="13">
        <f t="shared" si="17"/>
        <v>1.7937549981951226</v>
      </c>
      <c r="W231" s="4">
        <f t="shared" si="18"/>
        <v>6.6221584670632758</v>
      </c>
      <c r="X231">
        <f>IF(W231="","",LOOKUP(_xlfn.CONCAT(P231,", ",Q231),'[1]T+S Costs'!$F$2:$F$3138,'[1]T+S Costs'!$N$2:$N$3138))</f>
        <v>17.675590139136251</v>
      </c>
      <c r="Y231" s="14">
        <f t="shared" si="19"/>
        <v>0.35512808785915845</v>
      </c>
      <c r="Z231" s="4">
        <f t="shared" si="20"/>
        <v>6.9772865549224345</v>
      </c>
    </row>
    <row r="232" spans="16:26" x14ac:dyDescent="0.25">
      <c r="P232" s="10" t="str">
        <f>IF('[1]All Data '!AZ237="","",'[1]All Data '!AZ237)</f>
        <v>Howard County</v>
      </c>
      <c r="Q232" s="10" t="str">
        <f>IF('[1]All Data '!BB237="","",'[1]All Data '!BB237)</f>
        <v>IA</v>
      </c>
      <c r="R232" s="10">
        <f>IF('[1]All Data '!BD237="","",'[1]All Data '!BD237)</f>
        <v>70</v>
      </c>
      <c r="S232" s="11">
        <f>IF(R232="","",'[1]All Data '!BE237)</f>
        <v>0.2</v>
      </c>
      <c r="T232" s="12">
        <f>IF(S232="","",[1]Inputs_Outputs!$B$8*(1-'LOCH Calc COE Calc'!S232))</f>
        <v>254466.23093681919</v>
      </c>
      <c r="U232" s="13">
        <f t="shared" si="16"/>
        <v>52012897.603485852</v>
      </c>
      <c r="V232" s="13">
        <f t="shared" si="17"/>
        <v>1.7943111377350451</v>
      </c>
      <c r="W232" s="4">
        <f t="shared" si="18"/>
        <v>6.6227146066031981</v>
      </c>
      <c r="X232">
        <f>IF(W232="","",LOOKUP(_xlfn.CONCAT(P232,", ",Q232),'[1]T+S Costs'!$F$2:$F$3138,'[1]T+S Costs'!$N$2:$N$3138))</f>
        <v>17.129826059067913</v>
      </c>
      <c r="Y232" s="14">
        <f t="shared" si="19"/>
        <v>0.34416290069136235</v>
      </c>
      <c r="Z232" s="4">
        <f t="shared" si="20"/>
        <v>6.9668775072945603</v>
      </c>
    </row>
    <row r="233" spans="16:26" x14ac:dyDescent="0.25">
      <c r="P233" s="10" t="str">
        <f>IF('[1]All Data '!AZ238="","",'[1]All Data '!AZ238)</f>
        <v>Perry County</v>
      </c>
      <c r="Q233" s="10" t="str">
        <f>IF('[1]All Data '!BB238="","",'[1]All Data '!BB238)</f>
        <v>IL</v>
      </c>
      <c r="R233" s="10">
        <f>IF('[1]All Data '!BD238="","",'[1]All Data '!BD238)</f>
        <v>70</v>
      </c>
      <c r="S233" s="11">
        <f>IF(R233="","",'[1]All Data '!BE238)</f>
        <v>0.18292511752113175</v>
      </c>
      <c r="T233" s="12">
        <f>IF(S233="","",[1]Inputs_Outputs!$B$8*(1-'LOCH Calc COE Calc'!S233))</f>
        <v>259897.45717192761</v>
      </c>
      <c r="U233" s="13">
        <f t="shared" si="16"/>
        <v>53123040.245942004</v>
      </c>
      <c r="V233" s="13">
        <f t="shared" si="17"/>
        <v>1.8326082024942327</v>
      </c>
      <c r="W233" s="4">
        <f t="shared" si="18"/>
        <v>6.6610116713623864</v>
      </c>
      <c r="X233">
        <f>IF(W233="","",LOOKUP(_xlfn.CONCAT(P233,", ",Q233),'[1]T+S Costs'!$F$2:$F$3138,'[1]T+S Costs'!$N$2:$N$3138))</f>
        <v>13.48642385239916</v>
      </c>
      <c r="Y233" s="14">
        <f t="shared" si="19"/>
        <v>0.27096169785902846</v>
      </c>
      <c r="Z233" s="4">
        <f t="shared" si="20"/>
        <v>6.9319733692214145</v>
      </c>
    </row>
    <row r="234" spans="16:26" x14ac:dyDescent="0.25">
      <c r="P234" s="10" t="str">
        <f>IF('[1]All Data '!AZ239="","",'[1]All Data '!AZ239)</f>
        <v>Caroline County</v>
      </c>
      <c r="Q234" s="10" t="str">
        <f>IF('[1]All Data '!BB239="","",'[1]All Data '!BB239)</f>
        <v>MD</v>
      </c>
      <c r="R234" s="10">
        <f>IF('[1]All Data '!BD239="","",'[1]All Data '!BD239)</f>
        <v>70</v>
      </c>
      <c r="S234" s="11">
        <f>IF(R234="","",'[1]All Data '!BE239)</f>
        <v>0.19141211467668168</v>
      </c>
      <c r="T234" s="12">
        <f>IF(S234="","",[1]Inputs_Outputs!$B$8*(1-'LOCH Calc COE Calc'!S234))</f>
        <v>257197.88944924725</v>
      </c>
      <c r="U234" s="13">
        <f t="shared" si="16"/>
        <v>52571248.603426129</v>
      </c>
      <c r="V234" s="13">
        <f t="shared" si="17"/>
        <v>1.8135728105915714</v>
      </c>
      <c r="W234" s="4">
        <f t="shared" si="18"/>
        <v>6.6419762794597244</v>
      </c>
      <c r="X234">
        <f>IF(W234="","",LOOKUP(_xlfn.CONCAT(P234,", ",Q234),'[1]T+S Costs'!$F$2:$F$3138,'[1]T+S Costs'!$N$2:$N$3138))</f>
        <v>11.073574342594528</v>
      </c>
      <c r="Y234" s="14">
        <f t="shared" si="19"/>
        <v>0.22248407272946663</v>
      </c>
      <c r="Z234" s="4">
        <f t="shared" si="20"/>
        <v>6.8644603521891909</v>
      </c>
    </row>
    <row r="235" spans="16:26" x14ac:dyDescent="0.25">
      <c r="P235" s="10" t="str">
        <f>IF('[1]All Data '!AZ240="","",'[1]All Data '!AZ240)</f>
        <v>McCook County</v>
      </c>
      <c r="Q235" s="10" t="str">
        <f>IF('[1]All Data '!BB240="","",'[1]All Data '!BB240)</f>
        <v>SD</v>
      </c>
      <c r="R235" s="10">
        <f>IF('[1]All Data '!BD240="","",'[1]All Data '!BD240)</f>
        <v>70</v>
      </c>
      <c r="S235" s="11">
        <f>IF(R235="","",'[1]All Data '!BE240)</f>
        <v>0.2</v>
      </c>
      <c r="T235" s="12">
        <f>IF(S235="","",[1]Inputs_Outputs!$B$8*(1-'LOCH Calc COE Calc'!S235))</f>
        <v>254466.23093681919</v>
      </c>
      <c r="U235" s="13">
        <f t="shared" si="16"/>
        <v>52012897.603485852</v>
      </c>
      <c r="V235" s="13">
        <f t="shared" si="17"/>
        <v>1.7943111377350451</v>
      </c>
      <c r="W235" s="4">
        <f t="shared" si="18"/>
        <v>6.6227146066031981</v>
      </c>
      <c r="X235">
        <f>IF(W235="","",LOOKUP(_xlfn.CONCAT(P235,", ",Q235),'[1]T+S Costs'!$F$2:$F$3138,'[1]T+S Costs'!$N$2:$N$3138))</f>
        <v>24.694086962317506</v>
      </c>
      <c r="Y235" s="14">
        <f t="shared" si="19"/>
        <v>0.49613980723271806</v>
      </c>
      <c r="Z235" s="4">
        <f t="shared" si="20"/>
        <v>7.1188544138359164</v>
      </c>
    </row>
    <row r="236" spans="16:26" x14ac:dyDescent="0.25">
      <c r="P236" s="10" t="str">
        <f>IF('[1]All Data '!AZ241="","",'[1]All Data '!AZ241)</f>
        <v>Rock Island County</v>
      </c>
      <c r="Q236" s="10" t="str">
        <f>IF('[1]All Data '!BB241="","",'[1]All Data '!BB241)</f>
        <v>IL</v>
      </c>
      <c r="R236" s="10">
        <f>IF('[1]All Data '!BD241="","",'[1]All Data '!BD241)</f>
        <v>70</v>
      </c>
      <c r="S236" s="11">
        <f>IF(R236="","",'[1]All Data '!BE241)</f>
        <v>0.2</v>
      </c>
      <c r="T236" s="12">
        <f>IF(S236="","",[1]Inputs_Outputs!$B$8*(1-'LOCH Calc COE Calc'!S236))</f>
        <v>254466.23093681919</v>
      </c>
      <c r="U236" s="13">
        <f t="shared" si="16"/>
        <v>52012897.603485852</v>
      </c>
      <c r="V236" s="13">
        <f t="shared" si="17"/>
        <v>1.7943111377350451</v>
      </c>
      <c r="W236" s="4">
        <f t="shared" si="18"/>
        <v>6.6227146066031981</v>
      </c>
      <c r="X236">
        <f>IF(W236="","",LOOKUP(_xlfn.CONCAT(P236,", ",Q236),'[1]T+S Costs'!$F$2:$F$3138,'[1]T+S Costs'!$N$2:$N$3138))</f>
        <v>14.253738117269759</v>
      </c>
      <c r="Y236" s="14">
        <f t="shared" si="19"/>
        <v>0.28637814763669162</v>
      </c>
      <c r="Z236" s="4">
        <f t="shared" si="20"/>
        <v>6.9090927542398894</v>
      </c>
    </row>
    <row r="237" spans="16:26" x14ac:dyDescent="0.25">
      <c r="P237" s="10" t="str">
        <f>IF('[1]All Data '!AZ242="","",'[1]All Data '!AZ242)</f>
        <v>Posey County</v>
      </c>
      <c r="Q237" s="10" t="str">
        <f>IF('[1]All Data '!BB242="","",'[1]All Data '!BB242)</f>
        <v>IN</v>
      </c>
      <c r="R237" s="10">
        <f>IF('[1]All Data '!BD242="","",'[1]All Data '!BD242)</f>
        <v>70</v>
      </c>
      <c r="S237" s="11">
        <f>IF(R237="","",'[1]All Data '!BE242)</f>
        <v>0.19814556293531499</v>
      </c>
      <c r="T237" s="12">
        <f>IF(S237="","",[1]Inputs_Outputs!$B$8*(1-'LOCH Calc COE Calc'!S237))</f>
        <v>255056.09544976908</v>
      </c>
      <c r="U237" s="13">
        <f t="shared" si="16"/>
        <v>52133465.909932807</v>
      </c>
      <c r="V237" s="13">
        <f t="shared" si="17"/>
        <v>1.7984704340842863</v>
      </c>
      <c r="W237" s="4">
        <f t="shared" si="18"/>
        <v>6.6268739029524397</v>
      </c>
      <c r="X237">
        <f>IF(W237="","",LOOKUP(_xlfn.CONCAT(P237,", ",Q237),'[1]T+S Costs'!$F$2:$F$3138,'[1]T+S Costs'!$N$2:$N$3138))</f>
        <v>12.017194299677685</v>
      </c>
      <c r="Y237" s="14">
        <f t="shared" si="19"/>
        <v>0.24144275803427639</v>
      </c>
      <c r="Z237" s="4">
        <f t="shared" si="20"/>
        <v>6.8683166609867161</v>
      </c>
    </row>
    <row r="238" spans="16:26" x14ac:dyDescent="0.25">
      <c r="P238" s="10" t="str">
        <f>IF('[1]All Data '!AZ243="","",'[1]All Data '!AZ243)</f>
        <v>Sully County</v>
      </c>
      <c r="Q238" s="10" t="str">
        <f>IF('[1]All Data '!BB243="","",'[1]All Data '!BB243)</f>
        <v>SD</v>
      </c>
      <c r="R238" s="10">
        <f>IF('[1]All Data '!BD243="","",'[1]All Data '!BD243)</f>
        <v>70</v>
      </c>
      <c r="S238" s="11">
        <f>IF(R238="","",'[1]All Data '!BE243)</f>
        <v>0.18101741752114769</v>
      </c>
      <c r="T238" s="12">
        <f>IF(S238="","",[1]Inputs_Outputs!$B$8*(1-'LOCH Calc COE Calc'!S238))</f>
        <v>260504.26370787024</v>
      </c>
      <c r="U238" s="13">
        <f t="shared" si="16"/>
        <v>53247071.501888685</v>
      </c>
      <c r="V238" s="13">
        <f t="shared" si="17"/>
        <v>1.8368869616910186</v>
      </c>
      <c r="W238" s="4">
        <f t="shared" si="18"/>
        <v>6.665290430559172</v>
      </c>
      <c r="X238">
        <f>IF(W238="","",LOOKUP(_xlfn.CONCAT(P238,", ",Q238),'[1]T+S Costs'!$F$2:$F$3138,'[1]T+S Costs'!$N$2:$N$3138))</f>
        <v>18.020103481503934</v>
      </c>
      <c r="Y238" s="14">
        <f t="shared" si="19"/>
        <v>0.36204985757399877</v>
      </c>
      <c r="Z238" s="4">
        <f t="shared" si="20"/>
        <v>7.0273402881331712</v>
      </c>
    </row>
    <row r="239" spans="16:26" x14ac:dyDescent="0.25">
      <c r="P239" s="10" t="str">
        <f>IF('[1]All Data '!AZ244="","",'[1]All Data '!AZ244)</f>
        <v/>
      </c>
      <c r="Q239" s="10" t="str">
        <f>IF('[1]All Data '!BB244="","",'[1]All Data '!BB244)</f>
        <v/>
      </c>
      <c r="R239" s="10" t="str">
        <f>IF('[1]All Data '!BD244="","",'[1]All Data '!BD244)</f>
        <v/>
      </c>
      <c r="S239" s="11" t="str">
        <f>IF(R239="","",'[1]All Data '!BE244)</f>
        <v/>
      </c>
      <c r="T239" s="12" t="str">
        <f>IF(S239="","",[1]Inputs_Outputs!$B$8*(1-'LOCH Calc COE Calc'!S239))</f>
        <v/>
      </c>
      <c r="U239" s="13" t="str">
        <f t="shared" si="16"/>
        <v/>
      </c>
      <c r="V239" s="13" t="str">
        <f t="shared" si="17"/>
        <v/>
      </c>
      <c r="W239" s="4" t="str">
        <f t="shared" si="18"/>
        <v/>
      </c>
      <c r="X239" t="str">
        <f>IF(W239="","",LOOKUP(_xlfn.CONCAT(P239,", ",Q239),'[1]T+S Costs'!$F$2:$F$3138,'[1]T+S Costs'!$N$2:$N$3138))</f>
        <v/>
      </c>
      <c r="Y239" s="14" t="str">
        <f t="shared" si="19"/>
        <v/>
      </c>
      <c r="Z239" s="4" t="str">
        <f t="shared" si="20"/>
        <v/>
      </c>
    </row>
    <row r="240" spans="16:26" x14ac:dyDescent="0.25">
      <c r="P240" s="10" t="str">
        <f>IF('[1]All Data '!AZ245="","",'[1]All Data '!AZ245)</f>
        <v/>
      </c>
      <c r="Q240" s="10" t="str">
        <f>IF('[1]All Data '!BB245="","",'[1]All Data '!BB245)</f>
        <v/>
      </c>
      <c r="R240" s="10" t="str">
        <f>IF('[1]All Data '!BD245="","",'[1]All Data '!BD245)</f>
        <v/>
      </c>
      <c r="S240" s="11" t="str">
        <f>IF(R240="","",'[1]All Data '!BE245)</f>
        <v/>
      </c>
      <c r="T240" s="12" t="str">
        <f>IF(S240="","",[1]Inputs_Outputs!$B$8*(1-'LOCH Calc COE Calc'!S240))</f>
        <v/>
      </c>
      <c r="U240" s="13" t="str">
        <f t="shared" si="16"/>
        <v/>
      </c>
      <c r="V240" s="13" t="str">
        <f t="shared" si="17"/>
        <v/>
      </c>
      <c r="W240" s="4" t="str">
        <f t="shared" si="18"/>
        <v/>
      </c>
      <c r="X240" t="str">
        <f>IF(W240="","",LOOKUP(_xlfn.CONCAT(P240,", ",Q240),'[1]T+S Costs'!$F$2:$F$3138,'[1]T+S Costs'!$N$2:$N$3138))</f>
        <v/>
      </c>
      <c r="Y240" s="14" t="str">
        <f t="shared" si="19"/>
        <v/>
      </c>
      <c r="Z240" s="4" t="str">
        <f t="shared" si="20"/>
        <v/>
      </c>
    </row>
    <row r="241" spans="16:26" x14ac:dyDescent="0.25">
      <c r="P241" s="10" t="str">
        <f>IF('[1]All Data '!AZ246="","",'[1]All Data '!AZ246)</f>
        <v/>
      </c>
      <c r="Q241" s="10" t="str">
        <f>IF('[1]All Data '!BB246="","",'[1]All Data '!BB246)</f>
        <v/>
      </c>
      <c r="R241" s="10" t="str">
        <f>IF('[1]All Data '!BD246="","",'[1]All Data '!BD246)</f>
        <v/>
      </c>
      <c r="S241" s="11" t="str">
        <f>IF(R241="","",'[1]All Data '!BE246)</f>
        <v/>
      </c>
      <c r="T241" s="12" t="str">
        <f>IF(S241="","",[1]Inputs_Outputs!$B$8*(1-'LOCH Calc COE Calc'!S241))</f>
        <v/>
      </c>
      <c r="U241" s="13" t="str">
        <f t="shared" si="16"/>
        <v/>
      </c>
      <c r="V241" s="13" t="str">
        <f t="shared" si="17"/>
        <v/>
      </c>
      <c r="W241" s="4" t="str">
        <f t="shared" si="18"/>
        <v/>
      </c>
      <c r="X241" t="str">
        <f>IF(W241="","",LOOKUP(_xlfn.CONCAT(P241,", ",Q241),'[1]T+S Costs'!$F$2:$F$3138,'[1]T+S Costs'!$N$2:$N$3138))</f>
        <v/>
      </c>
      <c r="Y241" s="14" t="str">
        <f t="shared" si="19"/>
        <v/>
      </c>
      <c r="Z241" s="4" t="str">
        <f t="shared" si="20"/>
        <v/>
      </c>
    </row>
    <row r="242" spans="16:26" x14ac:dyDescent="0.25">
      <c r="P242" s="10" t="str">
        <f>IF('[1]All Data '!AZ247="","",'[1]All Data '!AZ247)</f>
        <v/>
      </c>
      <c r="Q242" s="10" t="str">
        <f>IF('[1]All Data '!BB247="","",'[1]All Data '!BB247)</f>
        <v/>
      </c>
      <c r="R242" s="10" t="str">
        <f>IF('[1]All Data '!BD247="","",'[1]All Data '!BD247)</f>
        <v/>
      </c>
      <c r="S242" s="11" t="str">
        <f>IF(R242="","",'[1]All Data '!BE247)</f>
        <v/>
      </c>
      <c r="T242" s="12" t="str">
        <f>IF(S242="","",[1]Inputs_Outputs!$B$8*(1-'LOCH Calc COE Calc'!S242))</f>
        <v/>
      </c>
      <c r="U242" s="13" t="str">
        <f t="shared" si="16"/>
        <v/>
      </c>
      <c r="V242" s="13" t="str">
        <f t="shared" si="17"/>
        <v/>
      </c>
      <c r="W242" s="4" t="str">
        <f t="shared" si="18"/>
        <v/>
      </c>
      <c r="X242" t="str">
        <f>IF(W242="","",LOOKUP(_xlfn.CONCAT(P242,", ",Q242),'[1]T+S Costs'!$F$2:$F$3138,'[1]T+S Costs'!$N$2:$N$3138))</f>
        <v/>
      </c>
      <c r="Y242" s="14" t="str">
        <f t="shared" si="19"/>
        <v/>
      </c>
      <c r="Z242" s="4" t="str">
        <f t="shared" si="20"/>
        <v/>
      </c>
    </row>
    <row r="243" spans="16:26" x14ac:dyDescent="0.25">
      <c r="P243" s="10" t="str">
        <f>IF('[1]All Data '!AZ248="","",'[1]All Data '!AZ248)</f>
        <v/>
      </c>
      <c r="Q243" s="10" t="str">
        <f>IF('[1]All Data '!BB248="","",'[1]All Data '!BB248)</f>
        <v/>
      </c>
      <c r="R243" s="10" t="str">
        <f>IF('[1]All Data '!BD248="","",'[1]All Data '!BD248)</f>
        <v/>
      </c>
      <c r="S243" s="11" t="str">
        <f>IF(R243="","",'[1]All Data '!BE248)</f>
        <v/>
      </c>
      <c r="T243" s="12" t="str">
        <f>IF(S243="","",[1]Inputs_Outputs!$B$8*(1-'LOCH Calc COE Calc'!S243))</f>
        <v/>
      </c>
      <c r="U243" s="13" t="str">
        <f t="shared" si="16"/>
        <v/>
      </c>
      <c r="V243" s="13" t="str">
        <f t="shared" si="17"/>
        <v/>
      </c>
      <c r="W243" s="4" t="str">
        <f t="shared" si="18"/>
        <v/>
      </c>
      <c r="X243" t="str">
        <f>IF(W243="","",LOOKUP(_xlfn.CONCAT(P243,", ",Q243),'[1]T+S Costs'!$F$2:$F$3138,'[1]T+S Costs'!$N$2:$N$3138))</f>
        <v/>
      </c>
      <c r="Y243" s="14" t="str">
        <f t="shared" si="19"/>
        <v/>
      </c>
      <c r="Z243" s="4" t="str">
        <f t="shared" si="20"/>
        <v/>
      </c>
    </row>
    <row r="244" spans="16:26" x14ac:dyDescent="0.25">
      <c r="P244" s="10" t="str">
        <f>IF('[1]All Data '!AZ249="","",'[1]All Data '!AZ249)</f>
        <v/>
      </c>
      <c r="Q244" s="10" t="str">
        <f>IF('[1]All Data '!BB249="","",'[1]All Data '!BB249)</f>
        <v/>
      </c>
      <c r="R244" s="10" t="str">
        <f>IF('[1]All Data '!BD249="","",'[1]All Data '!BD249)</f>
        <v/>
      </c>
      <c r="S244" s="11" t="str">
        <f>IF(R244="","",'[1]All Data '!BE249)</f>
        <v/>
      </c>
      <c r="T244" s="12" t="str">
        <f>IF(S244="","",[1]Inputs_Outputs!$B$8*(1-'LOCH Calc COE Calc'!S244))</f>
        <v/>
      </c>
      <c r="U244" s="13" t="str">
        <f t="shared" si="16"/>
        <v/>
      </c>
      <c r="V244" s="13" t="str">
        <f t="shared" si="17"/>
        <v/>
      </c>
      <c r="W244" s="4" t="str">
        <f t="shared" si="18"/>
        <v/>
      </c>
      <c r="X244" t="str">
        <f>IF(W244="","",LOOKUP(_xlfn.CONCAT(P244,", ",Q244),'[1]T+S Costs'!$F$2:$F$3138,'[1]T+S Costs'!$N$2:$N$3138))</f>
        <v/>
      </c>
      <c r="Y244" s="14" t="str">
        <f t="shared" si="19"/>
        <v/>
      </c>
      <c r="Z244" s="4" t="str">
        <f t="shared" si="20"/>
        <v/>
      </c>
    </row>
    <row r="245" spans="16:26" x14ac:dyDescent="0.25">
      <c r="P245" s="10" t="str">
        <f>IF('[1]All Data '!AZ250="","",'[1]All Data '!AZ250)</f>
        <v/>
      </c>
      <c r="Q245" s="10" t="str">
        <f>IF('[1]All Data '!BB250="","",'[1]All Data '!BB250)</f>
        <v/>
      </c>
      <c r="R245" s="10" t="str">
        <f>IF('[1]All Data '!BD250="","",'[1]All Data '!BD250)</f>
        <v/>
      </c>
      <c r="S245" s="11" t="str">
        <f>IF(R245="","",'[1]All Data '!BE250)</f>
        <v/>
      </c>
      <c r="T245" s="12" t="str">
        <f>IF(S245="","",[1]Inputs_Outputs!$B$8*(1-'LOCH Calc COE Calc'!S245))</f>
        <v/>
      </c>
      <c r="U245" s="13" t="str">
        <f t="shared" si="16"/>
        <v/>
      </c>
      <c r="V245" s="13" t="str">
        <f t="shared" si="17"/>
        <v/>
      </c>
      <c r="W245" s="4" t="str">
        <f t="shared" si="18"/>
        <v/>
      </c>
      <c r="X245" t="str">
        <f>IF(W245="","",LOOKUP(_xlfn.CONCAT(P245,", ",Q245),'[1]T+S Costs'!$F$2:$F$3138,'[1]T+S Costs'!$N$2:$N$3138))</f>
        <v/>
      </c>
      <c r="Y245" s="14" t="str">
        <f t="shared" si="19"/>
        <v/>
      </c>
      <c r="Z245" s="4" t="str">
        <f t="shared" si="20"/>
        <v/>
      </c>
    </row>
    <row r="246" spans="16:26" x14ac:dyDescent="0.25">
      <c r="P246" s="10" t="str">
        <f>IF('[1]All Data '!AZ251="","",'[1]All Data '!AZ251)</f>
        <v/>
      </c>
      <c r="Q246" s="10" t="str">
        <f>IF('[1]All Data '!BB251="","",'[1]All Data '!BB251)</f>
        <v/>
      </c>
      <c r="R246" s="10" t="str">
        <f>IF('[1]All Data '!BD251="","",'[1]All Data '!BD251)</f>
        <v/>
      </c>
      <c r="S246" s="11" t="str">
        <f>IF(R246="","",'[1]All Data '!BE251)</f>
        <v/>
      </c>
      <c r="T246" s="12" t="str">
        <f>IF(S246="","",[1]Inputs_Outputs!$B$8*(1-'LOCH Calc COE Calc'!S246))</f>
        <v/>
      </c>
      <c r="U246" s="13" t="str">
        <f t="shared" si="16"/>
        <v/>
      </c>
      <c r="V246" s="13" t="str">
        <f t="shared" si="17"/>
        <v/>
      </c>
      <c r="W246" s="4" t="str">
        <f t="shared" si="18"/>
        <v/>
      </c>
      <c r="X246" t="str">
        <f>IF(W246="","",LOOKUP(_xlfn.CONCAT(P246,", ",Q246),'[1]T+S Costs'!$F$2:$F$3138,'[1]T+S Costs'!$N$2:$N$3138))</f>
        <v/>
      </c>
      <c r="Y246" s="14" t="str">
        <f t="shared" si="19"/>
        <v/>
      </c>
      <c r="Z246" s="4" t="str">
        <f t="shared" si="20"/>
        <v/>
      </c>
    </row>
    <row r="247" spans="16:26" x14ac:dyDescent="0.25">
      <c r="P247" s="10" t="str">
        <f>IF('[1]All Data '!AZ252="","",'[1]All Data '!AZ252)</f>
        <v/>
      </c>
      <c r="Q247" s="10" t="str">
        <f>IF('[1]All Data '!BB252="","",'[1]All Data '!BB252)</f>
        <v/>
      </c>
      <c r="R247" s="10" t="str">
        <f>IF('[1]All Data '!BD252="","",'[1]All Data '!BD252)</f>
        <v/>
      </c>
      <c r="S247" s="11" t="str">
        <f>IF(R247="","",'[1]All Data '!BE252)</f>
        <v/>
      </c>
      <c r="T247" s="12" t="str">
        <f>IF(S247="","",[1]Inputs_Outputs!$B$8*(1-'LOCH Calc COE Calc'!S247))</f>
        <v/>
      </c>
      <c r="U247" s="13" t="str">
        <f t="shared" si="16"/>
        <v/>
      </c>
      <c r="V247" s="13" t="str">
        <f t="shared" si="17"/>
        <v/>
      </c>
      <c r="W247" s="4" t="str">
        <f t="shared" si="18"/>
        <v/>
      </c>
      <c r="X247" t="str">
        <f>IF(W247="","",LOOKUP(_xlfn.CONCAT(P247,", ",Q247),'[1]T+S Costs'!$F$2:$F$3138,'[1]T+S Costs'!$N$2:$N$3138))</f>
        <v/>
      </c>
      <c r="Y247" s="14" t="str">
        <f t="shared" si="19"/>
        <v/>
      </c>
      <c r="Z247" s="4" t="str">
        <f t="shared" si="20"/>
        <v/>
      </c>
    </row>
    <row r="248" spans="16:26" x14ac:dyDescent="0.25">
      <c r="P248" s="10" t="str">
        <f>IF('[1]All Data '!AZ253="","",'[1]All Data '!AZ253)</f>
        <v/>
      </c>
      <c r="Q248" s="10" t="str">
        <f>IF('[1]All Data '!BB253="","",'[1]All Data '!BB253)</f>
        <v/>
      </c>
      <c r="R248" s="10" t="str">
        <f>IF('[1]All Data '!BD253="","",'[1]All Data '!BD253)</f>
        <v/>
      </c>
      <c r="S248" s="11" t="str">
        <f>IF(R248="","",'[1]All Data '!BE253)</f>
        <v/>
      </c>
      <c r="T248" s="12" t="str">
        <f>IF(S248="","",[1]Inputs_Outputs!$B$8*(1-'LOCH Calc COE Calc'!S248))</f>
        <v/>
      </c>
      <c r="U248" s="13" t="str">
        <f t="shared" si="16"/>
        <v/>
      </c>
      <c r="V248" s="13" t="str">
        <f t="shared" si="17"/>
        <v/>
      </c>
      <c r="W248" s="4" t="str">
        <f t="shared" si="18"/>
        <v/>
      </c>
      <c r="X248" t="str">
        <f>IF(W248="","",LOOKUP(_xlfn.CONCAT(P248,", ",Q248),'[1]T+S Costs'!$F$2:$F$3138,'[1]T+S Costs'!$N$2:$N$3138))</f>
        <v/>
      </c>
      <c r="Y248" s="14" t="str">
        <f t="shared" si="19"/>
        <v/>
      </c>
      <c r="Z248" s="4" t="str">
        <f t="shared" si="20"/>
        <v/>
      </c>
    </row>
    <row r="249" spans="16:26" x14ac:dyDescent="0.25">
      <c r="P249" s="10" t="str">
        <f>IF('[1]All Data '!AZ254="","",'[1]All Data '!AZ254)</f>
        <v/>
      </c>
      <c r="Q249" s="10" t="str">
        <f>IF('[1]All Data '!BB254="","",'[1]All Data '!BB254)</f>
        <v/>
      </c>
      <c r="R249" s="10" t="str">
        <f>IF('[1]All Data '!BD254="","",'[1]All Data '!BD254)</f>
        <v/>
      </c>
      <c r="S249" s="11" t="str">
        <f>IF(R249="","",'[1]All Data '!BE254)</f>
        <v/>
      </c>
      <c r="T249" s="12" t="str">
        <f>IF(S249="","",[1]Inputs_Outputs!$B$8*(1-'LOCH Calc COE Calc'!S249))</f>
        <v/>
      </c>
      <c r="U249" s="13" t="str">
        <f t="shared" si="16"/>
        <v/>
      </c>
      <c r="V249" s="13" t="str">
        <f t="shared" si="17"/>
        <v/>
      </c>
      <c r="W249" s="4" t="str">
        <f t="shared" si="18"/>
        <v/>
      </c>
      <c r="X249" t="str">
        <f>IF(W249="","",LOOKUP(_xlfn.CONCAT(P249,", ",Q249),'[1]T+S Costs'!$F$2:$F$3138,'[1]T+S Costs'!$N$2:$N$3138))</f>
        <v/>
      </c>
      <c r="Y249" s="14" t="str">
        <f t="shared" si="19"/>
        <v/>
      </c>
      <c r="Z249" s="4" t="str">
        <f t="shared" si="20"/>
        <v/>
      </c>
    </row>
    <row r="250" spans="16:26" x14ac:dyDescent="0.25">
      <c r="P250" s="10" t="str">
        <f>IF('[1]All Data '!AZ255="","",'[1]All Data '!AZ255)</f>
        <v/>
      </c>
      <c r="Q250" s="10" t="str">
        <f>IF('[1]All Data '!BB255="","",'[1]All Data '!BB255)</f>
        <v/>
      </c>
      <c r="R250" s="10" t="str">
        <f>IF('[1]All Data '!BD255="","",'[1]All Data '!BD255)</f>
        <v/>
      </c>
      <c r="S250" s="11" t="str">
        <f>IF(R250="","",'[1]All Data '!BE255)</f>
        <v/>
      </c>
      <c r="T250" s="12" t="str">
        <f>IF(S250="","",[1]Inputs_Outputs!$B$8*(1-'LOCH Calc COE Calc'!S250))</f>
        <v/>
      </c>
      <c r="U250" s="13" t="str">
        <f t="shared" si="16"/>
        <v/>
      </c>
      <c r="V250" s="13" t="str">
        <f t="shared" si="17"/>
        <v/>
      </c>
      <c r="W250" s="4" t="str">
        <f t="shared" si="18"/>
        <v/>
      </c>
      <c r="X250" t="str">
        <f>IF(W250="","",LOOKUP(_xlfn.CONCAT(P250,", ",Q250),'[1]T+S Costs'!$F$2:$F$3138,'[1]T+S Costs'!$N$2:$N$3138))</f>
        <v/>
      </c>
      <c r="Y250" s="14" t="str">
        <f t="shared" si="19"/>
        <v/>
      </c>
      <c r="Z250" s="4" t="str">
        <f t="shared" si="20"/>
        <v/>
      </c>
    </row>
    <row r="251" spans="16:26" x14ac:dyDescent="0.25">
      <c r="P251" s="10" t="str">
        <f>IF('[1]All Data '!AZ256="","",'[1]All Data '!AZ256)</f>
        <v/>
      </c>
      <c r="Q251" s="10" t="str">
        <f>IF('[1]All Data '!BB256="","",'[1]All Data '!BB256)</f>
        <v/>
      </c>
      <c r="R251" s="10" t="str">
        <f>IF('[1]All Data '!BD256="","",'[1]All Data '!BD256)</f>
        <v/>
      </c>
      <c r="S251" s="11" t="str">
        <f>IF(R251="","",'[1]All Data '!BE256)</f>
        <v/>
      </c>
      <c r="T251" s="12" t="str">
        <f>IF(S251="","",[1]Inputs_Outputs!$B$8*(1-'LOCH Calc COE Calc'!S251))</f>
        <v/>
      </c>
      <c r="U251" s="13" t="str">
        <f t="shared" si="16"/>
        <v/>
      </c>
      <c r="V251" s="13" t="str">
        <f t="shared" si="17"/>
        <v/>
      </c>
      <c r="W251" s="4" t="str">
        <f t="shared" si="18"/>
        <v/>
      </c>
      <c r="X251" t="str">
        <f>IF(W251="","",LOOKUP(_xlfn.CONCAT(P251,", ",Q251),'[1]T+S Costs'!$F$2:$F$3138,'[1]T+S Costs'!$N$2:$N$3138))</f>
        <v/>
      </c>
      <c r="Y251" s="14" t="str">
        <f t="shared" si="19"/>
        <v/>
      </c>
      <c r="Z251" s="4" t="str">
        <f t="shared" si="20"/>
        <v/>
      </c>
    </row>
    <row r="252" spans="16:26" x14ac:dyDescent="0.25">
      <c r="P252" s="10" t="str">
        <f>IF('[1]All Data '!AZ257="","",'[1]All Data '!AZ257)</f>
        <v/>
      </c>
      <c r="Q252" s="10" t="str">
        <f>IF('[1]All Data '!BB257="","",'[1]All Data '!BB257)</f>
        <v/>
      </c>
      <c r="R252" s="10" t="str">
        <f>IF('[1]All Data '!BD257="","",'[1]All Data '!BD257)</f>
        <v/>
      </c>
      <c r="S252" s="11" t="str">
        <f>IF(R252="","",'[1]All Data '!BE257)</f>
        <v/>
      </c>
      <c r="T252" s="12" t="str">
        <f>IF(S252="","",[1]Inputs_Outputs!$B$8*(1-'LOCH Calc COE Calc'!S252))</f>
        <v/>
      </c>
      <c r="U252" s="13" t="str">
        <f t="shared" si="16"/>
        <v/>
      </c>
      <c r="V252" s="13" t="str">
        <f t="shared" si="17"/>
        <v/>
      </c>
      <c r="W252" s="4" t="str">
        <f t="shared" si="18"/>
        <v/>
      </c>
      <c r="X252" t="str">
        <f>IF(W252="","",LOOKUP(_xlfn.CONCAT(P252,", ",Q252),'[1]T+S Costs'!$F$2:$F$3138,'[1]T+S Costs'!$N$2:$N$3138))</f>
        <v/>
      </c>
      <c r="Y252" s="14" t="str">
        <f t="shared" si="19"/>
        <v/>
      </c>
      <c r="Z252" s="4" t="str">
        <f t="shared" si="20"/>
        <v/>
      </c>
    </row>
    <row r="253" spans="16:26" x14ac:dyDescent="0.25">
      <c r="P253" s="10" t="str">
        <f>IF('[1]All Data '!AZ258="","",'[1]All Data '!AZ258)</f>
        <v/>
      </c>
      <c r="Q253" s="10" t="str">
        <f>IF('[1]All Data '!BB258="","",'[1]All Data '!BB258)</f>
        <v/>
      </c>
      <c r="R253" s="10" t="str">
        <f>IF('[1]All Data '!BD258="","",'[1]All Data '!BD258)</f>
        <v/>
      </c>
      <c r="S253" s="11" t="str">
        <f>IF(R253="","",'[1]All Data '!BE258)</f>
        <v/>
      </c>
      <c r="T253" s="12" t="str">
        <f>IF(S253="","",[1]Inputs_Outputs!$B$8*(1-'LOCH Calc COE Calc'!S253))</f>
        <v/>
      </c>
      <c r="U253" s="13" t="str">
        <f t="shared" si="16"/>
        <v/>
      </c>
      <c r="V253" s="13" t="str">
        <f t="shared" si="17"/>
        <v/>
      </c>
      <c r="W253" s="4" t="str">
        <f t="shared" si="18"/>
        <v/>
      </c>
      <c r="X253" t="str">
        <f>IF(W253="","",LOOKUP(_xlfn.CONCAT(P253,", ",Q253),'[1]T+S Costs'!$F$2:$F$3138,'[1]T+S Costs'!$N$2:$N$3138))</f>
        <v/>
      </c>
      <c r="Y253" s="14" t="str">
        <f t="shared" si="19"/>
        <v/>
      </c>
      <c r="Z253" s="4" t="str">
        <f t="shared" si="20"/>
        <v/>
      </c>
    </row>
    <row r="254" spans="16:26" x14ac:dyDescent="0.25">
      <c r="P254" s="10" t="str">
        <f>IF('[1]All Data '!AZ259="","",'[1]All Data '!AZ259)</f>
        <v/>
      </c>
      <c r="Q254" s="10" t="str">
        <f>IF('[1]All Data '!BB259="","",'[1]All Data '!BB259)</f>
        <v/>
      </c>
      <c r="R254" s="10" t="str">
        <f>IF('[1]All Data '!BD259="","",'[1]All Data '!BD259)</f>
        <v/>
      </c>
      <c r="S254" s="11" t="str">
        <f>IF(R254="","",'[1]All Data '!BE259)</f>
        <v/>
      </c>
      <c r="T254" s="12" t="str">
        <f>IF(S254="","",[1]Inputs_Outputs!$B$8*(1-'LOCH Calc COE Calc'!S254))</f>
        <v/>
      </c>
      <c r="U254" s="13" t="str">
        <f t="shared" si="16"/>
        <v/>
      </c>
      <c r="V254" s="13" t="str">
        <f t="shared" si="17"/>
        <v/>
      </c>
      <c r="W254" s="4" t="str">
        <f t="shared" si="18"/>
        <v/>
      </c>
      <c r="X254" t="str">
        <f>IF(W254="","",LOOKUP(_xlfn.CONCAT(P254,", ",Q254),'[1]T+S Costs'!$F$2:$F$3138,'[1]T+S Costs'!$N$2:$N$3138))</f>
        <v/>
      </c>
      <c r="Y254" s="14" t="str">
        <f t="shared" si="19"/>
        <v/>
      </c>
      <c r="Z254" s="4" t="str">
        <f t="shared" si="20"/>
        <v/>
      </c>
    </row>
    <row r="255" spans="16:26" x14ac:dyDescent="0.25">
      <c r="P255" s="10" t="str">
        <f>IF('[1]All Data '!AZ260="","",'[1]All Data '!AZ260)</f>
        <v/>
      </c>
      <c r="Q255" s="10" t="str">
        <f>IF('[1]All Data '!BB260="","",'[1]All Data '!BB260)</f>
        <v/>
      </c>
      <c r="R255" s="10" t="str">
        <f>IF('[1]All Data '!BD260="","",'[1]All Data '!BD260)</f>
        <v/>
      </c>
      <c r="S255" s="11" t="str">
        <f>IF(R255="","",'[1]All Data '!BE260)</f>
        <v/>
      </c>
      <c r="T255" s="12" t="str">
        <f>IF(S255="","",[1]Inputs_Outputs!$B$8*(1-'LOCH Calc COE Calc'!S255))</f>
        <v/>
      </c>
      <c r="U255" s="13" t="str">
        <f t="shared" si="16"/>
        <v/>
      </c>
      <c r="V255" s="13" t="str">
        <f t="shared" si="17"/>
        <v/>
      </c>
      <c r="W255" s="4" t="str">
        <f t="shared" si="18"/>
        <v/>
      </c>
      <c r="X255" t="str">
        <f>IF(W255="","",LOOKUP(_xlfn.CONCAT(P255,", ",Q255),'[1]T+S Costs'!$F$2:$F$3138,'[1]T+S Costs'!$N$2:$N$3138))</f>
        <v/>
      </c>
      <c r="Y255" s="14" t="str">
        <f t="shared" si="19"/>
        <v/>
      </c>
      <c r="Z255" s="4" t="str">
        <f t="shared" si="20"/>
        <v/>
      </c>
    </row>
    <row r="256" spans="16:26" x14ac:dyDescent="0.25">
      <c r="P256" s="10" t="str">
        <f>IF('[1]All Data '!AZ261="","",'[1]All Data '!AZ261)</f>
        <v/>
      </c>
      <c r="Q256" s="10" t="str">
        <f>IF('[1]All Data '!BB261="","",'[1]All Data '!BB261)</f>
        <v/>
      </c>
      <c r="R256" s="10" t="str">
        <f>IF('[1]All Data '!BD261="","",'[1]All Data '!BD261)</f>
        <v/>
      </c>
      <c r="S256" s="11" t="str">
        <f>IF(R256="","",'[1]All Data '!BE261)</f>
        <v/>
      </c>
      <c r="T256" s="12" t="str">
        <f>IF(S256="","",[1]Inputs_Outputs!$B$8*(1-'LOCH Calc COE Calc'!S256))</f>
        <v/>
      </c>
      <c r="U256" s="13" t="str">
        <f t="shared" si="16"/>
        <v/>
      </c>
      <c r="V256" s="13" t="str">
        <f t="shared" si="17"/>
        <v/>
      </c>
      <c r="W256" s="4" t="str">
        <f t="shared" si="18"/>
        <v/>
      </c>
      <c r="X256" t="str">
        <f>IF(W256="","",LOOKUP(_xlfn.CONCAT(P256,", ",Q256),'[1]T+S Costs'!$F$2:$F$3138,'[1]T+S Costs'!$N$2:$N$3138))</f>
        <v/>
      </c>
      <c r="Y256" s="14" t="str">
        <f t="shared" si="19"/>
        <v/>
      </c>
      <c r="Z256" s="4" t="str">
        <f t="shared" si="20"/>
        <v/>
      </c>
    </row>
    <row r="257" spans="16:26" x14ac:dyDescent="0.25">
      <c r="P257" s="10" t="str">
        <f>IF('[1]All Data '!AZ262="","",'[1]All Data '!AZ262)</f>
        <v/>
      </c>
      <c r="Q257" s="10" t="str">
        <f>IF('[1]All Data '!BB262="","",'[1]All Data '!BB262)</f>
        <v/>
      </c>
      <c r="R257" s="10" t="str">
        <f>IF('[1]All Data '!BD262="","",'[1]All Data '!BD262)</f>
        <v/>
      </c>
      <c r="S257" s="11" t="str">
        <f>IF(R257="","",'[1]All Data '!BE262)</f>
        <v/>
      </c>
      <c r="T257" s="12" t="str">
        <f>IF(S257="","",[1]Inputs_Outputs!$B$8*(1-'LOCH Calc COE Calc'!S257))</f>
        <v/>
      </c>
      <c r="U257" s="13" t="str">
        <f t="shared" si="16"/>
        <v/>
      </c>
      <c r="V257" s="13" t="str">
        <f t="shared" si="17"/>
        <v/>
      </c>
      <c r="W257" s="4" t="str">
        <f t="shared" si="18"/>
        <v/>
      </c>
      <c r="X257" t="str">
        <f>IF(W257="","",LOOKUP(_xlfn.CONCAT(P257,", ",Q257),'[1]T+S Costs'!$F$2:$F$3138,'[1]T+S Costs'!$N$2:$N$3138))</f>
        <v/>
      </c>
      <c r="Y257" s="14" t="str">
        <f t="shared" si="19"/>
        <v/>
      </c>
      <c r="Z257" s="4" t="str">
        <f t="shared" si="20"/>
        <v/>
      </c>
    </row>
    <row r="258" spans="16:26" x14ac:dyDescent="0.25">
      <c r="P258" s="10" t="str">
        <f>IF('[1]All Data '!AZ263="","",'[1]All Data '!AZ263)</f>
        <v/>
      </c>
      <c r="Q258" s="10" t="str">
        <f>IF('[1]All Data '!BB263="","",'[1]All Data '!BB263)</f>
        <v/>
      </c>
      <c r="R258" s="10" t="str">
        <f>IF('[1]All Data '!BD263="","",'[1]All Data '!BD263)</f>
        <v/>
      </c>
      <c r="S258" s="11" t="str">
        <f>IF(R258="","",'[1]All Data '!BE263)</f>
        <v/>
      </c>
      <c r="T258" s="12" t="str">
        <f>IF(S258="","",[1]Inputs_Outputs!$B$8*(1-'LOCH Calc COE Calc'!S258))</f>
        <v/>
      </c>
      <c r="U258" s="13" t="str">
        <f t="shared" si="16"/>
        <v/>
      </c>
      <c r="V258" s="13" t="str">
        <f t="shared" si="17"/>
        <v/>
      </c>
      <c r="W258" s="4" t="str">
        <f t="shared" si="18"/>
        <v/>
      </c>
      <c r="X258" t="str">
        <f>IF(W258="","",LOOKUP(_xlfn.CONCAT(P258,", ",Q258),'[1]T+S Costs'!$F$2:$F$3138,'[1]T+S Costs'!$N$2:$N$3138))</f>
        <v/>
      </c>
      <c r="Y258" s="14" t="str">
        <f t="shared" si="19"/>
        <v/>
      </c>
      <c r="Z258" s="4" t="str">
        <f t="shared" si="20"/>
        <v/>
      </c>
    </row>
    <row r="259" spans="16:26" x14ac:dyDescent="0.25">
      <c r="P259" s="10" t="str">
        <f>IF('[1]All Data '!AZ264="","",'[1]All Data '!AZ264)</f>
        <v/>
      </c>
      <c r="Q259" s="10" t="str">
        <f>IF('[1]All Data '!BB264="","",'[1]All Data '!BB264)</f>
        <v/>
      </c>
      <c r="R259" s="10" t="str">
        <f>IF('[1]All Data '!BD264="","",'[1]All Data '!BD264)</f>
        <v/>
      </c>
      <c r="S259" s="11" t="str">
        <f>IF(R259="","",'[1]All Data '!BE264)</f>
        <v/>
      </c>
      <c r="T259" s="12" t="str">
        <f>IF(S259="","",[1]Inputs_Outputs!$B$8*(1-'LOCH Calc COE Calc'!S259))</f>
        <v/>
      </c>
      <c r="U259" s="13" t="str">
        <f t="shared" ref="U259:U322" si="21">IF(S259="","",R259*T259*365*$B$19/100)</f>
        <v/>
      </c>
      <c r="V259" s="13" t="str">
        <f t="shared" ref="V259:V322" si="22">IF(S259="","",(U259*$B$19)/(($B$28)*$B$19))</f>
        <v/>
      </c>
      <c r="W259" s="4" t="str">
        <f t="shared" ref="W259:W322" si="23">IF(S259="","",V259+$C$49+$C$50+$C$51)</f>
        <v/>
      </c>
      <c r="X259" t="str">
        <f>IF(W259="","",LOOKUP(_xlfn.CONCAT(P259,", ",Q259),'[1]T+S Costs'!$F$2:$F$3138,'[1]T+S Costs'!$N$2:$N$3138))</f>
        <v/>
      </c>
      <c r="Y259" s="14" t="str">
        <f t="shared" ref="Y259:Y322" si="24">IF(X259="","",((X259*$B$60/$B$59)*$C$44)/$C$28)</f>
        <v/>
      </c>
      <c r="Z259" s="4" t="str">
        <f t="shared" ref="Z259:Z322" si="25">IF(Y259="","",W259+Y259)</f>
        <v/>
      </c>
    </row>
    <row r="260" spans="16:26" x14ac:dyDescent="0.25">
      <c r="P260" s="10" t="str">
        <f>IF('[1]All Data '!AZ265="","",'[1]All Data '!AZ265)</f>
        <v/>
      </c>
      <c r="Q260" s="10" t="str">
        <f>IF('[1]All Data '!BB265="","",'[1]All Data '!BB265)</f>
        <v/>
      </c>
      <c r="R260" s="10" t="str">
        <f>IF('[1]All Data '!BD265="","",'[1]All Data '!BD265)</f>
        <v/>
      </c>
      <c r="S260" s="11" t="str">
        <f>IF(R260="","",'[1]All Data '!BE265)</f>
        <v/>
      </c>
      <c r="T260" s="12" t="str">
        <f>IF(S260="","",[1]Inputs_Outputs!$B$8*(1-'LOCH Calc COE Calc'!S260))</f>
        <v/>
      </c>
      <c r="U260" s="13" t="str">
        <f t="shared" si="21"/>
        <v/>
      </c>
      <c r="V260" s="13" t="str">
        <f t="shared" si="22"/>
        <v/>
      </c>
      <c r="W260" s="4" t="str">
        <f t="shared" si="23"/>
        <v/>
      </c>
      <c r="X260" t="str">
        <f>IF(W260="","",LOOKUP(_xlfn.CONCAT(P260,", ",Q260),'[1]T+S Costs'!$F$2:$F$3138,'[1]T+S Costs'!$N$2:$N$3138))</f>
        <v/>
      </c>
      <c r="Y260" s="14" t="str">
        <f t="shared" si="24"/>
        <v/>
      </c>
      <c r="Z260" s="4" t="str">
        <f t="shared" si="25"/>
        <v/>
      </c>
    </row>
    <row r="261" spans="16:26" x14ac:dyDescent="0.25">
      <c r="P261" s="10" t="str">
        <f>IF('[1]All Data '!AZ266="","",'[1]All Data '!AZ266)</f>
        <v/>
      </c>
      <c r="Q261" s="10" t="str">
        <f>IF('[1]All Data '!BB266="","",'[1]All Data '!BB266)</f>
        <v/>
      </c>
      <c r="R261" s="10" t="str">
        <f>IF('[1]All Data '!BD266="","",'[1]All Data '!BD266)</f>
        <v/>
      </c>
      <c r="S261" s="11" t="str">
        <f>IF(R261="","",'[1]All Data '!BE266)</f>
        <v/>
      </c>
      <c r="T261" s="12" t="str">
        <f>IF(S261="","",[1]Inputs_Outputs!$B$8*(1-'LOCH Calc COE Calc'!S261))</f>
        <v/>
      </c>
      <c r="U261" s="13" t="str">
        <f t="shared" si="21"/>
        <v/>
      </c>
      <c r="V261" s="13" t="str">
        <f t="shared" si="22"/>
        <v/>
      </c>
      <c r="W261" s="4" t="str">
        <f t="shared" si="23"/>
        <v/>
      </c>
      <c r="X261" t="str">
        <f>IF(W261="","",LOOKUP(_xlfn.CONCAT(P261,", ",Q261),'[1]T+S Costs'!$F$2:$F$3138,'[1]T+S Costs'!$N$2:$N$3138))</f>
        <v/>
      </c>
      <c r="Y261" s="14" t="str">
        <f t="shared" si="24"/>
        <v/>
      </c>
      <c r="Z261" s="4" t="str">
        <f t="shared" si="25"/>
        <v/>
      </c>
    </row>
    <row r="262" spans="16:26" x14ac:dyDescent="0.25">
      <c r="P262" s="10" t="str">
        <f>IF('[1]All Data '!AZ267="","",'[1]All Data '!AZ267)</f>
        <v/>
      </c>
      <c r="Q262" s="10" t="str">
        <f>IF('[1]All Data '!BB267="","",'[1]All Data '!BB267)</f>
        <v/>
      </c>
      <c r="R262" s="10" t="str">
        <f>IF('[1]All Data '!BD267="","",'[1]All Data '!BD267)</f>
        <v/>
      </c>
      <c r="S262" s="11" t="str">
        <f>IF(R262="","",'[1]All Data '!BE267)</f>
        <v/>
      </c>
      <c r="T262" s="12" t="str">
        <f>IF(S262="","",[1]Inputs_Outputs!$B$8*(1-'LOCH Calc COE Calc'!S262))</f>
        <v/>
      </c>
      <c r="U262" s="13" t="str">
        <f t="shared" si="21"/>
        <v/>
      </c>
      <c r="V262" s="13" t="str">
        <f t="shared" si="22"/>
        <v/>
      </c>
      <c r="W262" s="4" t="str">
        <f t="shared" si="23"/>
        <v/>
      </c>
      <c r="X262" t="str">
        <f>IF(W262="","",LOOKUP(_xlfn.CONCAT(P262,", ",Q262),'[1]T+S Costs'!$F$2:$F$3138,'[1]T+S Costs'!$N$2:$N$3138))</f>
        <v/>
      </c>
      <c r="Y262" s="14" t="str">
        <f t="shared" si="24"/>
        <v/>
      </c>
      <c r="Z262" s="4" t="str">
        <f t="shared" si="25"/>
        <v/>
      </c>
    </row>
    <row r="263" spans="16:26" x14ac:dyDescent="0.25">
      <c r="P263" s="10" t="str">
        <f>IF('[1]All Data '!AZ268="","",'[1]All Data '!AZ268)</f>
        <v/>
      </c>
      <c r="Q263" s="10" t="str">
        <f>IF('[1]All Data '!BB268="","",'[1]All Data '!BB268)</f>
        <v/>
      </c>
      <c r="R263" s="10" t="str">
        <f>IF('[1]All Data '!BD268="","",'[1]All Data '!BD268)</f>
        <v/>
      </c>
      <c r="S263" s="11" t="str">
        <f>IF(R263="","",'[1]All Data '!BE268)</f>
        <v/>
      </c>
      <c r="T263" s="12" t="str">
        <f>IF(S263="","",[1]Inputs_Outputs!$B$8*(1-'LOCH Calc COE Calc'!S263))</f>
        <v/>
      </c>
      <c r="U263" s="13" t="str">
        <f t="shared" si="21"/>
        <v/>
      </c>
      <c r="V263" s="13" t="str">
        <f t="shared" si="22"/>
        <v/>
      </c>
      <c r="W263" s="4" t="str">
        <f t="shared" si="23"/>
        <v/>
      </c>
      <c r="X263" t="str">
        <f>IF(W263="","",LOOKUP(_xlfn.CONCAT(P263,", ",Q263),'[1]T+S Costs'!$F$2:$F$3138,'[1]T+S Costs'!$N$2:$N$3138))</f>
        <v/>
      </c>
      <c r="Y263" s="14" t="str">
        <f t="shared" si="24"/>
        <v/>
      </c>
      <c r="Z263" s="4" t="str">
        <f t="shared" si="25"/>
        <v/>
      </c>
    </row>
    <row r="264" spans="16:26" x14ac:dyDescent="0.25">
      <c r="P264" s="10" t="str">
        <f>IF('[1]All Data '!AZ269="","",'[1]All Data '!AZ269)</f>
        <v/>
      </c>
      <c r="Q264" s="10" t="str">
        <f>IF('[1]All Data '!BB269="","",'[1]All Data '!BB269)</f>
        <v/>
      </c>
      <c r="R264" s="10" t="str">
        <f>IF('[1]All Data '!BD269="","",'[1]All Data '!BD269)</f>
        <v/>
      </c>
      <c r="S264" s="11" t="str">
        <f>IF(R264="","",'[1]All Data '!BE269)</f>
        <v/>
      </c>
      <c r="T264" s="12" t="str">
        <f>IF(S264="","",[1]Inputs_Outputs!$B$8*(1-'LOCH Calc COE Calc'!S264))</f>
        <v/>
      </c>
      <c r="U264" s="13" t="str">
        <f t="shared" si="21"/>
        <v/>
      </c>
      <c r="V264" s="13" t="str">
        <f t="shared" si="22"/>
        <v/>
      </c>
      <c r="W264" s="4" t="str">
        <f t="shared" si="23"/>
        <v/>
      </c>
      <c r="X264" t="str">
        <f>IF(W264="","",LOOKUP(_xlfn.CONCAT(P264,", ",Q264),'[1]T+S Costs'!$F$2:$F$3138,'[1]T+S Costs'!$N$2:$N$3138))</f>
        <v/>
      </c>
      <c r="Y264" s="14" t="str">
        <f t="shared" si="24"/>
        <v/>
      </c>
      <c r="Z264" s="4" t="str">
        <f t="shared" si="25"/>
        <v/>
      </c>
    </row>
    <row r="265" spans="16:26" x14ac:dyDescent="0.25">
      <c r="P265" s="10" t="str">
        <f>IF('[1]All Data '!AZ270="","",'[1]All Data '!AZ270)</f>
        <v/>
      </c>
      <c r="Q265" s="10" t="str">
        <f>IF('[1]All Data '!BB270="","",'[1]All Data '!BB270)</f>
        <v/>
      </c>
      <c r="R265" s="10" t="str">
        <f>IF('[1]All Data '!BD270="","",'[1]All Data '!BD270)</f>
        <v/>
      </c>
      <c r="S265" s="11" t="str">
        <f>IF(R265="","",'[1]All Data '!BE270)</f>
        <v/>
      </c>
      <c r="T265" s="12" t="str">
        <f>IF(S265="","",[1]Inputs_Outputs!$B$8*(1-'LOCH Calc COE Calc'!S265))</f>
        <v/>
      </c>
      <c r="U265" s="13" t="str">
        <f t="shared" si="21"/>
        <v/>
      </c>
      <c r="V265" s="13" t="str">
        <f t="shared" si="22"/>
        <v/>
      </c>
      <c r="W265" s="4" t="str">
        <f t="shared" si="23"/>
        <v/>
      </c>
      <c r="X265" t="str">
        <f>IF(W265="","",LOOKUP(_xlfn.CONCAT(P265,", ",Q265),'[1]T+S Costs'!$F$2:$F$3138,'[1]T+S Costs'!$N$2:$N$3138))</f>
        <v/>
      </c>
      <c r="Y265" s="14" t="str">
        <f t="shared" si="24"/>
        <v/>
      </c>
      <c r="Z265" s="4" t="str">
        <f t="shared" si="25"/>
        <v/>
      </c>
    </row>
    <row r="266" spans="16:26" x14ac:dyDescent="0.25">
      <c r="P266" s="10" t="str">
        <f>IF('[1]All Data '!AZ271="","",'[1]All Data '!AZ271)</f>
        <v/>
      </c>
      <c r="Q266" s="10" t="str">
        <f>IF('[1]All Data '!BB271="","",'[1]All Data '!BB271)</f>
        <v/>
      </c>
      <c r="R266" s="10" t="str">
        <f>IF('[1]All Data '!BD271="","",'[1]All Data '!BD271)</f>
        <v/>
      </c>
      <c r="S266" s="11" t="str">
        <f>IF(R266="","",'[1]All Data '!BE271)</f>
        <v/>
      </c>
      <c r="T266" s="12" t="str">
        <f>IF(S266="","",[1]Inputs_Outputs!$B$8*(1-'LOCH Calc COE Calc'!S266))</f>
        <v/>
      </c>
      <c r="U266" s="13" t="str">
        <f t="shared" si="21"/>
        <v/>
      </c>
      <c r="V266" s="13" t="str">
        <f t="shared" si="22"/>
        <v/>
      </c>
      <c r="W266" s="4" t="str">
        <f t="shared" si="23"/>
        <v/>
      </c>
      <c r="X266" t="str">
        <f>IF(W266="","",LOOKUP(_xlfn.CONCAT(P266,", ",Q266),'[1]T+S Costs'!$F$2:$F$3138,'[1]T+S Costs'!$N$2:$N$3138))</f>
        <v/>
      </c>
      <c r="Y266" s="14" t="str">
        <f t="shared" si="24"/>
        <v/>
      </c>
      <c r="Z266" s="4" t="str">
        <f t="shared" si="25"/>
        <v/>
      </c>
    </row>
    <row r="267" spans="16:26" x14ac:dyDescent="0.25">
      <c r="P267" s="10" t="str">
        <f>IF('[1]All Data '!AZ272="","",'[1]All Data '!AZ272)</f>
        <v/>
      </c>
      <c r="Q267" s="10" t="str">
        <f>IF('[1]All Data '!BB272="","",'[1]All Data '!BB272)</f>
        <v/>
      </c>
      <c r="R267" s="10" t="str">
        <f>IF('[1]All Data '!BD272="","",'[1]All Data '!BD272)</f>
        <v/>
      </c>
      <c r="S267" s="11" t="str">
        <f>IF(R267="","",'[1]All Data '!BE272)</f>
        <v/>
      </c>
      <c r="T267" s="12" t="str">
        <f>IF(S267="","",[1]Inputs_Outputs!$B$8*(1-'LOCH Calc COE Calc'!S267))</f>
        <v/>
      </c>
      <c r="U267" s="13" t="str">
        <f t="shared" si="21"/>
        <v/>
      </c>
      <c r="V267" s="13" t="str">
        <f t="shared" si="22"/>
        <v/>
      </c>
      <c r="W267" s="4" t="str">
        <f t="shared" si="23"/>
        <v/>
      </c>
      <c r="X267" t="str">
        <f>IF(W267="","",LOOKUP(_xlfn.CONCAT(P267,", ",Q267),'[1]T+S Costs'!$F$2:$F$3138,'[1]T+S Costs'!$N$2:$N$3138))</f>
        <v/>
      </c>
      <c r="Y267" s="14" t="str">
        <f t="shared" si="24"/>
        <v/>
      </c>
      <c r="Z267" s="4" t="str">
        <f t="shared" si="25"/>
        <v/>
      </c>
    </row>
    <row r="268" spans="16:26" x14ac:dyDescent="0.25">
      <c r="P268" s="10" t="str">
        <f>IF('[1]All Data '!AZ273="","",'[1]All Data '!AZ273)</f>
        <v/>
      </c>
      <c r="Q268" s="10" t="str">
        <f>IF('[1]All Data '!BB273="","",'[1]All Data '!BB273)</f>
        <v/>
      </c>
      <c r="R268" s="10" t="str">
        <f>IF('[1]All Data '!BD273="","",'[1]All Data '!BD273)</f>
        <v/>
      </c>
      <c r="S268" s="11" t="str">
        <f>IF(R268="","",'[1]All Data '!BE273)</f>
        <v/>
      </c>
      <c r="T268" s="12" t="str">
        <f>IF(S268="","",[1]Inputs_Outputs!$B$8*(1-'LOCH Calc COE Calc'!S268))</f>
        <v/>
      </c>
      <c r="U268" s="13" t="str">
        <f t="shared" si="21"/>
        <v/>
      </c>
      <c r="V268" s="13" t="str">
        <f t="shared" si="22"/>
        <v/>
      </c>
      <c r="W268" s="4" t="str">
        <f t="shared" si="23"/>
        <v/>
      </c>
      <c r="X268" t="str">
        <f>IF(W268="","",LOOKUP(_xlfn.CONCAT(P268,", ",Q268),'[1]T+S Costs'!$F$2:$F$3138,'[1]T+S Costs'!$N$2:$N$3138))</f>
        <v/>
      </c>
      <c r="Y268" s="14" t="str">
        <f t="shared" si="24"/>
        <v/>
      </c>
      <c r="Z268" s="4" t="str">
        <f t="shared" si="25"/>
        <v/>
      </c>
    </row>
    <row r="269" spans="16:26" x14ac:dyDescent="0.25">
      <c r="P269" s="10" t="str">
        <f>IF('[1]All Data '!AZ274="","",'[1]All Data '!AZ274)</f>
        <v/>
      </c>
      <c r="Q269" s="10" t="str">
        <f>IF('[1]All Data '!BB274="","",'[1]All Data '!BB274)</f>
        <v/>
      </c>
      <c r="R269" s="10" t="str">
        <f>IF('[1]All Data '!BD274="","",'[1]All Data '!BD274)</f>
        <v/>
      </c>
      <c r="S269" s="11" t="str">
        <f>IF(R269="","",'[1]All Data '!BE274)</f>
        <v/>
      </c>
      <c r="T269" s="12" t="str">
        <f>IF(S269="","",[1]Inputs_Outputs!$B$8*(1-'LOCH Calc COE Calc'!S269))</f>
        <v/>
      </c>
      <c r="U269" s="13" t="str">
        <f t="shared" si="21"/>
        <v/>
      </c>
      <c r="V269" s="13" t="str">
        <f t="shared" si="22"/>
        <v/>
      </c>
      <c r="W269" s="4" t="str">
        <f t="shared" si="23"/>
        <v/>
      </c>
      <c r="X269" t="str">
        <f>IF(W269="","",LOOKUP(_xlfn.CONCAT(P269,", ",Q269),'[1]T+S Costs'!$F$2:$F$3138,'[1]T+S Costs'!$N$2:$N$3138))</f>
        <v/>
      </c>
      <c r="Y269" s="14" t="str">
        <f t="shared" si="24"/>
        <v/>
      </c>
      <c r="Z269" s="4" t="str">
        <f t="shared" si="25"/>
        <v/>
      </c>
    </row>
    <row r="270" spans="16:26" x14ac:dyDescent="0.25">
      <c r="P270" s="10" t="str">
        <f>IF('[1]All Data '!AZ275="","",'[1]All Data '!AZ275)</f>
        <v/>
      </c>
      <c r="Q270" s="10" t="str">
        <f>IF('[1]All Data '!BB275="","",'[1]All Data '!BB275)</f>
        <v/>
      </c>
      <c r="R270" s="10" t="str">
        <f>IF('[1]All Data '!BD275="","",'[1]All Data '!BD275)</f>
        <v/>
      </c>
      <c r="S270" s="11" t="str">
        <f>IF(R270="","",'[1]All Data '!BE275)</f>
        <v/>
      </c>
      <c r="T270" s="12" t="str">
        <f>IF(S270="","",[1]Inputs_Outputs!$B$8*(1-'LOCH Calc COE Calc'!S270))</f>
        <v/>
      </c>
      <c r="U270" s="13" t="str">
        <f t="shared" si="21"/>
        <v/>
      </c>
      <c r="V270" s="13" t="str">
        <f t="shared" si="22"/>
        <v/>
      </c>
      <c r="W270" s="4" t="str">
        <f t="shared" si="23"/>
        <v/>
      </c>
      <c r="X270" t="str">
        <f>IF(W270="","",LOOKUP(_xlfn.CONCAT(P270,", ",Q270),'[1]T+S Costs'!$F$2:$F$3138,'[1]T+S Costs'!$N$2:$N$3138))</f>
        <v/>
      </c>
      <c r="Y270" s="14" t="str">
        <f t="shared" si="24"/>
        <v/>
      </c>
      <c r="Z270" s="4" t="str">
        <f t="shared" si="25"/>
        <v/>
      </c>
    </row>
    <row r="271" spans="16:26" x14ac:dyDescent="0.25">
      <c r="P271" s="10" t="str">
        <f>IF('[1]All Data '!AZ276="","",'[1]All Data '!AZ276)</f>
        <v/>
      </c>
      <c r="Q271" s="10" t="str">
        <f>IF('[1]All Data '!BB276="","",'[1]All Data '!BB276)</f>
        <v/>
      </c>
      <c r="R271" s="10" t="str">
        <f>IF('[1]All Data '!BD276="","",'[1]All Data '!BD276)</f>
        <v/>
      </c>
      <c r="S271" s="11" t="str">
        <f>IF(R271="","",'[1]All Data '!BE276)</f>
        <v/>
      </c>
      <c r="T271" s="12" t="str">
        <f>IF(S271="","",[1]Inputs_Outputs!$B$8*(1-'LOCH Calc COE Calc'!S271))</f>
        <v/>
      </c>
      <c r="U271" s="13" t="str">
        <f t="shared" si="21"/>
        <v/>
      </c>
      <c r="V271" s="13" t="str">
        <f t="shared" si="22"/>
        <v/>
      </c>
      <c r="W271" s="4" t="str">
        <f t="shared" si="23"/>
        <v/>
      </c>
      <c r="X271" t="str">
        <f>IF(W271="","",LOOKUP(_xlfn.CONCAT(P271,", ",Q271),'[1]T+S Costs'!$F$2:$F$3138,'[1]T+S Costs'!$N$2:$N$3138))</f>
        <v/>
      </c>
      <c r="Y271" s="14" t="str">
        <f t="shared" si="24"/>
        <v/>
      </c>
      <c r="Z271" s="4" t="str">
        <f t="shared" si="25"/>
        <v/>
      </c>
    </row>
    <row r="272" spans="16:26" x14ac:dyDescent="0.25">
      <c r="P272" s="10" t="str">
        <f>IF('[1]All Data '!AZ277="","",'[1]All Data '!AZ277)</f>
        <v/>
      </c>
      <c r="Q272" s="10" t="str">
        <f>IF('[1]All Data '!BB277="","",'[1]All Data '!BB277)</f>
        <v/>
      </c>
      <c r="R272" s="10" t="str">
        <f>IF('[1]All Data '!BD277="","",'[1]All Data '!BD277)</f>
        <v/>
      </c>
      <c r="S272" s="11" t="str">
        <f>IF(R272="","",'[1]All Data '!BE277)</f>
        <v/>
      </c>
      <c r="T272" s="12" t="str">
        <f>IF(S272="","",[1]Inputs_Outputs!$B$8*(1-'LOCH Calc COE Calc'!S272))</f>
        <v/>
      </c>
      <c r="U272" s="13" t="str">
        <f t="shared" si="21"/>
        <v/>
      </c>
      <c r="V272" s="13" t="str">
        <f t="shared" si="22"/>
        <v/>
      </c>
      <c r="W272" s="4" t="str">
        <f t="shared" si="23"/>
        <v/>
      </c>
      <c r="X272" t="str">
        <f>IF(W272="","",LOOKUP(_xlfn.CONCAT(P272,", ",Q272),'[1]T+S Costs'!$F$2:$F$3138,'[1]T+S Costs'!$N$2:$N$3138))</f>
        <v/>
      </c>
      <c r="Y272" s="14" t="str">
        <f t="shared" si="24"/>
        <v/>
      </c>
      <c r="Z272" s="4" t="str">
        <f t="shared" si="25"/>
        <v/>
      </c>
    </row>
    <row r="273" spans="16:26" x14ac:dyDescent="0.25">
      <c r="P273" s="10" t="str">
        <f>IF('[1]All Data '!AZ278="","",'[1]All Data '!AZ278)</f>
        <v/>
      </c>
      <c r="Q273" s="10" t="str">
        <f>IF('[1]All Data '!BB278="","",'[1]All Data '!BB278)</f>
        <v/>
      </c>
      <c r="R273" s="10" t="str">
        <f>IF('[1]All Data '!BD278="","",'[1]All Data '!BD278)</f>
        <v/>
      </c>
      <c r="S273" s="11" t="str">
        <f>IF(R273="","",'[1]All Data '!BE278)</f>
        <v/>
      </c>
      <c r="T273" s="12" t="str">
        <f>IF(S273="","",[1]Inputs_Outputs!$B$8*(1-'LOCH Calc COE Calc'!S273))</f>
        <v/>
      </c>
      <c r="U273" s="13" t="str">
        <f t="shared" si="21"/>
        <v/>
      </c>
      <c r="V273" s="13" t="str">
        <f t="shared" si="22"/>
        <v/>
      </c>
      <c r="W273" s="4" t="str">
        <f t="shared" si="23"/>
        <v/>
      </c>
      <c r="X273" t="str">
        <f>IF(W273="","",LOOKUP(_xlfn.CONCAT(P273,", ",Q273),'[1]T+S Costs'!$F$2:$F$3138,'[1]T+S Costs'!$N$2:$N$3138))</f>
        <v/>
      </c>
      <c r="Y273" s="14" t="str">
        <f t="shared" si="24"/>
        <v/>
      </c>
      <c r="Z273" s="4" t="str">
        <f t="shared" si="25"/>
        <v/>
      </c>
    </row>
    <row r="274" spans="16:26" x14ac:dyDescent="0.25">
      <c r="P274" s="10" t="str">
        <f>IF('[1]All Data '!AZ279="","",'[1]All Data '!AZ279)</f>
        <v/>
      </c>
      <c r="Q274" s="10" t="str">
        <f>IF('[1]All Data '!BB279="","",'[1]All Data '!BB279)</f>
        <v/>
      </c>
      <c r="R274" s="10" t="str">
        <f>IF('[1]All Data '!BD279="","",'[1]All Data '!BD279)</f>
        <v/>
      </c>
      <c r="S274" s="11" t="str">
        <f>IF(R274="","",'[1]All Data '!BE279)</f>
        <v/>
      </c>
      <c r="T274" s="12" t="str">
        <f>IF(S274="","",[1]Inputs_Outputs!$B$8*(1-'LOCH Calc COE Calc'!S274))</f>
        <v/>
      </c>
      <c r="U274" s="13" t="str">
        <f t="shared" si="21"/>
        <v/>
      </c>
      <c r="V274" s="13" t="str">
        <f t="shared" si="22"/>
        <v/>
      </c>
      <c r="W274" s="4" t="str">
        <f t="shared" si="23"/>
        <v/>
      </c>
      <c r="X274" t="str">
        <f>IF(W274="","",LOOKUP(_xlfn.CONCAT(P274,", ",Q274),'[1]T+S Costs'!$F$2:$F$3138,'[1]T+S Costs'!$N$2:$N$3138))</f>
        <v/>
      </c>
      <c r="Y274" s="14" t="str">
        <f t="shared" si="24"/>
        <v/>
      </c>
      <c r="Z274" s="4" t="str">
        <f t="shared" si="25"/>
        <v/>
      </c>
    </row>
    <row r="275" spans="16:26" x14ac:dyDescent="0.25">
      <c r="P275" s="10" t="str">
        <f>IF('[1]All Data '!AZ280="","",'[1]All Data '!AZ280)</f>
        <v/>
      </c>
      <c r="Q275" s="10" t="str">
        <f>IF('[1]All Data '!BB280="","",'[1]All Data '!BB280)</f>
        <v/>
      </c>
      <c r="R275" s="10" t="str">
        <f>IF('[1]All Data '!BD280="","",'[1]All Data '!BD280)</f>
        <v/>
      </c>
      <c r="S275" s="11" t="str">
        <f>IF(R275="","",'[1]All Data '!BE280)</f>
        <v/>
      </c>
      <c r="T275" s="12" t="str">
        <f>IF(S275="","",[1]Inputs_Outputs!$B$8*(1-'LOCH Calc COE Calc'!S275))</f>
        <v/>
      </c>
      <c r="U275" s="13" t="str">
        <f t="shared" si="21"/>
        <v/>
      </c>
      <c r="V275" s="13" t="str">
        <f t="shared" si="22"/>
        <v/>
      </c>
      <c r="W275" s="4" t="str">
        <f t="shared" si="23"/>
        <v/>
      </c>
      <c r="X275" t="str">
        <f>IF(W275="","",LOOKUP(_xlfn.CONCAT(P275,", ",Q275),'[1]T+S Costs'!$F$2:$F$3138,'[1]T+S Costs'!$N$2:$N$3138))</f>
        <v/>
      </c>
      <c r="Y275" s="14" t="str">
        <f t="shared" si="24"/>
        <v/>
      </c>
      <c r="Z275" s="4" t="str">
        <f t="shared" si="25"/>
        <v/>
      </c>
    </row>
    <row r="276" spans="16:26" x14ac:dyDescent="0.25">
      <c r="P276" s="10" t="str">
        <f>IF('[1]All Data '!AZ281="","",'[1]All Data '!AZ281)</f>
        <v/>
      </c>
      <c r="Q276" s="10" t="str">
        <f>IF('[1]All Data '!BB281="","",'[1]All Data '!BB281)</f>
        <v/>
      </c>
      <c r="R276" s="10" t="str">
        <f>IF('[1]All Data '!BD281="","",'[1]All Data '!BD281)</f>
        <v/>
      </c>
      <c r="S276" s="11" t="str">
        <f>IF(R276="","",'[1]All Data '!BE281)</f>
        <v/>
      </c>
      <c r="T276" s="12" t="str">
        <f>IF(S276="","",[1]Inputs_Outputs!$B$8*(1-'LOCH Calc COE Calc'!S276))</f>
        <v/>
      </c>
      <c r="U276" s="13" t="str">
        <f t="shared" si="21"/>
        <v/>
      </c>
      <c r="V276" s="13" t="str">
        <f t="shared" si="22"/>
        <v/>
      </c>
      <c r="W276" s="4" t="str">
        <f t="shared" si="23"/>
        <v/>
      </c>
      <c r="X276" t="str">
        <f>IF(W276="","",LOOKUP(_xlfn.CONCAT(P276,", ",Q276),'[1]T+S Costs'!$F$2:$F$3138,'[1]T+S Costs'!$N$2:$N$3138))</f>
        <v/>
      </c>
      <c r="Y276" s="14" t="str">
        <f t="shared" si="24"/>
        <v/>
      </c>
      <c r="Z276" s="4" t="str">
        <f t="shared" si="25"/>
        <v/>
      </c>
    </row>
    <row r="277" spans="16:26" x14ac:dyDescent="0.25">
      <c r="P277" s="10" t="str">
        <f>IF('[1]All Data '!AZ282="","",'[1]All Data '!AZ282)</f>
        <v/>
      </c>
      <c r="Q277" s="10" t="str">
        <f>IF('[1]All Data '!BB282="","",'[1]All Data '!BB282)</f>
        <v/>
      </c>
      <c r="R277" s="10" t="str">
        <f>IF('[1]All Data '!BD282="","",'[1]All Data '!BD282)</f>
        <v/>
      </c>
      <c r="S277" s="11" t="str">
        <f>IF(R277="","",'[1]All Data '!BE282)</f>
        <v/>
      </c>
      <c r="T277" s="12" t="str">
        <f>IF(S277="","",[1]Inputs_Outputs!$B$8*(1-'LOCH Calc COE Calc'!S277))</f>
        <v/>
      </c>
      <c r="U277" s="13" t="str">
        <f t="shared" si="21"/>
        <v/>
      </c>
      <c r="V277" s="13" t="str">
        <f t="shared" si="22"/>
        <v/>
      </c>
      <c r="W277" s="4" t="str">
        <f t="shared" si="23"/>
        <v/>
      </c>
      <c r="X277" t="str">
        <f>IF(W277="","",LOOKUP(_xlfn.CONCAT(P277,", ",Q277),'[1]T+S Costs'!$F$2:$F$3138,'[1]T+S Costs'!$N$2:$N$3138))</f>
        <v/>
      </c>
      <c r="Y277" s="14" t="str">
        <f t="shared" si="24"/>
        <v/>
      </c>
      <c r="Z277" s="4" t="str">
        <f t="shared" si="25"/>
        <v/>
      </c>
    </row>
    <row r="278" spans="16:26" x14ac:dyDescent="0.25">
      <c r="P278" s="10" t="str">
        <f>IF('[1]All Data '!AZ283="","",'[1]All Data '!AZ283)</f>
        <v/>
      </c>
      <c r="Q278" s="10" t="str">
        <f>IF('[1]All Data '!BB283="","",'[1]All Data '!BB283)</f>
        <v/>
      </c>
      <c r="R278" s="10" t="str">
        <f>IF('[1]All Data '!BD283="","",'[1]All Data '!BD283)</f>
        <v/>
      </c>
      <c r="S278" s="11" t="str">
        <f>IF(R278="","",'[1]All Data '!BE283)</f>
        <v/>
      </c>
      <c r="T278" s="12" t="str">
        <f>IF(S278="","",[1]Inputs_Outputs!$B$8*(1-'LOCH Calc COE Calc'!S278))</f>
        <v/>
      </c>
      <c r="U278" s="13" t="str">
        <f t="shared" si="21"/>
        <v/>
      </c>
      <c r="V278" s="13" t="str">
        <f t="shared" si="22"/>
        <v/>
      </c>
      <c r="W278" s="4" t="str">
        <f t="shared" si="23"/>
        <v/>
      </c>
      <c r="X278" t="str">
        <f>IF(W278="","",LOOKUP(_xlfn.CONCAT(P278,", ",Q278),'[1]T+S Costs'!$F$2:$F$3138,'[1]T+S Costs'!$N$2:$N$3138))</f>
        <v/>
      </c>
      <c r="Y278" s="14" t="str">
        <f t="shared" si="24"/>
        <v/>
      </c>
      <c r="Z278" s="4" t="str">
        <f t="shared" si="25"/>
        <v/>
      </c>
    </row>
    <row r="279" spans="16:26" x14ac:dyDescent="0.25">
      <c r="P279" s="10" t="str">
        <f>IF('[1]All Data '!AZ284="","",'[1]All Data '!AZ284)</f>
        <v/>
      </c>
      <c r="Q279" s="10" t="str">
        <f>IF('[1]All Data '!BB284="","",'[1]All Data '!BB284)</f>
        <v/>
      </c>
      <c r="R279" s="10" t="str">
        <f>IF('[1]All Data '!BD284="","",'[1]All Data '!BD284)</f>
        <v/>
      </c>
      <c r="S279" s="11" t="str">
        <f>IF(R279="","",'[1]All Data '!BE284)</f>
        <v/>
      </c>
      <c r="T279" s="12" t="str">
        <f>IF(S279="","",[1]Inputs_Outputs!$B$8*(1-'LOCH Calc COE Calc'!S279))</f>
        <v/>
      </c>
      <c r="U279" s="13" t="str">
        <f t="shared" si="21"/>
        <v/>
      </c>
      <c r="V279" s="13" t="str">
        <f t="shared" si="22"/>
        <v/>
      </c>
      <c r="W279" s="4" t="str">
        <f t="shared" si="23"/>
        <v/>
      </c>
      <c r="X279" t="str">
        <f>IF(W279="","",LOOKUP(_xlfn.CONCAT(P279,", ",Q279),'[1]T+S Costs'!$F$2:$F$3138,'[1]T+S Costs'!$N$2:$N$3138))</f>
        <v/>
      </c>
      <c r="Y279" s="14" t="str">
        <f t="shared" si="24"/>
        <v/>
      </c>
      <c r="Z279" s="4" t="str">
        <f t="shared" si="25"/>
        <v/>
      </c>
    </row>
    <row r="280" spans="16:26" x14ac:dyDescent="0.25">
      <c r="P280" s="10" t="str">
        <f>IF('[1]All Data '!AZ285="","",'[1]All Data '!AZ285)</f>
        <v/>
      </c>
      <c r="Q280" s="10" t="str">
        <f>IF('[1]All Data '!BB285="","",'[1]All Data '!BB285)</f>
        <v/>
      </c>
      <c r="R280" s="10" t="str">
        <f>IF('[1]All Data '!BD285="","",'[1]All Data '!BD285)</f>
        <v/>
      </c>
      <c r="S280" s="11" t="str">
        <f>IF(R280="","",'[1]All Data '!BE285)</f>
        <v/>
      </c>
      <c r="T280" s="12" t="str">
        <f>IF(S280="","",[1]Inputs_Outputs!$B$8*(1-'LOCH Calc COE Calc'!S280))</f>
        <v/>
      </c>
      <c r="U280" s="13" t="str">
        <f t="shared" si="21"/>
        <v/>
      </c>
      <c r="V280" s="13" t="str">
        <f t="shared" si="22"/>
        <v/>
      </c>
      <c r="W280" s="4" t="str">
        <f t="shared" si="23"/>
        <v/>
      </c>
      <c r="X280" t="str">
        <f>IF(W280="","",LOOKUP(_xlfn.CONCAT(P280,", ",Q280),'[1]T+S Costs'!$F$2:$F$3138,'[1]T+S Costs'!$N$2:$N$3138))</f>
        <v/>
      </c>
      <c r="Y280" s="14" t="str">
        <f t="shared" si="24"/>
        <v/>
      </c>
      <c r="Z280" s="4" t="str">
        <f t="shared" si="25"/>
        <v/>
      </c>
    </row>
    <row r="281" spans="16:26" x14ac:dyDescent="0.25">
      <c r="P281" s="10" t="str">
        <f>IF('[1]All Data '!AZ286="","",'[1]All Data '!AZ286)</f>
        <v/>
      </c>
      <c r="Q281" s="10" t="str">
        <f>IF('[1]All Data '!BB286="","",'[1]All Data '!BB286)</f>
        <v/>
      </c>
      <c r="R281" s="10" t="str">
        <f>IF('[1]All Data '!BD286="","",'[1]All Data '!BD286)</f>
        <v/>
      </c>
      <c r="S281" s="11" t="str">
        <f>IF(R281="","",'[1]All Data '!BE286)</f>
        <v/>
      </c>
      <c r="T281" s="12" t="str">
        <f>IF(S281="","",[1]Inputs_Outputs!$B$8*(1-'LOCH Calc COE Calc'!S281))</f>
        <v/>
      </c>
      <c r="U281" s="13" t="str">
        <f t="shared" si="21"/>
        <v/>
      </c>
      <c r="V281" s="13" t="str">
        <f t="shared" si="22"/>
        <v/>
      </c>
      <c r="W281" s="4" t="str">
        <f t="shared" si="23"/>
        <v/>
      </c>
      <c r="X281" t="str">
        <f>IF(W281="","",LOOKUP(_xlfn.CONCAT(P281,", ",Q281),'[1]T+S Costs'!$F$2:$F$3138,'[1]T+S Costs'!$N$2:$N$3138))</f>
        <v/>
      </c>
      <c r="Y281" s="14" t="str">
        <f t="shared" si="24"/>
        <v/>
      </c>
      <c r="Z281" s="4" t="str">
        <f t="shared" si="25"/>
        <v/>
      </c>
    </row>
    <row r="282" spans="16:26" x14ac:dyDescent="0.25">
      <c r="P282" s="10" t="str">
        <f>IF('[1]All Data '!AZ287="","",'[1]All Data '!AZ287)</f>
        <v/>
      </c>
      <c r="Q282" s="10" t="str">
        <f>IF('[1]All Data '!BB287="","",'[1]All Data '!BB287)</f>
        <v/>
      </c>
      <c r="R282" s="10" t="str">
        <f>IF('[1]All Data '!BD287="","",'[1]All Data '!BD287)</f>
        <v/>
      </c>
      <c r="S282" s="11" t="str">
        <f>IF(R282="","",'[1]All Data '!BE287)</f>
        <v/>
      </c>
      <c r="T282" s="12" t="str">
        <f>IF(S282="","",[1]Inputs_Outputs!$B$8*(1-'LOCH Calc COE Calc'!S282))</f>
        <v/>
      </c>
      <c r="U282" s="13" t="str">
        <f t="shared" si="21"/>
        <v/>
      </c>
      <c r="V282" s="13" t="str">
        <f t="shared" si="22"/>
        <v/>
      </c>
      <c r="W282" s="4" t="str">
        <f t="shared" si="23"/>
        <v/>
      </c>
      <c r="X282" t="str">
        <f>IF(W282="","",LOOKUP(_xlfn.CONCAT(P282,", ",Q282),'[1]T+S Costs'!$F$2:$F$3138,'[1]T+S Costs'!$N$2:$N$3138))</f>
        <v/>
      </c>
      <c r="Y282" s="14" t="str">
        <f t="shared" si="24"/>
        <v/>
      </c>
      <c r="Z282" s="4" t="str">
        <f t="shared" si="25"/>
        <v/>
      </c>
    </row>
    <row r="283" spans="16:26" x14ac:dyDescent="0.25">
      <c r="P283" s="10" t="str">
        <f>IF('[1]All Data '!AZ288="","",'[1]All Data '!AZ288)</f>
        <v/>
      </c>
      <c r="Q283" s="10" t="str">
        <f>IF('[1]All Data '!BB288="","",'[1]All Data '!BB288)</f>
        <v/>
      </c>
      <c r="R283" s="10" t="str">
        <f>IF('[1]All Data '!BD288="","",'[1]All Data '!BD288)</f>
        <v/>
      </c>
      <c r="S283" s="11" t="str">
        <f>IF(R283="","",'[1]All Data '!BE288)</f>
        <v/>
      </c>
      <c r="T283" s="12" t="str">
        <f>IF(S283="","",[1]Inputs_Outputs!$B$8*(1-'LOCH Calc COE Calc'!S283))</f>
        <v/>
      </c>
      <c r="U283" s="13" t="str">
        <f t="shared" si="21"/>
        <v/>
      </c>
      <c r="V283" s="13" t="str">
        <f t="shared" si="22"/>
        <v/>
      </c>
      <c r="W283" s="4" t="str">
        <f t="shared" si="23"/>
        <v/>
      </c>
      <c r="X283" t="str">
        <f>IF(W283="","",LOOKUP(_xlfn.CONCAT(P283,", ",Q283),'[1]T+S Costs'!$F$2:$F$3138,'[1]T+S Costs'!$N$2:$N$3138))</f>
        <v/>
      </c>
      <c r="Y283" s="14" t="str">
        <f t="shared" si="24"/>
        <v/>
      </c>
      <c r="Z283" s="4" t="str">
        <f t="shared" si="25"/>
        <v/>
      </c>
    </row>
    <row r="284" spans="16:26" x14ac:dyDescent="0.25">
      <c r="P284" s="10" t="str">
        <f>IF('[1]All Data '!AZ289="","",'[1]All Data '!AZ289)</f>
        <v/>
      </c>
      <c r="Q284" s="10" t="str">
        <f>IF('[1]All Data '!BB289="","",'[1]All Data '!BB289)</f>
        <v/>
      </c>
      <c r="R284" s="10" t="str">
        <f>IF('[1]All Data '!BD289="","",'[1]All Data '!BD289)</f>
        <v/>
      </c>
      <c r="S284" s="11" t="str">
        <f>IF(R284="","",'[1]All Data '!BE289)</f>
        <v/>
      </c>
      <c r="T284" s="12" t="str">
        <f>IF(S284="","",[1]Inputs_Outputs!$B$8*(1-'LOCH Calc COE Calc'!S284))</f>
        <v/>
      </c>
      <c r="U284" s="13" t="str">
        <f t="shared" si="21"/>
        <v/>
      </c>
      <c r="V284" s="13" t="str">
        <f t="shared" si="22"/>
        <v/>
      </c>
      <c r="W284" s="4" t="str">
        <f t="shared" si="23"/>
        <v/>
      </c>
      <c r="X284" t="str">
        <f>IF(W284="","",LOOKUP(_xlfn.CONCAT(P284,", ",Q284),'[1]T+S Costs'!$F$2:$F$3138,'[1]T+S Costs'!$N$2:$N$3138))</f>
        <v/>
      </c>
      <c r="Y284" s="14" t="str">
        <f t="shared" si="24"/>
        <v/>
      </c>
      <c r="Z284" s="4" t="str">
        <f t="shared" si="25"/>
        <v/>
      </c>
    </row>
    <row r="285" spans="16:26" x14ac:dyDescent="0.25">
      <c r="P285" s="10" t="str">
        <f>IF('[1]All Data '!AZ290="","",'[1]All Data '!AZ290)</f>
        <v/>
      </c>
      <c r="Q285" s="10" t="str">
        <f>IF('[1]All Data '!BB290="","",'[1]All Data '!BB290)</f>
        <v/>
      </c>
      <c r="R285" s="10" t="str">
        <f>IF('[1]All Data '!BD290="","",'[1]All Data '!BD290)</f>
        <v/>
      </c>
      <c r="S285" s="11" t="str">
        <f>IF(R285="","",'[1]All Data '!BE290)</f>
        <v/>
      </c>
      <c r="T285" s="12" t="str">
        <f>IF(S285="","",[1]Inputs_Outputs!$B$8*(1-'LOCH Calc COE Calc'!S285))</f>
        <v/>
      </c>
      <c r="U285" s="13" t="str">
        <f t="shared" si="21"/>
        <v/>
      </c>
      <c r="V285" s="13" t="str">
        <f t="shared" si="22"/>
        <v/>
      </c>
      <c r="W285" s="4" t="str">
        <f t="shared" si="23"/>
        <v/>
      </c>
      <c r="X285" t="str">
        <f>IF(W285="","",LOOKUP(_xlfn.CONCAT(P285,", ",Q285),'[1]T+S Costs'!$F$2:$F$3138,'[1]T+S Costs'!$N$2:$N$3138))</f>
        <v/>
      </c>
      <c r="Y285" s="14" t="str">
        <f t="shared" si="24"/>
        <v/>
      </c>
      <c r="Z285" s="4" t="str">
        <f t="shared" si="25"/>
        <v/>
      </c>
    </row>
    <row r="286" spans="16:26" x14ac:dyDescent="0.25">
      <c r="P286" s="10" t="str">
        <f>IF('[1]All Data '!AZ291="","",'[1]All Data '!AZ291)</f>
        <v/>
      </c>
      <c r="Q286" s="10" t="str">
        <f>IF('[1]All Data '!BB291="","",'[1]All Data '!BB291)</f>
        <v/>
      </c>
      <c r="R286" s="10" t="str">
        <f>IF('[1]All Data '!BD291="","",'[1]All Data '!BD291)</f>
        <v/>
      </c>
      <c r="S286" s="11" t="str">
        <f>IF(R286="","",'[1]All Data '!BE291)</f>
        <v/>
      </c>
      <c r="T286" s="12" t="str">
        <f>IF(S286="","",[1]Inputs_Outputs!$B$8*(1-'LOCH Calc COE Calc'!S286))</f>
        <v/>
      </c>
      <c r="U286" s="13" t="str">
        <f t="shared" si="21"/>
        <v/>
      </c>
      <c r="V286" s="13" t="str">
        <f t="shared" si="22"/>
        <v/>
      </c>
      <c r="W286" s="4" t="str">
        <f t="shared" si="23"/>
        <v/>
      </c>
      <c r="X286" t="str">
        <f>IF(W286="","",LOOKUP(_xlfn.CONCAT(P286,", ",Q286),'[1]T+S Costs'!$F$2:$F$3138,'[1]T+S Costs'!$N$2:$N$3138))</f>
        <v/>
      </c>
      <c r="Y286" s="14" t="str">
        <f t="shared" si="24"/>
        <v/>
      </c>
      <c r="Z286" s="4" t="str">
        <f t="shared" si="25"/>
        <v/>
      </c>
    </row>
    <row r="287" spans="16:26" x14ac:dyDescent="0.25">
      <c r="P287" s="10" t="str">
        <f>IF('[1]All Data '!AZ292="","",'[1]All Data '!AZ292)</f>
        <v/>
      </c>
      <c r="Q287" s="10" t="str">
        <f>IF('[1]All Data '!BB292="","",'[1]All Data '!BB292)</f>
        <v/>
      </c>
      <c r="R287" s="10" t="str">
        <f>IF('[1]All Data '!BD292="","",'[1]All Data '!BD292)</f>
        <v/>
      </c>
      <c r="S287" s="11" t="str">
        <f>IF(R287="","",'[1]All Data '!BE292)</f>
        <v/>
      </c>
      <c r="T287" s="12" t="str">
        <f>IF(S287="","",[1]Inputs_Outputs!$B$8*(1-'LOCH Calc COE Calc'!S287))</f>
        <v/>
      </c>
      <c r="U287" s="13" t="str">
        <f t="shared" si="21"/>
        <v/>
      </c>
      <c r="V287" s="13" t="str">
        <f t="shared" si="22"/>
        <v/>
      </c>
      <c r="W287" s="4" t="str">
        <f t="shared" si="23"/>
        <v/>
      </c>
      <c r="X287" t="str">
        <f>IF(W287="","",LOOKUP(_xlfn.CONCAT(P287,", ",Q287),'[1]T+S Costs'!$F$2:$F$3138,'[1]T+S Costs'!$N$2:$N$3138))</f>
        <v/>
      </c>
      <c r="Y287" s="14" t="str">
        <f t="shared" si="24"/>
        <v/>
      </c>
      <c r="Z287" s="4" t="str">
        <f t="shared" si="25"/>
        <v/>
      </c>
    </row>
    <row r="288" spans="16:26" x14ac:dyDescent="0.25">
      <c r="P288" s="10" t="str">
        <f>IF('[1]All Data '!AZ293="","",'[1]All Data '!AZ293)</f>
        <v/>
      </c>
      <c r="Q288" s="10" t="str">
        <f>IF('[1]All Data '!BB293="","",'[1]All Data '!BB293)</f>
        <v/>
      </c>
      <c r="R288" s="10" t="str">
        <f>IF('[1]All Data '!BD293="","",'[1]All Data '!BD293)</f>
        <v/>
      </c>
      <c r="S288" s="11" t="str">
        <f>IF(R288="","",'[1]All Data '!BE293)</f>
        <v/>
      </c>
      <c r="T288" s="12" t="str">
        <f>IF(S288="","",[1]Inputs_Outputs!$B$8*(1-'LOCH Calc COE Calc'!S288))</f>
        <v/>
      </c>
      <c r="U288" s="13" t="str">
        <f t="shared" si="21"/>
        <v/>
      </c>
      <c r="V288" s="13" t="str">
        <f t="shared" si="22"/>
        <v/>
      </c>
      <c r="W288" s="4" t="str">
        <f t="shared" si="23"/>
        <v/>
      </c>
      <c r="X288" t="str">
        <f>IF(W288="","",LOOKUP(_xlfn.CONCAT(P288,", ",Q288),'[1]T+S Costs'!$F$2:$F$3138,'[1]T+S Costs'!$N$2:$N$3138))</f>
        <v/>
      </c>
      <c r="Y288" s="14" t="str">
        <f t="shared" si="24"/>
        <v/>
      </c>
      <c r="Z288" s="4" t="str">
        <f t="shared" si="25"/>
        <v/>
      </c>
    </row>
    <row r="289" spans="16:26" x14ac:dyDescent="0.25">
      <c r="P289" s="10" t="str">
        <f>IF('[1]All Data '!AZ294="","",'[1]All Data '!AZ294)</f>
        <v/>
      </c>
      <c r="Q289" s="10" t="str">
        <f>IF('[1]All Data '!BB294="","",'[1]All Data '!BB294)</f>
        <v/>
      </c>
      <c r="R289" s="10" t="str">
        <f>IF('[1]All Data '!BD294="","",'[1]All Data '!BD294)</f>
        <v/>
      </c>
      <c r="S289" s="11" t="str">
        <f>IF(R289="","",'[1]All Data '!BE294)</f>
        <v/>
      </c>
      <c r="T289" s="12" t="str">
        <f>IF(S289="","",[1]Inputs_Outputs!$B$8*(1-'LOCH Calc COE Calc'!S289))</f>
        <v/>
      </c>
      <c r="U289" s="13" t="str">
        <f t="shared" si="21"/>
        <v/>
      </c>
      <c r="V289" s="13" t="str">
        <f t="shared" si="22"/>
        <v/>
      </c>
      <c r="W289" s="4" t="str">
        <f t="shared" si="23"/>
        <v/>
      </c>
      <c r="X289" t="str">
        <f>IF(W289="","",LOOKUP(_xlfn.CONCAT(P289,", ",Q289),'[1]T+S Costs'!$F$2:$F$3138,'[1]T+S Costs'!$N$2:$N$3138))</f>
        <v/>
      </c>
      <c r="Y289" s="14" t="str">
        <f t="shared" si="24"/>
        <v/>
      </c>
      <c r="Z289" s="4" t="str">
        <f t="shared" si="25"/>
        <v/>
      </c>
    </row>
    <row r="290" spans="16:26" x14ac:dyDescent="0.25">
      <c r="P290" s="10" t="str">
        <f>IF('[1]All Data '!AZ295="","",'[1]All Data '!AZ295)</f>
        <v/>
      </c>
      <c r="Q290" s="10" t="str">
        <f>IF('[1]All Data '!BB295="","",'[1]All Data '!BB295)</f>
        <v/>
      </c>
      <c r="R290" s="10" t="str">
        <f>IF('[1]All Data '!BD295="","",'[1]All Data '!BD295)</f>
        <v/>
      </c>
      <c r="S290" s="11" t="str">
        <f>IF(R290="","",'[1]All Data '!BE295)</f>
        <v/>
      </c>
      <c r="T290" s="12" t="str">
        <f>IF(S290="","",[1]Inputs_Outputs!$B$8*(1-'LOCH Calc COE Calc'!S290))</f>
        <v/>
      </c>
      <c r="U290" s="13" t="str">
        <f t="shared" si="21"/>
        <v/>
      </c>
      <c r="V290" s="13" t="str">
        <f t="shared" si="22"/>
        <v/>
      </c>
      <c r="W290" s="4" t="str">
        <f t="shared" si="23"/>
        <v/>
      </c>
      <c r="X290" t="str">
        <f>IF(W290="","",LOOKUP(_xlfn.CONCAT(P290,", ",Q290),'[1]T+S Costs'!$F$2:$F$3138,'[1]T+S Costs'!$N$2:$N$3138))</f>
        <v/>
      </c>
      <c r="Y290" s="14" t="str">
        <f t="shared" si="24"/>
        <v/>
      </c>
      <c r="Z290" s="4" t="str">
        <f t="shared" si="25"/>
        <v/>
      </c>
    </row>
    <row r="291" spans="16:26" x14ac:dyDescent="0.25">
      <c r="P291" s="10" t="str">
        <f>IF('[1]All Data '!AZ296="","",'[1]All Data '!AZ296)</f>
        <v/>
      </c>
      <c r="Q291" s="10" t="str">
        <f>IF('[1]All Data '!BB296="","",'[1]All Data '!BB296)</f>
        <v/>
      </c>
      <c r="R291" s="10" t="str">
        <f>IF('[1]All Data '!BD296="","",'[1]All Data '!BD296)</f>
        <v/>
      </c>
      <c r="S291" s="11" t="str">
        <f>IF(R291="","",'[1]All Data '!BE296)</f>
        <v/>
      </c>
      <c r="T291" s="12" t="str">
        <f>IF(S291="","",[1]Inputs_Outputs!$B$8*(1-'LOCH Calc COE Calc'!S291))</f>
        <v/>
      </c>
      <c r="U291" s="13" t="str">
        <f t="shared" si="21"/>
        <v/>
      </c>
      <c r="V291" s="13" t="str">
        <f t="shared" si="22"/>
        <v/>
      </c>
      <c r="W291" s="4" t="str">
        <f t="shared" si="23"/>
        <v/>
      </c>
      <c r="X291" t="str">
        <f>IF(W291="","",LOOKUP(_xlfn.CONCAT(P291,", ",Q291),'[1]T+S Costs'!$F$2:$F$3138,'[1]T+S Costs'!$N$2:$N$3138))</f>
        <v/>
      </c>
      <c r="Y291" s="14" t="str">
        <f t="shared" si="24"/>
        <v/>
      </c>
      <c r="Z291" s="4" t="str">
        <f t="shared" si="25"/>
        <v/>
      </c>
    </row>
    <row r="292" spans="16:26" x14ac:dyDescent="0.25">
      <c r="P292" s="10" t="str">
        <f>IF('[1]All Data '!AZ297="","",'[1]All Data '!AZ297)</f>
        <v/>
      </c>
      <c r="Q292" s="10" t="str">
        <f>IF('[1]All Data '!BB297="","",'[1]All Data '!BB297)</f>
        <v/>
      </c>
      <c r="R292" s="10" t="str">
        <f>IF('[1]All Data '!BD297="","",'[1]All Data '!BD297)</f>
        <v/>
      </c>
      <c r="S292" s="11" t="str">
        <f>IF(R292="","",'[1]All Data '!BE297)</f>
        <v/>
      </c>
      <c r="T292" s="12" t="str">
        <f>IF(S292="","",[1]Inputs_Outputs!$B$8*(1-'LOCH Calc COE Calc'!S292))</f>
        <v/>
      </c>
      <c r="U292" s="13" t="str">
        <f t="shared" si="21"/>
        <v/>
      </c>
      <c r="V292" s="13" t="str">
        <f t="shared" si="22"/>
        <v/>
      </c>
      <c r="W292" s="4" t="str">
        <f t="shared" si="23"/>
        <v/>
      </c>
      <c r="X292" t="str">
        <f>IF(W292="","",LOOKUP(_xlfn.CONCAT(P292,", ",Q292),'[1]T+S Costs'!$F$2:$F$3138,'[1]T+S Costs'!$N$2:$N$3138))</f>
        <v/>
      </c>
      <c r="Y292" s="14" t="str">
        <f t="shared" si="24"/>
        <v/>
      </c>
      <c r="Z292" s="4" t="str">
        <f t="shared" si="25"/>
        <v/>
      </c>
    </row>
    <row r="293" spans="16:26" x14ac:dyDescent="0.25">
      <c r="P293" s="10" t="str">
        <f>IF('[1]All Data '!AZ298="","",'[1]All Data '!AZ298)</f>
        <v/>
      </c>
      <c r="Q293" s="10" t="str">
        <f>IF('[1]All Data '!BB298="","",'[1]All Data '!BB298)</f>
        <v/>
      </c>
      <c r="R293" s="10" t="str">
        <f>IF('[1]All Data '!BD298="","",'[1]All Data '!BD298)</f>
        <v/>
      </c>
      <c r="S293" s="11" t="str">
        <f>IF(R293="","",'[1]All Data '!BE298)</f>
        <v/>
      </c>
      <c r="T293" s="12" t="str">
        <f>IF(S293="","",[1]Inputs_Outputs!$B$8*(1-'LOCH Calc COE Calc'!S293))</f>
        <v/>
      </c>
      <c r="U293" s="13" t="str">
        <f t="shared" si="21"/>
        <v/>
      </c>
      <c r="V293" s="13" t="str">
        <f t="shared" si="22"/>
        <v/>
      </c>
      <c r="W293" s="4" t="str">
        <f t="shared" si="23"/>
        <v/>
      </c>
      <c r="X293" t="str">
        <f>IF(W293="","",LOOKUP(_xlfn.CONCAT(P293,", ",Q293),'[1]T+S Costs'!$F$2:$F$3138,'[1]T+S Costs'!$N$2:$N$3138))</f>
        <v/>
      </c>
      <c r="Y293" s="14" t="str">
        <f t="shared" si="24"/>
        <v/>
      </c>
      <c r="Z293" s="4" t="str">
        <f t="shared" si="25"/>
        <v/>
      </c>
    </row>
    <row r="294" spans="16:26" x14ac:dyDescent="0.25">
      <c r="P294" s="10" t="str">
        <f>IF('[1]All Data '!AZ299="","",'[1]All Data '!AZ299)</f>
        <v/>
      </c>
      <c r="Q294" s="10" t="str">
        <f>IF('[1]All Data '!BB299="","",'[1]All Data '!BB299)</f>
        <v/>
      </c>
      <c r="R294" s="10" t="str">
        <f>IF('[1]All Data '!BD299="","",'[1]All Data '!BD299)</f>
        <v/>
      </c>
      <c r="S294" s="11" t="str">
        <f>IF(R294="","",'[1]All Data '!BE299)</f>
        <v/>
      </c>
      <c r="T294" s="12" t="str">
        <f>IF(S294="","",[1]Inputs_Outputs!$B$8*(1-'LOCH Calc COE Calc'!S294))</f>
        <v/>
      </c>
      <c r="U294" s="13" t="str">
        <f t="shared" si="21"/>
        <v/>
      </c>
      <c r="V294" s="13" t="str">
        <f t="shared" si="22"/>
        <v/>
      </c>
      <c r="W294" s="4" t="str">
        <f t="shared" si="23"/>
        <v/>
      </c>
      <c r="X294" t="str">
        <f>IF(W294="","",LOOKUP(_xlfn.CONCAT(P294,", ",Q294),'[1]T+S Costs'!$F$2:$F$3138,'[1]T+S Costs'!$N$2:$N$3138))</f>
        <v/>
      </c>
      <c r="Y294" s="14" t="str">
        <f t="shared" si="24"/>
        <v/>
      </c>
      <c r="Z294" s="4" t="str">
        <f t="shared" si="25"/>
        <v/>
      </c>
    </row>
    <row r="295" spans="16:26" x14ac:dyDescent="0.25">
      <c r="P295" s="10" t="str">
        <f>IF('[1]All Data '!AZ300="","",'[1]All Data '!AZ300)</f>
        <v/>
      </c>
      <c r="Q295" s="10" t="str">
        <f>IF('[1]All Data '!BB300="","",'[1]All Data '!BB300)</f>
        <v/>
      </c>
      <c r="R295" s="10" t="str">
        <f>IF('[1]All Data '!BD300="","",'[1]All Data '!BD300)</f>
        <v/>
      </c>
      <c r="S295" s="11" t="str">
        <f>IF(R295="","",'[1]All Data '!BE300)</f>
        <v/>
      </c>
      <c r="T295" s="12" t="str">
        <f>IF(S295="","",[1]Inputs_Outputs!$B$8*(1-'LOCH Calc COE Calc'!S295))</f>
        <v/>
      </c>
      <c r="U295" s="13" t="str">
        <f t="shared" si="21"/>
        <v/>
      </c>
      <c r="V295" s="13" t="str">
        <f t="shared" si="22"/>
        <v/>
      </c>
      <c r="W295" s="4" t="str">
        <f t="shared" si="23"/>
        <v/>
      </c>
      <c r="X295" t="str">
        <f>IF(W295="","",LOOKUP(_xlfn.CONCAT(P295,", ",Q295),'[1]T+S Costs'!$F$2:$F$3138,'[1]T+S Costs'!$N$2:$N$3138))</f>
        <v/>
      </c>
      <c r="Y295" s="14" t="str">
        <f t="shared" si="24"/>
        <v/>
      </c>
      <c r="Z295" s="4" t="str">
        <f t="shared" si="25"/>
        <v/>
      </c>
    </row>
    <row r="296" spans="16:26" x14ac:dyDescent="0.25">
      <c r="P296" s="10" t="str">
        <f>IF('[1]All Data '!AZ301="","",'[1]All Data '!AZ301)</f>
        <v/>
      </c>
      <c r="Q296" s="10" t="str">
        <f>IF('[1]All Data '!BB301="","",'[1]All Data '!BB301)</f>
        <v/>
      </c>
      <c r="R296" s="10" t="str">
        <f>IF('[1]All Data '!BD301="","",'[1]All Data '!BD301)</f>
        <v/>
      </c>
      <c r="S296" s="11" t="str">
        <f>IF(R296="","",'[1]All Data '!BE301)</f>
        <v/>
      </c>
      <c r="T296" s="12" t="str">
        <f>IF(S296="","",[1]Inputs_Outputs!$B$8*(1-'LOCH Calc COE Calc'!S296))</f>
        <v/>
      </c>
      <c r="U296" s="13" t="str">
        <f t="shared" si="21"/>
        <v/>
      </c>
      <c r="V296" s="13" t="str">
        <f t="shared" si="22"/>
        <v/>
      </c>
      <c r="W296" s="4" t="str">
        <f t="shared" si="23"/>
        <v/>
      </c>
      <c r="X296" t="str">
        <f>IF(W296="","",LOOKUP(_xlfn.CONCAT(P296,", ",Q296),'[1]T+S Costs'!$F$2:$F$3138,'[1]T+S Costs'!$N$2:$N$3138))</f>
        <v/>
      </c>
      <c r="Y296" s="14" t="str">
        <f t="shared" si="24"/>
        <v/>
      </c>
      <c r="Z296" s="4" t="str">
        <f t="shared" si="25"/>
        <v/>
      </c>
    </row>
    <row r="297" spans="16:26" x14ac:dyDescent="0.25">
      <c r="P297" s="10" t="str">
        <f>IF('[1]All Data '!AZ302="","",'[1]All Data '!AZ302)</f>
        <v/>
      </c>
      <c r="Q297" s="10" t="str">
        <f>IF('[1]All Data '!BB302="","",'[1]All Data '!BB302)</f>
        <v/>
      </c>
      <c r="R297" s="10" t="str">
        <f>IF('[1]All Data '!BD302="","",'[1]All Data '!BD302)</f>
        <v/>
      </c>
      <c r="S297" s="11" t="str">
        <f>IF(R297="","",'[1]All Data '!BE302)</f>
        <v/>
      </c>
      <c r="T297" s="12" t="str">
        <f>IF(S297="","",[1]Inputs_Outputs!$B$8*(1-'LOCH Calc COE Calc'!S297))</f>
        <v/>
      </c>
      <c r="U297" s="13" t="str">
        <f t="shared" si="21"/>
        <v/>
      </c>
      <c r="V297" s="13" t="str">
        <f t="shared" si="22"/>
        <v/>
      </c>
      <c r="W297" s="4" t="str">
        <f t="shared" si="23"/>
        <v/>
      </c>
      <c r="X297" t="str">
        <f>IF(W297="","",LOOKUP(_xlfn.CONCAT(P297,", ",Q297),'[1]T+S Costs'!$F$2:$F$3138,'[1]T+S Costs'!$N$2:$N$3138))</f>
        <v/>
      </c>
      <c r="Y297" s="14" t="str">
        <f t="shared" si="24"/>
        <v/>
      </c>
      <c r="Z297" s="4" t="str">
        <f t="shared" si="25"/>
        <v/>
      </c>
    </row>
    <row r="298" spans="16:26" x14ac:dyDescent="0.25">
      <c r="P298" s="10" t="str">
        <f>IF('[1]All Data '!AZ303="","",'[1]All Data '!AZ303)</f>
        <v/>
      </c>
      <c r="Q298" s="10" t="str">
        <f>IF('[1]All Data '!BB303="","",'[1]All Data '!BB303)</f>
        <v/>
      </c>
      <c r="R298" s="10" t="str">
        <f>IF('[1]All Data '!BD303="","",'[1]All Data '!BD303)</f>
        <v/>
      </c>
      <c r="S298" s="11" t="str">
        <f>IF(R298="","",'[1]All Data '!BE303)</f>
        <v/>
      </c>
      <c r="T298" s="12" t="str">
        <f>IF(S298="","",[1]Inputs_Outputs!$B$8*(1-'LOCH Calc COE Calc'!S298))</f>
        <v/>
      </c>
      <c r="U298" s="13" t="str">
        <f t="shared" si="21"/>
        <v/>
      </c>
      <c r="V298" s="13" t="str">
        <f t="shared" si="22"/>
        <v/>
      </c>
      <c r="W298" s="4" t="str">
        <f t="shared" si="23"/>
        <v/>
      </c>
      <c r="X298" t="str">
        <f>IF(W298="","",LOOKUP(_xlfn.CONCAT(P298,", ",Q298),'[1]T+S Costs'!$F$2:$F$3138,'[1]T+S Costs'!$N$2:$N$3138))</f>
        <v/>
      </c>
      <c r="Y298" s="14" t="str">
        <f t="shared" si="24"/>
        <v/>
      </c>
      <c r="Z298" s="4" t="str">
        <f t="shared" si="25"/>
        <v/>
      </c>
    </row>
    <row r="299" spans="16:26" x14ac:dyDescent="0.25">
      <c r="P299" s="10" t="str">
        <f>IF('[1]All Data '!AZ304="","",'[1]All Data '!AZ304)</f>
        <v/>
      </c>
      <c r="Q299" s="10" t="str">
        <f>IF('[1]All Data '!BB304="","",'[1]All Data '!BB304)</f>
        <v/>
      </c>
      <c r="R299" s="10" t="str">
        <f>IF('[1]All Data '!BD304="","",'[1]All Data '!BD304)</f>
        <v/>
      </c>
      <c r="S299" s="11" t="str">
        <f>IF(R299="","",'[1]All Data '!BE304)</f>
        <v/>
      </c>
      <c r="T299" s="12" t="str">
        <f>IF(S299="","",[1]Inputs_Outputs!$B$8*(1-'LOCH Calc COE Calc'!S299))</f>
        <v/>
      </c>
      <c r="U299" s="13" t="str">
        <f t="shared" si="21"/>
        <v/>
      </c>
      <c r="V299" s="13" t="str">
        <f t="shared" si="22"/>
        <v/>
      </c>
      <c r="W299" s="4" t="str">
        <f t="shared" si="23"/>
        <v/>
      </c>
      <c r="X299" t="str">
        <f>IF(W299="","",LOOKUP(_xlfn.CONCAT(P299,", ",Q299),'[1]T+S Costs'!$F$2:$F$3138,'[1]T+S Costs'!$N$2:$N$3138))</f>
        <v/>
      </c>
      <c r="Y299" s="14" t="str">
        <f t="shared" si="24"/>
        <v/>
      </c>
      <c r="Z299" s="4" t="str">
        <f t="shared" si="25"/>
        <v/>
      </c>
    </row>
    <row r="300" spans="16:26" x14ac:dyDescent="0.25">
      <c r="P300" s="10" t="str">
        <f>IF('[1]All Data '!AZ305="","",'[1]All Data '!AZ305)</f>
        <v/>
      </c>
      <c r="Q300" s="10" t="str">
        <f>IF('[1]All Data '!BB305="","",'[1]All Data '!BB305)</f>
        <v/>
      </c>
      <c r="R300" s="10" t="str">
        <f>IF('[1]All Data '!BD305="","",'[1]All Data '!BD305)</f>
        <v/>
      </c>
      <c r="S300" s="11" t="str">
        <f>IF(R300="","",'[1]All Data '!BE305)</f>
        <v/>
      </c>
      <c r="T300" s="12" t="str">
        <f>IF(S300="","",[1]Inputs_Outputs!$B$8*(1-'LOCH Calc COE Calc'!S300))</f>
        <v/>
      </c>
      <c r="U300" s="13" t="str">
        <f t="shared" si="21"/>
        <v/>
      </c>
      <c r="V300" s="13" t="str">
        <f t="shared" si="22"/>
        <v/>
      </c>
      <c r="W300" s="4" t="str">
        <f t="shared" si="23"/>
        <v/>
      </c>
      <c r="X300" t="str">
        <f>IF(W300="","",LOOKUP(_xlfn.CONCAT(P300,", ",Q300),'[1]T+S Costs'!$F$2:$F$3138,'[1]T+S Costs'!$N$2:$N$3138))</f>
        <v/>
      </c>
      <c r="Y300" s="14" t="str">
        <f t="shared" si="24"/>
        <v/>
      </c>
      <c r="Z300" s="4" t="str">
        <f t="shared" si="25"/>
        <v/>
      </c>
    </row>
    <row r="301" spans="16:26" x14ac:dyDescent="0.25">
      <c r="P301" s="10" t="str">
        <f>IF('[1]All Data '!AZ306="","",'[1]All Data '!AZ306)</f>
        <v/>
      </c>
      <c r="Q301" s="10" t="str">
        <f>IF('[1]All Data '!BB306="","",'[1]All Data '!BB306)</f>
        <v/>
      </c>
      <c r="R301" s="10" t="str">
        <f>IF('[1]All Data '!BD306="","",'[1]All Data '!BD306)</f>
        <v/>
      </c>
      <c r="S301" s="11" t="str">
        <f>IF(R301="","",'[1]All Data '!BE306)</f>
        <v/>
      </c>
      <c r="T301" s="12" t="str">
        <f>IF(S301="","",[1]Inputs_Outputs!$B$8*(1-'LOCH Calc COE Calc'!S301))</f>
        <v/>
      </c>
      <c r="U301" s="13" t="str">
        <f t="shared" si="21"/>
        <v/>
      </c>
      <c r="V301" s="13" t="str">
        <f t="shared" si="22"/>
        <v/>
      </c>
      <c r="W301" s="4" t="str">
        <f t="shared" si="23"/>
        <v/>
      </c>
      <c r="X301" t="str">
        <f>IF(W301="","",LOOKUP(_xlfn.CONCAT(P301,", ",Q301),'[1]T+S Costs'!$F$2:$F$3138,'[1]T+S Costs'!$N$2:$N$3138))</f>
        <v/>
      </c>
      <c r="Y301" s="14" t="str">
        <f t="shared" si="24"/>
        <v/>
      </c>
      <c r="Z301" s="4" t="str">
        <f t="shared" si="25"/>
        <v/>
      </c>
    </row>
    <row r="302" spans="16:26" x14ac:dyDescent="0.25">
      <c r="P302" s="10" t="str">
        <f>IF('[1]All Data '!AZ307="","",'[1]All Data '!AZ307)</f>
        <v/>
      </c>
      <c r="Q302" s="10" t="str">
        <f>IF('[1]All Data '!BB307="","",'[1]All Data '!BB307)</f>
        <v/>
      </c>
      <c r="R302" s="10" t="str">
        <f>IF('[1]All Data '!BD307="","",'[1]All Data '!BD307)</f>
        <v/>
      </c>
      <c r="S302" s="11" t="str">
        <f>IF(R302="","",'[1]All Data '!BE307)</f>
        <v/>
      </c>
      <c r="T302" s="12" t="str">
        <f>IF(S302="","",[1]Inputs_Outputs!$B$8*(1-'LOCH Calc COE Calc'!S302))</f>
        <v/>
      </c>
      <c r="U302" s="13" t="str">
        <f t="shared" si="21"/>
        <v/>
      </c>
      <c r="V302" s="13" t="str">
        <f t="shared" si="22"/>
        <v/>
      </c>
      <c r="W302" s="4" t="str">
        <f t="shared" si="23"/>
        <v/>
      </c>
      <c r="X302" t="str">
        <f>IF(W302="","",LOOKUP(_xlfn.CONCAT(P302,", ",Q302),'[1]T+S Costs'!$F$2:$F$3138,'[1]T+S Costs'!$N$2:$N$3138))</f>
        <v/>
      </c>
      <c r="Y302" s="14" t="str">
        <f t="shared" si="24"/>
        <v/>
      </c>
      <c r="Z302" s="4" t="str">
        <f t="shared" si="25"/>
        <v/>
      </c>
    </row>
    <row r="303" spans="16:26" x14ac:dyDescent="0.25">
      <c r="P303" s="10" t="str">
        <f>IF('[1]All Data '!AZ308="","",'[1]All Data '!AZ308)</f>
        <v/>
      </c>
      <c r="Q303" s="10" t="str">
        <f>IF('[1]All Data '!BB308="","",'[1]All Data '!BB308)</f>
        <v/>
      </c>
      <c r="R303" s="10" t="str">
        <f>IF('[1]All Data '!BD308="","",'[1]All Data '!BD308)</f>
        <v/>
      </c>
      <c r="S303" s="11" t="str">
        <f>IF(R303="","",'[1]All Data '!BE308)</f>
        <v/>
      </c>
      <c r="T303" s="12" t="str">
        <f>IF(S303="","",[1]Inputs_Outputs!$B$8*(1-'LOCH Calc COE Calc'!S303))</f>
        <v/>
      </c>
      <c r="U303" s="13" t="str">
        <f t="shared" si="21"/>
        <v/>
      </c>
      <c r="V303" s="13" t="str">
        <f t="shared" si="22"/>
        <v/>
      </c>
      <c r="W303" s="4" t="str">
        <f t="shared" si="23"/>
        <v/>
      </c>
      <c r="X303" t="str">
        <f>IF(W303="","",LOOKUP(_xlfn.CONCAT(P303,", ",Q303),'[1]T+S Costs'!$F$2:$F$3138,'[1]T+S Costs'!$N$2:$N$3138))</f>
        <v/>
      </c>
      <c r="Y303" s="14" t="str">
        <f t="shared" si="24"/>
        <v/>
      </c>
      <c r="Z303" s="4" t="str">
        <f t="shared" si="25"/>
        <v/>
      </c>
    </row>
    <row r="304" spans="16:26" x14ac:dyDescent="0.25">
      <c r="P304" s="10" t="str">
        <f>IF('[1]All Data '!AZ309="","",'[1]All Data '!AZ309)</f>
        <v/>
      </c>
      <c r="Q304" s="10" t="str">
        <f>IF('[1]All Data '!BB309="","",'[1]All Data '!BB309)</f>
        <v/>
      </c>
      <c r="R304" s="10" t="str">
        <f>IF('[1]All Data '!BD309="","",'[1]All Data '!BD309)</f>
        <v/>
      </c>
      <c r="S304" s="11" t="str">
        <f>IF(R304="","",'[1]All Data '!BE309)</f>
        <v/>
      </c>
      <c r="T304" s="12" t="str">
        <f>IF(S304="","",[1]Inputs_Outputs!$B$8*(1-'LOCH Calc COE Calc'!S304))</f>
        <v/>
      </c>
      <c r="U304" s="13" t="str">
        <f t="shared" si="21"/>
        <v/>
      </c>
      <c r="V304" s="13" t="str">
        <f t="shared" si="22"/>
        <v/>
      </c>
      <c r="W304" s="4" t="str">
        <f t="shared" si="23"/>
        <v/>
      </c>
      <c r="X304" t="str">
        <f>IF(W304="","",LOOKUP(_xlfn.CONCAT(P304,", ",Q304),'[1]T+S Costs'!$F$2:$F$3138,'[1]T+S Costs'!$N$2:$N$3138))</f>
        <v/>
      </c>
      <c r="Y304" s="14" t="str">
        <f t="shared" si="24"/>
        <v/>
      </c>
      <c r="Z304" s="4" t="str">
        <f t="shared" si="25"/>
        <v/>
      </c>
    </row>
    <row r="305" spans="16:26" x14ac:dyDescent="0.25">
      <c r="P305" s="10" t="str">
        <f>IF('[1]All Data '!AZ310="","",'[1]All Data '!AZ310)</f>
        <v/>
      </c>
      <c r="Q305" s="10" t="str">
        <f>IF('[1]All Data '!BB310="","",'[1]All Data '!BB310)</f>
        <v/>
      </c>
      <c r="R305" s="10" t="str">
        <f>IF('[1]All Data '!BD310="","",'[1]All Data '!BD310)</f>
        <v/>
      </c>
      <c r="S305" s="11" t="str">
        <f>IF(R305="","",'[1]All Data '!BE310)</f>
        <v/>
      </c>
      <c r="T305" s="12" t="str">
        <f>IF(S305="","",[1]Inputs_Outputs!$B$8*(1-'LOCH Calc COE Calc'!S305))</f>
        <v/>
      </c>
      <c r="U305" s="13" t="str">
        <f t="shared" si="21"/>
        <v/>
      </c>
      <c r="V305" s="13" t="str">
        <f t="shared" si="22"/>
        <v/>
      </c>
      <c r="W305" s="4" t="str">
        <f t="shared" si="23"/>
        <v/>
      </c>
      <c r="X305" t="str">
        <f>IF(W305="","",LOOKUP(_xlfn.CONCAT(P305,", ",Q305),'[1]T+S Costs'!$F$2:$F$3138,'[1]T+S Costs'!$N$2:$N$3138))</f>
        <v/>
      </c>
      <c r="Y305" s="14" t="str">
        <f t="shared" si="24"/>
        <v/>
      </c>
      <c r="Z305" s="4" t="str">
        <f t="shared" si="25"/>
        <v/>
      </c>
    </row>
    <row r="306" spans="16:26" x14ac:dyDescent="0.25">
      <c r="P306" s="10" t="str">
        <f>IF('[1]All Data '!AZ311="","",'[1]All Data '!AZ311)</f>
        <v/>
      </c>
      <c r="Q306" s="10" t="str">
        <f>IF('[1]All Data '!BB311="","",'[1]All Data '!BB311)</f>
        <v/>
      </c>
      <c r="R306" s="10" t="str">
        <f>IF('[1]All Data '!BD311="","",'[1]All Data '!BD311)</f>
        <v/>
      </c>
      <c r="S306" s="11" t="str">
        <f>IF(R306="","",'[1]All Data '!BE311)</f>
        <v/>
      </c>
      <c r="T306" s="12" t="str">
        <f>IF(S306="","",[1]Inputs_Outputs!$B$8*(1-'LOCH Calc COE Calc'!S306))</f>
        <v/>
      </c>
      <c r="U306" s="13" t="str">
        <f t="shared" si="21"/>
        <v/>
      </c>
      <c r="V306" s="13" t="str">
        <f t="shared" si="22"/>
        <v/>
      </c>
      <c r="W306" s="4" t="str">
        <f t="shared" si="23"/>
        <v/>
      </c>
      <c r="X306" t="str">
        <f>IF(W306="","",LOOKUP(_xlfn.CONCAT(P306,", ",Q306),'[1]T+S Costs'!$F$2:$F$3138,'[1]T+S Costs'!$N$2:$N$3138))</f>
        <v/>
      </c>
      <c r="Y306" s="14" t="str">
        <f t="shared" si="24"/>
        <v/>
      </c>
      <c r="Z306" s="4" t="str">
        <f t="shared" si="25"/>
        <v/>
      </c>
    </row>
    <row r="307" spans="16:26" x14ac:dyDescent="0.25">
      <c r="P307" s="10" t="str">
        <f>IF('[1]All Data '!AZ312="","",'[1]All Data '!AZ312)</f>
        <v/>
      </c>
      <c r="Q307" s="10" t="str">
        <f>IF('[1]All Data '!BB312="","",'[1]All Data '!BB312)</f>
        <v/>
      </c>
      <c r="R307" s="10" t="str">
        <f>IF('[1]All Data '!BD312="","",'[1]All Data '!BD312)</f>
        <v/>
      </c>
      <c r="S307" s="11" t="str">
        <f>IF(R307="","",'[1]All Data '!BE312)</f>
        <v/>
      </c>
      <c r="T307" s="12" t="str">
        <f>IF(S307="","",[1]Inputs_Outputs!$B$8*(1-'LOCH Calc COE Calc'!S307))</f>
        <v/>
      </c>
      <c r="U307" s="13" t="str">
        <f t="shared" si="21"/>
        <v/>
      </c>
      <c r="V307" s="13" t="str">
        <f t="shared" si="22"/>
        <v/>
      </c>
      <c r="W307" s="4" t="str">
        <f t="shared" si="23"/>
        <v/>
      </c>
      <c r="X307" t="str">
        <f>IF(W307="","",LOOKUP(_xlfn.CONCAT(P307,", ",Q307),'[1]T+S Costs'!$F$2:$F$3138,'[1]T+S Costs'!$N$2:$N$3138))</f>
        <v/>
      </c>
      <c r="Y307" s="14" t="str">
        <f t="shared" si="24"/>
        <v/>
      </c>
      <c r="Z307" s="4" t="str">
        <f t="shared" si="25"/>
        <v/>
      </c>
    </row>
    <row r="308" spans="16:26" x14ac:dyDescent="0.25">
      <c r="P308" s="10" t="str">
        <f>IF('[1]All Data '!AZ313="","",'[1]All Data '!AZ313)</f>
        <v/>
      </c>
      <c r="Q308" s="10" t="str">
        <f>IF('[1]All Data '!BB313="","",'[1]All Data '!BB313)</f>
        <v/>
      </c>
      <c r="R308" s="10" t="str">
        <f>IF('[1]All Data '!BD313="","",'[1]All Data '!BD313)</f>
        <v/>
      </c>
      <c r="S308" s="11" t="str">
        <f>IF(R308="","",'[1]All Data '!BE313)</f>
        <v/>
      </c>
      <c r="T308" s="12" t="str">
        <f>IF(S308="","",[1]Inputs_Outputs!$B$8*(1-'LOCH Calc COE Calc'!S308))</f>
        <v/>
      </c>
      <c r="U308" s="13" t="str">
        <f t="shared" si="21"/>
        <v/>
      </c>
      <c r="V308" s="13" t="str">
        <f t="shared" si="22"/>
        <v/>
      </c>
      <c r="W308" s="4" t="str">
        <f t="shared" si="23"/>
        <v/>
      </c>
      <c r="X308" t="str">
        <f>IF(W308="","",LOOKUP(_xlfn.CONCAT(P308,", ",Q308),'[1]T+S Costs'!$F$2:$F$3138,'[1]T+S Costs'!$N$2:$N$3138))</f>
        <v/>
      </c>
      <c r="Y308" s="14" t="str">
        <f t="shared" si="24"/>
        <v/>
      </c>
      <c r="Z308" s="4" t="str">
        <f t="shared" si="25"/>
        <v/>
      </c>
    </row>
    <row r="309" spans="16:26" x14ac:dyDescent="0.25">
      <c r="P309" s="10" t="str">
        <f>IF('[1]All Data '!AZ314="","",'[1]All Data '!AZ314)</f>
        <v/>
      </c>
      <c r="Q309" s="10" t="str">
        <f>IF('[1]All Data '!BB314="","",'[1]All Data '!BB314)</f>
        <v/>
      </c>
      <c r="R309" s="10" t="str">
        <f>IF('[1]All Data '!BD314="","",'[1]All Data '!BD314)</f>
        <v/>
      </c>
      <c r="S309" s="11" t="str">
        <f>IF(R309="","",'[1]All Data '!BE314)</f>
        <v/>
      </c>
      <c r="T309" s="12" t="str">
        <f>IF(S309="","",[1]Inputs_Outputs!$B$8*(1-'LOCH Calc COE Calc'!S309))</f>
        <v/>
      </c>
      <c r="U309" s="13" t="str">
        <f t="shared" si="21"/>
        <v/>
      </c>
      <c r="V309" s="13" t="str">
        <f t="shared" si="22"/>
        <v/>
      </c>
      <c r="W309" s="4" t="str">
        <f t="shared" si="23"/>
        <v/>
      </c>
      <c r="X309" t="str">
        <f>IF(W309="","",LOOKUP(_xlfn.CONCAT(P309,", ",Q309),'[1]T+S Costs'!$F$2:$F$3138,'[1]T+S Costs'!$N$2:$N$3138))</f>
        <v/>
      </c>
      <c r="Y309" s="14" t="str">
        <f t="shared" si="24"/>
        <v/>
      </c>
      <c r="Z309" s="4" t="str">
        <f t="shared" si="25"/>
        <v/>
      </c>
    </row>
    <row r="310" spans="16:26" x14ac:dyDescent="0.25">
      <c r="P310" s="10" t="str">
        <f>IF('[1]All Data '!AZ315="","",'[1]All Data '!AZ315)</f>
        <v/>
      </c>
      <c r="Q310" s="10" t="str">
        <f>IF('[1]All Data '!BB315="","",'[1]All Data '!BB315)</f>
        <v/>
      </c>
      <c r="R310" s="10" t="str">
        <f>IF('[1]All Data '!BD315="","",'[1]All Data '!BD315)</f>
        <v/>
      </c>
      <c r="S310" s="11" t="str">
        <f>IF(R310="","",'[1]All Data '!BE315)</f>
        <v/>
      </c>
      <c r="T310" s="12" t="str">
        <f>IF(S310="","",[1]Inputs_Outputs!$B$8*(1-'LOCH Calc COE Calc'!S310))</f>
        <v/>
      </c>
      <c r="U310" s="13" t="str">
        <f t="shared" si="21"/>
        <v/>
      </c>
      <c r="V310" s="13" t="str">
        <f t="shared" si="22"/>
        <v/>
      </c>
      <c r="W310" s="4" t="str">
        <f t="shared" si="23"/>
        <v/>
      </c>
      <c r="X310" t="str">
        <f>IF(W310="","",LOOKUP(_xlfn.CONCAT(P310,", ",Q310),'[1]T+S Costs'!$F$2:$F$3138,'[1]T+S Costs'!$N$2:$N$3138))</f>
        <v/>
      </c>
      <c r="Y310" s="14" t="str">
        <f t="shared" si="24"/>
        <v/>
      </c>
      <c r="Z310" s="4" t="str">
        <f t="shared" si="25"/>
        <v/>
      </c>
    </row>
    <row r="311" spans="16:26" x14ac:dyDescent="0.25">
      <c r="P311" s="10" t="str">
        <f>IF('[1]All Data '!AZ316="","",'[1]All Data '!AZ316)</f>
        <v/>
      </c>
      <c r="Q311" s="10" t="str">
        <f>IF('[1]All Data '!BB316="","",'[1]All Data '!BB316)</f>
        <v/>
      </c>
      <c r="R311" s="10" t="str">
        <f>IF('[1]All Data '!BD316="","",'[1]All Data '!BD316)</f>
        <v/>
      </c>
      <c r="S311" s="11" t="str">
        <f>IF(R311="","",'[1]All Data '!BE316)</f>
        <v/>
      </c>
      <c r="T311" s="12" t="str">
        <f>IF(S311="","",[1]Inputs_Outputs!$B$8*(1-'LOCH Calc COE Calc'!S311))</f>
        <v/>
      </c>
      <c r="U311" s="13" t="str">
        <f t="shared" si="21"/>
        <v/>
      </c>
      <c r="V311" s="13" t="str">
        <f t="shared" si="22"/>
        <v/>
      </c>
      <c r="W311" s="4" t="str">
        <f t="shared" si="23"/>
        <v/>
      </c>
      <c r="X311" t="str">
        <f>IF(W311="","",LOOKUP(_xlfn.CONCAT(P311,", ",Q311),'[1]T+S Costs'!$F$2:$F$3138,'[1]T+S Costs'!$N$2:$N$3138))</f>
        <v/>
      </c>
      <c r="Y311" s="14" t="str">
        <f t="shared" si="24"/>
        <v/>
      </c>
      <c r="Z311" s="4" t="str">
        <f t="shared" si="25"/>
        <v/>
      </c>
    </row>
    <row r="312" spans="16:26" x14ac:dyDescent="0.25">
      <c r="P312" s="10" t="str">
        <f>IF('[1]All Data '!AZ317="","",'[1]All Data '!AZ317)</f>
        <v/>
      </c>
      <c r="Q312" s="10" t="str">
        <f>IF('[1]All Data '!BB317="","",'[1]All Data '!BB317)</f>
        <v/>
      </c>
      <c r="R312" s="10" t="str">
        <f>IF('[1]All Data '!BD317="","",'[1]All Data '!BD317)</f>
        <v/>
      </c>
      <c r="S312" s="11" t="str">
        <f>IF(R312="","",'[1]All Data '!BE317)</f>
        <v/>
      </c>
      <c r="T312" s="12" t="str">
        <f>IF(S312="","",[1]Inputs_Outputs!$B$8*(1-'LOCH Calc COE Calc'!S312))</f>
        <v/>
      </c>
      <c r="U312" s="13" t="str">
        <f t="shared" si="21"/>
        <v/>
      </c>
      <c r="V312" s="13" t="str">
        <f t="shared" si="22"/>
        <v/>
      </c>
      <c r="W312" s="4" t="str">
        <f t="shared" si="23"/>
        <v/>
      </c>
      <c r="X312" t="str">
        <f>IF(W312="","",LOOKUP(_xlfn.CONCAT(P312,", ",Q312),'[1]T+S Costs'!$F$2:$F$3138,'[1]T+S Costs'!$N$2:$N$3138))</f>
        <v/>
      </c>
      <c r="Y312" s="14" t="str">
        <f t="shared" si="24"/>
        <v/>
      </c>
      <c r="Z312" s="4" t="str">
        <f t="shared" si="25"/>
        <v/>
      </c>
    </row>
    <row r="313" spans="16:26" x14ac:dyDescent="0.25">
      <c r="P313" s="10" t="str">
        <f>IF('[1]All Data '!AZ318="","",'[1]All Data '!AZ318)</f>
        <v/>
      </c>
      <c r="Q313" s="10" t="str">
        <f>IF('[1]All Data '!BB318="","",'[1]All Data '!BB318)</f>
        <v/>
      </c>
      <c r="R313" s="10" t="str">
        <f>IF('[1]All Data '!BD318="","",'[1]All Data '!BD318)</f>
        <v/>
      </c>
      <c r="S313" s="11" t="str">
        <f>IF(R313="","",'[1]All Data '!BE318)</f>
        <v/>
      </c>
      <c r="T313" s="12" t="str">
        <f>IF(S313="","",[1]Inputs_Outputs!$B$8*(1-'LOCH Calc COE Calc'!S313))</f>
        <v/>
      </c>
      <c r="U313" s="13" t="str">
        <f t="shared" si="21"/>
        <v/>
      </c>
      <c r="V313" s="13" t="str">
        <f t="shared" si="22"/>
        <v/>
      </c>
      <c r="W313" s="4" t="str">
        <f t="shared" si="23"/>
        <v/>
      </c>
      <c r="X313" t="str">
        <f>IF(W313="","",LOOKUP(_xlfn.CONCAT(P313,", ",Q313),'[1]T+S Costs'!$F$2:$F$3138,'[1]T+S Costs'!$N$2:$N$3138))</f>
        <v/>
      </c>
      <c r="Y313" s="14" t="str">
        <f t="shared" si="24"/>
        <v/>
      </c>
      <c r="Z313" s="4" t="str">
        <f t="shared" si="25"/>
        <v/>
      </c>
    </row>
    <row r="314" spans="16:26" x14ac:dyDescent="0.25">
      <c r="P314" s="10" t="str">
        <f>IF('[1]All Data '!AZ319="","",'[1]All Data '!AZ319)</f>
        <v/>
      </c>
      <c r="Q314" s="10" t="str">
        <f>IF('[1]All Data '!BB319="","",'[1]All Data '!BB319)</f>
        <v/>
      </c>
      <c r="R314" s="10" t="str">
        <f>IF('[1]All Data '!BD319="","",'[1]All Data '!BD319)</f>
        <v/>
      </c>
      <c r="S314" s="11" t="str">
        <f>IF(R314="","",'[1]All Data '!BE319)</f>
        <v/>
      </c>
      <c r="T314" s="12" t="str">
        <f>IF(S314="","",[1]Inputs_Outputs!$B$8*(1-'LOCH Calc COE Calc'!S314))</f>
        <v/>
      </c>
      <c r="U314" s="13" t="str">
        <f t="shared" si="21"/>
        <v/>
      </c>
      <c r="V314" s="13" t="str">
        <f t="shared" si="22"/>
        <v/>
      </c>
      <c r="W314" s="4" t="str">
        <f t="shared" si="23"/>
        <v/>
      </c>
      <c r="X314" t="str">
        <f>IF(W314="","",LOOKUP(_xlfn.CONCAT(P314,", ",Q314),'[1]T+S Costs'!$F$2:$F$3138,'[1]T+S Costs'!$N$2:$N$3138))</f>
        <v/>
      </c>
      <c r="Y314" s="14" t="str">
        <f t="shared" si="24"/>
        <v/>
      </c>
      <c r="Z314" s="4" t="str">
        <f t="shared" si="25"/>
        <v/>
      </c>
    </row>
    <row r="315" spans="16:26" x14ac:dyDescent="0.25">
      <c r="P315" s="10" t="str">
        <f>IF('[1]All Data '!AZ320="","",'[1]All Data '!AZ320)</f>
        <v/>
      </c>
      <c r="Q315" s="10" t="str">
        <f>IF('[1]All Data '!BB320="","",'[1]All Data '!BB320)</f>
        <v/>
      </c>
      <c r="R315" s="10" t="str">
        <f>IF('[1]All Data '!BD320="","",'[1]All Data '!BD320)</f>
        <v/>
      </c>
      <c r="S315" s="11" t="str">
        <f>IF(R315="","",'[1]All Data '!BE320)</f>
        <v/>
      </c>
      <c r="T315" s="12" t="str">
        <f>IF(S315="","",[1]Inputs_Outputs!$B$8*(1-'LOCH Calc COE Calc'!S315))</f>
        <v/>
      </c>
      <c r="U315" s="13" t="str">
        <f t="shared" si="21"/>
        <v/>
      </c>
      <c r="V315" s="13" t="str">
        <f t="shared" si="22"/>
        <v/>
      </c>
      <c r="W315" s="4" t="str">
        <f t="shared" si="23"/>
        <v/>
      </c>
      <c r="X315" t="str">
        <f>IF(W315="","",LOOKUP(_xlfn.CONCAT(P315,", ",Q315),'[1]T+S Costs'!$F$2:$F$3138,'[1]T+S Costs'!$N$2:$N$3138))</f>
        <v/>
      </c>
      <c r="Y315" s="14" t="str">
        <f t="shared" si="24"/>
        <v/>
      </c>
      <c r="Z315" s="4" t="str">
        <f t="shared" si="25"/>
        <v/>
      </c>
    </row>
    <row r="316" spans="16:26" x14ac:dyDescent="0.25">
      <c r="P316" s="10" t="str">
        <f>IF('[1]All Data '!AZ321="","",'[1]All Data '!AZ321)</f>
        <v/>
      </c>
      <c r="Q316" s="10" t="str">
        <f>IF('[1]All Data '!BB321="","",'[1]All Data '!BB321)</f>
        <v/>
      </c>
      <c r="R316" s="10" t="str">
        <f>IF('[1]All Data '!BD321="","",'[1]All Data '!BD321)</f>
        <v/>
      </c>
      <c r="S316" s="11" t="str">
        <f>IF(R316="","",'[1]All Data '!BE321)</f>
        <v/>
      </c>
      <c r="T316" s="12" t="str">
        <f>IF(S316="","",[1]Inputs_Outputs!$B$8*(1-'LOCH Calc COE Calc'!S316))</f>
        <v/>
      </c>
      <c r="U316" s="13" t="str">
        <f t="shared" si="21"/>
        <v/>
      </c>
      <c r="V316" s="13" t="str">
        <f t="shared" si="22"/>
        <v/>
      </c>
      <c r="W316" s="4" t="str">
        <f t="shared" si="23"/>
        <v/>
      </c>
      <c r="X316" t="str">
        <f>IF(W316="","",LOOKUP(_xlfn.CONCAT(P316,", ",Q316),'[1]T+S Costs'!$F$2:$F$3138,'[1]T+S Costs'!$N$2:$N$3138))</f>
        <v/>
      </c>
      <c r="Y316" s="14" t="str">
        <f t="shared" si="24"/>
        <v/>
      </c>
      <c r="Z316" s="4" t="str">
        <f t="shared" si="25"/>
        <v/>
      </c>
    </row>
    <row r="317" spans="16:26" x14ac:dyDescent="0.25">
      <c r="P317" s="10" t="str">
        <f>IF('[1]All Data '!AZ322="","",'[1]All Data '!AZ322)</f>
        <v/>
      </c>
      <c r="Q317" s="10" t="str">
        <f>IF('[1]All Data '!BB322="","",'[1]All Data '!BB322)</f>
        <v/>
      </c>
      <c r="R317" s="10" t="str">
        <f>IF('[1]All Data '!BD322="","",'[1]All Data '!BD322)</f>
        <v/>
      </c>
      <c r="S317" s="11" t="str">
        <f>IF(R317="","",'[1]All Data '!BE322)</f>
        <v/>
      </c>
      <c r="T317" s="12" t="str">
        <f>IF(S317="","",[1]Inputs_Outputs!$B$8*(1-'LOCH Calc COE Calc'!S317))</f>
        <v/>
      </c>
      <c r="U317" s="13" t="str">
        <f t="shared" si="21"/>
        <v/>
      </c>
      <c r="V317" s="13" t="str">
        <f t="shared" si="22"/>
        <v/>
      </c>
      <c r="W317" s="4" t="str">
        <f t="shared" si="23"/>
        <v/>
      </c>
      <c r="X317" t="str">
        <f>IF(W317="","",LOOKUP(_xlfn.CONCAT(P317,", ",Q317),'[1]T+S Costs'!$F$2:$F$3138,'[1]T+S Costs'!$N$2:$N$3138))</f>
        <v/>
      </c>
      <c r="Y317" s="14" t="str">
        <f t="shared" si="24"/>
        <v/>
      </c>
      <c r="Z317" s="4" t="str">
        <f t="shared" si="25"/>
        <v/>
      </c>
    </row>
    <row r="318" spans="16:26" x14ac:dyDescent="0.25">
      <c r="P318" s="10" t="str">
        <f>IF('[1]All Data '!AZ323="","",'[1]All Data '!AZ323)</f>
        <v/>
      </c>
      <c r="Q318" s="10" t="str">
        <f>IF('[1]All Data '!BB323="","",'[1]All Data '!BB323)</f>
        <v/>
      </c>
      <c r="R318" s="10" t="str">
        <f>IF('[1]All Data '!BD323="","",'[1]All Data '!BD323)</f>
        <v/>
      </c>
      <c r="S318" s="11" t="str">
        <f>IF(R318="","",'[1]All Data '!BE323)</f>
        <v/>
      </c>
      <c r="T318" s="12" t="str">
        <f>IF(S318="","",[1]Inputs_Outputs!$B$8*(1-'LOCH Calc COE Calc'!S318))</f>
        <v/>
      </c>
      <c r="U318" s="13" t="str">
        <f t="shared" si="21"/>
        <v/>
      </c>
      <c r="V318" s="13" t="str">
        <f t="shared" si="22"/>
        <v/>
      </c>
      <c r="W318" s="4" t="str">
        <f t="shared" si="23"/>
        <v/>
      </c>
      <c r="X318" t="str">
        <f>IF(W318="","",LOOKUP(_xlfn.CONCAT(P318,", ",Q318),'[1]T+S Costs'!$F$2:$F$3138,'[1]T+S Costs'!$N$2:$N$3138))</f>
        <v/>
      </c>
      <c r="Y318" s="14" t="str">
        <f t="shared" si="24"/>
        <v/>
      </c>
      <c r="Z318" s="4" t="str">
        <f t="shared" si="25"/>
        <v/>
      </c>
    </row>
    <row r="319" spans="16:26" x14ac:dyDescent="0.25">
      <c r="P319" s="10" t="str">
        <f>IF('[1]All Data '!AZ324="","",'[1]All Data '!AZ324)</f>
        <v/>
      </c>
      <c r="Q319" s="10" t="str">
        <f>IF('[1]All Data '!BB324="","",'[1]All Data '!BB324)</f>
        <v/>
      </c>
      <c r="R319" s="10" t="str">
        <f>IF('[1]All Data '!BD324="","",'[1]All Data '!BD324)</f>
        <v/>
      </c>
      <c r="S319" s="11" t="str">
        <f>IF(R319="","",'[1]All Data '!BE324)</f>
        <v/>
      </c>
      <c r="T319" s="12" t="str">
        <f>IF(S319="","",[1]Inputs_Outputs!$B$8*(1-'LOCH Calc COE Calc'!S319))</f>
        <v/>
      </c>
      <c r="U319" s="13" t="str">
        <f t="shared" si="21"/>
        <v/>
      </c>
      <c r="V319" s="13" t="str">
        <f t="shared" si="22"/>
        <v/>
      </c>
      <c r="W319" s="4" t="str">
        <f t="shared" si="23"/>
        <v/>
      </c>
      <c r="X319" t="str">
        <f>IF(W319="","",LOOKUP(_xlfn.CONCAT(P319,", ",Q319),'[1]T+S Costs'!$F$2:$F$3138,'[1]T+S Costs'!$N$2:$N$3138))</f>
        <v/>
      </c>
      <c r="Y319" s="14" t="str">
        <f t="shared" si="24"/>
        <v/>
      </c>
      <c r="Z319" s="4" t="str">
        <f t="shared" si="25"/>
        <v/>
      </c>
    </row>
    <row r="320" spans="16:26" x14ac:dyDescent="0.25">
      <c r="P320" s="10" t="str">
        <f>IF('[1]All Data '!AZ325="","",'[1]All Data '!AZ325)</f>
        <v/>
      </c>
      <c r="Q320" s="10" t="str">
        <f>IF('[1]All Data '!BB325="","",'[1]All Data '!BB325)</f>
        <v/>
      </c>
      <c r="R320" s="10" t="str">
        <f>IF('[1]All Data '!BD325="","",'[1]All Data '!BD325)</f>
        <v/>
      </c>
      <c r="S320" s="11" t="str">
        <f>IF(R320="","",'[1]All Data '!BE325)</f>
        <v/>
      </c>
      <c r="T320" s="12" t="str">
        <f>IF(S320="","",[1]Inputs_Outputs!$B$8*(1-'LOCH Calc COE Calc'!S320))</f>
        <v/>
      </c>
      <c r="U320" s="13" t="str">
        <f t="shared" si="21"/>
        <v/>
      </c>
      <c r="V320" s="13" t="str">
        <f t="shared" si="22"/>
        <v/>
      </c>
      <c r="W320" s="4" t="str">
        <f t="shared" si="23"/>
        <v/>
      </c>
      <c r="X320" t="str">
        <f>IF(W320="","",LOOKUP(_xlfn.CONCAT(P320,", ",Q320),'[1]T+S Costs'!$F$2:$F$3138,'[1]T+S Costs'!$N$2:$N$3138))</f>
        <v/>
      </c>
      <c r="Y320" s="14" t="str">
        <f t="shared" si="24"/>
        <v/>
      </c>
      <c r="Z320" s="4" t="str">
        <f t="shared" si="25"/>
        <v/>
      </c>
    </row>
    <row r="321" spans="16:26" x14ac:dyDescent="0.25">
      <c r="P321" s="10" t="str">
        <f>IF('[1]All Data '!AZ326="","",'[1]All Data '!AZ326)</f>
        <v/>
      </c>
      <c r="Q321" s="10" t="str">
        <f>IF('[1]All Data '!BB326="","",'[1]All Data '!BB326)</f>
        <v/>
      </c>
      <c r="R321" s="10" t="str">
        <f>IF('[1]All Data '!BD326="","",'[1]All Data '!BD326)</f>
        <v/>
      </c>
      <c r="S321" s="11" t="str">
        <f>IF(R321="","",'[1]All Data '!BE326)</f>
        <v/>
      </c>
      <c r="T321" s="12" t="str">
        <f>IF(S321="","",[1]Inputs_Outputs!$B$8*(1-'LOCH Calc COE Calc'!S321))</f>
        <v/>
      </c>
      <c r="U321" s="13" t="str">
        <f t="shared" si="21"/>
        <v/>
      </c>
      <c r="V321" s="13" t="str">
        <f t="shared" si="22"/>
        <v/>
      </c>
      <c r="W321" s="4" t="str">
        <f t="shared" si="23"/>
        <v/>
      </c>
      <c r="X321" t="str">
        <f>IF(W321="","",LOOKUP(_xlfn.CONCAT(P321,", ",Q321),'[1]T+S Costs'!$F$2:$F$3138,'[1]T+S Costs'!$N$2:$N$3138))</f>
        <v/>
      </c>
      <c r="Y321" s="14" t="str">
        <f t="shared" si="24"/>
        <v/>
      </c>
      <c r="Z321" s="4" t="str">
        <f t="shared" si="25"/>
        <v/>
      </c>
    </row>
    <row r="322" spans="16:26" x14ac:dyDescent="0.25">
      <c r="P322" s="10" t="str">
        <f>IF('[1]All Data '!AZ327="","",'[1]All Data '!AZ327)</f>
        <v/>
      </c>
      <c r="Q322" s="10" t="str">
        <f>IF('[1]All Data '!BB327="","",'[1]All Data '!BB327)</f>
        <v/>
      </c>
      <c r="R322" s="10" t="str">
        <f>IF('[1]All Data '!BD327="","",'[1]All Data '!BD327)</f>
        <v/>
      </c>
      <c r="S322" s="11" t="str">
        <f>IF(R322="","",'[1]All Data '!BE327)</f>
        <v/>
      </c>
      <c r="T322" s="12" t="str">
        <f>IF(S322="","",[1]Inputs_Outputs!$B$8*(1-'LOCH Calc COE Calc'!S322))</f>
        <v/>
      </c>
      <c r="U322" s="13" t="str">
        <f t="shared" si="21"/>
        <v/>
      </c>
      <c r="V322" s="13" t="str">
        <f t="shared" si="22"/>
        <v/>
      </c>
      <c r="W322" s="4" t="str">
        <f t="shared" si="23"/>
        <v/>
      </c>
      <c r="X322" t="str">
        <f>IF(W322="","",LOOKUP(_xlfn.CONCAT(P322,", ",Q322),'[1]T+S Costs'!$F$2:$F$3138,'[1]T+S Costs'!$N$2:$N$3138))</f>
        <v/>
      </c>
      <c r="Y322" s="14" t="str">
        <f t="shared" si="24"/>
        <v/>
      </c>
      <c r="Z322" s="4" t="str">
        <f t="shared" si="25"/>
        <v/>
      </c>
    </row>
    <row r="323" spans="16:26" x14ac:dyDescent="0.25">
      <c r="P323" s="10" t="str">
        <f>IF('[1]All Data '!AZ328="","",'[1]All Data '!AZ328)</f>
        <v/>
      </c>
      <c r="Q323" s="10" t="str">
        <f>IF('[1]All Data '!BB328="","",'[1]All Data '!BB328)</f>
        <v/>
      </c>
      <c r="R323" s="10" t="str">
        <f>IF('[1]All Data '!BD328="","",'[1]All Data '!BD328)</f>
        <v/>
      </c>
      <c r="S323" s="11" t="str">
        <f>IF(R323="","",'[1]All Data '!BE328)</f>
        <v/>
      </c>
      <c r="T323" s="12" t="str">
        <f>IF(S323="","",[1]Inputs_Outputs!$B$8*(1-'LOCH Calc COE Calc'!S323))</f>
        <v/>
      </c>
      <c r="U323" s="13" t="str">
        <f t="shared" ref="U323:U386" si="26">IF(S323="","",R323*T323*365*$B$19/100)</f>
        <v/>
      </c>
      <c r="V323" s="13" t="str">
        <f t="shared" ref="V323:V386" si="27">IF(S323="","",(U323*$B$19)/(($B$28)*$B$19))</f>
        <v/>
      </c>
      <c r="W323" s="4" t="str">
        <f t="shared" ref="W323:W386" si="28">IF(S323="","",V323+$C$49+$C$50+$C$51)</f>
        <v/>
      </c>
      <c r="X323" t="str">
        <f>IF(W323="","",LOOKUP(_xlfn.CONCAT(P323,", ",Q323),'[1]T+S Costs'!$F$2:$F$3138,'[1]T+S Costs'!$N$2:$N$3138))</f>
        <v/>
      </c>
      <c r="Y323" s="14" t="str">
        <f t="shared" ref="Y323:Y386" si="29">IF(X323="","",((X323*$B$60/$B$59)*$C$44)/$C$28)</f>
        <v/>
      </c>
      <c r="Z323" s="4" t="str">
        <f t="shared" ref="Z323:Z386" si="30">IF(Y323="","",W323+Y323)</f>
        <v/>
      </c>
    </row>
    <row r="324" spans="16:26" x14ac:dyDescent="0.25">
      <c r="P324" s="10" t="str">
        <f>IF('[1]All Data '!AZ329="","",'[1]All Data '!AZ329)</f>
        <v/>
      </c>
      <c r="Q324" s="10" t="str">
        <f>IF('[1]All Data '!BB329="","",'[1]All Data '!BB329)</f>
        <v/>
      </c>
      <c r="R324" s="10" t="str">
        <f>IF('[1]All Data '!BD329="","",'[1]All Data '!BD329)</f>
        <v/>
      </c>
      <c r="S324" s="11" t="str">
        <f>IF(R324="","",'[1]All Data '!BE329)</f>
        <v/>
      </c>
      <c r="T324" s="12" t="str">
        <f>IF(S324="","",[1]Inputs_Outputs!$B$8*(1-'LOCH Calc COE Calc'!S324))</f>
        <v/>
      </c>
      <c r="U324" s="13" t="str">
        <f t="shared" si="26"/>
        <v/>
      </c>
      <c r="V324" s="13" t="str">
        <f t="shared" si="27"/>
        <v/>
      </c>
      <c r="W324" s="4" t="str">
        <f t="shared" si="28"/>
        <v/>
      </c>
      <c r="X324" t="str">
        <f>IF(W324="","",LOOKUP(_xlfn.CONCAT(P324,", ",Q324),'[1]T+S Costs'!$F$2:$F$3138,'[1]T+S Costs'!$N$2:$N$3138))</f>
        <v/>
      </c>
      <c r="Y324" s="14" t="str">
        <f t="shared" si="29"/>
        <v/>
      </c>
      <c r="Z324" s="4" t="str">
        <f t="shared" si="30"/>
        <v/>
      </c>
    </row>
    <row r="325" spans="16:26" x14ac:dyDescent="0.25">
      <c r="P325" s="10" t="str">
        <f>IF('[1]All Data '!AZ330="","",'[1]All Data '!AZ330)</f>
        <v/>
      </c>
      <c r="Q325" s="10" t="str">
        <f>IF('[1]All Data '!BB330="","",'[1]All Data '!BB330)</f>
        <v/>
      </c>
      <c r="R325" s="10" t="str">
        <f>IF('[1]All Data '!BD330="","",'[1]All Data '!BD330)</f>
        <v/>
      </c>
      <c r="S325" s="11" t="str">
        <f>IF(R325="","",'[1]All Data '!BE330)</f>
        <v/>
      </c>
      <c r="T325" s="12" t="str">
        <f>IF(S325="","",[1]Inputs_Outputs!$B$8*(1-'LOCH Calc COE Calc'!S325))</f>
        <v/>
      </c>
      <c r="U325" s="13" t="str">
        <f t="shared" si="26"/>
        <v/>
      </c>
      <c r="V325" s="13" t="str">
        <f t="shared" si="27"/>
        <v/>
      </c>
      <c r="W325" s="4" t="str">
        <f t="shared" si="28"/>
        <v/>
      </c>
      <c r="X325" t="str">
        <f>IF(W325="","",LOOKUP(_xlfn.CONCAT(P325,", ",Q325),'[1]T+S Costs'!$F$2:$F$3138,'[1]T+S Costs'!$N$2:$N$3138))</f>
        <v/>
      </c>
      <c r="Y325" s="14" t="str">
        <f t="shared" si="29"/>
        <v/>
      </c>
      <c r="Z325" s="4" t="str">
        <f t="shared" si="30"/>
        <v/>
      </c>
    </row>
    <row r="326" spans="16:26" x14ac:dyDescent="0.25">
      <c r="P326" s="10" t="str">
        <f>IF('[1]All Data '!AZ331="","",'[1]All Data '!AZ331)</f>
        <v/>
      </c>
      <c r="Q326" s="10" t="str">
        <f>IF('[1]All Data '!BB331="","",'[1]All Data '!BB331)</f>
        <v/>
      </c>
      <c r="R326" s="10" t="str">
        <f>IF('[1]All Data '!BD331="","",'[1]All Data '!BD331)</f>
        <v/>
      </c>
      <c r="S326" s="11" t="str">
        <f>IF(R326="","",'[1]All Data '!BE331)</f>
        <v/>
      </c>
      <c r="T326" s="12" t="str">
        <f>IF(S326="","",[1]Inputs_Outputs!$B$8*(1-'LOCH Calc COE Calc'!S326))</f>
        <v/>
      </c>
      <c r="U326" s="13" t="str">
        <f t="shared" si="26"/>
        <v/>
      </c>
      <c r="V326" s="13" t="str">
        <f t="shared" si="27"/>
        <v/>
      </c>
      <c r="W326" s="4" t="str">
        <f t="shared" si="28"/>
        <v/>
      </c>
      <c r="X326" t="str">
        <f>IF(W326="","",LOOKUP(_xlfn.CONCAT(P326,", ",Q326),'[1]T+S Costs'!$F$2:$F$3138,'[1]T+S Costs'!$N$2:$N$3138))</f>
        <v/>
      </c>
      <c r="Y326" s="14" t="str">
        <f t="shared" si="29"/>
        <v/>
      </c>
      <c r="Z326" s="4" t="str">
        <f t="shared" si="30"/>
        <v/>
      </c>
    </row>
    <row r="327" spans="16:26" x14ac:dyDescent="0.25">
      <c r="P327" s="10" t="str">
        <f>IF('[1]All Data '!AZ332="","",'[1]All Data '!AZ332)</f>
        <v/>
      </c>
      <c r="Q327" s="10" t="str">
        <f>IF('[1]All Data '!BB332="","",'[1]All Data '!BB332)</f>
        <v/>
      </c>
      <c r="R327" s="10" t="str">
        <f>IF('[1]All Data '!BD332="","",'[1]All Data '!BD332)</f>
        <v/>
      </c>
      <c r="S327" s="11" t="str">
        <f>IF(R327="","",'[1]All Data '!BE332)</f>
        <v/>
      </c>
      <c r="T327" s="12" t="str">
        <f>IF(S327="","",[1]Inputs_Outputs!$B$8*(1-'LOCH Calc COE Calc'!S327))</f>
        <v/>
      </c>
      <c r="U327" s="13" t="str">
        <f t="shared" si="26"/>
        <v/>
      </c>
      <c r="V327" s="13" t="str">
        <f t="shared" si="27"/>
        <v/>
      </c>
      <c r="W327" s="4" t="str">
        <f t="shared" si="28"/>
        <v/>
      </c>
      <c r="X327" t="str">
        <f>IF(W327="","",LOOKUP(_xlfn.CONCAT(P327,", ",Q327),'[1]T+S Costs'!$F$2:$F$3138,'[1]T+S Costs'!$N$2:$N$3138))</f>
        <v/>
      </c>
      <c r="Y327" s="14" t="str">
        <f t="shared" si="29"/>
        <v/>
      </c>
      <c r="Z327" s="4" t="str">
        <f t="shared" si="30"/>
        <v/>
      </c>
    </row>
    <row r="328" spans="16:26" x14ac:dyDescent="0.25">
      <c r="P328" s="10" t="str">
        <f>IF('[1]All Data '!AZ333="","",'[1]All Data '!AZ333)</f>
        <v/>
      </c>
      <c r="Q328" s="10" t="str">
        <f>IF('[1]All Data '!BB333="","",'[1]All Data '!BB333)</f>
        <v/>
      </c>
      <c r="R328" s="10" t="str">
        <f>IF('[1]All Data '!BD333="","",'[1]All Data '!BD333)</f>
        <v/>
      </c>
      <c r="S328" s="11" t="str">
        <f>IF(R328="","",'[1]All Data '!BE333)</f>
        <v/>
      </c>
      <c r="T328" s="12" t="str">
        <f>IF(S328="","",[1]Inputs_Outputs!$B$8*(1-'LOCH Calc COE Calc'!S328))</f>
        <v/>
      </c>
      <c r="U328" s="13" t="str">
        <f t="shared" si="26"/>
        <v/>
      </c>
      <c r="V328" s="13" t="str">
        <f t="shared" si="27"/>
        <v/>
      </c>
      <c r="W328" s="4" t="str">
        <f t="shared" si="28"/>
        <v/>
      </c>
      <c r="X328" t="str">
        <f>IF(W328="","",LOOKUP(_xlfn.CONCAT(P328,", ",Q328),'[1]T+S Costs'!$F$2:$F$3138,'[1]T+S Costs'!$N$2:$N$3138))</f>
        <v/>
      </c>
      <c r="Y328" s="14" t="str">
        <f t="shared" si="29"/>
        <v/>
      </c>
      <c r="Z328" s="4" t="str">
        <f t="shared" si="30"/>
        <v/>
      </c>
    </row>
    <row r="329" spans="16:26" x14ac:dyDescent="0.25">
      <c r="P329" s="10" t="str">
        <f>IF('[1]All Data '!AZ334="","",'[1]All Data '!AZ334)</f>
        <v/>
      </c>
      <c r="Q329" s="10" t="str">
        <f>IF('[1]All Data '!BB334="","",'[1]All Data '!BB334)</f>
        <v/>
      </c>
      <c r="R329" s="10" t="str">
        <f>IF('[1]All Data '!BD334="","",'[1]All Data '!BD334)</f>
        <v/>
      </c>
      <c r="S329" s="11" t="str">
        <f>IF(R329="","",'[1]All Data '!BE334)</f>
        <v/>
      </c>
      <c r="T329" s="12" t="str">
        <f>IF(S329="","",[1]Inputs_Outputs!$B$8*(1-'LOCH Calc COE Calc'!S329))</f>
        <v/>
      </c>
      <c r="U329" s="13" t="str">
        <f t="shared" si="26"/>
        <v/>
      </c>
      <c r="V329" s="13" t="str">
        <f t="shared" si="27"/>
        <v/>
      </c>
      <c r="W329" s="4" t="str">
        <f t="shared" si="28"/>
        <v/>
      </c>
      <c r="X329" t="str">
        <f>IF(W329="","",LOOKUP(_xlfn.CONCAT(P329,", ",Q329),'[1]T+S Costs'!$F$2:$F$3138,'[1]T+S Costs'!$N$2:$N$3138))</f>
        <v/>
      </c>
      <c r="Y329" s="14" t="str">
        <f t="shared" si="29"/>
        <v/>
      </c>
      <c r="Z329" s="4" t="str">
        <f t="shared" si="30"/>
        <v/>
      </c>
    </row>
    <row r="330" spans="16:26" x14ac:dyDescent="0.25">
      <c r="P330" s="10" t="str">
        <f>IF('[1]All Data '!AZ335="","",'[1]All Data '!AZ335)</f>
        <v/>
      </c>
      <c r="Q330" s="10" t="str">
        <f>IF('[1]All Data '!BB335="","",'[1]All Data '!BB335)</f>
        <v/>
      </c>
      <c r="R330" s="10" t="str">
        <f>IF('[1]All Data '!BD335="","",'[1]All Data '!BD335)</f>
        <v/>
      </c>
      <c r="S330" s="11" t="str">
        <f>IF(R330="","",'[1]All Data '!BE335)</f>
        <v/>
      </c>
      <c r="T330" s="12" t="str">
        <f>IF(S330="","",[1]Inputs_Outputs!$B$8*(1-'LOCH Calc COE Calc'!S330))</f>
        <v/>
      </c>
      <c r="U330" s="13" t="str">
        <f t="shared" si="26"/>
        <v/>
      </c>
      <c r="V330" s="13" t="str">
        <f t="shared" si="27"/>
        <v/>
      </c>
      <c r="W330" s="4" t="str">
        <f t="shared" si="28"/>
        <v/>
      </c>
      <c r="X330" t="str">
        <f>IF(W330="","",LOOKUP(_xlfn.CONCAT(P330,", ",Q330),'[1]T+S Costs'!$F$2:$F$3138,'[1]T+S Costs'!$N$2:$N$3138))</f>
        <v/>
      </c>
      <c r="Y330" s="14" t="str">
        <f t="shared" si="29"/>
        <v/>
      </c>
      <c r="Z330" s="4" t="str">
        <f t="shared" si="30"/>
        <v/>
      </c>
    </row>
    <row r="331" spans="16:26" x14ac:dyDescent="0.25">
      <c r="P331" s="10" t="str">
        <f>IF('[1]All Data '!AZ336="","",'[1]All Data '!AZ336)</f>
        <v/>
      </c>
      <c r="Q331" s="10" t="str">
        <f>IF('[1]All Data '!BB336="","",'[1]All Data '!BB336)</f>
        <v/>
      </c>
      <c r="R331" s="10" t="str">
        <f>IF('[1]All Data '!BD336="","",'[1]All Data '!BD336)</f>
        <v/>
      </c>
      <c r="S331" s="11" t="str">
        <f>IF(R331="","",'[1]All Data '!BE336)</f>
        <v/>
      </c>
      <c r="T331" s="12" t="str">
        <f>IF(S331="","",[1]Inputs_Outputs!$B$8*(1-'LOCH Calc COE Calc'!S331))</f>
        <v/>
      </c>
      <c r="U331" s="13" t="str">
        <f t="shared" si="26"/>
        <v/>
      </c>
      <c r="V331" s="13" t="str">
        <f t="shared" si="27"/>
        <v/>
      </c>
      <c r="W331" s="4" t="str">
        <f t="shared" si="28"/>
        <v/>
      </c>
      <c r="X331" t="str">
        <f>IF(W331="","",LOOKUP(_xlfn.CONCAT(P331,", ",Q331),'[1]T+S Costs'!$F$2:$F$3138,'[1]T+S Costs'!$N$2:$N$3138))</f>
        <v/>
      </c>
      <c r="Y331" s="14" t="str">
        <f t="shared" si="29"/>
        <v/>
      </c>
      <c r="Z331" s="4" t="str">
        <f t="shared" si="30"/>
        <v/>
      </c>
    </row>
    <row r="332" spans="16:26" x14ac:dyDescent="0.25">
      <c r="P332" s="10" t="str">
        <f>IF('[1]All Data '!AZ337="","",'[1]All Data '!AZ337)</f>
        <v/>
      </c>
      <c r="Q332" s="10" t="str">
        <f>IF('[1]All Data '!BB337="","",'[1]All Data '!BB337)</f>
        <v/>
      </c>
      <c r="R332" s="10" t="str">
        <f>IF('[1]All Data '!BD337="","",'[1]All Data '!BD337)</f>
        <v/>
      </c>
      <c r="S332" s="11" t="str">
        <f>IF(R332="","",'[1]All Data '!BE337)</f>
        <v/>
      </c>
      <c r="T332" s="12" t="str">
        <f>IF(S332="","",[1]Inputs_Outputs!$B$8*(1-'LOCH Calc COE Calc'!S332))</f>
        <v/>
      </c>
      <c r="U332" s="13" t="str">
        <f t="shared" si="26"/>
        <v/>
      </c>
      <c r="V332" s="13" t="str">
        <f t="shared" si="27"/>
        <v/>
      </c>
      <c r="W332" s="4" t="str">
        <f t="shared" si="28"/>
        <v/>
      </c>
      <c r="X332" t="str">
        <f>IF(W332="","",LOOKUP(_xlfn.CONCAT(P332,", ",Q332),'[1]T+S Costs'!$F$2:$F$3138,'[1]T+S Costs'!$N$2:$N$3138))</f>
        <v/>
      </c>
      <c r="Y332" s="14" t="str">
        <f t="shared" si="29"/>
        <v/>
      </c>
      <c r="Z332" s="4" t="str">
        <f t="shared" si="30"/>
        <v/>
      </c>
    </row>
    <row r="333" spans="16:26" x14ac:dyDescent="0.25">
      <c r="P333" s="10" t="str">
        <f>IF('[1]All Data '!AZ338="","",'[1]All Data '!AZ338)</f>
        <v/>
      </c>
      <c r="Q333" s="10" t="str">
        <f>IF('[1]All Data '!BB338="","",'[1]All Data '!BB338)</f>
        <v/>
      </c>
      <c r="R333" s="10" t="str">
        <f>IF('[1]All Data '!BD338="","",'[1]All Data '!BD338)</f>
        <v/>
      </c>
      <c r="S333" s="11" t="str">
        <f>IF(R333="","",'[1]All Data '!BE338)</f>
        <v/>
      </c>
      <c r="T333" s="12" t="str">
        <f>IF(S333="","",[1]Inputs_Outputs!$B$8*(1-'LOCH Calc COE Calc'!S333))</f>
        <v/>
      </c>
      <c r="U333" s="13" t="str">
        <f t="shared" si="26"/>
        <v/>
      </c>
      <c r="V333" s="13" t="str">
        <f t="shared" si="27"/>
        <v/>
      </c>
      <c r="W333" s="4" t="str">
        <f t="shared" si="28"/>
        <v/>
      </c>
      <c r="X333" t="str">
        <f>IF(W333="","",LOOKUP(_xlfn.CONCAT(P333,", ",Q333),'[1]T+S Costs'!$F$2:$F$3138,'[1]T+S Costs'!$N$2:$N$3138))</f>
        <v/>
      </c>
      <c r="Y333" s="14" t="str">
        <f t="shared" si="29"/>
        <v/>
      </c>
      <c r="Z333" s="4" t="str">
        <f t="shared" si="30"/>
        <v/>
      </c>
    </row>
    <row r="334" spans="16:26" x14ac:dyDescent="0.25">
      <c r="P334" s="10" t="str">
        <f>IF('[1]All Data '!AZ339="","",'[1]All Data '!AZ339)</f>
        <v/>
      </c>
      <c r="Q334" s="10" t="str">
        <f>IF('[1]All Data '!BB339="","",'[1]All Data '!BB339)</f>
        <v/>
      </c>
      <c r="R334" s="10" t="str">
        <f>IF('[1]All Data '!BD339="","",'[1]All Data '!BD339)</f>
        <v/>
      </c>
      <c r="S334" s="11" t="str">
        <f>IF(R334="","",'[1]All Data '!BE339)</f>
        <v/>
      </c>
      <c r="T334" s="12" t="str">
        <f>IF(S334="","",[1]Inputs_Outputs!$B$8*(1-'LOCH Calc COE Calc'!S334))</f>
        <v/>
      </c>
      <c r="U334" s="13" t="str">
        <f t="shared" si="26"/>
        <v/>
      </c>
      <c r="V334" s="13" t="str">
        <f t="shared" si="27"/>
        <v/>
      </c>
      <c r="W334" s="4" t="str">
        <f t="shared" si="28"/>
        <v/>
      </c>
      <c r="X334" t="str">
        <f>IF(W334="","",LOOKUP(_xlfn.CONCAT(P334,", ",Q334),'[1]T+S Costs'!$F$2:$F$3138,'[1]T+S Costs'!$N$2:$N$3138))</f>
        <v/>
      </c>
      <c r="Y334" s="14" t="str">
        <f t="shared" si="29"/>
        <v/>
      </c>
      <c r="Z334" s="4" t="str">
        <f t="shared" si="30"/>
        <v/>
      </c>
    </row>
    <row r="335" spans="16:26" x14ac:dyDescent="0.25">
      <c r="P335" s="10" t="str">
        <f>IF('[1]All Data '!AZ340="","",'[1]All Data '!AZ340)</f>
        <v/>
      </c>
      <c r="Q335" s="10" t="str">
        <f>IF('[1]All Data '!BB340="","",'[1]All Data '!BB340)</f>
        <v/>
      </c>
      <c r="R335" s="10" t="str">
        <f>IF('[1]All Data '!BD340="","",'[1]All Data '!BD340)</f>
        <v/>
      </c>
      <c r="S335" s="11" t="str">
        <f>IF(R335="","",'[1]All Data '!BE340)</f>
        <v/>
      </c>
      <c r="T335" s="12" t="str">
        <f>IF(S335="","",[1]Inputs_Outputs!$B$8*(1-'LOCH Calc COE Calc'!S335))</f>
        <v/>
      </c>
      <c r="U335" s="13" t="str">
        <f t="shared" si="26"/>
        <v/>
      </c>
      <c r="V335" s="13" t="str">
        <f t="shared" si="27"/>
        <v/>
      </c>
      <c r="W335" s="4" t="str">
        <f t="shared" si="28"/>
        <v/>
      </c>
      <c r="X335" t="str">
        <f>IF(W335="","",LOOKUP(_xlfn.CONCAT(P335,", ",Q335),'[1]T+S Costs'!$F$2:$F$3138,'[1]T+S Costs'!$N$2:$N$3138))</f>
        <v/>
      </c>
      <c r="Y335" s="14" t="str">
        <f t="shared" si="29"/>
        <v/>
      </c>
      <c r="Z335" s="4" t="str">
        <f t="shared" si="30"/>
        <v/>
      </c>
    </row>
    <row r="336" spans="16:26" x14ac:dyDescent="0.25">
      <c r="P336" s="10" t="str">
        <f>IF('[1]All Data '!AZ341="","",'[1]All Data '!AZ341)</f>
        <v/>
      </c>
      <c r="Q336" s="10" t="str">
        <f>IF('[1]All Data '!BB341="","",'[1]All Data '!BB341)</f>
        <v/>
      </c>
      <c r="R336" s="10" t="str">
        <f>IF('[1]All Data '!BD341="","",'[1]All Data '!BD341)</f>
        <v/>
      </c>
      <c r="S336" s="11" t="str">
        <f>IF(R336="","",'[1]All Data '!BE341)</f>
        <v/>
      </c>
      <c r="T336" s="12" t="str">
        <f>IF(S336="","",[1]Inputs_Outputs!$B$8*(1-'LOCH Calc COE Calc'!S336))</f>
        <v/>
      </c>
      <c r="U336" s="13" t="str">
        <f t="shared" si="26"/>
        <v/>
      </c>
      <c r="V336" s="13" t="str">
        <f t="shared" si="27"/>
        <v/>
      </c>
      <c r="W336" s="4" t="str">
        <f t="shared" si="28"/>
        <v/>
      </c>
      <c r="X336" t="str">
        <f>IF(W336="","",LOOKUP(_xlfn.CONCAT(P336,", ",Q336),'[1]T+S Costs'!$F$2:$F$3138,'[1]T+S Costs'!$N$2:$N$3138))</f>
        <v/>
      </c>
      <c r="Y336" s="14" t="str">
        <f t="shared" si="29"/>
        <v/>
      </c>
      <c r="Z336" s="4" t="str">
        <f t="shared" si="30"/>
        <v/>
      </c>
    </row>
    <row r="337" spans="16:26" x14ac:dyDescent="0.25">
      <c r="P337" s="10" t="str">
        <f>IF('[1]All Data '!AZ342="","",'[1]All Data '!AZ342)</f>
        <v/>
      </c>
      <c r="Q337" s="10" t="str">
        <f>IF('[1]All Data '!BB342="","",'[1]All Data '!BB342)</f>
        <v/>
      </c>
      <c r="R337" s="10" t="str">
        <f>IF('[1]All Data '!BD342="","",'[1]All Data '!BD342)</f>
        <v/>
      </c>
      <c r="S337" s="11" t="str">
        <f>IF(R337="","",'[1]All Data '!BE342)</f>
        <v/>
      </c>
      <c r="T337" s="12" t="str">
        <f>IF(S337="","",[1]Inputs_Outputs!$B$8*(1-'LOCH Calc COE Calc'!S337))</f>
        <v/>
      </c>
      <c r="U337" s="13" t="str">
        <f t="shared" si="26"/>
        <v/>
      </c>
      <c r="V337" s="13" t="str">
        <f t="shared" si="27"/>
        <v/>
      </c>
      <c r="W337" s="4" t="str">
        <f t="shared" si="28"/>
        <v/>
      </c>
      <c r="X337" t="str">
        <f>IF(W337="","",LOOKUP(_xlfn.CONCAT(P337,", ",Q337),'[1]T+S Costs'!$F$2:$F$3138,'[1]T+S Costs'!$N$2:$N$3138))</f>
        <v/>
      </c>
      <c r="Y337" s="14" t="str">
        <f t="shared" si="29"/>
        <v/>
      </c>
      <c r="Z337" s="4" t="str">
        <f t="shared" si="30"/>
        <v/>
      </c>
    </row>
    <row r="338" spans="16:26" x14ac:dyDescent="0.25">
      <c r="P338" s="10" t="str">
        <f>IF('[1]All Data '!AZ343="","",'[1]All Data '!AZ343)</f>
        <v/>
      </c>
      <c r="Q338" s="10" t="str">
        <f>IF('[1]All Data '!BB343="","",'[1]All Data '!BB343)</f>
        <v/>
      </c>
      <c r="R338" s="10" t="str">
        <f>IF('[1]All Data '!BD343="","",'[1]All Data '!BD343)</f>
        <v/>
      </c>
      <c r="S338" s="11" t="str">
        <f>IF(R338="","",'[1]All Data '!BE343)</f>
        <v/>
      </c>
      <c r="T338" s="12" t="str">
        <f>IF(S338="","",[1]Inputs_Outputs!$B$8*(1-'LOCH Calc COE Calc'!S338))</f>
        <v/>
      </c>
      <c r="U338" s="13" t="str">
        <f t="shared" si="26"/>
        <v/>
      </c>
      <c r="V338" s="13" t="str">
        <f t="shared" si="27"/>
        <v/>
      </c>
      <c r="W338" s="4" t="str">
        <f t="shared" si="28"/>
        <v/>
      </c>
      <c r="X338" t="str">
        <f>IF(W338="","",LOOKUP(_xlfn.CONCAT(P338,", ",Q338),'[1]T+S Costs'!$F$2:$F$3138,'[1]T+S Costs'!$N$2:$N$3138))</f>
        <v/>
      </c>
      <c r="Y338" s="14" t="str">
        <f t="shared" si="29"/>
        <v/>
      </c>
      <c r="Z338" s="4" t="str">
        <f t="shared" si="30"/>
        <v/>
      </c>
    </row>
    <row r="339" spans="16:26" x14ac:dyDescent="0.25">
      <c r="P339" s="10" t="str">
        <f>IF('[1]All Data '!AZ344="","",'[1]All Data '!AZ344)</f>
        <v/>
      </c>
      <c r="Q339" s="10" t="str">
        <f>IF('[1]All Data '!BB344="","",'[1]All Data '!BB344)</f>
        <v/>
      </c>
      <c r="R339" s="10" t="str">
        <f>IF('[1]All Data '!BD344="","",'[1]All Data '!BD344)</f>
        <v/>
      </c>
      <c r="S339" s="11" t="str">
        <f>IF(R339="","",'[1]All Data '!BE344)</f>
        <v/>
      </c>
      <c r="T339" s="12" t="str">
        <f>IF(S339="","",[1]Inputs_Outputs!$B$8*(1-'LOCH Calc COE Calc'!S339))</f>
        <v/>
      </c>
      <c r="U339" s="13" t="str">
        <f t="shared" si="26"/>
        <v/>
      </c>
      <c r="V339" s="13" t="str">
        <f t="shared" si="27"/>
        <v/>
      </c>
      <c r="W339" s="4" t="str">
        <f t="shared" si="28"/>
        <v/>
      </c>
      <c r="X339" t="str">
        <f>IF(W339="","",LOOKUP(_xlfn.CONCAT(P339,", ",Q339),'[1]T+S Costs'!$F$2:$F$3138,'[1]T+S Costs'!$N$2:$N$3138))</f>
        <v/>
      </c>
      <c r="Y339" s="14" t="str">
        <f t="shared" si="29"/>
        <v/>
      </c>
      <c r="Z339" s="4" t="str">
        <f t="shared" si="30"/>
        <v/>
      </c>
    </row>
    <row r="340" spans="16:26" x14ac:dyDescent="0.25">
      <c r="P340" s="10" t="str">
        <f>IF('[1]All Data '!AZ345="","",'[1]All Data '!AZ345)</f>
        <v/>
      </c>
      <c r="Q340" s="10" t="str">
        <f>IF('[1]All Data '!BB345="","",'[1]All Data '!BB345)</f>
        <v/>
      </c>
      <c r="R340" s="10" t="str">
        <f>IF('[1]All Data '!BD345="","",'[1]All Data '!BD345)</f>
        <v/>
      </c>
      <c r="S340" s="11" t="str">
        <f>IF(R340="","",'[1]All Data '!BE345)</f>
        <v/>
      </c>
      <c r="T340" s="12" t="str">
        <f>IF(S340="","",[1]Inputs_Outputs!$B$8*(1-'LOCH Calc COE Calc'!S340))</f>
        <v/>
      </c>
      <c r="U340" s="13" t="str">
        <f t="shared" si="26"/>
        <v/>
      </c>
      <c r="V340" s="13" t="str">
        <f t="shared" si="27"/>
        <v/>
      </c>
      <c r="W340" s="4" t="str">
        <f t="shared" si="28"/>
        <v/>
      </c>
      <c r="X340" t="str">
        <f>IF(W340="","",LOOKUP(_xlfn.CONCAT(P340,", ",Q340),'[1]T+S Costs'!$F$2:$F$3138,'[1]T+S Costs'!$N$2:$N$3138))</f>
        <v/>
      </c>
      <c r="Y340" s="14" t="str">
        <f t="shared" si="29"/>
        <v/>
      </c>
      <c r="Z340" s="4" t="str">
        <f t="shared" si="30"/>
        <v/>
      </c>
    </row>
    <row r="341" spans="16:26" x14ac:dyDescent="0.25">
      <c r="P341" s="10" t="str">
        <f>IF('[1]All Data '!AZ346="","",'[1]All Data '!AZ346)</f>
        <v/>
      </c>
      <c r="Q341" s="10" t="str">
        <f>IF('[1]All Data '!BB346="","",'[1]All Data '!BB346)</f>
        <v/>
      </c>
      <c r="R341" s="10" t="str">
        <f>IF('[1]All Data '!BD346="","",'[1]All Data '!BD346)</f>
        <v/>
      </c>
      <c r="S341" s="11" t="str">
        <f>IF(R341="","",'[1]All Data '!BE346)</f>
        <v/>
      </c>
      <c r="T341" s="12" t="str">
        <f>IF(S341="","",[1]Inputs_Outputs!$B$8*(1-'LOCH Calc COE Calc'!S341))</f>
        <v/>
      </c>
      <c r="U341" s="13" t="str">
        <f t="shared" si="26"/>
        <v/>
      </c>
      <c r="V341" s="13" t="str">
        <f t="shared" si="27"/>
        <v/>
      </c>
      <c r="W341" s="4" t="str">
        <f t="shared" si="28"/>
        <v/>
      </c>
      <c r="X341" t="str">
        <f>IF(W341="","",LOOKUP(_xlfn.CONCAT(P341,", ",Q341),'[1]T+S Costs'!$F$2:$F$3138,'[1]T+S Costs'!$N$2:$N$3138))</f>
        <v/>
      </c>
      <c r="Y341" s="14" t="str">
        <f t="shared" si="29"/>
        <v/>
      </c>
      <c r="Z341" s="4" t="str">
        <f t="shared" si="30"/>
        <v/>
      </c>
    </row>
    <row r="342" spans="16:26" x14ac:dyDescent="0.25">
      <c r="P342" s="10" t="str">
        <f>IF('[1]All Data '!AZ347="","",'[1]All Data '!AZ347)</f>
        <v/>
      </c>
      <c r="Q342" s="10" t="str">
        <f>IF('[1]All Data '!BB347="","",'[1]All Data '!BB347)</f>
        <v/>
      </c>
      <c r="R342" s="10" t="str">
        <f>IF('[1]All Data '!BD347="","",'[1]All Data '!BD347)</f>
        <v/>
      </c>
      <c r="S342" s="11" t="str">
        <f>IF(R342="","",'[1]All Data '!BE347)</f>
        <v/>
      </c>
      <c r="T342" s="12" t="str">
        <f>IF(S342="","",[1]Inputs_Outputs!$B$8*(1-'LOCH Calc COE Calc'!S342))</f>
        <v/>
      </c>
      <c r="U342" s="13" t="str">
        <f t="shared" si="26"/>
        <v/>
      </c>
      <c r="V342" s="13" t="str">
        <f t="shared" si="27"/>
        <v/>
      </c>
      <c r="W342" s="4" t="str">
        <f t="shared" si="28"/>
        <v/>
      </c>
      <c r="X342" t="str">
        <f>IF(W342="","",LOOKUP(_xlfn.CONCAT(P342,", ",Q342),'[1]T+S Costs'!$F$2:$F$3138,'[1]T+S Costs'!$N$2:$N$3138))</f>
        <v/>
      </c>
      <c r="Y342" s="14" t="str">
        <f t="shared" si="29"/>
        <v/>
      </c>
      <c r="Z342" s="4" t="str">
        <f t="shared" si="30"/>
        <v/>
      </c>
    </row>
    <row r="343" spans="16:26" x14ac:dyDescent="0.25">
      <c r="P343" s="10" t="str">
        <f>IF('[1]All Data '!AZ348="","",'[1]All Data '!AZ348)</f>
        <v/>
      </c>
      <c r="Q343" s="10" t="str">
        <f>IF('[1]All Data '!BB348="","",'[1]All Data '!BB348)</f>
        <v/>
      </c>
      <c r="R343" s="10" t="str">
        <f>IF('[1]All Data '!BD348="","",'[1]All Data '!BD348)</f>
        <v/>
      </c>
      <c r="S343" s="11" t="str">
        <f>IF(R343="","",'[1]All Data '!BE348)</f>
        <v/>
      </c>
      <c r="T343" s="12" t="str">
        <f>IF(S343="","",[1]Inputs_Outputs!$B$8*(1-'LOCH Calc COE Calc'!S343))</f>
        <v/>
      </c>
      <c r="U343" s="13" t="str">
        <f t="shared" si="26"/>
        <v/>
      </c>
      <c r="V343" s="13" t="str">
        <f t="shared" si="27"/>
        <v/>
      </c>
      <c r="W343" s="4" t="str">
        <f t="shared" si="28"/>
        <v/>
      </c>
      <c r="X343" t="str">
        <f>IF(W343="","",LOOKUP(_xlfn.CONCAT(P343,", ",Q343),'[1]T+S Costs'!$F$2:$F$3138,'[1]T+S Costs'!$N$2:$N$3138))</f>
        <v/>
      </c>
      <c r="Y343" s="14" t="str">
        <f t="shared" si="29"/>
        <v/>
      </c>
      <c r="Z343" s="4" t="str">
        <f t="shared" si="30"/>
        <v/>
      </c>
    </row>
    <row r="344" spans="16:26" x14ac:dyDescent="0.25">
      <c r="P344" s="10" t="str">
        <f>IF('[1]All Data '!AZ349="","",'[1]All Data '!AZ349)</f>
        <v/>
      </c>
      <c r="Q344" s="10" t="str">
        <f>IF('[1]All Data '!BB349="","",'[1]All Data '!BB349)</f>
        <v/>
      </c>
      <c r="R344" s="10" t="str">
        <f>IF('[1]All Data '!BD349="","",'[1]All Data '!BD349)</f>
        <v/>
      </c>
      <c r="S344" s="11" t="str">
        <f>IF(R344="","",'[1]All Data '!BE349)</f>
        <v/>
      </c>
      <c r="T344" s="12" t="str">
        <f>IF(S344="","",[1]Inputs_Outputs!$B$8*(1-'LOCH Calc COE Calc'!S344))</f>
        <v/>
      </c>
      <c r="U344" s="13" t="str">
        <f t="shared" si="26"/>
        <v/>
      </c>
      <c r="V344" s="13" t="str">
        <f t="shared" si="27"/>
        <v/>
      </c>
      <c r="W344" s="4" t="str">
        <f t="shared" si="28"/>
        <v/>
      </c>
      <c r="X344" t="str">
        <f>IF(W344="","",LOOKUP(_xlfn.CONCAT(P344,", ",Q344),'[1]T+S Costs'!$F$2:$F$3138,'[1]T+S Costs'!$N$2:$N$3138))</f>
        <v/>
      </c>
      <c r="Y344" s="14" t="str">
        <f t="shared" si="29"/>
        <v/>
      </c>
      <c r="Z344" s="4" t="str">
        <f t="shared" si="30"/>
        <v/>
      </c>
    </row>
    <row r="345" spans="16:26" x14ac:dyDescent="0.25">
      <c r="P345" s="10" t="str">
        <f>IF('[1]All Data '!AZ350="","",'[1]All Data '!AZ350)</f>
        <v/>
      </c>
      <c r="Q345" s="10" t="str">
        <f>IF('[1]All Data '!BB350="","",'[1]All Data '!BB350)</f>
        <v/>
      </c>
      <c r="R345" s="10" t="str">
        <f>IF('[1]All Data '!BD350="","",'[1]All Data '!BD350)</f>
        <v/>
      </c>
      <c r="S345" s="11" t="str">
        <f>IF(R345="","",'[1]All Data '!BE350)</f>
        <v/>
      </c>
      <c r="T345" s="12" t="str">
        <f>IF(S345="","",[1]Inputs_Outputs!$B$8*(1-'LOCH Calc COE Calc'!S345))</f>
        <v/>
      </c>
      <c r="U345" s="13" t="str">
        <f t="shared" si="26"/>
        <v/>
      </c>
      <c r="V345" s="13" t="str">
        <f t="shared" si="27"/>
        <v/>
      </c>
      <c r="W345" s="4" t="str">
        <f t="shared" si="28"/>
        <v/>
      </c>
      <c r="X345" t="str">
        <f>IF(W345="","",LOOKUP(_xlfn.CONCAT(P345,", ",Q345),'[1]T+S Costs'!$F$2:$F$3138,'[1]T+S Costs'!$N$2:$N$3138))</f>
        <v/>
      </c>
      <c r="Y345" s="14" t="str">
        <f t="shared" si="29"/>
        <v/>
      </c>
      <c r="Z345" s="4" t="str">
        <f t="shared" si="30"/>
        <v/>
      </c>
    </row>
    <row r="346" spans="16:26" x14ac:dyDescent="0.25">
      <c r="P346" s="10" t="str">
        <f>IF('[1]All Data '!AZ351="","",'[1]All Data '!AZ351)</f>
        <v/>
      </c>
      <c r="Q346" s="10" t="str">
        <f>IF('[1]All Data '!BB351="","",'[1]All Data '!BB351)</f>
        <v/>
      </c>
      <c r="R346" s="10" t="str">
        <f>IF('[1]All Data '!BD351="","",'[1]All Data '!BD351)</f>
        <v/>
      </c>
      <c r="S346" s="11" t="str">
        <f>IF(R346="","",'[1]All Data '!BE351)</f>
        <v/>
      </c>
      <c r="T346" s="12" t="str">
        <f>IF(S346="","",[1]Inputs_Outputs!$B$8*(1-'LOCH Calc COE Calc'!S346))</f>
        <v/>
      </c>
      <c r="U346" s="13" t="str">
        <f t="shared" si="26"/>
        <v/>
      </c>
      <c r="V346" s="13" t="str">
        <f t="shared" si="27"/>
        <v/>
      </c>
      <c r="W346" s="4" t="str">
        <f t="shared" si="28"/>
        <v/>
      </c>
      <c r="X346" t="str">
        <f>IF(W346="","",LOOKUP(_xlfn.CONCAT(P346,", ",Q346),'[1]T+S Costs'!$F$2:$F$3138,'[1]T+S Costs'!$N$2:$N$3138))</f>
        <v/>
      </c>
      <c r="Y346" s="14" t="str">
        <f t="shared" si="29"/>
        <v/>
      </c>
      <c r="Z346" s="4" t="str">
        <f t="shared" si="30"/>
        <v/>
      </c>
    </row>
    <row r="347" spans="16:26" x14ac:dyDescent="0.25">
      <c r="P347" s="10" t="str">
        <f>IF('[1]All Data '!AZ352="","",'[1]All Data '!AZ352)</f>
        <v/>
      </c>
      <c r="Q347" s="10" t="str">
        <f>IF('[1]All Data '!BB352="","",'[1]All Data '!BB352)</f>
        <v/>
      </c>
      <c r="R347" s="10" t="str">
        <f>IF('[1]All Data '!BD352="","",'[1]All Data '!BD352)</f>
        <v/>
      </c>
      <c r="S347" s="11" t="str">
        <f>IF(R347="","",'[1]All Data '!BE352)</f>
        <v/>
      </c>
      <c r="T347" s="12" t="str">
        <f>IF(S347="","",[1]Inputs_Outputs!$B$8*(1-'LOCH Calc COE Calc'!S347))</f>
        <v/>
      </c>
      <c r="U347" s="13" t="str">
        <f t="shared" si="26"/>
        <v/>
      </c>
      <c r="V347" s="13" t="str">
        <f t="shared" si="27"/>
        <v/>
      </c>
      <c r="W347" s="4" t="str">
        <f t="shared" si="28"/>
        <v/>
      </c>
      <c r="X347" t="str">
        <f>IF(W347="","",LOOKUP(_xlfn.CONCAT(P347,", ",Q347),'[1]T+S Costs'!$F$2:$F$3138,'[1]T+S Costs'!$N$2:$N$3138))</f>
        <v/>
      </c>
      <c r="Y347" s="14" t="str">
        <f t="shared" si="29"/>
        <v/>
      </c>
      <c r="Z347" s="4" t="str">
        <f t="shared" si="30"/>
        <v/>
      </c>
    </row>
    <row r="348" spans="16:26" x14ac:dyDescent="0.25">
      <c r="P348" s="10" t="str">
        <f>IF('[1]All Data '!AZ353="","",'[1]All Data '!AZ353)</f>
        <v/>
      </c>
      <c r="Q348" s="10" t="str">
        <f>IF('[1]All Data '!BB353="","",'[1]All Data '!BB353)</f>
        <v/>
      </c>
      <c r="R348" s="10" t="str">
        <f>IF('[1]All Data '!BD353="","",'[1]All Data '!BD353)</f>
        <v/>
      </c>
      <c r="S348" s="11" t="str">
        <f>IF(R348="","",'[1]All Data '!BE353)</f>
        <v/>
      </c>
      <c r="T348" s="12" t="str">
        <f>IF(S348="","",[1]Inputs_Outputs!$B$8*(1-'LOCH Calc COE Calc'!S348))</f>
        <v/>
      </c>
      <c r="U348" s="13" t="str">
        <f t="shared" si="26"/>
        <v/>
      </c>
      <c r="V348" s="13" t="str">
        <f t="shared" si="27"/>
        <v/>
      </c>
      <c r="W348" s="4" t="str">
        <f t="shared" si="28"/>
        <v/>
      </c>
      <c r="X348" t="str">
        <f>IF(W348="","",LOOKUP(_xlfn.CONCAT(P348,", ",Q348),'[1]T+S Costs'!$F$2:$F$3138,'[1]T+S Costs'!$N$2:$N$3138))</f>
        <v/>
      </c>
      <c r="Y348" s="14" t="str">
        <f t="shared" si="29"/>
        <v/>
      </c>
      <c r="Z348" s="4" t="str">
        <f t="shared" si="30"/>
        <v/>
      </c>
    </row>
    <row r="349" spans="16:26" x14ac:dyDescent="0.25">
      <c r="P349" s="10" t="str">
        <f>IF('[1]All Data '!AZ354="","",'[1]All Data '!AZ354)</f>
        <v/>
      </c>
      <c r="Q349" s="10" t="str">
        <f>IF('[1]All Data '!BB354="","",'[1]All Data '!BB354)</f>
        <v/>
      </c>
      <c r="R349" s="10" t="str">
        <f>IF('[1]All Data '!BD354="","",'[1]All Data '!BD354)</f>
        <v/>
      </c>
      <c r="S349" s="11" t="str">
        <f>IF(R349="","",'[1]All Data '!BE354)</f>
        <v/>
      </c>
      <c r="T349" s="12" t="str">
        <f>IF(S349="","",[1]Inputs_Outputs!$B$8*(1-'LOCH Calc COE Calc'!S349))</f>
        <v/>
      </c>
      <c r="U349" s="13" t="str">
        <f t="shared" si="26"/>
        <v/>
      </c>
      <c r="V349" s="13" t="str">
        <f t="shared" si="27"/>
        <v/>
      </c>
      <c r="W349" s="4" t="str">
        <f t="shared" si="28"/>
        <v/>
      </c>
      <c r="X349" t="str">
        <f>IF(W349="","",LOOKUP(_xlfn.CONCAT(P349,", ",Q349),'[1]T+S Costs'!$F$2:$F$3138,'[1]T+S Costs'!$N$2:$N$3138))</f>
        <v/>
      </c>
      <c r="Y349" s="14" t="str">
        <f t="shared" si="29"/>
        <v/>
      </c>
      <c r="Z349" s="4" t="str">
        <f t="shared" si="30"/>
        <v/>
      </c>
    </row>
    <row r="350" spans="16:26" x14ac:dyDescent="0.25">
      <c r="P350" s="10" t="str">
        <f>IF('[1]All Data '!AZ355="","",'[1]All Data '!AZ355)</f>
        <v/>
      </c>
      <c r="Q350" s="10" t="str">
        <f>IF('[1]All Data '!BB355="","",'[1]All Data '!BB355)</f>
        <v/>
      </c>
      <c r="R350" s="10" t="str">
        <f>IF('[1]All Data '!BD355="","",'[1]All Data '!BD355)</f>
        <v/>
      </c>
      <c r="S350" s="11" t="str">
        <f>IF(R350="","",'[1]All Data '!BE355)</f>
        <v/>
      </c>
      <c r="T350" s="12" t="str">
        <f>IF(S350="","",[1]Inputs_Outputs!$B$8*(1-'LOCH Calc COE Calc'!S350))</f>
        <v/>
      </c>
      <c r="U350" s="13" t="str">
        <f t="shared" si="26"/>
        <v/>
      </c>
      <c r="V350" s="13" t="str">
        <f t="shared" si="27"/>
        <v/>
      </c>
      <c r="W350" s="4" t="str">
        <f t="shared" si="28"/>
        <v/>
      </c>
      <c r="X350" t="str">
        <f>IF(W350="","",LOOKUP(_xlfn.CONCAT(P350,", ",Q350),'[1]T+S Costs'!$F$2:$F$3138,'[1]T+S Costs'!$N$2:$N$3138))</f>
        <v/>
      </c>
      <c r="Y350" s="14" t="str">
        <f t="shared" si="29"/>
        <v/>
      </c>
      <c r="Z350" s="4" t="str">
        <f t="shared" si="30"/>
        <v/>
      </c>
    </row>
    <row r="351" spans="16:26" x14ac:dyDescent="0.25">
      <c r="P351" s="10" t="str">
        <f>IF('[1]All Data '!AZ356="","",'[1]All Data '!AZ356)</f>
        <v/>
      </c>
      <c r="Q351" s="10" t="str">
        <f>IF('[1]All Data '!BB356="","",'[1]All Data '!BB356)</f>
        <v/>
      </c>
      <c r="R351" s="10" t="str">
        <f>IF('[1]All Data '!BD356="","",'[1]All Data '!BD356)</f>
        <v/>
      </c>
      <c r="S351" s="11" t="str">
        <f>IF(R351="","",'[1]All Data '!BE356)</f>
        <v/>
      </c>
      <c r="T351" s="12" t="str">
        <f>IF(S351="","",[1]Inputs_Outputs!$B$8*(1-'LOCH Calc COE Calc'!S351))</f>
        <v/>
      </c>
      <c r="U351" s="13" t="str">
        <f t="shared" si="26"/>
        <v/>
      </c>
      <c r="V351" s="13" t="str">
        <f t="shared" si="27"/>
        <v/>
      </c>
      <c r="W351" s="4" t="str">
        <f t="shared" si="28"/>
        <v/>
      </c>
      <c r="X351" t="str">
        <f>IF(W351="","",LOOKUP(_xlfn.CONCAT(P351,", ",Q351),'[1]T+S Costs'!$F$2:$F$3138,'[1]T+S Costs'!$N$2:$N$3138))</f>
        <v/>
      </c>
      <c r="Y351" s="14" t="str">
        <f t="shared" si="29"/>
        <v/>
      </c>
      <c r="Z351" s="4" t="str">
        <f t="shared" si="30"/>
        <v/>
      </c>
    </row>
    <row r="352" spans="16:26" x14ac:dyDescent="0.25">
      <c r="P352" s="10" t="str">
        <f>IF('[1]All Data '!AZ357="","",'[1]All Data '!AZ357)</f>
        <v/>
      </c>
      <c r="Q352" s="10" t="str">
        <f>IF('[1]All Data '!BB357="","",'[1]All Data '!BB357)</f>
        <v/>
      </c>
      <c r="R352" s="10" t="str">
        <f>IF('[1]All Data '!BD357="","",'[1]All Data '!BD357)</f>
        <v/>
      </c>
      <c r="S352" s="11" t="str">
        <f>IF(R352="","",'[1]All Data '!BE357)</f>
        <v/>
      </c>
      <c r="T352" s="12" t="str">
        <f>IF(S352="","",[1]Inputs_Outputs!$B$8*(1-'LOCH Calc COE Calc'!S352))</f>
        <v/>
      </c>
      <c r="U352" s="13" t="str">
        <f t="shared" si="26"/>
        <v/>
      </c>
      <c r="V352" s="13" t="str">
        <f t="shared" si="27"/>
        <v/>
      </c>
      <c r="W352" s="4" t="str">
        <f t="shared" si="28"/>
        <v/>
      </c>
      <c r="X352" t="str">
        <f>IF(W352="","",LOOKUP(_xlfn.CONCAT(P352,", ",Q352),'[1]T+S Costs'!$F$2:$F$3138,'[1]T+S Costs'!$N$2:$N$3138))</f>
        <v/>
      </c>
      <c r="Y352" s="14" t="str">
        <f t="shared" si="29"/>
        <v/>
      </c>
      <c r="Z352" s="4" t="str">
        <f t="shared" si="30"/>
        <v/>
      </c>
    </row>
    <row r="353" spans="16:26" x14ac:dyDescent="0.25">
      <c r="P353" s="10" t="str">
        <f>IF('[1]All Data '!AZ358="","",'[1]All Data '!AZ358)</f>
        <v/>
      </c>
      <c r="Q353" s="10" t="str">
        <f>IF('[1]All Data '!BB358="","",'[1]All Data '!BB358)</f>
        <v/>
      </c>
      <c r="R353" s="10" t="str">
        <f>IF('[1]All Data '!BD358="","",'[1]All Data '!BD358)</f>
        <v/>
      </c>
      <c r="S353" s="11" t="str">
        <f>IF(R353="","",'[1]All Data '!BE358)</f>
        <v/>
      </c>
      <c r="T353" s="12" t="str">
        <f>IF(S353="","",[1]Inputs_Outputs!$B$8*(1-'LOCH Calc COE Calc'!S353))</f>
        <v/>
      </c>
      <c r="U353" s="13" t="str">
        <f t="shared" si="26"/>
        <v/>
      </c>
      <c r="V353" s="13" t="str">
        <f t="shared" si="27"/>
        <v/>
      </c>
      <c r="W353" s="4" t="str">
        <f t="shared" si="28"/>
        <v/>
      </c>
      <c r="X353" t="str">
        <f>IF(W353="","",LOOKUP(_xlfn.CONCAT(P353,", ",Q353),'[1]T+S Costs'!$F$2:$F$3138,'[1]T+S Costs'!$N$2:$N$3138))</f>
        <v/>
      </c>
      <c r="Y353" s="14" t="str">
        <f t="shared" si="29"/>
        <v/>
      </c>
      <c r="Z353" s="4" t="str">
        <f t="shared" si="30"/>
        <v/>
      </c>
    </row>
    <row r="354" spans="16:26" x14ac:dyDescent="0.25">
      <c r="P354" s="10" t="str">
        <f>IF('[1]All Data '!AZ359="","",'[1]All Data '!AZ359)</f>
        <v/>
      </c>
      <c r="Q354" s="10" t="str">
        <f>IF('[1]All Data '!BB359="","",'[1]All Data '!BB359)</f>
        <v/>
      </c>
      <c r="R354" s="10" t="str">
        <f>IF('[1]All Data '!BD359="","",'[1]All Data '!BD359)</f>
        <v/>
      </c>
      <c r="S354" s="11" t="str">
        <f>IF(R354="","",'[1]All Data '!BE359)</f>
        <v/>
      </c>
      <c r="T354" s="12" t="str">
        <f>IF(S354="","",[1]Inputs_Outputs!$B$8*(1-'LOCH Calc COE Calc'!S354))</f>
        <v/>
      </c>
      <c r="U354" s="13" t="str">
        <f t="shared" si="26"/>
        <v/>
      </c>
      <c r="V354" s="13" t="str">
        <f t="shared" si="27"/>
        <v/>
      </c>
      <c r="W354" s="4" t="str">
        <f t="shared" si="28"/>
        <v/>
      </c>
      <c r="X354" t="str">
        <f>IF(W354="","",LOOKUP(_xlfn.CONCAT(P354,", ",Q354),'[1]T+S Costs'!$F$2:$F$3138,'[1]T+S Costs'!$N$2:$N$3138))</f>
        <v/>
      </c>
      <c r="Y354" s="14" t="str">
        <f t="shared" si="29"/>
        <v/>
      </c>
      <c r="Z354" s="4" t="str">
        <f t="shared" si="30"/>
        <v/>
      </c>
    </row>
    <row r="355" spans="16:26" x14ac:dyDescent="0.25">
      <c r="P355" s="10" t="str">
        <f>IF('[1]All Data '!AZ360="","",'[1]All Data '!AZ360)</f>
        <v/>
      </c>
      <c r="Q355" s="10" t="str">
        <f>IF('[1]All Data '!BB360="","",'[1]All Data '!BB360)</f>
        <v/>
      </c>
      <c r="R355" s="10" t="str">
        <f>IF('[1]All Data '!BD360="","",'[1]All Data '!BD360)</f>
        <v/>
      </c>
      <c r="S355" s="11" t="str">
        <f>IF(R355="","",'[1]All Data '!BE360)</f>
        <v/>
      </c>
      <c r="T355" s="12" t="str">
        <f>IF(S355="","",[1]Inputs_Outputs!$B$8*(1-'LOCH Calc COE Calc'!S355))</f>
        <v/>
      </c>
      <c r="U355" s="13" t="str">
        <f t="shared" si="26"/>
        <v/>
      </c>
      <c r="V355" s="13" t="str">
        <f t="shared" si="27"/>
        <v/>
      </c>
      <c r="W355" s="4" t="str">
        <f t="shared" si="28"/>
        <v/>
      </c>
      <c r="X355" t="str">
        <f>IF(W355="","",LOOKUP(_xlfn.CONCAT(P355,", ",Q355),'[1]T+S Costs'!$F$2:$F$3138,'[1]T+S Costs'!$N$2:$N$3138))</f>
        <v/>
      </c>
      <c r="Y355" s="14" t="str">
        <f t="shared" si="29"/>
        <v/>
      </c>
      <c r="Z355" s="4" t="str">
        <f t="shared" si="30"/>
        <v/>
      </c>
    </row>
    <row r="356" spans="16:26" x14ac:dyDescent="0.25">
      <c r="P356" s="10" t="str">
        <f>IF('[1]All Data '!AZ361="","",'[1]All Data '!AZ361)</f>
        <v/>
      </c>
      <c r="Q356" s="10" t="str">
        <f>IF('[1]All Data '!BB361="","",'[1]All Data '!BB361)</f>
        <v/>
      </c>
      <c r="R356" s="10" t="str">
        <f>IF('[1]All Data '!BD361="","",'[1]All Data '!BD361)</f>
        <v/>
      </c>
      <c r="S356" s="11" t="str">
        <f>IF(R356="","",'[1]All Data '!BE361)</f>
        <v/>
      </c>
      <c r="T356" s="12" t="str">
        <f>IF(S356="","",[1]Inputs_Outputs!$B$8*(1-'LOCH Calc COE Calc'!S356))</f>
        <v/>
      </c>
      <c r="U356" s="13" t="str">
        <f t="shared" si="26"/>
        <v/>
      </c>
      <c r="V356" s="13" t="str">
        <f t="shared" si="27"/>
        <v/>
      </c>
      <c r="W356" s="4" t="str">
        <f t="shared" si="28"/>
        <v/>
      </c>
      <c r="X356" t="str">
        <f>IF(W356="","",LOOKUP(_xlfn.CONCAT(P356,", ",Q356),'[1]T+S Costs'!$F$2:$F$3138,'[1]T+S Costs'!$N$2:$N$3138))</f>
        <v/>
      </c>
      <c r="Y356" s="14" t="str">
        <f t="shared" si="29"/>
        <v/>
      </c>
      <c r="Z356" s="4" t="str">
        <f t="shared" si="30"/>
        <v/>
      </c>
    </row>
    <row r="357" spans="16:26" x14ac:dyDescent="0.25">
      <c r="P357" s="10" t="str">
        <f>IF('[1]All Data '!AZ362="","",'[1]All Data '!AZ362)</f>
        <v/>
      </c>
      <c r="Q357" s="10" t="str">
        <f>IF('[1]All Data '!BB362="","",'[1]All Data '!BB362)</f>
        <v/>
      </c>
      <c r="R357" s="10" t="str">
        <f>IF('[1]All Data '!BD362="","",'[1]All Data '!BD362)</f>
        <v/>
      </c>
      <c r="S357" s="11" t="str">
        <f>IF(R357="","",'[1]All Data '!BE362)</f>
        <v/>
      </c>
      <c r="T357" s="12" t="str">
        <f>IF(S357="","",[1]Inputs_Outputs!$B$8*(1-'LOCH Calc COE Calc'!S357))</f>
        <v/>
      </c>
      <c r="U357" s="13" t="str">
        <f t="shared" si="26"/>
        <v/>
      </c>
      <c r="V357" s="13" t="str">
        <f t="shared" si="27"/>
        <v/>
      </c>
      <c r="W357" s="4" t="str">
        <f t="shared" si="28"/>
        <v/>
      </c>
      <c r="X357" t="str">
        <f>IF(W357="","",LOOKUP(_xlfn.CONCAT(P357,", ",Q357),'[1]T+S Costs'!$F$2:$F$3138,'[1]T+S Costs'!$N$2:$N$3138))</f>
        <v/>
      </c>
      <c r="Y357" s="14" t="str">
        <f t="shared" si="29"/>
        <v/>
      </c>
      <c r="Z357" s="4" t="str">
        <f t="shared" si="30"/>
        <v/>
      </c>
    </row>
    <row r="358" spans="16:26" x14ac:dyDescent="0.25">
      <c r="P358" s="10" t="str">
        <f>IF('[1]All Data '!AZ363="","",'[1]All Data '!AZ363)</f>
        <v/>
      </c>
      <c r="Q358" s="10" t="str">
        <f>IF('[1]All Data '!BB363="","",'[1]All Data '!BB363)</f>
        <v/>
      </c>
      <c r="R358" s="10" t="str">
        <f>IF('[1]All Data '!BD363="","",'[1]All Data '!BD363)</f>
        <v/>
      </c>
      <c r="S358" s="11" t="str">
        <f>IF(R358="","",'[1]All Data '!BE363)</f>
        <v/>
      </c>
      <c r="T358" s="12" t="str">
        <f>IF(S358="","",[1]Inputs_Outputs!$B$8*(1-'LOCH Calc COE Calc'!S358))</f>
        <v/>
      </c>
      <c r="U358" s="13" t="str">
        <f t="shared" si="26"/>
        <v/>
      </c>
      <c r="V358" s="13" t="str">
        <f t="shared" si="27"/>
        <v/>
      </c>
      <c r="W358" s="4" t="str">
        <f t="shared" si="28"/>
        <v/>
      </c>
      <c r="X358" t="str">
        <f>IF(W358="","",LOOKUP(_xlfn.CONCAT(P358,", ",Q358),'[1]T+S Costs'!$F$2:$F$3138,'[1]T+S Costs'!$N$2:$N$3138))</f>
        <v/>
      </c>
      <c r="Y358" s="14" t="str">
        <f t="shared" si="29"/>
        <v/>
      </c>
      <c r="Z358" s="4" t="str">
        <f t="shared" si="30"/>
        <v/>
      </c>
    </row>
    <row r="359" spans="16:26" x14ac:dyDescent="0.25">
      <c r="P359" s="10" t="str">
        <f>IF('[1]All Data '!AZ364="","",'[1]All Data '!AZ364)</f>
        <v/>
      </c>
      <c r="Q359" s="10" t="str">
        <f>IF('[1]All Data '!BB364="","",'[1]All Data '!BB364)</f>
        <v/>
      </c>
      <c r="R359" s="10" t="str">
        <f>IF('[1]All Data '!BD364="","",'[1]All Data '!BD364)</f>
        <v/>
      </c>
      <c r="S359" s="11" t="str">
        <f>IF(R359="","",'[1]All Data '!BE364)</f>
        <v/>
      </c>
      <c r="T359" s="12" t="str">
        <f>IF(S359="","",[1]Inputs_Outputs!$B$8*(1-'LOCH Calc COE Calc'!S359))</f>
        <v/>
      </c>
      <c r="U359" s="13" t="str">
        <f t="shared" si="26"/>
        <v/>
      </c>
      <c r="V359" s="13" t="str">
        <f t="shared" si="27"/>
        <v/>
      </c>
      <c r="W359" s="4" t="str">
        <f t="shared" si="28"/>
        <v/>
      </c>
      <c r="X359" t="str">
        <f>IF(W359="","",LOOKUP(_xlfn.CONCAT(P359,", ",Q359),'[1]T+S Costs'!$F$2:$F$3138,'[1]T+S Costs'!$N$2:$N$3138))</f>
        <v/>
      </c>
      <c r="Y359" s="14" t="str">
        <f t="shared" si="29"/>
        <v/>
      </c>
      <c r="Z359" s="4" t="str">
        <f t="shared" si="30"/>
        <v/>
      </c>
    </row>
    <row r="360" spans="16:26" x14ac:dyDescent="0.25">
      <c r="P360" s="10" t="str">
        <f>IF('[1]All Data '!AZ365="","",'[1]All Data '!AZ365)</f>
        <v/>
      </c>
      <c r="Q360" s="10" t="str">
        <f>IF('[1]All Data '!BB365="","",'[1]All Data '!BB365)</f>
        <v/>
      </c>
      <c r="R360" s="10" t="str">
        <f>IF('[1]All Data '!BD365="","",'[1]All Data '!BD365)</f>
        <v/>
      </c>
      <c r="S360" s="11" t="str">
        <f>IF(R360="","",'[1]All Data '!BE365)</f>
        <v/>
      </c>
      <c r="T360" s="12" t="str">
        <f>IF(S360="","",[1]Inputs_Outputs!$B$8*(1-'LOCH Calc COE Calc'!S360))</f>
        <v/>
      </c>
      <c r="U360" s="13" t="str">
        <f t="shared" si="26"/>
        <v/>
      </c>
      <c r="V360" s="13" t="str">
        <f t="shared" si="27"/>
        <v/>
      </c>
      <c r="W360" s="4" t="str">
        <f t="shared" si="28"/>
        <v/>
      </c>
      <c r="X360" t="str">
        <f>IF(W360="","",LOOKUP(_xlfn.CONCAT(P360,", ",Q360),'[1]T+S Costs'!$F$2:$F$3138,'[1]T+S Costs'!$N$2:$N$3138))</f>
        <v/>
      </c>
      <c r="Y360" s="14" t="str">
        <f t="shared" si="29"/>
        <v/>
      </c>
      <c r="Z360" s="4" t="str">
        <f t="shared" si="30"/>
        <v/>
      </c>
    </row>
    <row r="361" spans="16:26" x14ac:dyDescent="0.25">
      <c r="P361" s="10" t="str">
        <f>IF('[1]All Data '!AZ366="","",'[1]All Data '!AZ366)</f>
        <v/>
      </c>
      <c r="Q361" s="10" t="str">
        <f>IF('[1]All Data '!BB366="","",'[1]All Data '!BB366)</f>
        <v/>
      </c>
      <c r="R361" s="10" t="str">
        <f>IF('[1]All Data '!BD366="","",'[1]All Data '!BD366)</f>
        <v/>
      </c>
      <c r="S361" s="11" t="str">
        <f>IF(R361="","",'[1]All Data '!BE366)</f>
        <v/>
      </c>
      <c r="T361" s="12" t="str">
        <f>IF(S361="","",[1]Inputs_Outputs!$B$8*(1-'LOCH Calc COE Calc'!S361))</f>
        <v/>
      </c>
      <c r="U361" s="13" t="str">
        <f t="shared" si="26"/>
        <v/>
      </c>
      <c r="V361" s="13" t="str">
        <f t="shared" si="27"/>
        <v/>
      </c>
      <c r="W361" s="4" t="str">
        <f t="shared" si="28"/>
        <v/>
      </c>
      <c r="X361" t="str">
        <f>IF(W361="","",LOOKUP(_xlfn.CONCAT(P361,", ",Q361),'[1]T+S Costs'!$F$2:$F$3138,'[1]T+S Costs'!$N$2:$N$3138))</f>
        <v/>
      </c>
      <c r="Y361" s="14" t="str">
        <f t="shared" si="29"/>
        <v/>
      </c>
      <c r="Z361" s="4" t="str">
        <f t="shared" si="30"/>
        <v/>
      </c>
    </row>
    <row r="362" spans="16:26" x14ac:dyDescent="0.25">
      <c r="P362" s="10" t="str">
        <f>IF('[1]All Data '!AZ367="","",'[1]All Data '!AZ367)</f>
        <v/>
      </c>
      <c r="Q362" s="10" t="str">
        <f>IF('[1]All Data '!BB367="","",'[1]All Data '!BB367)</f>
        <v/>
      </c>
      <c r="R362" s="10" t="str">
        <f>IF('[1]All Data '!BD367="","",'[1]All Data '!BD367)</f>
        <v/>
      </c>
      <c r="S362" s="11" t="str">
        <f>IF(R362="","",'[1]All Data '!BE367)</f>
        <v/>
      </c>
      <c r="T362" s="12" t="str">
        <f>IF(S362="","",[1]Inputs_Outputs!$B$8*(1-'LOCH Calc COE Calc'!S362))</f>
        <v/>
      </c>
      <c r="U362" s="13" t="str">
        <f t="shared" si="26"/>
        <v/>
      </c>
      <c r="V362" s="13" t="str">
        <f t="shared" si="27"/>
        <v/>
      </c>
      <c r="W362" s="4" t="str">
        <f t="shared" si="28"/>
        <v/>
      </c>
      <c r="X362" t="str">
        <f>IF(W362="","",LOOKUP(_xlfn.CONCAT(P362,", ",Q362),'[1]T+S Costs'!$F$2:$F$3138,'[1]T+S Costs'!$N$2:$N$3138))</f>
        <v/>
      </c>
      <c r="Y362" s="14" t="str">
        <f t="shared" si="29"/>
        <v/>
      </c>
      <c r="Z362" s="4" t="str">
        <f t="shared" si="30"/>
        <v/>
      </c>
    </row>
    <row r="363" spans="16:26" x14ac:dyDescent="0.25">
      <c r="P363" s="10" t="str">
        <f>IF('[1]All Data '!AZ368="","",'[1]All Data '!AZ368)</f>
        <v/>
      </c>
      <c r="Q363" s="10" t="str">
        <f>IF('[1]All Data '!BB368="","",'[1]All Data '!BB368)</f>
        <v/>
      </c>
      <c r="R363" s="10" t="str">
        <f>IF('[1]All Data '!BD368="","",'[1]All Data '!BD368)</f>
        <v/>
      </c>
      <c r="S363" s="11" t="str">
        <f>IF(R363="","",'[1]All Data '!BE368)</f>
        <v/>
      </c>
      <c r="T363" s="12" t="str">
        <f>IF(S363="","",[1]Inputs_Outputs!$B$8*(1-'LOCH Calc COE Calc'!S363))</f>
        <v/>
      </c>
      <c r="U363" s="13" t="str">
        <f t="shared" si="26"/>
        <v/>
      </c>
      <c r="V363" s="13" t="str">
        <f t="shared" si="27"/>
        <v/>
      </c>
      <c r="W363" s="4" t="str">
        <f t="shared" si="28"/>
        <v/>
      </c>
      <c r="X363" t="str">
        <f>IF(W363="","",LOOKUP(_xlfn.CONCAT(P363,", ",Q363),'[1]T+S Costs'!$F$2:$F$3138,'[1]T+S Costs'!$N$2:$N$3138))</f>
        <v/>
      </c>
      <c r="Y363" s="14" t="str">
        <f t="shared" si="29"/>
        <v/>
      </c>
      <c r="Z363" s="4" t="str">
        <f t="shared" si="30"/>
        <v/>
      </c>
    </row>
    <row r="364" spans="16:26" x14ac:dyDescent="0.25">
      <c r="P364" s="10" t="str">
        <f>IF('[1]All Data '!AZ369="","",'[1]All Data '!AZ369)</f>
        <v/>
      </c>
      <c r="Q364" s="10" t="str">
        <f>IF('[1]All Data '!BB369="","",'[1]All Data '!BB369)</f>
        <v/>
      </c>
      <c r="R364" s="10" t="str">
        <f>IF('[1]All Data '!BD369="","",'[1]All Data '!BD369)</f>
        <v/>
      </c>
      <c r="S364" s="11" t="str">
        <f>IF(R364="","",'[1]All Data '!BE369)</f>
        <v/>
      </c>
      <c r="T364" s="12" t="str">
        <f>IF(S364="","",[1]Inputs_Outputs!$B$8*(1-'LOCH Calc COE Calc'!S364))</f>
        <v/>
      </c>
      <c r="U364" s="13" t="str">
        <f t="shared" si="26"/>
        <v/>
      </c>
      <c r="V364" s="13" t="str">
        <f t="shared" si="27"/>
        <v/>
      </c>
      <c r="W364" s="4" t="str">
        <f t="shared" si="28"/>
        <v/>
      </c>
      <c r="X364" t="str">
        <f>IF(W364="","",LOOKUP(_xlfn.CONCAT(P364,", ",Q364),'[1]T+S Costs'!$F$2:$F$3138,'[1]T+S Costs'!$N$2:$N$3138))</f>
        <v/>
      </c>
      <c r="Y364" s="14" t="str">
        <f t="shared" si="29"/>
        <v/>
      </c>
      <c r="Z364" s="4" t="str">
        <f t="shared" si="30"/>
        <v/>
      </c>
    </row>
    <row r="365" spans="16:26" x14ac:dyDescent="0.25">
      <c r="P365" s="10" t="str">
        <f>IF('[1]All Data '!AZ370="","",'[1]All Data '!AZ370)</f>
        <v/>
      </c>
      <c r="Q365" s="10" t="str">
        <f>IF('[1]All Data '!BB370="","",'[1]All Data '!BB370)</f>
        <v/>
      </c>
      <c r="R365" s="10" t="str">
        <f>IF('[1]All Data '!BD370="","",'[1]All Data '!BD370)</f>
        <v/>
      </c>
      <c r="S365" s="11" t="str">
        <f>IF(R365="","",'[1]All Data '!BE370)</f>
        <v/>
      </c>
      <c r="T365" s="12" t="str">
        <f>IF(S365="","",[1]Inputs_Outputs!$B$8*(1-'LOCH Calc COE Calc'!S365))</f>
        <v/>
      </c>
      <c r="U365" s="13" t="str">
        <f t="shared" si="26"/>
        <v/>
      </c>
      <c r="V365" s="13" t="str">
        <f t="shared" si="27"/>
        <v/>
      </c>
      <c r="W365" s="4" t="str">
        <f t="shared" si="28"/>
        <v/>
      </c>
      <c r="X365" t="str">
        <f>IF(W365="","",LOOKUP(_xlfn.CONCAT(P365,", ",Q365),'[1]T+S Costs'!$F$2:$F$3138,'[1]T+S Costs'!$N$2:$N$3138))</f>
        <v/>
      </c>
      <c r="Y365" s="14" t="str">
        <f t="shared" si="29"/>
        <v/>
      </c>
      <c r="Z365" s="4" t="str">
        <f t="shared" si="30"/>
        <v/>
      </c>
    </row>
    <row r="366" spans="16:26" x14ac:dyDescent="0.25">
      <c r="P366" s="10" t="str">
        <f>IF('[1]All Data '!AZ371="","",'[1]All Data '!AZ371)</f>
        <v/>
      </c>
      <c r="Q366" s="10" t="str">
        <f>IF('[1]All Data '!BB371="","",'[1]All Data '!BB371)</f>
        <v/>
      </c>
      <c r="R366" s="10" t="str">
        <f>IF('[1]All Data '!BD371="","",'[1]All Data '!BD371)</f>
        <v/>
      </c>
      <c r="S366" s="11" t="str">
        <f>IF(R366="","",'[1]All Data '!BE371)</f>
        <v/>
      </c>
      <c r="T366" s="12" t="str">
        <f>IF(S366="","",[1]Inputs_Outputs!$B$8*(1-'LOCH Calc COE Calc'!S366))</f>
        <v/>
      </c>
      <c r="U366" s="13" t="str">
        <f t="shared" si="26"/>
        <v/>
      </c>
      <c r="V366" s="13" t="str">
        <f t="shared" si="27"/>
        <v/>
      </c>
      <c r="W366" s="4" t="str">
        <f t="shared" si="28"/>
        <v/>
      </c>
      <c r="X366" t="str">
        <f>IF(W366="","",LOOKUP(_xlfn.CONCAT(P366,", ",Q366),'[1]T+S Costs'!$F$2:$F$3138,'[1]T+S Costs'!$N$2:$N$3138))</f>
        <v/>
      </c>
      <c r="Y366" s="14" t="str">
        <f t="shared" si="29"/>
        <v/>
      </c>
      <c r="Z366" s="4" t="str">
        <f t="shared" si="30"/>
        <v/>
      </c>
    </row>
    <row r="367" spans="16:26" x14ac:dyDescent="0.25">
      <c r="P367" s="10" t="str">
        <f>IF('[1]All Data '!AZ372="","",'[1]All Data '!AZ372)</f>
        <v/>
      </c>
      <c r="Q367" s="10" t="str">
        <f>IF('[1]All Data '!BB372="","",'[1]All Data '!BB372)</f>
        <v/>
      </c>
      <c r="R367" s="10" t="str">
        <f>IF('[1]All Data '!BD372="","",'[1]All Data '!BD372)</f>
        <v/>
      </c>
      <c r="S367" s="11" t="str">
        <f>IF(R367="","",'[1]All Data '!BE372)</f>
        <v/>
      </c>
      <c r="T367" s="12" t="str">
        <f>IF(S367="","",[1]Inputs_Outputs!$B$8*(1-'LOCH Calc COE Calc'!S367))</f>
        <v/>
      </c>
      <c r="U367" s="13" t="str">
        <f t="shared" si="26"/>
        <v/>
      </c>
      <c r="V367" s="13" t="str">
        <f t="shared" si="27"/>
        <v/>
      </c>
      <c r="W367" s="4" t="str">
        <f t="shared" si="28"/>
        <v/>
      </c>
      <c r="X367" t="str">
        <f>IF(W367="","",LOOKUP(_xlfn.CONCAT(P367,", ",Q367),'[1]T+S Costs'!$F$2:$F$3138,'[1]T+S Costs'!$N$2:$N$3138))</f>
        <v/>
      </c>
      <c r="Y367" s="14" t="str">
        <f t="shared" si="29"/>
        <v/>
      </c>
      <c r="Z367" s="4" t="str">
        <f t="shared" si="30"/>
        <v/>
      </c>
    </row>
    <row r="368" spans="16:26" x14ac:dyDescent="0.25">
      <c r="P368" s="10" t="str">
        <f>IF('[1]All Data '!AZ373="","",'[1]All Data '!AZ373)</f>
        <v/>
      </c>
      <c r="Q368" s="10" t="str">
        <f>IF('[1]All Data '!BB373="","",'[1]All Data '!BB373)</f>
        <v/>
      </c>
      <c r="R368" s="10" t="str">
        <f>IF('[1]All Data '!BD373="","",'[1]All Data '!BD373)</f>
        <v/>
      </c>
      <c r="S368" s="11" t="str">
        <f>IF(R368="","",'[1]All Data '!BE373)</f>
        <v/>
      </c>
      <c r="T368" s="12" t="str">
        <f>IF(S368="","",[1]Inputs_Outputs!$B$8*(1-'LOCH Calc COE Calc'!S368))</f>
        <v/>
      </c>
      <c r="U368" s="13" t="str">
        <f t="shared" si="26"/>
        <v/>
      </c>
      <c r="V368" s="13" t="str">
        <f t="shared" si="27"/>
        <v/>
      </c>
      <c r="W368" s="4" t="str">
        <f t="shared" si="28"/>
        <v/>
      </c>
      <c r="X368" t="str">
        <f>IF(W368="","",LOOKUP(_xlfn.CONCAT(P368,", ",Q368),'[1]T+S Costs'!$F$2:$F$3138,'[1]T+S Costs'!$N$2:$N$3138))</f>
        <v/>
      </c>
      <c r="Y368" s="14" t="str">
        <f t="shared" si="29"/>
        <v/>
      </c>
      <c r="Z368" s="4" t="str">
        <f t="shared" si="30"/>
        <v/>
      </c>
    </row>
    <row r="369" spans="16:26" x14ac:dyDescent="0.25">
      <c r="P369" s="10" t="str">
        <f>IF('[1]All Data '!AZ374="","",'[1]All Data '!AZ374)</f>
        <v/>
      </c>
      <c r="Q369" s="10" t="str">
        <f>IF('[1]All Data '!BB374="","",'[1]All Data '!BB374)</f>
        <v/>
      </c>
      <c r="R369" s="10" t="str">
        <f>IF('[1]All Data '!BD374="","",'[1]All Data '!BD374)</f>
        <v/>
      </c>
      <c r="S369" s="11" t="str">
        <f>IF(R369="","",'[1]All Data '!BE374)</f>
        <v/>
      </c>
      <c r="T369" s="12" t="str">
        <f>IF(S369="","",[1]Inputs_Outputs!$B$8*(1-'LOCH Calc COE Calc'!S369))</f>
        <v/>
      </c>
      <c r="U369" s="13" t="str">
        <f t="shared" si="26"/>
        <v/>
      </c>
      <c r="V369" s="13" t="str">
        <f t="shared" si="27"/>
        <v/>
      </c>
      <c r="W369" s="4" t="str">
        <f t="shared" si="28"/>
        <v/>
      </c>
      <c r="X369" t="str">
        <f>IF(W369="","",LOOKUP(_xlfn.CONCAT(P369,", ",Q369),'[1]T+S Costs'!$F$2:$F$3138,'[1]T+S Costs'!$N$2:$N$3138))</f>
        <v/>
      </c>
      <c r="Y369" s="14" t="str">
        <f t="shared" si="29"/>
        <v/>
      </c>
      <c r="Z369" s="4" t="str">
        <f t="shared" si="30"/>
        <v/>
      </c>
    </row>
    <row r="370" spans="16:26" x14ac:dyDescent="0.25">
      <c r="P370" s="10" t="str">
        <f>IF('[1]All Data '!AZ375="","",'[1]All Data '!AZ375)</f>
        <v/>
      </c>
      <c r="Q370" s="10" t="str">
        <f>IF('[1]All Data '!BB375="","",'[1]All Data '!BB375)</f>
        <v/>
      </c>
      <c r="R370" s="10" t="str">
        <f>IF('[1]All Data '!BD375="","",'[1]All Data '!BD375)</f>
        <v/>
      </c>
      <c r="S370" s="11" t="str">
        <f>IF(R370="","",'[1]All Data '!BE375)</f>
        <v/>
      </c>
      <c r="T370" s="12" t="str">
        <f>IF(S370="","",[1]Inputs_Outputs!$B$8*(1-'LOCH Calc COE Calc'!S370))</f>
        <v/>
      </c>
      <c r="U370" s="13" t="str">
        <f t="shared" si="26"/>
        <v/>
      </c>
      <c r="V370" s="13" t="str">
        <f t="shared" si="27"/>
        <v/>
      </c>
      <c r="W370" s="4" t="str">
        <f t="shared" si="28"/>
        <v/>
      </c>
      <c r="X370" t="str">
        <f>IF(W370="","",LOOKUP(_xlfn.CONCAT(P370,", ",Q370),'[1]T+S Costs'!$F$2:$F$3138,'[1]T+S Costs'!$N$2:$N$3138))</f>
        <v/>
      </c>
      <c r="Y370" s="14" t="str">
        <f t="shared" si="29"/>
        <v/>
      </c>
      <c r="Z370" s="4" t="str">
        <f t="shared" si="30"/>
        <v/>
      </c>
    </row>
    <row r="371" spans="16:26" x14ac:dyDescent="0.25">
      <c r="P371" s="10" t="str">
        <f>IF('[1]All Data '!AZ376="","",'[1]All Data '!AZ376)</f>
        <v/>
      </c>
      <c r="Q371" s="10" t="str">
        <f>IF('[1]All Data '!BB376="","",'[1]All Data '!BB376)</f>
        <v/>
      </c>
      <c r="R371" s="10" t="str">
        <f>IF('[1]All Data '!BD376="","",'[1]All Data '!BD376)</f>
        <v/>
      </c>
      <c r="S371" s="11" t="str">
        <f>IF(R371="","",'[1]All Data '!BE376)</f>
        <v/>
      </c>
      <c r="T371" s="12" t="str">
        <f>IF(S371="","",[1]Inputs_Outputs!$B$8*(1-'LOCH Calc COE Calc'!S371))</f>
        <v/>
      </c>
      <c r="U371" s="13" t="str">
        <f t="shared" si="26"/>
        <v/>
      </c>
      <c r="V371" s="13" t="str">
        <f t="shared" si="27"/>
        <v/>
      </c>
      <c r="W371" s="4" t="str">
        <f t="shared" si="28"/>
        <v/>
      </c>
      <c r="X371" t="str">
        <f>IF(W371="","",LOOKUP(_xlfn.CONCAT(P371,", ",Q371),'[1]T+S Costs'!$F$2:$F$3138,'[1]T+S Costs'!$N$2:$N$3138))</f>
        <v/>
      </c>
      <c r="Y371" s="14" t="str">
        <f t="shared" si="29"/>
        <v/>
      </c>
      <c r="Z371" s="4" t="str">
        <f t="shared" si="30"/>
        <v/>
      </c>
    </row>
    <row r="372" spans="16:26" x14ac:dyDescent="0.25">
      <c r="P372" s="10" t="str">
        <f>IF('[1]All Data '!AZ377="","",'[1]All Data '!AZ377)</f>
        <v/>
      </c>
      <c r="Q372" s="10" t="str">
        <f>IF('[1]All Data '!BB377="","",'[1]All Data '!BB377)</f>
        <v/>
      </c>
      <c r="R372" s="10" t="str">
        <f>IF('[1]All Data '!BD377="","",'[1]All Data '!BD377)</f>
        <v/>
      </c>
      <c r="S372" s="11" t="str">
        <f>IF(R372="","",'[1]All Data '!BE377)</f>
        <v/>
      </c>
      <c r="T372" s="12" t="str">
        <f>IF(S372="","",[1]Inputs_Outputs!$B$8*(1-'LOCH Calc COE Calc'!S372))</f>
        <v/>
      </c>
      <c r="U372" s="13" t="str">
        <f t="shared" si="26"/>
        <v/>
      </c>
      <c r="V372" s="13" t="str">
        <f t="shared" si="27"/>
        <v/>
      </c>
      <c r="W372" s="4" t="str">
        <f t="shared" si="28"/>
        <v/>
      </c>
      <c r="X372" t="str">
        <f>IF(W372="","",LOOKUP(_xlfn.CONCAT(P372,", ",Q372),'[1]T+S Costs'!$F$2:$F$3138,'[1]T+S Costs'!$N$2:$N$3138))</f>
        <v/>
      </c>
      <c r="Y372" s="14" t="str">
        <f t="shared" si="29"/>
        <v/>
      </c>
      <c r="Z372" s="4" t="str">
        <f t="shared" si="30"/>
        <v/>
      </c>
    </row>
    <row r="373" spans="16:26" x14ac:dyDescent="0.25">
      <c r="P373" s="10" t="str">
        <f>IF('[1]All Data '!AZ378="","",'[1]All Data '!AZ378)</f>
        <v/>
      </c>
      <c r="Q373" s="10" t="str">
        <f>IF('[1]All Data '!BB378="","",'[1]All Data '!BB378)</f>
        <v/>
      </c>
      <c r="R373" s="10" t="str">
        <f>IF('[1]All Data '!BD378="","",'[1]All Data '!BD378)</f>
        <v/>
      </c>
      <c r="S373" s="11" t="str">
        <f>IF(R373="","",'[1]All Data '!BE378)</f>
        <v/>
      </c>
      <c r="T373" s="12" t="str">
        <f>IF(S373="","",[1]Inputs_Outputs!$B$8*(1-'LOCH Calc COE Calc'!S373))</f>
        <v/>
      </c>
      <c r="U373" s="13" t="str">
        <f t="shared" si="26"/>
        <v/>
      </c>
      <c r="V373" s="13" t="str">
        <f t="shared" si="27"/>
        <v/>
      </c>
      <c r="W373" s="4" t="str">
        <f t="shared" si="28"/>
        <v/>
      </c>
      <c r="X373" t="str">
        <f>IF(W373="","",LOOKUP(_xlfn.CONCAT(P373,", ",Q373),'[1]T+S Costs'!$F$2:$F$3138,'[1]T+S Costs'!$N$2:$N$3138))</f>
        <v/>
      </c>
      <c r="Y373" s="14" t="str">
        <f t="shared" si="29"/>
        <v/>
      </c>
      <c r="Z373" s="4" t="str">
        <f t="shared" si="30"/>
        <v/>
      </c>
    </row>
    <row r="374" spans="16:26" x14ac:dyDescent="0.25">
      <c r="P374" s="10" t="str">
        <f>IF('[1]All Data '!AZ379="","",'[1]All Data '!AZ379)</f>
        <v/>
      </c>
      <c r="Q374" s="10" t="str">
        <f>IF('[1]All Data '!BB379="","",'[1]All Data '!BB379)</f>
        <v/>
      </c>
      <c r="R374" s="10" t="str">
        <f>IF('[1]All Data '!BD379="","",'[1]All Data '!BD379)</f>
        <v/>
      </c>
      <c r="S374" s="11" t="str">
        <f>IF(R374="","",'[1]All Data '!BE379)</f>
        <v/>
      </c>
      <c r="T374" s="12" t="str">
        <f>IF(S374="","",[1]Inputs_Outputs!$B$8*(1-'LOCH Calc COE Calc'!S374))</f>
        <v/>
      </c>
      <c r="U374" s="13" t="str">
        <f t="shared" si="26"/>
        <v/>
      </c>
      <c r="V374" s="13" t="str">
        <f t="shared" si="27"/>
        <v/>
      </c>
      <c r="W374" s="4" t="str">
        <f t="shared" si="28"/>
        <v/>
      </c>
      <c r="X374" t="str">
        <f>IF(W374="","",LOOKUP(_xlfn.CONCAT(P374,", ",Q374),'[1]T+S Costs'!$F$2:$F$3138,'[1]T+S Costs'!$N$2:$N$3138))</f>
        <v/>
      </c>
      <c r="Y374" s="14" t="str">
        <f t="shared" si="29"/>
        <v/>
      </c>
      <c r="Z374" s="4" t="str">
        <f t="shared" si="30"/>
        <v/>
      </c>
    </row>
    <row r="375" spans="16:26" x14ac:dyDescent="0.25">
      <c r="P375" s="10" t="str">
        <f>IF('[1]All Data '!AZ380="","",'[1]All Data '!AZ380)</f>
        <v/>
      </c>
      <c r="Q375" s="10" t="str">
        <f>IF('[1]All Data '!BB380="","",'[1]All Data '!BB380)</f>
        <v/>
      </c>
      <c r="R375" s="10" t="str">
        <f>IF('[1]All Data '!BD380="","",'[1]All Data '!BD380)</f>
        <v/>
      </c>
      <c r="S375" s="11" t="str">
        <f>IF(R375="","",'[1]All Data '!BE380)</f>
        <v/>
      </c>
      <c r="T375" s="12" t="str">
        <f>IF(S375="","",[1]Inputs_Outputs!$B$8*(1-'LOCH Calc COE Calc'!S375))</f>
        <v/>
      </c>
      <c r="U375" s="13" t="str">
        <f t="shared" si="26"/>
        <v/>
      </c>
      <c r="V375" s="13" t="str">
        <f t="shared" si="27"/>
        <v/>
      </c>
      <c r="W375" s="4" t="str">
        <f t="shared" si="28"/>
        <v/>
      </c>
      <c r="X375" t="str">
        <f>IF(W375="","",LOOKUP(_xlfn.CONCAT(P375,", ",Q375),'[1]T+S Costs'!$F$2:$F$3138,'[1]T+S Costs'!$N$2:$N$3138))</f>
        <v/>
      </c>
      <c r="Y375" s="14" t="str">
        <f t="shared" si="29"/>
        <v/>
      </c>
      <c r="Z375" s="4" t="str">
        <f t="shared" si="30"/>
        <v/>
      </c>
    </row>
    <row r="376" spans="16:26" x14ac:dyDescent="0.25">
      <c r="P376" s="10" t="str">
        <f>IF('[1]All Data '!AZ381="","",'[1]All Data '!AZ381)</f>
        <v/>
      </c>
      <c r="Q376" s="10" t="str">
        <f>IF('[1]All Data '!BB381="","",'[1]All Data '!BB381)</f>
        <v/>
      </c>
      <c r="R376" s="10" t="str">
        <f>IF('[1]All Data '!BD381="","",'[1]All Data '!BD381)</f>
        <v/>
      </c>
      <c r="S376" s="11" t="str">
        <f>IF(R376="","",'[1]All Data '!BE381)</f>
        <v/>
      </c>
      <c r="T376" s="12" t="str">
        <f>IF(S376="","",[1]Inputs_Outputs!$B$8*(1-'LOCH Calc COE Calc'!S376))</f>
        <v/>
      </c>
      <c r="U376" s="13" t="str">
        <f t="shared" si="26"/>
        <v/>
      </c>
      <c r="V376" s="13" t="str">
        <f t="shared" si="27"/>
        <v/>
      </c>
      <c r="W376" s="4" t="str">
        <f t="shared" si="28"/>
        <v/>
      </c>
      <c r="X376" t="str">
        <f>IF(W376="","",LOOKUP(_xlfn.CONCAT(P376,", ",Q376),'[1]T+S Costs'!$F$2:$F$3138,'[1]T+S Costs'!$N$2:$N$3138))</f>
        <v/>
      </c>
      <c r="Y376" s="14" t="str">
        <f t="shared" si="29"/>
        <v/>
      </c>
      <c r="Z376" s="4" t="str">
        <f t="shared" si="30"/>
        <v/>
      </c>
    </row>
    <row r="377" spans="16:26" x14ac:dyDescent="0.25">
      <c r="P377" s="10" t="str">
        <f>IF('[1]All Data '!AZ382="","",'[1]All Data '!AZ382)</f>
        <v/>
      </c>
      <c r="Q377" s="10" t="str">
        <f>IF('[1]All Data '!BB382="","",'[1]All Data '!BB382)</f>
        <v/>
      </c>
      <c r="R377" s="10" t="str">
        <f>IF('[1]All Data '!BD382="","",'[1]All Data '!BD382)</f>
        <v/>
      </c>
      <c r="S377" s="11" t="str">
        <f>IF(R377="","",'[1]All Data '!BE382)</f>
        <v/>
      </c>
      <c r="T377" s="12" t="str">
        <f>IF(S377="","",[1]Inputs_Outputs!$B$8*(1-'LOCH Calc COE Calc'!S377))</f>
        <v/>
      </c>
      <c r="U377" s="13" t="str">
        <f t="shared" si="26"/>
        <v/>
      </c>
      <c r="V377" s="13" t="str">
        <f t="shared" si="27"/>
        <v/>
      </c>
      <c r="W377" s="4" t="str">
        <f t="shared" si="28"/>
        <v/>
      </c>
      <c r="X377" t="str">
        <f>IF(W377="","",LOOKUP(_xlfn.CONCAT(P377,", ",Q377),'[1]T+S Costs'!$F$2:$F$3138,'[1]T+S Costs'!$N$2:$N$3138))</f>
        <v/>
      </c>
      <c r="Y377" s="14" t="str">
        <f t="shared" si="29"/>
        <v/>
      </c>
      <c r="Z377" s="4" t="str">
        <f t="shared" si="30"/>
        <v/>
      </c>
    </row>
    <row r="378" spans="16:26" x14ac:dyDescent="0.25">
      <c r="P378" s="10" t="str">
        <f>IF('[1]All Data '!AZ383="","",'[1]All Data '!AZ383)</f>
        <v/>
      </c>
      <c r="Q378" s="10" t="str">
        <f>IF('[1]All Data '!BB383="","",'[1]All Data '!BB383)</f>
        <v/>
      </c>
      <c r="R378" s="10" t="str">
        <f>IF('[1]All Data '!BD383="","",'[1]All Data '!BD383)</f>
        <v/>
      </c>
      <c r="S378" s="11" t="str">
        <f>IF(R378="","",'[1]All Data '!BE383)</f>
        <v/>
      </c>
      <c r="T378" s="12" t="str">
        <f>IF(S378="","",[1]Inputs_Outputs!$B$8*(1-'LOCH Calc COE Calc'!S378))</f>
        <v/>
      </c>
      <c r="U378" s="13" t="str">
        <f t="shared" si="26"/>
        <v/>
      </c>
      <c r="V378" s="13" t="str">
        <f t="shared" si="27"/>
        <v/>
      </c>
      <c r="W378" s="4" t="str">
        <f t="shared" si="28"/>
        <v/>
      </c>
      <c r="X378" t="str">
        <f>IF(W378="","",LOOKUP(_xlfn.CONCAT(P378,", ",Q378),'[1]T+S Costs'!$F$2:$F$3138,'[1]T+S Costs'!$N$2:$N$3138))</f>
        <v/>
      </c>
      <c r="Y378" s="14" t="str">
        <f t="shared" si="29"/>
        <v/>
      </c>
      <c r="Z378" s="4" t="str">
        <f t="shared" si="30"/>
        <v/>
      </c>
    </row>
    <row r="379" spans="16:26" x14ac:dyDescent="0.25">
      <c r="P379" s="10" t="str">
        <f>IF('[1]All Data '!AZ384="","",'[1]All Data '!AZ384)</f>
        <v/>
      </c>
      <c r="Q379" s="10" t="str">
        <f>IF('[1]All Data '!BB384="","",'[1]All Data '!BB384)</f>
        <v/>
      </c>
      <c r="R379" s="10" t="str">
        <f>IF('[1]All Data '!BD384="","",'[1]All Data '!BD384)</f>
        <v/>
      </c>
      <c r="S379" s="11" t="str">
        <f>IF(R379="","",'[1]All Data '!BE384)</f>
        <v/>
      </c>
      <c r="T379" s="12" t="str">
        <f>IF(S379="","",[1]Inputs_Outputs!$B$8*(1-'LOCH Calc COE Calc'!S379))</f>
        <v/>
      </c>
      <c r="U379" s="13" t="str">
        <f t="shared" si="26"/>
        <v/>
      </c>
      <c r="V379" s="13" t="str">
        <f t="shared" si="27"/>
        <v/>
      </c>
      <c r="W379" s="4" t="str">
        <f t="shared" si="28"/>
        <v/>
      </c>
      <c r="X379" t="str">
        <f>IF(W379="","",LOOKUP(_xlfn.CONCAT(P379,", ",Q379),'[1]T+S Costs'!$F$2:$F$3138,'[1]T+S Costs'!$N$2:$N$3138))</f>
        <v/>
      </c>
      <c r="Y379" s="14" t="str">
        <f t="shared" si="29"/>
        <v/>
      </c>
      <c r="Z379" s="4" t="str">
        <f t="shared" si="30"/>
        <v/>
      </c>
    </row>
    <row r="380" spans="16:26" x14ac:dyDescent="0.25">
      <c r="P380" s="10" t="str">
        <f>IF('[1]All Data '!AZ385="","",'[1]All Data '!AZ385)</f>
        <v/>
      </c>
      <c r="Q380" s="10" t="str">
        <f>IF('[1]All Data '!BB385="","",'[1]All Data '!BB385)</f>
        <v/>
      </c>
      <c r="R380" s="10" t="str">
        <f>IF('[1]All Data '!BD385="","",'[1]All Data '!BD385)</f>
        <v/>
      </c>
      <c r="S380" s="11" t="str">
        <f>IF(R380="","",'[1]All Data '!BE385)</f>
        <v/>
      </c>
      <c r="T380" s="12" t="str">
        <f>IF(S380="","",[1]Inputs_Outputs!$B$8*(1-'LOCH Calc COE Calc'!S380))</f>
        <v/>
      </c>
      <c r="U380" s="13" t="str">
        <f t="shared" si="26"/>
        <v/>
      </c>
      <c r="V380" s="13" t="str">
        <f t="shared" si="27"/>
        <v/>
      </c>
      <c r="W380" s="4" t="str">
        <f t="shared" si="28"/>
        <v/>
      </c>
      <c r="X380" t="str">
        <f>IF(W380="","",LOOKUP(_xlfn.CONCAT(P380,", ",Q380),'[1]T+S Costs'!$F$2:$F$3138,'[1]T+S Costs'!$N$2:$N$3138))</f>
        <v/>
      </c>
      <c r="Y380" s="14" t="str">
        <f t="shared" si="29"/>
        <v/>
      </c>
      <c r="Z380" s="4" t="str">
        <f t="shared" si="30"/>
        <v/>
      </c>
    </row>
    <row r="381" spans="16:26" x14ac:dyDescent="0.25">
      <c r="P381" s="10" t="str">
        <f>IF('[1]All Data '!AZ386="","",'[1]All Data '!AZ386)</f>
        <v/>
      </c>
      <c r="Q381" s="10" t="str">
        <f>IF('[1]All Data '!BB386="","",'[1]All Data '!BB386)</f>
        <v/>
      </c>
      <c r="R381" s="10" t="str">
        <f>IF('[1]All Data '!BD386="","",'[1]All Data '!BD386)</f>
        <v/>
      </c>
      <c r="S381" s="11" t="str">
        <f>IF(R381="","",'[1]All Data '!BE386)</f>
        <v/>
      </c>
      <c r="T381" s="12" t="str">
        <f>IF(S381="","",[1]Inputs_Outputs!$B$8*(1-'LOCH Calc COE Calc'!S381))</f>
        <v/>
      </c>
      <c r="U381" s="13" t="str">
        <f t="shared" si="26"/>
        <v/>
      </c>
      <c r="V381" s="13" t="str">
        <f t="shared" si="27"/>
        <v/>
      </c>
      <c r="W381" s="4" t="str">
        <f t="shared" si="28"/>
        <v/>
      </c>
      <c r="X381" t="str">
        <f>IF(W381="","",LOOKUP(_xlfn.CONCAT(P381,", ",Q381),'[1]T+S Costs'!$F$2:$F$3138,'[1]T+S Costs'!$N$2:$N$3138))</f>
        <v/>
      </c>
      <c r="Y381" s="14" t="str">
        <f t="shared" si="29"/>
        <v/>
      </c>
      <c r="Z381" s="4" t="str">
        <f t="shared" si="30"/>
        <v/>
      </c>
    </row>
    <row r="382" spans="16:26" x14ac:dyDescent="0.25">
      <c r="P382" s="10" t="str">
        <f>IF('[1]All Data '!AZ387="","",'[1]All Data '!AZ387)</f>
        <v/>
      </c>
      <c r="Q382" s="10" t="str">
        <f>IF('[1]All Data '!BB387="","",'[1]All Data '!BB387)</f>
        <v/>
      </c>
      <c r="R382" s="10" t="str">
        <f>IF('[1]All Data '!BD387="","",'[1]All Data '!BD387)</f>
        <v/>
      </c>
      <c r="S382" s="11" t="str">
        <f>IF(R382="","",'[1]All Data '!BE387)</f>
        <v/>
      </c>
      <c r="T382" s="12" t="str">
        <f>IF(S382="","",[1]Inputs_Outputs!$B$8*(1-'LOCH Calc COE Calc'!S382))</f>
        <v/>
      </c>
      <c r="U382" s="13" t="str">
        <f t="shared" si="26"/>
        <v/>
      </c>
      <c r="V382" s="13" t="str">
        <f t="shared" si="27"/>
        <v/>
      </c>
      <c r="W382" s="4" t="str">
        <f t="shared" si="28"/>
        <v/>
      </c>
      <c r="X382" t="str">
        <f>IF(W382="","",LOOKUP(_xlfn.CONCAT(P382,", ",Q382),'[1]T+S Costs'!$F$2:$F$3138,'[1]T+S Costs'!$N$2:$N$3138))</f>
        <v/>
      </c>
      <c r="Y382" s="14" t="str">
        <f t="shared" si="29"/>
        <v/>
      </c>
      <c r="Z382" s="4" t="str">
        <f t="shared" si="30"/>
        <v/>
      </c>
    </row>
    <row r="383" spans="16:26" x14ac:dyDescent="0.25">
      <c r="P383" s="10" t="str">
        <f>IF('[1]All Data '!AZ388="","",'[1]All Data '!AZ388)</f>
        <v/>
      </c>
      <c r="Q383" s="10" t="str">
        <f>IF('[1]All Data '!BB388="","",'[1]All Data '!BB388)</f>
        <v/>
      </c>
      <c r="R383" s="10" t="str">
        <f>IF('[1]All Data '!BD388="","",'[1]All Data '!BD388)</f>
        <v/>
      </c>
      <c r="S383" s="11" t="str">
        <f>IF(R383="","",'[1]All Data '!BE388)</f>
        <v/>
      </c>
      <c r="T383" s="12" t="str">
        <f>IF(S383="","",[1]Inputs_Outputs!$B$8*(1-'LOCH Calc COE Calc'!S383))</f>
        <v/>
      </c>
      <c r="U383" s="13" t="str">
        <f t="shared" si="26"/>
        <v/>
      </c>
      <c r="V383" s="13" t="str">
        <f t="shared" si="27"/>
        <v/>
      </c>
      <c r="W383" s="4" t="str">
        <f t="shared" si="28"/>
        <v/>
      </c>
      <c r="X383" t="str">
        <f>IF(W383="","",LOOKUP(_xlfn.CONCAT(P383,", ",Q383),'[1]T+S Costs'!$F$2:$F$3138,'[1]T+S Costs'!$N$2:$N$3138))</f>
        <v/>
      </c>
      <c r="Y383" s="14" t="str">
        <f t="shared" si="29"/>
        <v/>
      </c>
      <c r="Z383" s="4" t="str">
        <f t="shared" si="30"/>
        <v/>
      </c>
    </row>
    <row r="384" spans="16:26" x14ac:dyDescent="0.25">
      <c r="P384" s="10" t="str">
        <f>IF('[1]All Data '!AZ389="","",'[1]All Data '!AZ389)</f>
        <v/>
      </c>
      <c r="Q384" s="10" t="str">
        <f>IF('[1]All Data '!BB389="","",'[1]All Data '!BB389)</f>
        <v/>
      </c>
      <c r="R384" s="10" t="str">
        <f>IF('[1]All Data '!BD389="","",'[1]All Data '!BD389)</f>
        <v/>
      </c>
      <c r="S384" s="11" t="str">
        <f>IF(R384="","",'[1]All Data '!BE389)</f>
        <v/>
      </c>
      <c r="T384" s="12" t="str">
        <f>IF(S384="","",[1]Inputs_Outputs!$B$8*(1-'LOCH Calc COE Calc'!S384))</f>
        <v/>
      </c>
      <c r="U384" s="13" t="str">
        <f t="shared" si="26"/>
        <v/>
      </c>
      <c r="V384" s="13" t="str">
        <f t="shared" si="27"/>
        <v/>
      </c>
      <c r="W384" s="4" t="str">
        <f t="shared" si="28"/>
        <v/>
      </c>
      <c r="X384" t="str">
        <f>IF(W384="","",LOOKUP(_xlfn.CONCAT(P384,", ",Q384),'[1]T+S Costs'!$F$2:$F$3138,'[1]T+S Costs'!$N$2:$N$3138))</f>
        <v/>
      </c>
      <c r="Y384" s="14" t="str">
        <f t="shared" si="29"/>
        <v/>
      </c>
      <c r="Z384" s="4" t="str">
        <f t="shared" si="30"/>
        <v/>
      </c>
    </row>
    <row r="385" spans="16:26" x14ac:dyDescent="0.25">
      <c r="P385" s="10" t="str">
        <f>IF('[1]All Data '!AZ390="","",'[1]All Data '!AZ390)</f>
        <v/>
      </c>
      <c r="Q385" s="10" t="str">
        <f>IF('[1]All Data '!BB390="","",'[1]All Data '!BB390)</f>
        <v/>
      </c>
      <c r="R385" s="10" t="str">
        <f>IF('[1]All Data '!BD390="","",'[1]All Data '!BD390)</f>
        <v/>
      </c>
      <c r="S385" s="11" t="str">
        <f>IF(R385="","",'[1]All Data '!BE390)</f>
        <v/>
      </c>
      <c r="T385" s="12" t="str">
        <f>IF(S385="","",[1]Inputs_Outputs!$B$8*(1-'LOCH Calc COE Calc'!S385))</f>
        <v/>
      </c>
      <c r="U385" s="13" t="str">
        <f t="shared" si="26"/>
        <v/>
      </c>
      <c r="V385" s="13" t="str">
        <f t="shared" si="27"/>
        <v/>
      </c>
      <c r="W385" s="4" t="str">
        <f t="shared" si="28"/>
        <v/>
      </c>
      <c r="X385" t="str">
        <f>IF(W385="","",LOOKUP(_xlfn.CONCAT(P385,", ",Q385),'[1]T+S Costs'!$F$2:$F$3138,'[1]T+S Costs'!$N$2:$N$3138))</f>
        <v/>
      </c>
      <c r="Y385" s="14" t="str">
        <f t="shared" si="29"/>
        <v/>
      </c>
      <c r="Z385" s="4" t="str">
        <f t="shared" si="30"/>
        <v/>
      </c>
    </row>
    <row r="386" spans="16:26" x14ac:dyDescent="0.25">
      <c r="P386" s="10" t="str">
        <f>IF('[1]All Data '!AZ391="","",'[1]All Data '!AZ391)</f>
        <v/>
      </c>
      <c r="Q386" s="10" t="str">
        <f>IF('[1]All Data '!BB391="","",'[1]All Data '!BB391)</f>
        <v/>
      </c>
      <c r="R386" s="10" t="str">
        <f>IF('[1]All Data '!BD391="","",'[1]All Data '!BD391)</f>
        <v/>
      </c>
      <c r="S386" s="11" t="str">
        <f>IF(R386="","",'[1]All Data '!BE391)</f>
        <v/>
      </c>
      <c r="T386" s="12" t="str">
        <f>IF(S386="","",[1]Inputs_Outputs!$B$8*(1-'LOCH Calc COE Calc'!S386))</f>
        <v/>
      </c>
      <c r="U386" s="13" t="str">
        <f t="shared" si="26"/>
        <v/>
      </c>
      <c r="V386" s="13" t="str">
        <f t="shared" si="27"/>
        <v/>
      </c>
      <c r="W386" s="4" t="str">
        <f t="shared" si="28"/>
        <v/>
      </c>
      <c r="X386" t="str">
        <f>IF(W386="","",LOOKUP(_xlfn.CONCAT(P386,", ",Q386),'[1]T+S Costs'!$F$2:$F$3138,'[1]T+S Costs'!$N$2:$N$3138))</f>
        <v/>
      </c>
      <c r="Y386" s="14" t="str">
        <f t="shared" si="29"/>
        <v/>
      </c>
      <c r="Z386" s="4" t="str">
        <f t="shared" si="30"/>
        <v/>
      </c>
    </row>
    <row r="387" spans="16:26" x14ac:dyDescent="0.25">
      <c r="P387" s="10" t="str">
        <f>IF('[1]All Data '!AZ392="","",'[1]All Data '!AZ392)</f>
        <v/>
      </c>
      <c r="Q387" s="10" t="str">
        <f>IF('[1]All Data '!BB392="","",'[1]All Data '!BB392)</f>
        <v/>
      </c>
      <c r="R387" s="10" t="str">
        <f>IF('[1]All Data '!BD392="","",'[1]All Data '!BD392)</f>
        <v/>
      </c>
      <c r="S387" s="11" t="str">
        <f>IF(R387="","",'[1]All Data '!BE392)</f>
        <v/>
      </c>
      <c r="T387" s="12" t="str">
        <f>IF(S387="","",[1]Inputs_Outputs!$B$8*(1-'LOCH Calc COE Calc'!S387))</f>
        <v/>
      </c>
      <c r="U387" s="13" t="str">
        <f t="shared" ref="U387:U450" si="31">IF(S387="","",R387*T387*365*$B$19/100)</f>
        <v/>
      </c>
      <c r="V387" s="13" t="str">
        <f t="shared" ref="V387:V450" si="32">IF(S387="","",(U387*$B$19)/(($B$28)*$B$19))</f>
        <v/>
      </c>
      <c r="W387" s="4" t="str">
        <f t="shared" ref="W387:W450" si="33">IF(S387="","",V387+$C$49+$C$50+$C$51)</f>
        <v/>
      </c>
      <c r="X387" t="str">
        <f>IF(W387="","",LOOKUP(_xlfn.CONCAT(P387,", ",Q387),'[1]T+S Costs'!$F$2:$F$3138,'[1]T+S Costs'!$N$2:$N$3138))</f>
        <v/>
      </c>
      <c r="Y387" s="14" t="str">
        <f t="shared" ref="Y387:Y450" si="34">IF(X387="","",((X387*$B$60/$B$59)*$C$44)/$C$28)</f>
        <v/>
      </c>
      <c r="Z387" s="4" t="str">
        <f t="shared" ref="Z387:Z450" si="35">IF(Y387="","",W387+Y387)</f>
        <v/>
      </c>
    </row>
    <row r="388" spans="16:26" x14ac:dyDescent="0.25">
      <c r="P388" s="10" t="str">
        <f>IF('[1]All Data '!AZ393="","",'[1]All Data '!AZ393)</f>
        <v/>
      </c>
      <c r="Q388" s="10" t="str">
        <f>IF('[1]All Data '!BB393="","",'[1]All Data '!BB393)</f>
        <v/>
      </c>
      <c r="R388" s="10" t="str">
        <f>IF('[1]All Data '!BD393="","",'[1]All Data '!BD393)</f>
        <v/>
      </c>
      <c r="S388" s="11" t="str">
        <f>IF(R388="","",'[1]All Data '!BE393)</f>
        <v/>
      </c>
      <c r="T388" s="12" t="str">
        <f>IF(S388="","",[1]Inputs_Outputs!$B$8*(1-'LOCH Calc COE Calc'!S388))</f>
        <v/>
      </c>
      <c r="U388" s="13" t="str">
        <f t="shared" si="31"/>
        <v/>
      </c>
      <c r="V388" s="13" t="str">
        <f t="shared" si="32"/>
        <v/>
      </c>
      <c r="W388" s="4" t="str">
        <f t="shared" si="33"/>
        <v/>
      </c>
      <c r="X388" t="str">
        <f>IF(W388="","",LOOKUP(_xlfn.CONCAT(P388,", ",Q388),'[1]T+S Costs'!$F$2:$F$3138,'[1]T+S Costs'!$N$2:$N$3138))</f>
        <v/>
      </c>
      <c r="Y388" s="14" t="str">
        <f t="shared" si="34"/>
        <v/>
      </c>
      <c r="Z388" s="4" t="str">
        <f t="shared" si="35"/>
        <v/>
      </c>
    </row>
    <row r="389" spans="16:26" x14ac:dyDescent="0.25">
      <c r="P389" s="10" t="str">
        <f>IF('[1]All Data '!AZ394="","",'[1]All Data '!AZ394)</f>
        <v/>
      </c>
      <c r="Q389" s="10" t="str">
        <f>IF('[1]All Data '!BB394="","",'[1]All Data '!BB394)</f>
        <v/>
      </c>
      <c r="R389" s="10" t="str">
        <f>IF('[1]All Data '!BD394="","",'[1]All Data '!BD394)</f>
        <v/>
      </c>
      <c r="S389" s="11" t="str">
        <f>IF(R389="","",'[1]All Data '!BE394)</f>
        <v/>
      </c>
      <c r="T389" s="12" t="str">
        <f>IF(S389="","",[1]Inputs_Outputs!$B$8*(1-'LOCH Calc COE Calc'!S389))</f>
        <v/>
      </c>
      <c r="U389" s="13" t="str">
        <f t="shared" si="31"/>
        <v/>
      </c>
      <c r="V389" s="13" t="str">
        <f t="shared" si="32"/>
        <v/>
      </c>
      <c r="W389" s="4" t="str">
        <f t="shared" si="33"/>
        <v/>
      </c>
      <c r="X389" t="str">
        <f>IF(W389="","",LOOKUP(_xlfn.CONCAT(P389,", ",Q389),'[1]T+S Costs'!$F$2:$F$3138,'[1]T+S Costs'!$N$2:$N$3138))</f>
        <v/>
      </c>
      <c r="Y389" s="14" t="str">
        <f t="shared" si="34"/>
        <v/>
      </c>
      <c r="Z389" s="4" t="str">
        <f t="shared" si="35"/>
        <v/>
      </c>
    </row>
    <row r="390" spans="16:26" x14ac:dyDescent="0.25">
      <c r="P390" s="10" t="str">
        <f>IF('[1]All Data '!AZ395="","",'[1]All Data '!AZ395)</f>
        <v/>
      </c>
      <c r="Q390" s="10" t="str">
        <f>IF('[1]All Data '!BB395="","",'[1]All Data '!BB395)</f>
        <v/>
      </c>
      <c r="R390" s="10" t="str">
        <f>IF('[1]All Data '!BD395="","",'[1]All Data '!BD395)</f>
        <v/>
      </c>
      <c r="S390" s="11" t="str">
        <f>IF(R390="","",'[1]All Data '!BE395)</f>
        <v/>
      </c>
      <c r="T390" s="12" t="str">
        <f>IF(S390="","",[1]Inputs_Outputs!$B$8*(1-'LOCH Calc COE Calc'!S390))</f>
        <v/>
      </c>
      <c r="U390" s="13" t="str">
        <f t="shared" si="31"/>
        <v/>
      </c>
      <c r="V390" s="13" t="str">
        <f t="shared" si="32"/>
        <v/>
      </c>
      <c r="W390" s="4" t="str">
        <f t="shared" si="33"/>
        <v/>
      </c>
      <c r="X390" t="str">
        <f>IF(W390="","",LOOKUP(_xlfn.CONCAT(P390,", ",Q390),'[1]T+S Costs'!$F$2:$F$3138,'[1]T+S Costs'!$N$2:$N$3138))</f>
        <v/>
      </c>
      <c r="Y390" s="14" t="str">
        <f t="shared" si="34"/>
        <v/>
      </c>
      <c r="Z390" s="4" t="str">
        <f t="shared" si="35"/>
        <v/>
      </c>
    </row>
    <row r="391" spans="16:26" x14ac:dyDescent="0.25">
      <c r="P391" s="10" t="str">
        <f>IF('[1]All Data '!AZ396="","",'[1]All Data '!AZ396)</f>
        <v/>
      </c>
      <c r="Q391" s="10" t="str">
        <f>IF('[1]All Data '!BB396="","",'[1]All Data '!BB396)</f>
        <v/>
      </c>
      <c r="R391" s="10" t="str">
        <f>IF('[1]All Data '!BD396="","",'[1]All Data '!BD396)</f>
        <v/>
      </c>
      <c r="S391" s="11" t="str">
        <f>IF(R391="","",'[1]All Data '!BE396)</f>
        <v/>
      </c>
      <c r="T391" s="12" t="str">
        <f>IF(S391="","",[1]Inputs_Outputs!$B$8*(1-'LOCH Calc COE Calc'!S391))</f>
        <v/>
      </c>
      <c r="U391" s="13" t="str">
        <f t="shared" si="31"/>
        <v/>
      </c>
      <c r="V391" s="13" t="str">
        <f t="shared" si="32"/>
        <v/>
      </c>
      <c r="W391" s="4" t="str">
        <f t="shared" si="33"/>
        <v/>
      </c>
      <c r="X391" t="str">
        <f>IF(W391="","",LOOKUP(_xlfn.CONCAT(P391,", ",Q391),'[1]T+S Costs'!$F$2:$F$3138,'[1]T+S Costs'!$N$2:$N$3138))</f>
        <v/>
      </c>
      <c r="Y391" s="14" t="str">
        <f t="shared" si="34"/>
        <v/>
      </c>
      <c r="Z391" s="4" t="str">
        <f t="shared" si="35"/>
        <v/>
      </c>
    </row>
    <row r="392" spans="16:26" x14ac:dyDescent="0.25">
      <c r="P392" s="10" t="str">
        <f>IF('[1]All Data '!AZ397="","",'[1]All Data '!AZ397)</f>
        <v/>
      </c>
      <c r="Q392" s="10" t="str">
        <f>IF('[1]All Data '!BB397="","",'[1]All Data '!BB397)</f>
        <v/>
      </c>
      <c r="R392" s="10" t="str">
        <f>IF('[1]All Data '!BD397="","",'[1]All Data '!BD397)</f>
        <v/>
      </c>
      <c r="S392" s="11" t="str">
        <f>IF(R392="","",'[1]All Data '!BE397)</f>
        <v/>
      </c>
      <c r="T392" s="12" t="str">
        <f>IF(S392="","",[1]Inputs_Outputs!$B$8*(1-'LOCH Calc COE Calc'!S392))</f>
        <v/>
      </c>
      <c r="U392" s="13" t="str">
        <f t="shared" si="31"/>
        <v/>
      </c>
      <c r="V392" s="13" t="str">
        <f t="shared" si="32"/>
        <v/>
      </c>
      <c r="W392" s="4" t="str">
        <f t="shared" si="33"/>
        <v/>
      </c>
      <c r="X392" t="str">
        <f>IF(W392="","",LOOKUP(_xlfn.CONCAT(P392,", ",Q392),'[1]T+S Costs'!$F$2:$F$3138,'[1]T+S Costs'!$N$2:$N$3138))</f>
        <v/>
      </c>
      <c r="Y392" s="14" t="str">
        <f t="shared" si="34"/>
        <v/>
      </c>
      <c r="Z392" s="4" t="str">
        <f t="shared" si="35"/>
        <v/>
      </c>
    </row>
    <row r="393" spans="16:26" x14ac:dyDescent="0.25">
      <c r="P393" s="10" t="str">
        <f>IF('[1]All Data '!AZ398="","",'[1]All Data '!AZ398)</f>
        <v/>
      </c>
      <c r="Q393" s="10" t="str">
        <f>IF('[1]All Data '!BB398="","",'[1]All Data '!BB398)</f>
        <v/>
      </c>
      <c r="R393" s="10" t="str">
        <f>IF('[1]All Data '!BD398="","",'[1]All Data '!BD398)</f>
        <v/>
      </c>
      <c r="S393" s="11" t="str">
        <f>IF(R393="","",'[1]All Data '!BE398)</f>
        <v/>
      </c>
      <c r="T393" s="12" t="str">
        <f>IF(S393="","",[1]Inputs_Outputs!$B$8*(1-'LOCH Calc COE Calc'!S393))</f>
        <v/>
      </c>
      <c r="U393" s="13" t="str">
        <f t="shared" si="31"/>
        <v/>
      </c>
      <c r="V393" s="13" t="str">
        <f t="shared" si="32"/>
        <v/>
      </c>
      <c r="W393" s="4" t="str">
        <f t="shared" si="33"/>
        <v/>
      </c>
      <c r="X393" t="str">
        <f>IF(W393="","",LOOKUP(_xlfn.CONCAT(P393,", ",Q393),'[1]T+S Costs'!$F$2:$F$3138,'[1]T+S Costs'!$N$2:$N$3138))</f>
        <v/>
      </c>
      <c r="Y393" s="14" t="str">
        <f t="shared" si="34"/>
        <v/>
      </c>
      <c r="Z393" s="4" t="str">
        <f t="shared" si="35"/>
        <v/>
      </c>
    </row>
    <row r="394" spans="16:26" x14ac:dyDescent="0.25">
      <c r="P394" s="10" t="str">
        <f>IF('[1]All Data '!AZ399="","",'[1]All Data '!AZ399)</f>
        <v/>
      </c>
      <c r="Q394" s="10" t="str">
        <f>IF('[1]All Data '!BB399="","",'[1]All Data '!BB399)</f>
        <v/>
      </c>
      <c r="R394" s="10" t="str">
        <f>IF('[1]All Data '!BD399="","",'[1]All Data '!BD399)</f>
        <v/>
      </c>
      <c r="S394" s="11" t="str">
        <f>IF(R394="","",'[1]All Data '!BE399)</f>
        <v/>
      </c>
      <c r="T394" s="12" t="str">
        <f>IF(S394="","",[1]Inputs_Outputs!$B$8*(1-'LOCH Calc COE Calc'!S394))</f>
        <v/>
      </c>
      <c r="U394" s="13" t="str">
        <f t="shared" si="31"/>
        <v/>
      </c>
      <c r="V394" s="13" t="str">
        <f t="shared" si="32"/>
        <v/>
      </c>
      <c r="W394" s="4" t="str">
        <f t="shared" si="33"/>
        <v/>
      </c>
      <c r="X394" t="str">
        <f>IF(W394="","",LOOKUP(_xlfn.CONCAT(P394,", ",Q394),'[1]T+S Costs'!$F$2:$F$3138,'[1]T+S Costs'!$N$2:$N$3138))</f>
        <v/>
      </c>
      <c r="Y394" s="14" t="str">
        <f t="shared" si="34"/>
        <v/>
      </c>
      <c r="Z394" s="4" t="str">
        <f t="shared" si="35"/>
        <v/>
      </c>
    </row>
    <row r="395" spans="16:26" x14ac:dyDescent="0.25">
      <c r="P395" s="10" t="str">
        <f>IF('[1]All Data '!AZ400="","",'[1]All Data '!AZ400)</f>
        <v/>
      </c>
      <c r="Q395" s="10" t="str">
        <f>IF('[1]All Data '!BB400="","",'[1]All Data '!BB400)</f>
        <v/>
      </c>
      <c r="R395" s="10" t="str">
        <f>IF('[1]All Data '!BD400="","",'[1]All Data '!BD400)</f>
        <v/>
      </c>
      <c r="S395" s="11" t="str">
        <f>IF(R395="","",'[1]All Data '!BE400)</f>
        <v/>
      </c>
      <c r="T395" s="12" t="str">
        <f>IF(S395="","",[1]Inputs_Outputs!$B$8*(1-'LOCH Calc COE Calc'!S395))</f>
        <v/>
      </c>
      <c r="U395" s="13" t="str">
        <f t="shared" si="31"/>
        <v/>
      </c>
      <c r="V395" s="13" t="str">
        <f t="shared" si="32"/>
        <v/>
      </c>
      <c r="W395" s="4" t="str">
        <f t="shared" si="33"/>
        <v/>
      </c>
      <c r="X395" t="str">
        <f>IF(W395="","",LOOKUP(_xlfn.CONCAT(P395,", ",Q395),'[1]T+S Costs'!$F$2:$F$3138,'[1]T+S Costs'!$N$2:$N$3138))</f>
        <v/>
      </c>
      <c r="Y395" s="14" t="str">
        <f t="shared" si="34"/>
        <v/>
      </c>
      <c r="Z395" s="4" t="str">
        <f t="shared" si="35"/>
        <v/>
      </c>
    </row>
    <row r="396" spans="16:26" x14ac:dyDescent="0.25">
      <c r="P396" s="10" t="str">
        <f>IF('[1]All Data '!AZ401="","",'[1]All Data '!AZ401)</f>
        <v/>
      </c>
      <c r="Q396" s="10" t="str">
        <f>IF('[1]All Data '!BB401="","",'[1]All Data '!BB401)</f>
        <v/>
      </c>
      <c r="R396" s="10" t="str">
        <f>IF('[1]All Data '!BD401="","",'[1]All Data '!BD401)</f>
        <v/>
      </c>
      <c r="S396" s="11" t="str">
        <f>IF(R396="","",'[1]All Data '!BE401)</f>
        <v/>
      </c>
      <c r="T396" s="12" t="str">
        <f>IF(S396="","",[1]Inputs_Outputs!$B$8*(1-'LOCH Calc COE Calc'!S396))</f>
        <v/>
      </c>
      <c r="U396" s="13" t="str">
        <f t="shared" si="31"/>
        <v/>
      </c>
      <c r="V396" s="13" t="str">
        <f t="shared" si="32"/>
        <v/>
      </c>
      <c r="W396" s="4" t="str">
        <f t="shared" si="33"/>
        <v/>
      </c>
      <c r="X396" t="str">
        <f>IF(W396="","",LOOKUP(_xlfn.CONCAT(P396,", ",Q396),'[1]T+S Costs'!$F$2:$F$3138,'[1]T+S Costs'!$N$2:$N$3138))</f>
        <v/>
      </c>
      <c r="Y396" s="14" t="str">
        <f t="shared" si="34"/>
        <v/>
      </c>
      <c r="Z396" s="4" t="str">
        <f t="shared" si="35"/>
        <v/>
      </c>
    </row>
    <row r="397" spans="16:26" x14ac:dyDescent="0.25">
      <c r="P397" s="10" t="str">
        <f>IF('[1]All Data '!AZ402="","",'[1]All Data '!AZ402)</f>
        <v/>
      </c>
      <c r="Q397" s="10" t="str">
        <f>IF('[1]All Data '!BB402="","",'[1]All Data '!BB402)</f>
        <v/>
      </c>
      <c r="R397" s="10" t="str">
        <f>IF('[1]All Data '!BD402="","",'[1]All Data '!BD402)</f>
        <v/>
      </c>
      <c r="S397" s="11" t="str">
        <f>IF(R397="","",'[1]All Data '!BE402)</f>
        <v/>
      </c>
      <c r="T397" s="12" t="str">
        <f>IF(S397="","",[1]Inputs_Outputs!$B$8*(1-'LOCH Calc COE Calc'!S397))</f>
        <v/>
      </c>
      <c r="U397" s="13" t="str">
        <f t="shared" si="31"/>
        <v/>
      </c>
      <c r="V397" s="13" t="str">
        <f t="shared" si="32"/>
        <v/>
      </c>
      <c r="W397" s="4" t="str">
        <f t="shared" si="33"/>
        <v/>
      </c>
      <c r="X397" t="str">
        <f>IF(W397="","",LOOKUP(_xlfn.CONCAT(P397,", ",Q397),'[1]T+S Costs'!$F$2:$F$3138,'[1]T+S Costs'!$N$2:$N$3138))</f>
        <v/>
      </c>
      <c r="Y397" s="14" t="str">
        <f t="shared" si="34"/>
        <v/>
      </c>
      <c r="Z397" s="4" t="str">
        <f t="shared" si="35"/>
        <v/>
      </c>
    </row>
    <row r="398" spans="16:26" x14ac:dyDescent="0.25">
      <c r="P398" s="10" t="str">
        <f>IF('[1]All Data '!AZ403="","",'[1]All Data '!AZ403)</f>
        <v/>
      </c>
      <c r="Q398" s="10" t="str">
        <f>IF('[1]All Data '!BB403="","",'[1]All Data '!BB403)</f>
        <v/>
      </c>
      <c r="R398" s="10" t="str">
        <f>IF('[1]All Data '!BD403="","",'[1]All Data '!BD403)</f>
        <v/>
      </c>
      <c r="S398" s="11" t="str">
        <f>IF(R398="","",'[1]All Data '!BE403)</f>
        <v/>
      </c>
      <c r="T398" s="12" t="str">
        <f>IF(S398="","",[1]Inputs_Outputs!$B$8*(1-'LOCH Calc COE Calc'!S398))</f>
        <v/>
      </c>
      <c r="U398" s="13" t="str">
        <f t="shared" si="31"/>
        <v/>
      </c>
      <c r="V398" s="13" t="str">
        <f t="shared" si="32"/>
        <v/>
      </c>
      <c r="W398" s="4" t="str">
        <f t="shared" si="33"/>
        <v/>
      </c>
      <c r="X398" t="str">
        <f>IF(W398="","",LOOKUP(_xlfn.CONCAT(P398,", ",Q398),'[1]T+S Costs'!$F$2:$F$3138,'[1]T+S Costs'!$N$2:$N$3138))</f>
        <v/>
      </c>
      <c r="Y398" s="14" t="str">
        <f t="shared" si="34"/>
        <v/>
      </c>
      <c r="Z398" s="4" t="str">
        <f t="shared" si="35"/>
        <v/>
      </c>
    </row>
    <row r="399" spans="16:26" x14ac:dyDescent="0.25">
      <c r="P399" s="10" t="str">
        <f>IF('[1]All Data '!AZ404="","",'[1]All Data '!AZ404)</f>
        <v/>
      </c>
      <c r="Q399" s="10" t="str">
        <f>IF('[1]All Data '!BB404="","",'[1]All Data '!BB404)</f>
        <v/>
      </c>
      <c r="R399" s="10" t="str">
        <f>IF('[1]All Data '!BD404="","",'[1]All Data '!BD404)</f>
        <v/>
      </c>
      <c r="S399" s="11" t="str">
        <f>IF(R399="","",'[1]All Data '!BE404)</f>
        <v/>
      </c>
      <c r="T399" s="12" t="str">
        <f>IF(S399="","",[1]Inputs_Outputs!$B$8*(1-'LOCH Calc COE Calc'!S399))</f>
        <v/>
      </c>
      <c r="U399" s="13" t="str">
        <f t="shared" si="31"/>
        <v/>
      </c>
      <c r="V399" s="13" t="str">
        <f t="shared" si="32"/>
        <v/>
      </c>
      <c r="W399" s="4" t="str">
        <f t="shared" si="33"/>
        <v/>
      </c>
      <c r="X399" t="str">
        <f>IF(W399="","",LOOKUP(_xlfn.CONCAT(P399,", ",Q399),'[1]T+S Costs'!$F$2:$F$3138,'[1]T+S Costs'!$N$2:$N$3138))</f>
        <v/>
      </c>
      <c r="Y399" s="14" t="str">
        <f t="shared" si="34"/>
        <v/>
      </c>
      <c r="Z399" s="4" t="str">
        <f t="shared" si="35"/>
        <v/>
      </c>
    </row>
    <row r="400" spans="16:26" x14ac:dyDescent="0.25">
      <c r="P400" s="10" t="str">
        <f>IF('[1]All Data '!AZ405="","",'[1]All Data '!AZ405)</f>
        <v/>
      </c>
      <c r="Q400" s="10" t="str">
        <f>IF('[1]All Data '!BB405="","",'[1]All Data '!BB405)</f>
        <v/>
      </c>
      <c r="R400" s="10" t="str">
        <f>IF('[1]All Data '!BD405="","",'[1]All Data '!BD405)</f>
        <v/>
      </c>
      <c r="S400" s="11" t="str">
        <f>IF(R400="","",'[1]All Data '!BE405)</f>
        <v/>
      </c>
      <c r="T400" s="12" t="str">
        <f>IF(S400="","",[1]Inputs_Outputs!$B$8*(1-'LOCH Calc COE Calc'!S400))</f>
        <v/>
      </c>
      <c r="U400" s="13" t="str">
        <f t="shared" si="31"/>
        <v/>
      </c>
      <c r="V400" s="13" t="str">
        <f t="shared" si="32"/>
        <v/>
      </c>
      <c r="W400" s="4" t="str">
        <f t="shared" si="33"/>
        <v/>
      </c>
      <c r="X400" t="str">
        <f>IF(W400="","",LOOKUP(_xlfn.CONCAT(P400,", ",Q400),'[1]T+S Costs'!$F$2:$F$3138,'[1]T+S Costs'!$N$2:$N$3138))</f>
        <v/>
      </c>
      <c r="Y400" s="14" t="str">
        <f t="shared" si="34"/>
        <v/>
      </c>
      <c r="Z400" s="4" t="str">
        <f t="shared" si="35"/>
        <v/>
      </c>
    </row>
    <row r="401" spans="16:26" x14ac:dyDescent="0.25">
      <c r="P401" s="10" t="str">
        <f>IF('[1]All Data '!AZ406="","",'[1]All Data '!AZ406)</f>
        <v/>
      </c>
      <c r="Q401" s="10" t="str">
        <f>IF('[1]All Data '!BB406="","",'[1]All Data '!BB406)</f>
        <v/>
      </c>
      <c r="R401" s="10" t="str">
        <f>IF('[1]All Data '!BD406="","",'[1]All Data '!BD406)</f>
        <v/>
      </c>
      <c r="S401" s="11" t="str">
        <f>IF(R401="","",'[1]All Data '!BE406)</f>
        <v/>
      </c>
      <c r="T401" s="12" t="str">
        <f>IF(S401="","",[1]Inputs_Outputs!$B$8*(1-'LOCH Calc COE Calc'!S401))</f>
        <v/>
      </c>
      <c r="U401" s="13" t="str">
        <f t="shared" si="31"/>
        <v/>
      </c>
      <c r="V401" s="13" t="str">
        <f t="shared" si="32"/>
        <v/>
      </c>
      <c r="W401" s="4" t="str">
        <f t="shared" si="33"/>
        <v/>
      </c>
      <c r="X401" t="str">
        <f>IF(W401="","",LOOKUP(_xlfn.CONCAT(P401,", ",Q401),'[1]T+S Costs'!$F$2:$F$3138,'[1]T+S Costs'!$N$2:$N$3138))</f>
        <v/>
      </c>
      <c r="Y401" s="14" t="str">
        <f t="shared" si="34"/>
        <v/>
      </c>
      <c r="Z401" s="4" t="str">
        <f t="shared" si="35"/>
        <v/>
      </c>
    </row>
    <row r="402" spans="16:26" x14ac:dyDescent="0.25">
      <c r="P402" s="10" t="str">
        <f>IF('[1]All Data '!AZ407="","",'[1]All Data '!AZ407)</f>
        <v/>
      </c>
      <c r="Q402" s="10" t="str">
        <f>IF('[1]All Data '!BB407="","",'[1]All Data '!BB407)</f>
        <v/>
      </c>
      <c r="R402" s="10" t="str">
        <f>IF('[1]All Data '!BD407="","",'[1]All Data '!BD407)</f>
        <v/>
      </c>
      <c r="S402" s="11" t="str">
        <f>IF(R402="","",'[1]All Data '!BE407)</f>
        <v/>
      </c>
      <c r="T402" s="12" t="str">
        <f>IF(S402="","",[1]Inputs_Outputs!$B$8*(1-'LOCH Calc COE Calc'!S402))</f>
        <v/>
      </c>
      <c r="U402" s="13" t="str">
        <f t="shared" si="31"/>
        <v/>
      </c>
      <c r="V402" s="13" t="str">
        <f t="shared" si="32"/>
        <v/>
      </c>
      <c r="W402" s="4" t="str">
        <f t="shared" si="33"/>
        <v/>
      </c>
      <c r="X402" t="str">
        <f>IF(W402="","",LOOKUP(_xlfn.CONCAT(P402,", ",Q402),'[1]T+S Costs'!$F$2:$F$3138,'[1]T+S Costs'!$N$2:$N$3138))</f>
        <v/>
      </c>
      <c r="Y402" s="14" t="str">
        <f t="shared" si="34"/>
        <v/>
      </c>
      <c r="Z402" s="4" t="str">
        <f t="shared" si="35"/>
        <v/>
      </c>
    </row>
    <row r="403" spans="16:26" x14ac:dyDescent="0.25">
      <c r="P403" s="10" t="str">
        <f>IF('[1]All Data '!AZ408="","",'[1]All Data '!AZ408)</f>
        <v/>
      </c>
      <c r="Q403" s="10" t="str">
        <f>IF('[1]All Data '!BB408="","",'[1]All Data '!BB408)</f>
        <v/>
      </c>
      <c r="R403" s="10" t="str">
        <f>IF('[1]All Data '!BD408="","",'[1]All Data '!BD408)</f>
        <v/>
      </c>
      <c r="S403" s="11" t="str">
        <f>IF(R403="","",'[1]All Data '!BE408)</f>
        <v/>
      </c>
      <c r="T403" s="12" t="str">
        <f>IF(S403="","",[1]Inputs_Outputs!$B$8*(1-'LOCH Calc COE Calc'!S403))</f>
        <v/>
      </c>
      <c r="U403" s="13" t="str">
        <f t="shared" si="31"/>
        <v/>
      </c>
      <c r="V403" s="13" t="str">
        <f t="shared" si="32"/>
        <v/>
      </c>
      <c r="W403" s="4" t="str">
        <f t="shared" si="33"/>
        <v/>
      </c>
      <c r="X403" t="str">
        <f>IF(W403="","",LOOKUP(_xlfn.CONCAT(P403,", ",Q403),'[1]T+S Costs'!$F$2:$F$3138,'[1]T+S Costs'!$N$2:$N$3138))</f>
        <v/>
      </c>
      <c r="Y403" s="14" t="str">
        <f t="shared" si="34"/>
        <v/>
      </c>
      <c r="Z403" s="4" t="str">
        <f t="shared" si="35"/>
        <v/>
      </c>
    </row>
    <row r="404" spans="16:26" x14ac:dyDescent="0.25">
      <c r="P404" s="10" t="str">
        <f>IF('[1]All Data '!AZ409="","",'[1]All Data '!AZ409)</f>
        <v/>
      </c>
      <c r="Q404" s="10" t="str">
        <f>IF('[1]All Data '!BB409="","",'[1]All Data '!BB409)</f>
        <v/>
      </c>
      <c r="R404" s="10" t="str">
        <f>IF('[1]All Data '!BD409="","",'[1]All Data '!BD409)</f>
        <v/>
      </c>
      <c r="S404" s="11" t="str">
        <f>IF(R404="","",'[1]All Data '!BE409)</f>
        <v/>
      </c>
      <c r="T404" s="12" t="str">
        <f>IF(S404="","",[1]Inputs_Outputs!$B$8*(1-'LOCH Calc COE Calc'!S404))</f>
        <v/>
      </c>
      <c r="U404" s="13" t="str">
        <f t="shared" si="31"/>
        <v/>
      </c>
      <c r="V404" s="13" t="str">
        <f t="shared" si="32"/>
        <v/>
      </c>
      <c r="W404" s="4" t="str">
        <f t="shared" si="33"/>
        <v/>
      </c>
      <c r="X404" t="str">
        <f>IF(W404="","",LOOKUP(_xlfn.CONCAT(P404,", ",Q404),'[1]T+S Costs'!$F$2:$F$3138,'[1]T+S Costs'!$N$2:$N$3138))</f>
        <v/>
      </c>
      <c r="Y404" s="14" t="str">
        <f t="shared" si="34"/>
        <v/>
      </c>
      <c r="Z404" s="4" t="str">
        <f t="shared" si="35"/>
        <v/>
      </c>
    </row>
    <row r="405" spans="16:26" x14ac:dyDescent="0.25">
      <c r="P405" s="10" t="str">
        <f>IF('[1]All Data '!AZ410="","",'[1]All Data '!AZ410)</f>
        <v/>
      </c>
      <c r="Q405" s="10" t="str">
        <f>IF('[1]All Data '!BB410="","",'[1]All Data '!BB410)</f>
        <v/>
      </c>
      <c r="R405" s="10" t="str">
        <f>IF('[1]All Data '!BD410="","",'[1]All Data '!BD410)</f>
        <v/>
      </c>
      <c r="S405" s="11" t="str">
        <f>IF(R405="","",'[1]All Data '!BE410)</f>
        <v/>
      </c>
      <c r="T405" s="12" t="str">
        <f>IF(S405="","",[1]Inputs_Outputs!$B$8*(1-'LOCH Calc COE Calc'!S405))</f>
        <v/>
      </c>
      <c r="U405" s="13" t="str">
        <f t="shared" si="31"/>
        <v/>
      </c>
      <c r="V405" s="13" t="str">
        <f t="shared" si="32"/>
        <v/>
      </c>
      <c r="W405" s="4" t="str">
        <f t="shared" si="33"/>
        <v/>
      </c>
      <c r="X405" t="str">
        <f>IF(W405="","",LOOKUP(_xlfn.CONCAT(P405,", ",Q405),'[1]T+S Costs'!$F$2:$F$3138,'[1]T+S Costs'!$N$2:$N$3138))</f>
        <v/>
      </c>
      <c r="Y405" s="14" t="str">
        <f t="shared" si="34"/>
        <v/>
      </c>
      <c r="Z405" s="4" t="str">
        <f t="shared" si="35"/>
        <v/>
      </c>
    </row>
    <row r="406" spans="16:26" x14ac:dyDescent="0.25">
      <c r="P406" s="10" t="str">
        <f>IF('[1]All Data '!AZ411="","",'[1]All Data '!AZ411)</f>
        <v/>
      </c>
      <c r="Q406" s="10" t="str">
        <f>IF('[1]All Data '!BB411="","",'[1]All Data '!BB411)</f>
        <v/>
      </c>
      <c r="R406" s="10" t="str">
        <f>IF('[1]All Data '!BD411="","",'[1]All Data '!BD411)</f>
        <v/>
      </c>
      <c r="S406" s="11" t="str">
        <f>IF(R406="","",'[1]All Data '!BE411)</f>
        <v/>
      </c>
      <c r="T406" s="12" t="str">
        <f>IF(S406="","",[1]Inputs_Outputs!$B$8*(1-'LOCH Calc COE Calc'!S406))</f>
        <v/>
      </c>
      <c r="U406" s="13" t="str">
        <f t="shared" si="31"/>
        <v/>
      </c>
      <c r="V406" s="13" t="str">
        <f t="shared" si="32"/>
        <v/>
      </c>
      <c r="W406" s="4" t="str">
        <f t="shared" si="33"/>
        <v/>
      </c>
      <c r="X406" t="str">
        <f>IF(W406="","",LOOKUP(_xlfn.CONCAT(P406,", ",Q406),'[1]T+S Costs'!$F$2:$F$3138,'[1]T+S Costs'!$N$2:$N$3138))</f>
        <v/>
      </c>
      <c r="Y406" s="14" t="str">
        <f t="shared" si="34"/>
        <v/>
      </c>
      <c r="Z406" s="4" t="str">
        <f t="shared" si="35"/>
        <v/>
      </c>
    </row>
    <row r="407" spans="16:26" x14ac:dyDescent="0.25">
      <c r="P407" s="10" t="str">
        <f>IF('[1]All Data '!AZ412="","",'[1]All Data '!AZ412)</f>
        <v/>
      </c>
      <c r="Q407" s="10" t="str">
        <f>IF('[1]All Data '!BB412="","",'[1]All Data '!BB412)</f>
        <v/>
      </c>
      <c r="R407" s="10" t="str">
        <f>IF('[1]All Data '!BD412="","",'[1]All Data '!BD412)</f>
        <v/>
      </c>
      <c r="S407" s="11" t="str">
        <f>IF(R407="","",'[1]All Data '!BE412)</f>
        <v/>
      </c>
      <c r="T407" s="12" t="str">
        <f>IF(S407="","",[1]Inputs_Outputs!$B$8*(1-'LOCH Calc COE Calc'!S407))</f>
        <v/>
      </c>
      <c r="U407" s="13" t="str">
        <f t="shared" si="31"/>
        <v/>
      </c>
      <c r="V407" s="13" t="str">
        <f t="shared" si="32"/>
        <v/>
      </c>
      <c r="W407" s="4" t="str">
        <f t="shared" si="33"/>
        <v/>
      </c>
      <c r="X407" t="str">
        <f>IF(W407="","",LOOKUP(_xlfn.CONCAT(P407,", ",Q407),'[1]T+S Costs'!$F$2:$F$3138,'[1]T+S Costs'!$N$2:$N$3138))</f>
        <v/>
      </c>
      <c r="Y407" s="14" t="str">
        <f t="shared" si="34"/>
        <v/>
      </c>
      <c r="Z407" s="4" t="str">
        <f t="shared" si="35"/>
        <v/>
      </c>
    </row>
    <row r="408" spans="16:26" x14ac:dyDescent="0.25">
      <c r="P408" s="10" t="str">
        <f>IF('[1]All Data '!AZ413="","",'[1]All Data '!AZ413)</f>
        <v/>
      </c>
      <c r="Q408" s="10" t="str">
        <f>IF('[1]All Data '!BB413="","",'[1]All Data '!BB413)</f>
        <v/>
      </c>
      <c r="R408" s="10" t="str">
        <f>IF('[1]All Data '!BD413="","",'[1]All Data '!BD413)</f>
        <v/>
      </c>
      <c r="S408" s="11" t="str">
        <f>IF(R408="","",'[1]All Data '!BE413)</f>
        <v/>
      </c>
      <c r="T408" s="12" t="str">
        <f>IF(S408="","",[1]Inputs_Outputs!$B$8*(1-'LOCH Calc COE Calc'!S408))</f>
        <v/>
      </c>
      <c r="U408" s="13" t="str">
        <f t="shared" si="31"/>
        <v/>
      </c>
      <c r="V408" s="13" t="str">
        <f t="shared" si="32"/>
        <v/>
      </c>
      <c r="W408" s="4" t="str">
        <f t="shared" si="33"/>
        <v/>
      </c>
      <c r="X408" t="str">
        <f>IF(W408="","",LOOKUP(_xlfn.CONCAT(P408,", ",Q408),'[1]T+S Costs'!$F$2:$F$3138,'[1]T+S Costs'!$N$2:$N$3138))</f>
        <v/>
      </c>
      <c r="Y408" s="14" t="str">
        <f t="shared" si="34"/>
        <v/>
      </c>
      <c r="Z408" s="4" t="str">
        <f t="shared" si="35"/>
        <v/>
      </c>
    </row>
    <row r="409" spans="16:26" x14ac:dyDescent="0.25">
      <c r="P409" s="10" t="str">
        <f>IF('[1]All Data '!AZ414="","",'[1]All Data '!AZ414)</f>
        <v/>
      </c>
      <c r="Q409" s="10" t="str">
        <f>IF('[1]All Data '!BB414="","",'[1]All Data '!BB414)</f>
        <v/>
      </c>
      <c r="R409" s="10" t="str">
        <f>IF('[1]All Data '!BD414="","",'[1]All Data '!BD414)</f>
        <v/>
      </c>
      <c r="S409" s="11" t="str">
        <f>IF(R409="","",'[1]All Data '!BE414)</f>
        <v/>
      </c>
      <c r="T409" s="12" t="str">
        <f>IF(S409="","",[1]Inputs_Outputs!$B$8*(1-'LOCH Calc COE Calc'!S409))</f>
        <v/>
      </c>
      <c r="U409" s="13" t="str">
        <f t="shared" si="31"/>
        <v/>
      </c>
      <c r="V409" s="13" t="str">
        <f t="shared" si="32"/>
        <v/>
      </c>
      <c r="W409" s="4" t="str">
        <f t="shared" si="33"/>
        <v/>
      </c>
      <c r="X409" t="str">
        <f>IF(W409="","",LOOKUP(_xlfn.CONCAT(P409,", ",Q409),'[1]T+S Costs'!$F$2:$F$3138,'[1]T+S Costs'!$N$2:$N$3138))</f>
        <v/>
      </c>
      <c r="Y409" s="14" t="str">
        <f t="shared" si="34"/>
        <v/>
      </c>
      <c r="Z409" s="4" t="str">
        <f t="shared" si="35"/>
        <v/>
      </c>
    </row>
    <row r="410" spans="16:26" x14ac:dyDescent="0.25">
      <c r="P410" s="10" t="str">
        <f>IF('[1]All Data '!AZ415="","",'[1]All Data '!AZ415)</f>
        <v/>
      </c>
      <c r="Q410" s="10" t="str">
        <f>IF('[1]All Data '!BB415="","",'[1]All Data '!BB415)</f>
        <v/>
      </c>
      <c r="R410" s="10" t="str">
        <f>IF('[1]All Data '!BD415="","",'[1]All Data '!BD415)</f>
        <v/>
      </c>
      <c r="S410" s="11" t="str">
        <f>IF(R410="","",'[1]All Data '!BE415)</f>
        <v/>
      </c>
      <c r="T410" s="12" t="str">
        <f>IF(S410="","",[1]Inputs_Outputs!$B$8*(1-'LOCH Calc COE Calc'!S410))</f>
        <v/>
      </c>
      <c r="U410" s="13" t="str">
        <f t="shared" si="31"/>
        <v/>
      </c>
      <c r="V410" s="13" t="str">
        <f t="shared" si="32"/>
        <v/>
      </c>
      <c r="W410" s="4" t="str">
        <f t="shared" si="33"/>
        <v/>
      </c>
      <c r="X410" t="str">
        <f>IF(W410="","",LOOKUP(_xlfn.CONCAT(P410,", ",Q410),'[1]T+S Costs'!$F$2:$F$3138,'[1]T+S Costs'!$N$2:$N$3138))</f>
        <v/>
      </c>
      <c r="Y410" s="14" t="str">
        <f t="shared" si="34"/>
        <v/>
      </c>
      <c r="Z410" s="4" t="str">
        <f t="shared" si="35"/>
        <v/>
      </c>
    </row>
    <row r="411" spans="16:26" x14ac:dyDescent="0.25">
      <c r="P411" s="10" t="str">
        <f>IF('[1]All Data '!AZ416="","",'[1]All Data '!AZ416)</f>
        <v/>
      </c>
      <c r="Q411" s="10" t="str">
        <f>IF('[1]All Data '!BB416="","",'[1]All Data '!BB416)</f>
        <v/>
      </c>
      <c r="R411" s="10" t="str">
        <f>IF('[1]All Data '!BD416="","",'[1]All Data '!BD416)</f>
        <v/>
      </c>
      <c r="S411" s="11" t="str">
        <f>IF(R411="","",'[1]All Data '!BE416)</f>
        <v/>
      </c>
      <c r="T411" s="12" t="str">
        <f>IF(S411="","",[1]Inputs_Outputs!$B$8*(1-'LOCH Calc COE Calc'!S411))</f>
        <v/>
      </c>
      <c r="U411" s="13" t="str">
        <f t="shared" si="31"/>
        <v/>
      </c>
      <c r="V411" s="13" t="str">
        <f t="shared" si="32"/>
        <v/>
      </c>
      <c r="W411" s="4" t="str">
        <f t="shared" si="33"/>
        <v/>
      </c>
      <c r="X411" t="str">
        <f>IF(W411="","",LOOKUP(_xlfn.CONCAT(P411,", ",Q411),'[1]T+S Costs'!$F$2:$F$3138,'[1]T+S Costs'!$N$2:$N$3138))</f>
        <v/>
      </c>
      <c r="Y411" s="14" t="str">
        <f t="shared" si="34"/>
        <v/>
      </c>
      <c r="Z411" s="4" t="str">
        <f t="shared" si="35"/>
        <v/>
      </c>
    </row>
    <row r="412" spans="16:26" x14ac:dyDescent="0.25">
      <c r="P412" s="10" t="str">
        <f>IF('[1]All Data '!AZ417="","",'[1]All Data '!AZ417)</f>
        <v/>
      </c>
      <c r="Q412" s="10" t="str">
        <f>IF('[1]All Data '!BB417="","",'[1]All Data '!BB417)</f>
        <v/>
      </c>
      <c r="R412" s="10" t="str">
        <f>IF('[1]All Data '!BD417="","",'[1]All Data '!BD417)</f>
        <v/>
      </c>
      <c r="S412" s="11" t="str">
        <f>IF(R412="","",'[1]All Data '!BE417)</f>
        <v/>
      </c>
      <c r="T412" s="12" t="str">
        <f>IF(S412="","",[1]Inputs_Outputs!$B$8*(1-'LOCH Calc COE Calc'!S412))</f>
        <v/>
      </c>
      <c r="U412" s="13" t="str">
        <f t="shared" si="31"/>
        <v/>
      </c>
      <c r="V412" s="13" t="str">
        <f t="shared" si="32"/>
        <v/>
      </c>
      <c r="W412" s="4" t="str">
        <f t="shared" si="33"/>
        <v/>
      </c>
      <c r="X412" t="str">
        <f>IF(W412="","",LOOKUP(_xlfn.CONCAT(P412,", ",Q412),'[1]T+S Costs'!$F$2:$F$3138,'[1]T+S Costs'!$N$2:$N$3138))</f>
        <v/>
      </c>
      <c r="Y412" s="14" t="str">
        <f t="shared" si="34"/>
        <v/>
      </c>
      <c r="Z412" s="4" t="str">
        <f t="shared" si="35"/>
        <v/>
      </c>
    </row>
    <row r="413" spans="16:26" x14ac:dyDescent="0.25">
      <c r="P413" s="10" t="str">
        <f>IF('[1]All Data '!AZ418="","",'[1]All Data '!AZ418)</f>
        <v/>
      </c>
      <c r="Q413" s="10" t="str">
        <f>IF('[1]All Data '!BB418="","",'[1]All Data '!BB418)</f>
        <v/>
      </c>
      <c r="R413" s="10" t="str">
        <f>IF('[1]All Data '!BD418="","",'[1]All Data '!BD418)</f>
        <v/>
      </c>
      <c r="S413" s="11" t="str">
        <f>IF(R413="","",'[1]All Data '!BE418)</f>
        <v/>
      </c>
      <c r="T413" s="12" t="str">
        <f>IF(S413="","",[1]Inputs_Outputs!$B$8*(1-'LOCH Calc COE Calc'!S413))</f>
        <v/>
      </c>
      <c r="U413" s="13" t="str">
        <f t="shared" si="31"/>
        <v/>
      </c>
      <c r="V413" s="13" t="str">
        <f t="shared" si="32"/>
        <v/>
      </c>
      <c r="W413" s="4" t="str">
        <f t="shared" si="33"/>
        <v/>
      </c>
      <c r="X413" t="str">
        <f>IF(W413="","",LOOKUP(_xlfn.CONCAT(P413,", ",Q413),'[1]T+S Costs'!$F$2:$F$3138,'[1]T+S Costs'!$N$2:$N$3138))</f>
        <v/>
      </c>
      <c r="Y413" s="14" t="str">
        <f t="shared" si="34"/>
        <v/>
      </c>
      <c r="Z413" s="4" t="str">
        <f t="shared" si="35"/>
        <v/>
      </c>
    </row>
    <row r="414" spans="16:26" x14ac:dyDescent="0.25">
      <c r="P414" s="10" t="str">
        <f>IF('[1]All Data '!AZ419="","",'[1]All Data '!AZ419)</f>
        <v/>
      </c>
      <c r="Q414" s="10" t="str">
        <f>IF('[1]All Data '!BB419="","",'[1]All Data '!BB419)</f>
        <v/>
      </c>
      <c r="R414" s="10" t="str">
        <f>IF('[1]All Data '!BD419="","",'[1]All Data '!BD419)</f>
        <v/>
      </c>
      <c r="S414" s="11" t="str">
        <f>IF(R414="","",'[1]All Data '!BE419)</f>
        <v/>
      </c>
      <c r="T414" s="12" t="str">
        <f>IF(S414="","",[1]Inputs_Outputs!$B$8*(1-'LOCH Calc COE Calc'!S414))</f>
        <v/>
      </c>
      <c r="U414" s="13" t="str">
        <f t="shared" si="31"/>
        <v/>
      </c>
      <c r="V414" s="13" t="str">
        <f t="shared" si="32"/>
        <v/>
      </c>
      <c r="W414" s="4" t="str">
        <f t="shared" si="33"/>
        <v/>
      </c>
      <c r="X414" t="str">
        <f>IF(W414="","",LOOKUP(_xlfn.CONCAT(P414,", ",Q414),'[1]T+S Costs'!$F$2:$F$3138,'[1]T+S Costs'!$N$2:$N$3138))</f>
        <v/>
      </c>
      <c r="Y414" s="14" t="str">
        <f t="shared" si="34"/>
        <v/>
      </c>
      <c r="Z414" s="4" t="str">
        <f t="shared" si="35"/>
        <v/>
      </c>
    </row>
    <row r="415" spans="16:26" x14ac:dyDescent="0.25">
      <c r="P415" s="10" t="str">
        <f>IF('[1]All Data '!AZ420="","",'[1]All Data '!AZ420)</f>
        <v/>
      </c>
      <c r="Q415" s="10" t="str">
        <f>IF('[1]All Data '!BB420="","",'[1]All Data '!BB420)</f>
        <v/>
      </c>
      <c r="R415" s="10" t="str">
        <f>IF('[1]All Data '!BD420="","",'[1]All Data '!BD420)</f>
        <v/>
      </c>
      <c r="S415" s="11" t="str">
        <f>IF(R415="","",'[1]All Data '!BE420)</f>
        <v/>
      </c>
      <c r="T415" s="12" t="str">
        <f>IF(S415="","",[1]Inputs_Outputs!$B$8*(1-'LOCH Calc COE Calc'!S415))</f>
        <v/>
      </c>
      <c r="U415" s="13" t="str">
        <f t="shared" si="31"/>
        <v/>
      </c>
      <c r="V415" s="13" t="str">
        <f t="shared" si="32"/>
        <v/>
      </c>
      <c r="W415" s="4" t="str">
        <f t="shared" si="33"/>
        <v/>
      </c>
      <c r="X415" t="str">
        <f>IF(W415="","",LOOKUP(_xlfn.CONCAT(P415,", ",Q415),'[1]T+S Costs'!$F$2:$F$3138,'[1]T+S Costs'!$N$2:$N$3138))</f>
        <v/>
      </c>
      <c r="Y415" s="14" t="str">
        <f t="shared" si="34"/>
        <v/>
      </c>
      <c r="Z415" s="4" t="str">
        <f t="shared" si="35"/>
        <v/>
      </c>
    </row>
    <row r="416" spans="16:26" x14ac:dyDescent="0.25">
      <c r="P416" s="10" t="str">
        <f>IF('[1]All Data '!AZ421="","",'[1]All Data '!AZ421)</f>
        <v/>
      </c>
      <c r="Q416" s="10" t="str">
        <f>IF('[1]All Data '!BB421="","",'[1]All Data '!BB421)</f>
        <v/>
      </c>
      <c r="R416" s="10" t="str">
        <f>IF('[1]All Data '!BD421="","",'[1]All Data '!BD421)</f>
        <v/>
      </c>
      <c r="S416" s="11" t="str">
        <f>IF(R416="","",'[1]All Data '!BE421)</f>
        <v/>
      </c>
      <c r="T416" s="12" t="str">
        <f>IF(S416="","",[1]Inputs_Outputs!$B$8*(1-'LOCH Calc COE Calc'!S416))</f>
        <v/>
      </c>
      <c r="U416" s="13" t="str">
        <f t="shared" si="31"/>
        <v/>
      </c>
      <c r="V416" s="13" t="str">
        <f t="shared" si="32"/>
        <v/>
      </c>
      <c r="W416" s="4" t="str">
        <f t="shared" si="33"/>
        <v/>
      </c>
      <c r="X416" t="str">
        <f>IF(W416="","",LOOKUP(_xlfn.CONCAT(P416,", ",Q416),'[1]T+S Costs'!$F$2:$F$3138,'[1]T+S Costs'!$N$2:$N$3138))</f>
        <v/>
      </c>
      <c r="Y416" s="14" t="str">
        <f t="shared" si="34"/>
        <v/>
      </c>
      <c r="Z416" s="4" t="str">
        <f t="shared" si="35"/>
        <v/>
      </c>
    </row>
    <row r="417" spans="16:26" x14ac:dyDescent="0.25">
      <c r="P417" s="10" t="str">
        <f>IF('[1]All Data '!AZ422="","",'[1]All Data '!AZ422)</f>
        <v/>
      </c>
      <c r="Q417" s="10" t="str">
        <f>IF('[1]All Data '!BB422="","",'[1]All Data '!BB422)</f>
        <v/>
      </c>
      <c r="R417" s="10" t="str">
        <f>IF('[1]All Data '!BD422="","",'[1]All Data '!BD422)</f>
        <v/>
      </c>
      <c r="S417" s="11" t="str">
        <f>IF(R417="","",'[1]All Data '!BE422)</f>
        <v/>
      </c>
      <c r="T417" s="12" t="str">
        <f>IF(S417="","",[1]Inputs_Outputs!$B$8*(1-'LOCH Calc COE Calc'!S417))</f>
        <v/>
      </c>
      <c r="U417" s="13" t="str">
        <f t="shared" si="31"/>
        <v/>
      </c>
      <c r="V417" s="13" t="str">
        <f t="shared" si="32"/>
        <v/>
      </c>
      <c r="W417" s="4" t="str">
        <f t="shared" si="33"/>
        <v/>
      </c>
      <c r="X417" t="str">
        <f>IF(W417="","",LOOKUP(_xlfn.CONCAT(P417,", ",Q417),'[1]T+S Costs'!$F$2:$F$3138,'[1]T+S Costs'!$N$2:$N$3138))</f>
        <v/>
      </c>
      <c r="Y417" s="14" t="str">
        <f t="shared" si="34"/>
        <v/>
      </c>
      <c r="Z417" s="4" t="str">
        <f t="shared" si="35"/>
        <v/>
      </c>
    </row>
    <row r="418" spans="16:26" x14ac:dyDescent="0.25">
      <c r="P418" s="10" t="str">
        <f>IF('[1]All Data '!AZ423="","",'[1]All Data '!AZ423)</f>
        <v/>
      </c>
      <c r="Q418" s="10" t="str">
        <f>IF('[1]All Data '!BB423="","",'[1]All Data '!BB423)</f>
        <v/>
      </c>
      <c r="R418" s="10" t="str">
        <f>IF('[1]All Data '!BD423="","",'[1]All Data '!BD423)</f>
        <v/>
      </c>
      <c r="S418" s="11" t="str">
        <f>IF(R418="","",'[1]All Data '!BE423)</f>
        <v/>
      </c>
      <c r="T418" s="12" t="str">
        <f>IF(S418="","",[1]Inputs_Outputs!$B$8*(1-'LOCH Calc COE Calc'!S418))</f>
        <v/>
      </c>
      <c r="U418" s="13" t="str">
        <f t="shared" si="31"/>
        <v/>
      </c>
      <c r="V418" s="13" t="str">
        <f t="shared" si="32"/>
        <v/>
      </c>
      <c r="W418" s="4" t="str">
        <f t="shared" si="33"/>
        <v/>
      </c>
      <c r="X418" t="str">
        <f>IF(W418="","",LOOKUP(_xlfn.CONCAT(P418,", ",Q418),'[1]T+S Costs'!$F$2:$F$3138,'[1]T+S Costs'!$N$2:$N$3138))</f>
        <v/>
      </c>
      <c r="Y418" s="14" t="str">
        <f t="shared" si="34"/>
        <v/>
      </c>
      <c r="Z418" s="4" t="str">
        <f t="shared" si="35"/>
        <v/>
      </c>
    </row>
    <row r="419" spans="16:26" x14ac:dyDescent="0.25">
      <c r="P419" s="10" t="str">
        <f>IF('[1]All Data '!AZ424="","",'[1]All Data '!AZ424)</f>
        <v/>
      </c>
      <c r="Q419" s="10" t="str">
        <f>IF('[1]All Data '!BB424="","",'[1]All Data '!BB424)</f>
        <v/>
      </c>
      <c r="R419" s="10" t="str">
        <f>IF('[1]All Data '!BD424="","",'[1]All Data '!BD424)</f>
        <v/>
      </c>
      <c r="S419" s="11" t="str">
        <f>IF(R419="","",'[1]All Data '!BE424)</f>
        <v/>
      </c>
      <c r="T419" s="12" t="str">
        <f>IF(S419="","",[1]Inputs_Outputs!$B$8*(1-'LOCH Calc COE Calc'!S419))</f>
        <v/>
      </c>
      <c r="U419" s="13" t="str">
        <f t="shared" si="31"/>
        <v/>
      </c>
      <c r="V419" s="13" t="str">
        <f t="shared" si="32"/>
        <v/>
      </c>
      <c r="W419" s="4" t="str">
        <f t="shared" si="33"/>
        <v/>
      </c>
      <c r="X419" t="str">
        <f>IF(W419="","",LOOKUP(_xlfn.CONCAT(P419,", ",Q419),'[1]T+S Costs'!$F$2:$F$3138,'[1]T+S Costs'!$N$2:$N$3138))</f>
        <v/>
      </c>
      <c r="Y419" s="14" t="str">
        <f t="shared" si="34"/>
        <v/>
      </c>
      <c r="Z419" s="4" t="str">
        <f t="shared" si="35"/>
        <v/>
      </c>
    </row>
    <row r="420" spans="16:26" x14ac:dyDescent="0.25">
      <c r="P420" s="10" t="str">
        <f>IF('[1]All Data '!AZ425="","",'[1]All Data '!AZ425)</f>
        <v/>
      </c>
      <c r="Q420" s="10" t="str">
        <f>IF('[1]All Data '!BB425="","",'[1]All Data '!BB425)</f>
        <v/>
      </c>
      <c r="R420" s="10" t="str">
        <f>IF('[1]All Data '!BD425="","",'[1]All Data '!BD425)</f>
        <v/>
      </c>
      <c r="S420" s="11" t="str">
        <f>IF(R420="","",'[1]All Data '!BE425)</f>
        <v/>
      </c>
      <c r="T420" s="12" t="str">
        <f>IF(S420="","",[1]Inputs_Outputs!$B$8*(1-'LOCH Calc COE Calc'!S420))</f>
        <v/>
      </c>
      <c r="U420" s="13" t="str">
        <f t="shared" si="31"/>
        <v/>
      </c>
      <c r="V420" s="13" t="str">
        <f t="shared" si="32"/>
        <v/>
      </c>
      <c r="W420" s="4" t="str">
        <f t="shared" si="33"/>
        <v/>
      </c>
      <c r="X420" t="str">
        <f>IF(W420="","",LOOKUP(_xlfn.CONCAT(P420,", ",Q420),'[1]T+S Costs'!$F$2:$F$3138,'[1]T+S Costs'!$N$2:$N$3138))</f>
        <v/>
      </c>
      <c r="Y420" s="14" t="str">
        <f t="shared" si="34"/>
        <v/>
      </c>
      <c r="Z420" s="4" t="str">
        <f t="shared" si="35"/>
        <v/>
      </c>
    </row>
    <row r="421" spans="16:26" x14ac:dyDescent="0.25">
      <c r="P421" s="10" t="str">
        <f>IF('[1]All Data '!AZ426="","",'[1]All Data '!AZ426)</f>
        <v/>
      </c>
      <c r="Q421" s="10" t="str">
        <f>IF('[1]All Data '!BB426="","",'[1]All Data '!BB426)</f>
        <v/>
      </c>
      <c r="R421" s="10" t="str">
        <f>IF('[1]All Data '!BD426="","",'[1]All Data '!BD426)</f>
        <v/>
      </c>
      <c r="S421" s="11" t="str">
        <f>IF(R421="","",'[1]All Data '!BE426)</f>
        <v/>
      </c>
      <c r="T421" s="12" t="str">
        <f>IF(S421="","",[1]Inputs_Outputs!$B$8*(1-'LOCH Calc COE Calc'!S421))</f>
        <v/>
      </c>
      <c r="U421" s="13" t="str">
        <f t="shared" si="31"/>
        <v/>
      </c>
      <c r="V421" s="13" t="str">
        <f t="shared" si="32"/>
        <v/>
      </c>
      <c r="W421" s="4" t="str">
        <f t="shared" si="33"/>
        <v/>
      </c>
      <c r="X421" t="str">
        <f>IF(W421="","",LOOKUP(_xlfn.CONCAT(P421,", ",Q421),'[1]T+S Costs'!$F$2:$F$3138,'[1]T+S Costs'!$N$2:$N$3138))</f>
        <v/>
      </c>
      <c r="Y421" s="14" t="str">
        <f t="shared" si="34"/>
        <v/>
      </c>
      <c r="Z421" s="4" t="str">
        <f t="shared" si="35"/>
        <v/>
      </c>
    </row>
    <row r="422" spans="16:26" x14ac:dyDescent="0.25">
      <c r="P422" s="10" t="str">
        <f>IF('[1]All Data '!AZ427="","",'[1]All Data '!AZ427)</f>
        <v/>
      </c>
      <c r="Q422" s="10" t="str">
        <f>IF('[1]All Data '!BB427="","",'[1]All Data '!BB427)</f>
        <v/>
      </c>
      <c r="R422" s="10" t="str">
        <f>IF('[1]All Data '!BD427="","",'[1]All Data '!BD427)</f>
        <v/>
      </c>
      <c r="S422" s="11" t="str">
        <f>IF(R422="","",'[1]All Data '!BE427)</f>
        <v/>
      </c>
      <c r="T422" s="12" t="str">
        <f>IF(S422="","",[1]Inputs_Outputs!$B$8*(1-'LOCH Calc COE Calc'!S422))</f>
        <v/>
      </c>
      <c r="U422" s="13" t="str">
        <f t="shared" si="31"/>
        <v/>
      </c>
      <c r="V422" s="13" t="str">
        <f t="shared" si="32"/>
        <v/>
      </c>
      <c r="W422" s="4" t="str">
        <f t="shared" si="33"/>
        <v/>
      </c>
      <c r="X422" t="str">
        <f>IF(W422="","",LOOKUP(_xlfn.CONCAT(P422,", ",Q422),'[1]T+S Costs'!$F$2:$F$3138,'[1]T+S Costs'!$N$2:$N$3138))</f>
        <v/>
      </c>
      <c r="Y422" s="14" t="str">
        <f t="shared" si="34"/>
        <v/>
      </c>
      <c r="Z422" s="4" t="str">
        <f t="shared" si="35"/>
        <v/>
      </c>
    </row>
    <row r="423" spans="16:26" x14ac:dyDescent="0.25">
      <c r="P423" s="10" t="str">
        <f>IF('[1]All Data '!AZ428="","",'[1]All Data '!AZ428)</f>
        <v/>
      </c>
      <c r="Q423" s="10" t="str">
        <f>IF('[1]All Data '!BB428="","",'[1]All Data '!BB428)</f>
        <v/>
      </c>
      <c r="R423" s="10" t="str">
        <f>IF('[1]All Data '!BD428="","",'[1]All Data '!BD428)</f>
        <v/>
      </c>
      <c r="S423" s="11" t="str">
        <f>IF(R423="","",'[1]All Data '!BE428)</f>
        <v/>
      </c>
      <c r="T423" s="12" t="str">
        <f>IF(S423="","",[1]Inputs_Outputs!$B$8*(1-'LOCH Calc COE Calc'!S423))</f>
        <v/>
      </c>
      <c r="U423" s="13" t="str">
        <f t="shared" si="31"/>
        <v/>
      </c>
      <c r="V423" s="13" t="str">
        <f t="shared" si="32"/>
        <v/>
      </c>
      <c r="W423" s="4" t="str">
        <f t="shared" si="33"/>
        <v/>
      </c>
      <c r="X423" t="str">
        <f>IF(W423="","",LOOKUP(_xlfn.CONCAT(P423,", ",Q423),'[1]T+S Costs'!$F$2:$F$3138,'[1]T+S Costs'!$N$2:$N$3138))</f>
        <v/>
      </c>
      <c r="Y423" s="14" t="str">
        <f t="shared" si="34"/>
        <v/>
      </c>
      <c r="Z423" s="4" t="str">
        <f t="shared" si="35"/>
        <v/>
      </c>
    </row>
    <row r="424" spans="16:26" x14ac:dyDescent="0.25">
      <c r="P424" s="10" t="str">
        <f>IF('[1]All Data '!AZ429="","",'[1]All Data '!AZ429)</f>
        <v/>
      </c>
      <c r="Q424" s="10" t="str">
        <f>IF('[1]All Data '!BB429="","",'[1]All Data '!BB429)</f>
        <v/>
      </c>
      <c r="R424" s="10" t="str">
        <f>IF('[1]All Data '!BD429="","",'[1]All Data '!BD429)</f>
        <v/>
      </c>
      <c r="S424" s="11" t="str">
        <f>IF(R424="","",'[1]All Data '!BE429)</f>
        <v/>
      </c>
      <c r="T424" s="12" t="str">
        <f>IF(S424="","",[1]Inputs_Outputs!$B$8*(1-'LOCH Calc COE Calc'!S424))</f>
        <v/>
      </c>
      <c r="U424" s="13" t="str">
        <f t="shared" si="31"/>
        <v/>
      </c>
      <c r="V424" s="13" t="str">
        <f t="shared" si="32"/>
        <v/>
      </c>
      <c r="W424" s="4" t="str">
        <f t="shared" si="33"/>
        <v/>
      </c>
      <c r="X424" t="str">
        <f>IF(W424="","",LOOKUP(_xlfn.CONCAT(P424,", ",Q424),'[1]T+S Costs'!$F$2:$F$3138,'[1]T+S Costs'!$N$2:$N$3138))</f>
        <v/>
      </c>
      <c r="Y424" s="14" t="str">
        <f t="shared" si="34"/>
        <v/>
      </c>
      <c r="Z424" s="4" t="str">
        <f t="shared" si="35"/>
        <v/>
      </c>
    </row>
    <row r="425" spans="16:26" x14ac:dyDescent="0.25">
      <c r="P425" s="10" t="str">
        <f>IF('[1]All Data '!AZ430="","",'[1]All Data '!AZ430)</f>
        <v/>
      </c>
      <c r="Q425" s="10" t="str">
        <f>IF('[1]All Data '!BB430="","",'[1]All Data '!BB430)</f>
        <v/>
      </c>
      <c r="R425" s="10" t="str">
        <f>IF('[1]All Data '!BD430="","",'[1]All Data '!BD430)</f>
        <v/>
      </c>
      <c r="S425" s="11" t="str">
        <f>IF(R425="","",'[1]All Data '!BE430)</f>
        <v/>
      </c>
      <c r="T425" s="12" t="str">
        <f>IF(S425="","",[1]Inputs_Outputs!$B$8*(1-'LOCH Calc COE Calc'!S425))</f>
        <v/>
      </c>
      <c r="U425" s="13" t="str">
        <f t="shared" si="31"/>
        <v/>
      </c>
      <c r="V425" s="13" t="str">
        <f t="shared" si="32"/>
        <v/>
      </c>
      <c r="W425" s="4" t="str">
        <f t="shared" si="33"/>
        <v/>
      </c>
      <c r="X425" t="str">
        <f>IF(W425="","",LOOKUP(_xlfn.CONCAT(P425,", ",Q425),'[1]T+S Costs'!$F$2:$F$3138,'[1]T+S Costs'!$N$2:$N$3138))</f>
        <v/>
      </c>
      <c r="Y425" s="14" t="str">
        <f t="shared" si="34"/>
        <v/>
      </c>
      <c r="Z425" s="4" t="str">
        <f t="shared" si="35"/>
        <v/>
      </c>
    </row>
    <row r="426" spans="16:26" x14ac:dyDescent="0.25">
      <c r="P426" s="10" t="str">
        <f>IF('[1]All Data '!AZ431="","",'[1]All Data '!AZ431)</f>
        <v/>
      </c>
      <c r="Q426" s="10" t="str">
        <f>IF('[1]All Data '!BB431="","",'[1]All Data '!BB431)</f>
        <v/>
      </c>
      <c r="R426" s="10" t="str">
        <f>IF('[1]All Data '!BD431="","",'[1]All Data '!BD431)</f>
        <v/>
      </c>
      <c r="S426" s="11" t="str">
        <f>IF(R426="","",'[1]All Data '!BE431)</f>
        <v/>
      </c>
      <c r="T426" s="12" t="str">
        <f>IF(S426="","",[1]Inputs_Outputs!$B$8*(1-'LOCH Calc COE Calc'!S426))</f>
        <v/>
      </c>
      <c r="U426" s="13" t="str">
        <f t="shared" si="31"/>
        <v/>
      </c>
      <c r="V426" s="13" t="str">
        <f t="shared" si="32"/>
        <v/>
      </c>
      <c r="W426" s="4" t="str">
        <f t="shared" si="33"/>
        <v/>
      </c>
      <c r="X426" t="str">
        <f>IF(W426="","",LOOKUP(_xlfn.CONCAT(P426,", ",Q426),'[1]T+S Costs'!$F$2:$F$3138,'[1]T+S Costs'!$N$2:$N$3138))</f>
        <v/>
      </c>
      <c r="Y426" s="14" t="str">
        <f t="shared" si="34"/>
        <v/>
      </c>
      <c r="Z426" s="4" t="str">
        <f t="shared" si="35"/>
        <v/>
      </c>
    </row>
    <row r="427" spans="16:26" x14ac:dyDescent="0.25">
      <c r="P427" s="10" t="str">
        <f>IF('[1]All Data '!AZ432="","",'[1]All Data '!AZ432)</f>
        <v/>
      </c>
      <c r="Q427" s="10" t="str">
        <f>IF('[1]All Data '!BB432="","",'[1]All Data '!BB432)</f>
        <v/>
      </c>
      <c r="R427" s="10" t="str">
        <f>IF('[1]All Data '!BD432="","",'[1]All Data '!BD432)</f>
        <v/>
      </c>
      <c r="S427" s="11" t="str">
        <f>IF(R427="","",'[1]All Data '!BE432)</f>
        <v/>
      </c>
      <c r="T427" s="12" t="str">
        <f>IF(S427="","",[1]Inputs_Outputs!$B$8*(1-'LOCH Calc COE Calc'!S427))</f>
        <v/>
      </c>
      <c r="U427" s="13" t="str">
        <f t="shared" si="31"/>
        <v/>
      </c>
      <c r="V427" s="13" t="str">
        <f t="shared" si="32"/>
        <v/>
      </c>
      <c r="W427" s="4" t="str">
        <f t="shared" si="33"/>
        <v/>
      </c>
      <c r="X427" t="str">
        <f>IF(W427="","",LOOKUP(_xlfn.CONCAT(P427,", ",Q427),'[1]T+S Costs'!$F$2:$F$3138,'[1]T+S Costs'!$N$2:$N$3138))</f>
        <v/>
      </c>
      <c r="Y427" s="14" t="str">
        <f t="shared" si="34"/>
        <v/>
      </c>
      <c r="Z427" s="4" t="str">
        <f t="shared" si="35"/>
        <v/>
      </c>
    </row>
    <row r="428" spans="16:26" x14ac:dyDescent="0.25">
      <c r="P428" s="10" t="str">
        <f>IF('[1]All Data '!AZ433="","",'[1]All Data '!AZ433)</f>
        <v/>
      </c>
      <c r="Q428" s="10" t="str">
        <f>IF('[1]All Data '!BB433="","",'[1]All Data '!BB433)</f>
        <v/>
      </c>
      <c r="R428" s="10" t="str">
        <f>IF('[1]All Data '!BD433="","",'[1]All Data '!BD433)</f>
        <v/>
      </c>
      <c r="S428" s="11" t="str">
        <f>IF(R428="","",'[1]All Data '!BE433)</f>
        <v/>
      </c>
      <c r="T428" s="12" t="str">
        <f>IF(S428="","",[1]Inputs_Outputs!$B$8*(1-'LOCH Calc COE Calc'!S428))</f>
        <v/>
      </c>
      <c r="U428" s="13" t="str">
        <f t="shared" si="31"/>
        <v/>
      </c>
      <c r="V428" s="13" t="str">
        <f t="shared" si="32"/>
        <v/>
      </c>
      <c r="W428" s="4" t="str">
        <f t="shared" si="33"/>
        <v/>
      </c>
      <c r="X428" t="str">
        <f>IF(W428="","",LOOKUP(_xlfn.CONCAT(P428,", ",Q428),'[1]T+S Costs'!$F$2:$F$3138,'[1]T+S Costs'!$N$2:$N$3138))</f>
        <v/>
      </c>
      <c r="Y428" s="14" t="str">
        <f t="shared" si="34"/>
        <v/>
      </c>
      <c r="Z428" s="4" t="str">
        <f t="shared" si="35"/>
        <v/>
      </c>
    </row>
    <row r="429" spans="16:26" x14ac:dyDescent="0.25">
      <c r="P429" s="10" t="str">
        <f>IF('[1]All Data '!AZ434="","",'[1]All Data '!AZ434)</f>
        <v/>
      </c>
      <c r="Q429" s="10" t="str">
        <f>IF('[1]All Data '!BB434="","",'[1]All Data '!BB434)</f>
        <v/>
      </c>
      <c r="R429" s="10" t="str">
        <f>IF('[1]All Data '!BD434="","",'[1]All Data '!BD434)</f>
        <v/>
      </c>
      <c r="S429" s="11" t="str">
        <f>IF(R429="","",'[1]All Data '!BE434)</f>
        <v/>
      </c>
      <c r="T429" s="12" t="str">
        <f>IF(S429="","",[1]Inputs_Outputs!$B$8*(1-'LOCH Calc COE Calc'!S429))</f>
        <v/>
      </c>
      <c r="U429" s="13" t="str">
        <f t="shared" si="31"/>
        <v/>
      </c>
      <c r="V429" s="13" t="str">
        <f t="shared" si="32"/>
        <v/>
      </c>
      <c r="W429" s="4" t="str">
        <f t="shared" si="33"/>
        <v/>
      </c>
      <c r="X429" t="str">
        <f>IF(W429="","",LOOKUP(_xlfn.CONCAT(P429,", ",Q429),'[1]T+S Costs'!$F$2:$F$3138,'[1]T+S Costs'!$N$2:$N$3138))</f>
        <v/>
      </c>
      <c r="Y429" s="14" t="str">
        <f t="shared" si="34"/>
        <v/>
      </c>
      <c r="Z429" s="4" t="str">
        <f t="shared" si="35"/>
        <v/>
      </c>
    </row>
    <row r="430" spans="16:26" x14ac:dyDescent="0.25">
      <c r="P430" s="10" t="str">
        <f>IF('[1]All Data '!AZ435="","",'[1]All Data '!AZ435)</f>
        <v/>
      </c>
      <c r="Q430" s="10" t="str">
        <f>IF('[1]All Data '!BB435="","",'[1]All Data '!BB435)</f>
        <v/>
      </c>
      <c r="R430" s="10" t="str">
        <f>IF('[1]All Data '!BD435="","",'[1]All Data '!BD435)</f>
        <v/>
      </c>
      <c r="S430" s="11" t="str">
        <f>IF(R430="","",'[1]All Data '!BE435)</f>
        <v/>
      </c>
      <c r="T430" s="12" t="str">
        <f>IF(S430="","",[1]Inputs_Outputs!$B$8*(1-'LOCH Calc COE Calc'!S430))</f>
        <v/>
      </c>
      <c r="U430" s="13" t="str">
        <f t="shared" si="31"/>
        <v/>
      </c>
      <c r="V430" s="13" t="str">
        <f t="shared" si="32"/>
        <v/>
      </c>
      <c r="W430" s="4" t="str">
        <f t="shared" si="33"/>
        <v/>
      </c>
      <c r="X430" t="str">
        <f>IF(W430="","",LOOKUP(_xlfn.CONCAT(P430,", ",Q430),'[1]T+S Costs'!$F$2:$F$3138,'[1]T+S Costs'!$N$2:$N$3138))</f>
        <v/>
      </c>
      <c r="Y430" s="14" t="str">
        <f t="shared" si="34"/>
        <v/>
      </c>
      <c r="Z430" s="4" t="str">
        <f t="shared" si="35"/>
        <v/>
      </c>
    </row>
    <row r="431" spans="16:26" x14ac:dyDescent="0.25">
      <c r="P431" s="10" t="str">
        <f>IF('[1]All Data '!AZ436="","",'[1]All Data '!AZ436)</f>
        <v/>
      </c>
      <c r="Q431" s="10" t="str">
        <f>IF('[1]All Data '!BB436="","",'[1]All Data '!BB436)</f>
        <v/>
      </c>
      <c r="R431" s="10" t="str">
        <f>IF('[1]All Data '!BD436="","",'[1]All Data '!BD436)</f>
        <v/>
      </c>
      <c r="S431" s="11" t="str">
        <f>IF(R431="","",'[1]All Data '!BE436)</f>
        <v/>
      </c>
      <c r="T431" s="12" t="str">
        <f>IF(S431="","",[1]Inputs_Outputs!$B$8*(1-'LOCH Calc COE Calc'!S431))</f>
        <v/>
      </c>
      <c r="U431" s="13" t="str">
        <f t="shared" si="31"/>
        <v/>
      </c>
      <c r="V431" s="13" t="str">
        <f t="shared" si="32"/>
        <v/>
      </c>
      <c r="W431" s="4" t="str">
        <f t="shared" si="33"/>
        <v/>
      </c>
      <c r="X431" t="str">
        <f>IF(W431="","",LOOKUP(_xlfn.CONCAT(P431,", ",Q431),'[1]T+S Costs'!$F$2:$F$3138,'[1]T+S Costs'!$N$2:$N$3138))</f>
        <v/>
      </c>
      <c r="Y431" s="14" t="str">
        <f t="shared" si="34"/>
        <v/>
      </c>
      <c r="Z431" s="4" t="str">
        <f t="shared" si="35"/>
        <v/>
      </c>
    </row>
    <row r="432" spans="16:26" x14ac:dyDescent="0.25">
      <c r="P432" s="10" t="str">
        <f>IF('[1]All Data '!AZ437="","",'[1]All Data '!AZ437)</f>
        <v/>
      </c>
      <c r="Q432" s="10" t="str">
        <f>IF('[1]All Data '!BB437="","",'[1]All Data '!BB437)</f>
        <v/>
      </c>
      <c r="R432" s="10" t="str">
        <f>IF('[1]All Data '!BD437="","",'[1]All Data '!BD437)</f>
        <v/>
      </c>
      <c r="S432" s="11" t="str">
        <f>IF(R432="","",'[1]All Data '!BE437)</f>
        <v/>
      </c>
      <c r="T432" s="12" t="str">
        <f>IF(S432="","",[1]Inputs_Outputs!$B$8*(1-'LOCH Calc COE Calc'!S432))</f>
        <v/>
      </c>
      <c r="U432" s="13" t="str">
        <f t="shared" si="31"/>
        <v/>
      </c>
      <c r="V432" s="13" t="str">
        <f t="shared" si="32"/>
        <v/>
      </c>
      <c r="W432" s="4" t="str">
        <f t="shared" si="33"/>
        <v/>
      </c>
      <c r="X432" t="str">
        <f>IF(W432="","",LOOKUP(_xlfn.CONCAT(P432,", ",Q432),'[1]T+S Costs'!$F$2:$F$3138,'[1]T+S Costs'!$N$2:$N$3138))</f>
        <v/>
      </c>
      <c r="Y432" s="14" t="str">
        <f t="shared" si="34"/>
        <v/>
      </c>
      <c r="Z432" s="4" t="str">
        <f t="shared" si="35"/>
        <v/>
      </c>
    </row>
    <row r="433" spans="16:26" x14ac:dyDescent="0.25">
      <c r="P433" s="10" t="str">
        <f>IF('[1]All Data '!AZ438="","",'[1]All Data '!AZ438)</f>
        <v/>
      </c>
      <c r="Q433" s="10" t="str">
        <f>IF('[1]All Data '!BB438="","",'[1]All Data '!BB438)</f>
        <v/>
      </c>
      <c r="R433" s="10" t="str">
        <f>IF('[1]All Data '!BD438="","",'[1]All Data '!BD438)</f>
        <v/>
      </c>
      <c r="S433" s="11" t="str">
        <f>IF(R433="","",'[1]All Data '!BE438)</f>
        <v/>
      </c>
      <c r="T433" s="12" t="str">
        <f>IF(S433="","",[1]Inputs_Outputs!$B$8*(1-'LOCH Calc COE Calc'!S433))</f>
        <v/>
      </c>
      <c r="U433" s="13" t="str">
        <f t="shared" si="31"/>
        <v/>
      </c>
      <c r="V433" s="13" t="str">
        <f t="shared" si="32"/>
        <v/>
      </c>
      <c r="W433" s="4" t="str">
        <f t="shared" si="33"/>
        <v/>
      </c>
      <c r="X433" t="str">
        <f>IF(W433="","",LOOKUP(_xlfn.CONCAT(P433,", ",Q433),'[1]T+S Costs'!$F$2:$F$3138,'[1]T+S Costs'!$N$2:$N$3138))</f>
        <v/>
      </c>
      <c r="Y433" s="14" t="str">
        <f t="shared" si="34"/>
        <v/>
      </c>
      <c r="Z433" s="4" t="str">
        <f t="shared" si="35"/>
        <v/>
      </c>
    </row>
    <row r="434" spans="16:26" x14ac:dyDescent="0.25">
      <c r="P434" s="10" t="str">
        <f>IF('[1]All Data '!AZ439="","",'[1]All Data '!AZ439)</f>
        <v/>
      </c>
      <c r="Q434" s="10" t="str">
        <f>IF('[1]All Data '!BB439="","",'[1]All Data '!BB439)</f>
        <v/>
      </c>
      <c r="R434" s="10" t="str">
        <f>IF('[1]All Data '!BD439="","",'[1]All Data '!BD439)</f>
        <v/>
      </c>
      <c r="S434" s="11" t="str">
        <f>IF(R434="","",'[1]All Data '!BE439)</f>
        <v/>
      </c>
      <c r="T434" s="12" t="str">
        <f>IF(S434="","",[1]Inputs_Outputs!$B$8*(1-'LOCH Calc COE Calc'!S434))</f>
        <v/>
      </c>
      <c r="U434" s="13" t="str">
        <f t="shared" si="31"/>
        <v/>
      </c>
      <c r="V434" s="13" t="str">
        <f t="shared" si="32"/>
        <v/>
      </c>
      <c r="W434" s="4" t="str">
        <f t="shared" si="33"/>
        <v/>
      </c>
      <c r="X434" t="str">
        <f>IF(W434="","",LOOKUP(_xlfn.CONCAT(P434,", ",Q434),'[1]T+S Costs'!$F$2:$F$3138,'[1]T+S Costs'!$N$2:$N$3138))</f>
        <v/>
      </c>
      <c r="Y434" s="14" t="str">
        <f t="shared" si="34"/>
        <v/>
      </c>
      <c r="Z434" s="4" t="str">
        <f t="shared" si="35"/>
        <v/>
      </c>
    </row>
    <row r="435" spans="16:26" x14ac:dyDescent="0.25">
      <c r="P435" s="10" t="str">
        <f>IF('[1]All Data '!AZ440="","",'[1]All Data '!AZ440)</f>
        <v/>
      </c>
      <c r="Q435" s="10" t="str">
        <f>IF('[1]All Data '!BB440="","",'[1]All Data '!BB440)</f>
        <v/>
      </c>
      <c r="R435" s="10" t="str">
        <f>IF('[1]All Data '!BD440="","",'[1]All Data '!BD440)</f>
        <v/>
      </c>
      <c r="S435" s="11" t="str">
        <f>IF(R435="","",'[1]All Data '!BE440)</f>
        <v/>
      </c>
      <c r="T435" s="12" t="str">
        <f>IF(S435="","",[1]Inputs_Outputs!$B$8*(1-'LOCH Calc COE Calc'!S435))</f>
        <v/>
      </c>
      <c r="U435" s="13" t="str">
        <f t="shared" si="31"/>
        <v/>
      </c>
      <c r="V435" s="13" t="str">
        <f t="shared" si="32"/>
        <v/>
      </c>
      <c r="W435" s="4" t="str">
        <f t="shared" si="33"/>
        <v/>
      </c>
      <c r="X435" t="str">
        <f>IF(W435="","",LOOKUP(_xlfn.CONCAT(P435,", ",Q435),'[1]T+S Costs'!$F$2:$F$3138,'[1]T+S Costs'!$N$2:$N$3138))</f>
        <v/>
      </c>
      <c r="Y435" s="14" t="str">
        <f t="shared" si="34"/>
        <v/>
      </c>
      <c r="Z435" s="4" t="str">
        <f t="shared" si="35"/>
        <v/>
      </c>
    </row>
    <row r="436" spans="16:26" x14ac:dyDescent="0.25">
      <c r="P436" s="10" t="str">
        <f>IF('[1]All Data '!AZ441="","",'[1]All Data '!AZ441)</f>
        <v/>
      </c>
      <c r="Q436" s="10" t="str">
        <f>IF('[1]All Data '!BB441="","",'[1]All Data '!BB441)</f>
        <v/>
      </c>
      <c r="R436" s="10" t="str">
        <f>IF('[1]All Data '!BD441="","",'[1]All Data '!BD441)</f>
        <v/>
      </c>
      <c r="S436" s="11" t="str">
        <f>IF(R436="","",'[1]All Data '!BE441)</f>
        <v/>
      </c>
      <c r="T436" s="12" t="str">
        <f>IF(S436="","",[1]Inputs_Outputs!$B$8*(1-'LOCH Calc COE Calc'!S436))</f>
        <v/>
      </c>
      <c r="U436" s="13" t="str">
        <f t="shared" si="31"/>
        <v/>
      </c>
      <c r="V436" s="13" t="str">
        <f t="shared" si="32"/>
        <v/>
      </c>
      <c r="W436" s="4" t="str">
        <f t="shared" si="33"/>
        <v/>
      </c>
      <c r="X436" t="str">
        <f>IF(W436="","",LOOKUP(_xlfn.CONCAT(P436,", ",Q436),'[1]T+S Costs'!$F$2:$F$3138,'[1]T+S Costs'!$N$2:$N$3138))</f>
        <v/>
      </c>
      <c r="Y436" s="14" t="str">
        <f t="shared" si="34"/>
        <v/>
      </c>
      <c r="Z436" s="4" t="str">
        <f t="shared" si="35"/>
        <v/>
      </c>
    </row>
    <row r="437" spans="16:26" x14ac:dyDescent="0.25">
      <c r="P437" s="10" t="str">
        <f>IF('[1]All Data '!AZ442="","",'[1]All Data '!AZ442)</f>
        <v/>
      </c>
      <c r="Q437" s="10" t="str">
        <f>IF('[1]All Data '!BB442="","",'[1]All Data '!BB442)</f>
        <v/>
      </c>
      <c r="R437" s="10" t="str">
        <f>IF('[1]All Data '!BD442="","",'[1]All Data '!BD442)</f>
        <v/>
      </c>
      <c r="S437" s="11" t="str">
        <f>IF(R437="","",'[1]All Data '!BE442)</f>
        <v/>
      </c>
      <c r="T437" s="12" t="str">
        <f>IF(S437="","",[1]Inputs_Outputs!$B$8*(1-'LOCH Calc COE Calc'!S437))</f>
        <v/>
      </c>
      <c r="U437" s="13" t="str">
        <f t="shared" si="31"/>
        <v/>
      </c>
      <c r="V437" s="13" t="str">
        <f t="shared" si="32"/>
        <v/>
      </c>
      <c r="W437" s="4" t="str">
        <f t="shared" si="33"/>
        <v/>
      </c>
      <c r="X437" t="str">
        <f>IF(W437="","",LOOKUP(_xlfn.CONCAT(P437,", ",Q437),'[1]T+S Costs'!$F$2:$F$3138,'[1]T+S Costs'!$N$2:$N$3138))</f>
        <v/>
      </c>
      <c r="Y437" s="14" t="str">
        <f t="shared" si="34"/>
        <v/>
      </c>
      <c r="Z437" s="4" t="str">
        <f t="shared" si="35"/>
        <v/>
      </c>
    </row>
    <row r="438" spans="16:26" x14ac:dyDescent="0.25">
      <c r="P438" s="10" t="str">
        <f>IF('[1]All Data '!AZ443="","",'[1]All Data '!AZ443)</f>
        <v/>
      </c>
      <c r="Q438" s="10" t="str">
        <f>IF('[1]All Data '!BB443="","",'[1]All Data '!BB443)</f>
        <v/>
      </c>
      <c r="R438" s="10" t="str">
        <f>IF('[1]All Data '!BD443="","",'[1]All Data '!BD443)</f>
        <v/>
      </c>
      <c r="S438" s="11" t="str">
        <f>IF(R438="","",'[1]All Data '!BE443)</f>
        <v/>
      </c>
      <c r="T438" s="12" t="str">
        <f>IF(S438="","",[1]Inputs_Outputs!$B$8*(1-'LOCH Calc COE Calc'!S438))</f>
        <v/>
      </c>
      <c r="U438" s="13" t="str">
        <f t="shared" si="31"/>
        <v/>
      </c>
      <c r="V438" s="13" t="str">
        <f t="shared" si="32"/>
        <v/>
      </c>
      <c r="W438" s="4" t="str">
        <f t="shared" si="33"/>
        <v/>
      </c>
      <c r="X438" t="str">
        <f>IF(W438="","",LOOKUP(_xlfn.CONCAT(P438,", ",Q438),'[1]T+S Costs'!$F$2:$F$3138,'[1]T+S Costs'!$N$2:$N$3138))</f>
        <v/>
      </c>
      <c r="Y438" s="14" t="str">
        <f t="shared" si="34"/>
        <v/>
      </c>
      <c r="Z438" s="4" t="str">
        <f t="shared" si="35"/>
        <v/>
      </c>
    </row>
    <row r="439" spans="16:26" x14ac:dyDescent="0.25">
      <c r="P439" s="10" t="str">
        <f>IF('[1]All Data '!AZ444="","",'[1]All Data '!AZ444)</f>
        <v/>
      </c>
      <c r="Q439" s="10" t="str">
        <f>IF('[1]All Data '!BB444="","",'[1]All Data '!BB444)</f>
        <v/>
      </c>
      <c r="R439" s="10" t="str">
        <f>IF('[1]All Data '!BD444="","",'[1]All Data '!BD444)</f>
        <v/>
      </c>
      <c r="S439" s="11" t="str">
        <f>IF(R439="","",'[1]All Data '!BE444)</f>
        <v/>
      </c>
      <c r="T439" s="12" t="str">
        <f>IF(S439="","",[1]Inputs_Outputs!$B$8*(1-'LOCH Calc COE Calc'!S439))</f>
        <v/>
      </c>
      <c r="U439" s="13" t="str">
        <f t="shared" si="31"/>
        <v/>
      </c>
      <c r="V439" s="13" t="str">
        <f t="shared" si="32"/>
        <v/>
      </c>
      <c r="W439" s="4" t="str">
        <f t="shared" si="33"/>
        <v/>
      </c>
      <c r="X439" t="str">
        <f>IF(W439="","",LOOKUP(_xlfn.CONCAT(P439,", ",Q439),'[1]T+S Costs'!$F$2:$F$3138,'[1]T+S Costs'!$N$2:$N$3138))</f>
        <v/>
      </c>
      <c r="Y439" s="14" t="str">
        <f t="shared" si="34"/>
        <v/>
      </c>
      <c r="Z439" s="4" t="str">
        <f t="shared" si="35"/>
        <v/>
      </c>
    </row>
    <row r="440" spans="16:26" x14ac:dyDescent="0.25">
      <c r="P440" s="10" t="str">
        <f>IF('[1]All Data '!AZ445="","",'[1]All Data '!AZ445)</f>
        <v/>
      </c>
      <c r="Q440" s="10" t="str">
        <f>IF('[1]All Data '!BB445="","",'[1]All Data '!BB445)</f>
        <v/>
      </c>
      <c r="R440" s="10" t="str">
        <f>IF('[1]All Data '!BD445="","",'[1]All Data '!BD445)</f>
        <v/>
      </c>
      <c r="S440" s="11" t="str">
        <f>IF(R440="","",'[1]All Data '!BE445)</f>
        <v/>
      </c>
      <c r="T440" s="12" t="str">
        <f>IF(S440="","",[1]Inputs_Outputs!$B$8*(1-'LOCH Calc COE Calc'!S440))</f>
        <v/>
      </c>
      <c r="U440" s="13" t="str">
        <f t="shared" si="31"/>
        <v/>
      </c>
      <c r="V440" s="13" t="str">
        <f t="shared" si="32"/>
        <v/>
      </c>
      <c r="W440" s="4" t="str">
        <f t="shared" si="33"/>
        <v/>
      </c>
      <c r="X440" t="str">
        <f>IF(W440="","",LOOKUP(_xlfn.CONCAT(P440,", ",Q440),'[1]T+S Costs'!$F$2:$F$3138,'[1]T+S Costs'!$N$2:$N$3138))</f>
        <v/>
      </c>
      <c r="Y440" s="14" t="str">
        <f t="shared" si="34"/>
        <v/>
      </c>
      <c r="Z440" s="4" t="str">
        <f t="shared" si="35"/>
        <v/>
      </c>
    </row>
    <row r="441" spans="16:26" x14ac:dyDescent="0.25">
      <c r="P441" s="10" t="str">
        <f>IF('[1]All Data '!AZ446="","",'[1]All Data '!AZ446)</f>
        <v/>
      </c>
      <c r="Q441" s="10" t="str">
        <f>IF('[1]All Data '!BB446="","",'[1]All Data '!BB446)</f>
        <v/>
      </c>
      <c r="R441" s="10" t="str">
        <f>IF('[1]All Data '!BD446="","",'[1]All Data '!BD446)</f>
        <v/>
      </c>
      <c r="S441" s="11" t="str">
        <f>IF(R441="","",'[1]All Data '!BE446)</f>
        <v/>
      </c>
      <c r="T441" s="12" t="str">
        <f>IF(S441="","",[1]Inputs_Outputs!$B$8*(1-'LOCH Calc COE Calc'!S441))</f>
        <v/>
      </c>
      <c r="U441" s="13" t="str">
        <f t="shared" si="31"/>
        <v/>
      </c>
      <c r="V441" s="13" t="str">
        <f t="shared" si="32"/>
        <v/>
      </c>
      <c r="W441" s="4" t="str">
        <f t="shared" si="33"/>
        <v/>
      </c>
      <c r="X441" t="str">
        <f>IF(W441="","",LOOKUP(_xlfn.CONCAT(P441,", ",Q441),'[1]T+S Costs'!$F$2:$F$3138,'[1]T+S Costs'!$N$2:$N$3138))</f>
        <v/>
      </c>
      <c r="Y441" s="14" t="str">
        <f t="shared" si="34"/>
        <v/>
      </c>
      <c r="Z441" s="4" t="str">
        <f t="shared" si="35"/>
        <v/>
      </c>
    </row>
    <row r="442" spans="16:26" x14ac:dyDescent="0.25">
      <c r="P442" s="10" t="str">
        <f>IF('[1]All Data '!AZ447="","",'[1]All Data '!AZ447)</f>
        <v/>
      </c>
      <c r="Q442" s="10" t="str">
        <f>IF('[1]All Data '!BB447="","",'[1]All Data '!BB447)</f>
        <v/>
      </c>
      <c r="R442" s="10" t="str">
        <f>IF('[1]All Data '!BD447="","",'[1]All Data '!BD447)</f>
        <v/>
      </c>
      <c r="S442" s="11" t="str">
        <f>IF(R442="","",'[1]All Data '!BE447)</f>
        <v/>
      </c>
      <c r="T442" s="12" t="str">
        <f>IF(S442="","",[1]Inputs_Outputs!$B$8*(1-'LOCH Calc COE Calc'!S442))</f>
        <v/>
      </c>
      <c r="U442" s="13" t="str">
        <f t="shared" si="31"/>
        <v/>
      </c>
      <c r="V442" s="13" t="str">
        <f t="shared" si="32"/>
        <v/>
      </c>
      <c r="W442" s="4" t="str">
        <f t="shared" si="33"/>
        <v/>
      </c>
      <c r="X442" t="str">
        <f>IF(W442="","",LOOKUP(_xlfn.CONCAT(P442,", ",Q442),'[1]T+S Costs'!$F$2:$F$3138,'[1]T+S Costs'!$N$2:$N$3138))</f>
        <v/>
      </c>
      <c r="Y442" s="14" t="str">
        <f t="shared" si="34"/>
        <v/>
      </c>
      <c r="Z442" s="4" t="str">
        <f t="shared" si="35"/>
        <v/>
      </c>
    </row>
    <row r="443" spans="16:26" x14ac:dyDescent="0.25">
      <c r="P443" s="10" t="str">
        <f>IF('[1]All Data '!AZ448="","",'[1]All Data '!AZ448)</f>
        <v/>
      </c>
      <c r="Q443" s="10" t="str">
        <f>IF('[1]All Data '!BB448="","",'[1]All Data '!BB448)</f>
        <v/>
      </c>
      <c r="R443" s="10" t="str">
        <f>IF('[1]All Data '!BD448="","",'[1]All Data '!BD448)</f>
        <v/>
      </c>
      <c r="S443" s="11" t="str">
        <f>IF(R443="","",'[1]All Data '!BE448)</f>
        <v/>
      </c>
      <c r="T443" s="12" t="str">
        <f>IF(S443="","",[1]Inputs_Outputs!$B$8*(1-'LOCH Calc COE Calc'!S443))</f>
        <v/>
      </c>
      <c r="U443" s="13" t="str">
        <f t="shared" si="31"/>
        <v/>
      </c>
      <c r="V443" s="13" t="str">
        <f t="shared" si="32"/>
        <v/>
      </c>
      <c r="W443" s="4" t="str">
        <f t="shared" si="33"/>
        <v/>
      </c>
      <c r="X443" t="str">
        <f>IF(W443="","",LOOKUP(_xlfn.CONCAT(P443,", ",Q443),'[1]T+S Costs'!$F$2:$F$3138,'[1]T+S Costs'!$N$2:$N$3138))</f>
        <v/>
      </c>
      <c r="Y443" s="14" t="str">
        <f t="shared" si="34"/>
        <v/>
      </c>
      <c r="Z443" s="4" t="str">
        <f t="shared" si="35"/>
        <v/>
      </c>
    </row>
    <row r="444" spans="16:26" x14ac:dyDescent="0.25">
      <c r="P444" s="10" t="str">
        <f>IF('[1]All Data '!AZ449="","",'[1]All Data '!AZ449)</f>
        <v/>
      </c>
      <c r="Q444" s="10" t="str">
        <f>IF('[1]All Data '!BB449="","",'[1]All Data '!BB449)</f>
        <v/>
      </c>
      <c r="R444" s="10" t="str">
        <f>IF('[1]All Data '!BD449="","",'[1]All Data '!BD449)</f>
        <v/>
      </c>
      <c r="S444" s="11" t="str">
        <f>IF(R444="","",'[1]All Data '!BE449)</f>
        <v/>
      </c>
      <c r="T444" s="12" t="str">
        <f>IF(S444="","",[1]Inputs_Outputs!$B$8*(1-'LOCH Calc COE Calc'!S444))</f>
        <v/>
      </c>
      <c r="U444" s="13" t="str">
        <f t="shared" si="31"/>
        <v/>
      </c>
      <c r="V444" s="13" t="str">
        <f t="shared" si="32"/>
        <v/>
      </c>
      <c r="W444" s="4" t="str">
        <f t="shared" si="33"/>
        <v/>
      </c>
      <c r="X444" t="str">
        <f>IF(W444="","",LOOKUP(_xlfn.CONCAT(P444,", ",Q444),'[1]T+S Costs'!$F$2:$F$3138,'[1]T+S Costs'!$N$2:$N$3138))</f>
        <v/>
      </c>
      <c r="Y444" s="14" t="str">
        <f t="shared" si="34"/>
        <v/>
      </c>
      <c r="Z444" s="4" t="str">
        <f t="shared" si="35"/>
        <v/>
      </c>
    </row>
    <row r="445" spans="16:26" x14ac:dyDescent="0.25">
      <c r="P445" s="10" t="str">
        <f>IF('[1]All Data '!AZ450="","",'[1]All Data '!AZ450)</f>
        <v/>
      </c>
      <c r="Q445" s="10" t="str">
        <f>IF('[1]All Data '!BB450="","",'[1]All Data '!BB450)</f>
        <v/>
      </c>
      <c r="R445" s="10" t="str">
        <f>IF('[1]All Data '!BD450="","",'[1]All Data '!BD450)</f>
        <v/>
      </c>
      <c r="S445" s="11" t="str">
        <f>IF(R445="","",'[1]All Data '!BE450)</f>
        <v/>
      </c>
      <c r="T445" s="12" t="str">
        <f>IF(S445="","",[1]Inputs_Outputs!$B$8*(1-'LOCH Calc COE Calc'!S445))</f>
        <v/>
      </c>
      <c r="U445" s="13" t="str">
        <f t="shared" si="31"/>
        <v/>
      </c>
      <c r="V445" s="13" t="str">
        <f t="shared" si="32"/>
        <v/>
      </c>
      <c r="W445" s="4" t="str">
        <f t="shared" si="33"/>
        <v/>
      </c>
      <c r="X445" t="str">
        <f>IF(W445="","",LOOKUP(_xlfn.CONCAT(P445,", ",Q445),'[1]T+S Costs'!$F$2:$F$3138,'[1]T+S Costs'!$N$2:$N$3138))</f>
        <v/>
      </c>
      <c r="Y445" s="14" t="str">
        <f t="shared" si="34"/>
        <v/>
      </c>
      <c r="Z445" s="4" t="str">
        <f t="shared" si="35"/>
        <v/>
      </c>
    </row>
    <row r="446" spans="16:26" x14ac:dyDescent="0.25">
      <c r="P446" s="10" t="str">
        <f>IF('[1]All Data '!AZ451="","",'[1]All Data '!AZ451)</f>
        <v/>
      </c>
      <c r="Q446" s="10" t="str">
        <f>IF('[1]All Data '!BB451="","",'[1]All Data '!BB451)</f>
        <v/>
      </c>
      <c r="R446" s="10" t="str">
        <f>IF('[1]All Data '!BD451="","",'[1]All Data '!BD451)</f>
        <v/>
      </c>
      <c r="S446" s="11" t="str">
        <f>IF(R446="","",'[1]All Data '!BE451)</f>
        <v/>
      </c>
      <c r="T446" s="12" t="str">
        <f>IF(S446="","",[1]Inputs_Outputs!$B$8*(1-'LOCH Calc COE Calc'!S446))</f>
        <v/>
      </c>
      <c r="U446" s="13" t="str">
        <f t="shared" si="31"/>
        <v/>
      </c>
      <c r="V446" s="13" t="str">
        <f t="shared" si="32"/>
        <v/>
      </c>
      <c r="W446" s="4" t="str">
        <f t="shared" si="33"/>
        <v/>
      </c>
      <c r="X446" t="str">
        <f>IF(W446="","",LOOKUP(_xlfn.CONCAT(P446,", ",Q446),'[1]T+S Costs'!$F$2:$F$3138,'[1]T+S Costs'!$N$2:$N$3138))</f>
        <v/>
      </c>
      <c r="Y446" s="14" t="str">
        <f t="shared" si="34"/>
        <v/>
      </c>
      <c r="Z446" s="4" t="str">
        <f t="shared" si="35"/>
        <v/>
      </c>
    </row>
    <row r="447" spans="16:26" x14ac:dyDescent="0.25">
      <c r="P447" s="10" t="str">
        <f>IF('[1]All Data '!AZ452="","",'[1]All Data '!AZ452)</f>
        <v/>
      </c>
      <c r="Q447" s="10" t="str">
        <f>IF('[1]All Data '!BB452="","",'[1]All Data '!BB452)</f>
        <v/>
      </c>
      <c r="R447" s="10" t="str">
        <f>IF('[1]All Data '!BD452="","",'[1]All Data '!BD452)</f>
        <v/>
      </c>
      <c r="S447" s="11" t="str">
        <f>IF(R447="","",'[1]All Data '!BE452)</f>
        <v/>
      </c>
      <c r="T447" s="12" t="str">
        <f>IF(S447="","",[1]Inputs_Outputs!$B$8*(1-'LOCH Calc COE Calc'!S447))</f>
        <v/>
      </c>
      <c r="U447" s="13" t="str">
        <f t="shared" si="31"/>
        <v/>
      </c>
      <c r="V447" s="13" t="str">
        <f t="shared" si="32"/>
        <v/>
      </c>
      <c r="W447" s="4" t="str">
        <f t="shared" si="33"/>
        <v/>
      </c>
      <c r="X447" t="str">
        <f>IF(W447="","",LOOKUP(_xlfn.CONCAT(P447,", ",Q447),'[1]T+S Costs'!$F$2:$F$3138,'[1]T+S Costs'!$N$2:$N$3138))</f>
        <v/>
      </c>
      <c r="Y447" s="14" t="str">
        <f t="shared" si="34"/>
        <v/>
      </c>
      <c r="Z447" s="4" t="str">
        <f t="shared" si="35"/>
        <v/>
      </c>
    </row>
    <row r="448" spans="16:26" x14ac:dyDescent="0.25">
      <c r="P448" s="10" t="str">
        <f>IF('[1]All Data '!AZ453="","",'[1]All Data '!AZ453)</f>
        <v/>
      </c>
      <c r="Q448" s="10" t="str">
        <f>IF('[1]All Data '!BB453="","",'[1]All Data '!BB453)</f>
        <v/>
      </c>
      <c r="R448" s="10" t="str">
        <f>IF('[1]All Data '!BD453="","",'[1]All Data '!BD453)</f>
        <v/>
      </c>
      <c r="S448" s="11" t="str">
        <f>IF(R448="","",'[1]All Data '!BE453)</f>
        <v/>
      </c>
      <c r="T448" s="12" t="str">
        <f>IF(S448="","",[1]Inputs_Outputs!$B$8*(1-'LOCH Calc COE Calc'!S448))</f>
        <v/>
      </c>
      <c r="U448" s="13" t="str">
        <f t="shared" si="31"/>
        <v/>
      </c>
      <c r="V448" s="13" t="str">
        <f t="shared" si="32"/>
        <v/>
      </c>
      <c r="W448" s="4" t="str">
        <f t="shared" si="33"/>
        <v/>
      </c>
      <c r="X448" t="str">
        <f>IF(W448="","",LOOKUP(_xlfn.CONCAT(P448,", ",Q448),'[1]T+S Costs'!$F$2:$F$3138,'[1]T+S Costs'!$N$2:$N$3138))</f>
        <v/>
      </c>
      <c r="Y448" s="14" t="str">
        <f t="shared" si="34"/>
        <v/>
      </c>
      <c r="Z448" s="4" t="str">
        <f t="shared" si="35"/>
        <v/>
      </c>
    </row>
    <row r="449" spans="16:26" x14ac:dyDescent="0.25">
      <c r="P449" s="10" t="str">
        <f>IF('[1]All Data '!AZ454="","",'[1]All Data '!AZ454)</f>
        <v/>
      </c>
      <c r="Q449" s="10" t="str">
        <f>IF('[1]All Data '!BB454="","",'[1]All Data '!BB454)</f>
        <v/>
      </c>
      <c r="R449" s="10" t="str">
        <f>IF('[1]All Data '!BD454="","",'[1]All Data '!BD454)</f>
        <v/>
      </c>
      <c r="S449" s="11" t="str">
        <f>IF(R449="","",'[1]All Data '!BE454)</f>
        <v/>
      </c>
      <c r="T449" s="12" t="str">
        <f>IF(S449="","",[1]Inputs_Outputs!$B$8*(1-'LOCH Calc COE Calc'!S449))</f>
        <v/>
      </c>
      <c r="U449" s="13" t="str">
        <f t="shared" si="31"/>
        <v/>
      </c>
      <c r="V449" s="13" t="str">
        <f t="shared" si="32"/>
        <v/>
      </c>
      <c r="W449" s="4" t="str">
        <f t="shared" si="33"/>
        <v/>
      </c>
      <c r="X449" t="str">
        <f>IF(W449="","",LOOKUP(_xlfn.CONCAT(P449,", ",Q449),'[1]T+S Costs'!$F$2:$F$3138,'[1]T+S Costs'!$N$2:$N$3138))</f>
        <v/>
      </c>
      <c r="Y449" s="14" t="str">
        <f t="shared" si="34"/>
        <v/>
      </c>
      <c r="Z449" s="4" t="str">
        <f t="shared" si="35"/>
        <v/>
      </c>
    </row>
    <row r="450" spans="16:26" x14ac:dyDescent="0.25">
      <c r="P450" s="10" t="str">
        <f>IF('[1]All Data '!AZ455="","",'[1]All Data '!AZ455)</f>
        <v/>
      </c>
      <c r="Q450" s="10" t="str">
        <f>IF('[1]All Data '!BB455="","",'[1]All Data '!BB455)</f>
        <v/>
      </c>
      <c r="R450" s="10" t="str">
        <f>IF('[1]All Data '!BD455="","",'[1]All Data '!BD455)</f>
        <v/>
      </c>
      <c r="S450" s="11" t="str">
        <f>IF(R450="","",'[1]All Data '!BE455)</f>
        <v/>
      </c>
      <c r="T450" s="12" t="str">
        <f>IF(S450="","",[1]Inputs_Outputs!$B$8*(1-'LOCH Calc COE Calc'!S450))</f>
        <v/>
      </c>
      <c r="U450" s="13" t="str">
        <f t="shared" si="31"/>
        <v/>
      </c>
      <c r="V450" s="13" t="str">
        <f t="shared" si="32"/>
        <v/>
      </c>
      <c r="W450" s="4" t="str">
        <f t="shared" si="33"/>
        <v/>
      </c>
      <c r="X450" t="str">
        <f>IF(W450="","",LOOKUP(_xlfn.CONCAT(P450,", ",Q450),'[1]T+S Costs'!$F$2:$F$3138,'[1]T+S Costs'!$N$2:$N$3138))</f>
        <v/>
      </c>
      <c r="Y450" s="14" t="str">
        <f t="shared" si="34"/>
        <v/>
      </c>
      <c r="Z450" s="4" t="str">
        <f t="shared" si="35"/>
        <v/>
      </c>
    </row>
    <row r="451" spans="16:26" x14ac:dyDescent="0.25">
      <c r="P451" s="10" t="str">
        <f>IF('[1]All Data '!AZ456="","",'[1]All Data '!AZ456)</f>
        <v/>
      </c>
      <c r="Q451" s="10" t="str">
        <f>IF('[1]All Data '!BB456="","",'[1]All Data '!BB456)</f>
        <v/>
      </c>
      <c r="R451" s="10" t="str">
        <f>IF('[1]All Data '!BD456="","",'[1]All Data '!BD456)</f>
        <v/>
      </c>
      <c r="S451" s="11" t="str">
        <f>IF(R451="","",'[1]All Data '!BE456)</f>
        <v/>
      </c>
      <c r="T451" s="12" t="str">
        <f>IF(S451="","",[1]Inputs_Outputs!$B$8*(1-'LOCH Calc COE Calc'!S451))</f>
        <v/>
      </c>
      <c r="U451" s="13" t="str">
        <f t="shared" ref="U451:U514" si="36">IF(S451="","",R451*T451*365*$B$19/100)</f>
        <v/>
      </c>
      <c r="V451" s="13" t="str">
        <f t="shared" ref="V451:V514" si="37">IF(S451="","",(U451*$B$19)/(($B$28)*$B$19))</f>
        <v/>
      </c>
      <c r="W451" s="4" t="str">
        <f t="shared" ref="W451:W514" si="38">IF(S451="","",V451+$C$49+$C$50+$C$51)</f>
        <v/>
      </c>
      <c r="X451" t="str">
        <f>IF(W451="","",LOOKUP(_xlfn.CONCAT(P451,", ",Q451),'[1]T+S Costs'!$F$2:$F$3138,'[1]T+S Costs'!$N$2:$N$3138))</f>
        <v/>
      </c>
      <c r="Y451" s="14" t="str">
        <f t="shared" ref="Y451:Y514" si="39">IF(X451="","",((X451*$B$60/$B$59)*$C$44)/$C$28)</f>
        <v/>
      </c>
      <c r="Z451" s="4" t="str">
        <f t="shared" ref="Z451:Z514" si="40">IF(Y451="","",W451+Y451)</f>
        <v/>
      </c>
    </row>
    <row r="452" spans="16:26" x14ac:dyDescent="0.25">
      <c r="P452" s="10" t="str">
        <f>IF('[1]All Data '!AZ457="","",'[1]All Data '!AZ457)</f>
        <v/>
      </c>
      <c r="Q452" s="10" t="str">
        <f>IF('[1]All Data '!BB457="","",'[1]All Data '!BB457)</f>
        <v/>
      </c>
      <c r="R452" s="10" t="str">
        <f>IF('[1]All Data '!BD457="","",'[1]All Data '!BD457)</f>
        <v/>
      </c>
      <c r="S452" s="11" t="str">
        <f>IF(R452="","",'[1]All Data '!BE457)</f>
        <v/>
      </c>
      <c r="T452" s="12" t="str">
        <f>IF(S452="","",[1]Inputs_Outputs!$B$8*(1-'LOCH Calc COE Calc'!S452))</f>
        <v/>
      </c>
      <c r="U452" s="13" t="str">
        <f t="shared" si="36"/>
        <v/>
      </c>
      <c r="V452" s="13" t="str">
        <f t="shared" si="37"/>
        <v/>
      </c>
      <c r="W452" s="4" t="str">
        <f t="shared" si="38"/>
        <v/>
      </c>
      <c r="X452" t="str">
        <f>IF(W452="","",LOOKUP(_xlfn.CONCAT(P452,", ",Q452),'[1]T+S Costs'!$F$2:$F$3138,'[1]T+S Costs'!$N$2:$N$3138))</f>
        <v/>
      </c>
      <c r="Y452" s="14" t="str">
        <f t="shared" si="39"/>
        <v/>
      </c>
      <c r="Z452" s="4" t="str">
        <f t="shared" si="40"/>
        <v/>
      </c>
    </row>
    <row r="453" spans="16:26" x14ac:dyDescent="0.25">
      <c r="P453" s="10" t="str">
        <f>IF('[1]All Data '!AZ458="","",'[1]All Data '!AZ458)</f>
        <v/>
      </c>
      <c r="Q453" s="10" t="str">
        <f>IF('[1]All Data '!BB458="","",'[1]All Data '!BB458)</f>
        <v/>
      </c>
      <c r="R453" s="10" t="str">
        <f>IF('[1]All Data '!BD458="","",'[1]All Data '!BD458)</f>
        <v/>
      </c>
      <c r="S453" s="11" t="str">
        <f>IF(R453="","",'[1]All Data '!BE458)</f>
        <v/>
      </c>
      <c r="T453" s="12" t="str">
        <f>IF(S453="","",[1]Inputs_Outputs!$B$8*(1-'LOCH Calc COE Calc'!S453))</f>
        <v/>
      </c>
      <c r="U453" s="13" t="str">
        <f t="shared" si="36"/>
        <v/>
      </c>
      <c r="V453" s="13" t="str">
        <f t="shared" si="37"/>
        <v/>
      </c>
      <c r="W453" s="4" t="str">
        <f t="shared" si="38"/>
        <v/>
      </c>
      <c r="X453" t="str">
        <f>IF(W453="","",LOOKUP(_xlfn.CONCAT(P453,", ",Q453),'[1]T+S Costs'!$F$2:$F$3138,'[1]T+S Costs'!$N$2:$N$3138))</f>
        <v/>
      </c>
      <c r="Y453" s="14" t="str">
        <f t="shared" si="39"/>
        <v/>
      </c>
      <c r="Z453" s="4" t="str">
        <f t="shared" si="40"/>
        <v/>
      </c>
    </row>
    <row r="454" spans="16:26" x14ac:dyDescent="0.25">
      <c r="P454" s="10" t="str">
        <f>IF('[1]All Data '!AZ459="","",'[1]All Data '!AZ459)</f>
        <v/>
      </c>
      <c r="Q454" s="10" t="str">
        <f>IF('[1]All Data '!BB459="","",'[1]All Data '!BB459)</f>
        <v/>
      </c>
      <c r="R454" s="10" t="str">
        <f>IF('[1]All Data '!BD459="","",'[1]All Data '!BD459)</f>
        <v/>
      </c>
      <c r="S454" s="11" t="str">
        <f>IF(R454="","",'[1]All Data '!BE459)</f>
        <v/>
      </c>
      <c r="T454" s="12" t="str">
        <f>IF(S454="","",[1]Inputs_Outputs!$B$8*(1-'LOCH Calc COE Calc'!S454))</f>
        <v/>
      </c>
      <c r="U454" s="13" t="str">
        <f t="shared" si="36"/>
        <v/>
      </c>
      <c r="V454" s="13" t="str">
        <f t="shared" si="37"/>
        <v/>
      </c>
      <c r="W454" s="4" t="str">
        <f t="shared" si="38"/>
        <v/>
      </c>
      <c r="X454" t="str">
        <f>IF(W454="","",LOOKUP(_xlfn.CONCAT(P454,", ",Q454),'[1]T+S Costs'!$F$2:$F$3138,'[1]T+S Costs'!$N$2:$N$3138))</f>
        <v/>
      </c>
      <c r="Y454" s="14" t="str">
        <f t="shared" si="39"/>
        <v/>
      </c>
      <c r="Z454" s="4" t="str">
        <f t="shared" si="40"/>
        <v/>
      </c>
    </row>
    <row r="455" spans="16:26" x14ac:dyDescent="0.25">
      <c r="P455" s="10" t="str">
        <f>IF('[1]All Data '!AZ460="","",'[1]All Data '!AZ460)</f>
        <v/>
      </c>
      <c r="Q455" s="10" t="str">
        <f>IF('[1]All Data '!BB460="","",'[1]All Data '!BB460)</f>
        <v/>
      </c>
      <c r="R455" s="10" t="str">
        <f>IF('[1]All Data '!BD460="","",'[1]All Data '!BD460)</f>
        <v/>
      </c>
      <c r="S455" s="11" t="str">
        <f>IF(R455="","",'[1]All Data '!BE460)</f>
        <v/>
      </c>
      <c r="T455" s="12" t="str">
        <f>IF(S455="","",[1]Inputs_Outputs!$B$8*(1-'LOCH Calc COE Calc'!S455))</f>
        <v/>
      </c>
      <c r="U455" s="13" t="str">
        <f t="shared" si="36"/>
        <v/>
      </c>
      <c r="V455" s="13" t="str">
        <f t="shared" si="37"/>
        <v/>
      </c>
      <c r="W455" s="4" t="str">
        <f t="shared" si="38"/>
        <v/>
      </c>
      <c r="X455" t="str">
        <f>IF(W455="","",LOOKUP(_xlfn.CONCAT(P455,", ",Q455),'[1]T+S Costs'!$F$2:$F$3138,'[1]T+S Costs'!$N$2:$N$3138))</f>
        <v/>
      </c>
      <c r="Y455" s="14" t="str">
        <f t="shared" si="39"/>
        <v/>
      </c>
      <c r="Z455" s="4" t="str">
        <f t="shared" si="40"/>
        <v/>
      </c>
    </row>
    <row r="456" spans="16:26" x14ac:dyDescent="0.25">
      <c r="P456" s="10" t="str">
        <f>IF('[1]All Data '!AZ461="","",'[1]All Data '!AZ461)</f>
        <v/>
      </c>
      <c r="Q456" s="10" t="str">
        <f>IF('[1]All Data '!BB461="","",'[1]All Data '!BB461)</f>
        <v/>
      </c>
      <c r="R456" s="10" t="str">
        <f>IF('[1]All Data '!BD461="","",'[1]All Data '!BD461)</f>
        <v/>
      </c>
      <c r="S456" s="11" t="str">
        <f>IF(R456="","",'[1]All Data '!BE461)</f>
        <v/>
      </c>
      <c r="T456" s="12" t="str">
        <f>IF(S456="","",[1]Inputs_Outputs!$B$8*(1-'LOCH Calc COE Calc'!S456))</f>
        <v/>
      </c>
      <c r="U456" s="13" t="str">
        <f t="shared" si="36"/>
        <v/>
      </c>
      <c r="V456" s="13" t="str">
        <f t="shared" si="37"/>
        <v/>
      </c>
      <c r="W456" s="4" t="str">
        <f t="shared" si="38"/>
        <v/>
      </c>
      <c r="X456" t="str">
        <f>IF(W456="","",LOOKUP(_xlfn.CONCAT(P456,", ",Q456),'[1]T+S Costs'!$F$2:$F$3138,'[1]T+S Costs'!$N$2:$N$3138))</f>
        <v/>
      </c>
      <c r="Y456" s="14" t="str">
        <f t="shared" si="39"/>
        <v/>
      </c>
      <c r="Z456" s="4" t="str">
        <f t="shared" si="40"/>
        <v/>
      </c>
    </row>
    <row r="457" spans="16:26" x14ac:dyDescent="0.25">
      <c r="P457" s="10" t="str">
        <f>IF('[1]All Data '!AZ462="","",'[1]All Data '!AZ462)</f>
        <v/>
      </c>
      <c r="Q457" s="10" t="str">
        <f>IF('[1]All Data '!BB462="","",'[1]All Data '!BB462)</f>
        <v/>
      </c>
      <c r="R457" s="10" t="str">
        <f>IF('[1]All Data '!BD462="","",'[1]All Data '!BD462)</f>
        <v/>
      </c>
      <c r="S457" s="11" t="str">
        <f>IF(R457="","",'[1]All Data '!BE462)</f>
        <v/>
      </c>
      <c r="T457" s="12" t="str">
        <f>IF(S457="","",[1]Inputs_Outputs!$B$8*(1-'LOCH Calc COE Calc'!S457))</f>
        <v/>
      </c>
      <c r="U457" s="13" t="str">
        <f t="shared" si="36"/>
        <v/>
      </c>
      <c r="V457" s="13" t="str">
        <f t="shared" si="37"/>
        <v/>
      </c>
      <c r="W457" s="4" t="str">
        <f t="shared" si="38"/>
        <v/>
      </c>
      <c r="X457" t="str">
        <f>IF(W457="","",LOOKUP(_xlfn.CONCAT(P457,", ",Q457),'[1]T+S Costs'!$F$2:$F$3138,'[1]T+S Costs'!$N$2:$N$3138))</f>
        <v/>
      </c>
      <c r="Y457" s="14" t="str">
        <f t="shared" si="39"/>
        <v/>
      </c>
      <c r="Z457" s="4" t="str">
        <f t="shared" si="40"/>
        <v/>
      </c>
    </row>
    <row r="458" spans="16:26" x14ac:dyDescent="0.25">
      <c r="P458" s="10" t="str">
        <f>IF('[1]All Data '!AZ463="","",'[1]All Data '!AZ463)</f>
        <v/>
      </c>
      <c r="Q458" s="10" t="str">
        <f>IF('[1]All Data '!BB463="","",'[1]All Data '!BB463)</f>
        <v/>
      </c>
      <c r="R458" s="10" t="str">
        <f>IF('[1]All Data '!BD463="","",'[1]All Data '!BD463)</f>
        <v/>
      </c>
      <c r="S458" s="11" t="str">
        <f>IF(R458="","",'[1]All Data '!BE463)</f>
        <v/>
      </c>
      <c r="T458" s="12" t="str">
        <f>IF(S458="","",[1]Inputs_Outputs!$B$8*(1-'LOCH Calc COE Calc'!S458))</f>
        <v/>
      </c>
      <c r="U458" s="13" t="str">
        <f t="shared" si="36"/>
        <v/>
      </c>
      <c r="V458" s="13" t="str">
        <f t="shared" si="37"/>
        <v/>
      </c>
      <c r="W458" s="4" t="str">
        <f t="shared" si="38"/>
        <v/>
      </c>
      <c r="X458" t="str">
        <f>IF(W458="","",LOOKUP(_xlfn.CONCAT(P458,", ",Q458),'[1]T+S Costs'!$F$2:$F$3138,'[1]T+S Costs'!$N$2:$N$3138))</f>
        <v/>
      </c>
      <c r="Y458" s="14" t="str">
        <f t="shared" si="39"/>
        <v/>
      </c>
      <c r="Z458" s="4" t="str">
        <f t="shared" si="40"/>
        <v/>
      </c>
    </row>
    <row r="459" spans="16:26" x14ac:dyDescent="0.25">
      <c r="P459" s="10" t="str">
        <f>IF('[1]All Data '!AZ464="","",'[1]All Data '!AZ464)</f>
        <v/>
      </c>
      <c r="Q459" s="10" t="str">
        <f>IF('[1]All Data '!BB464="","",'[1]All Data '!BB464)</f>
        <v/>
      </c>
      <c r="R459" s="10" t="str">
        <f>IF('[1]All Data '!BD464="","",'[1]All Data '!BD464)</f>
        <v/>
      </c>
      <c r="S459" s="11" t="str">
        <f>IF(R459="","",'[1]All Data '!BE464)</f>
        <v/>
      </c>
      <c r="T459" s="12" t="str">
        <f>IF(S459="","",[1]Inputs_Outputs!$B$8*(1-'LOCH Calc COE Calc'!S459))</f>
        <v/>
      </c>
      <c r="U459" s="13" t="str">
        <f t="shared" si="36"/>
        <v/>
      </c>
      <c r="V459" s="13" t="str">
        <f t="shared" si="37"/>
        <v/>
      </c>
      <c r="W459" s="4" t="str">
        <f t="shared" si="38"/>
        <v/>
      </c>
      <c r="X459" t="str">
        <f>IF(W459="","",LOOKUP(_xlfn.CONCAT(P459,", ",Q459),'[1]T+S Costs'!$F$2:$F$3138,'[1]T+S Costs'!$N$2:$N$3138))</f>
        <v/>
      </c>
      <c r="Y459" s="14" t="str">
        <f t="shared" si="39"/>
        <v/>
      </c>
      <c r="Z459" s="4" t="str">
        <f t="shared" si="40"/>
        <v/>
      </c>
    </row>
    <row r="460" spans="16:26" x14ac:dyDescent="0.25">
      <c r="P460" s="10" t="str">
        <f>IF('[1]All Data '!AZ465="","",'[1]All Data '!AZ465)</f>
        <v/>
      </c>
      <c r="Q460" s="10" t="str">
        <f>IF('[1]All Data '!BB465="","",'[1]All Data '!BB465)</f>
        <v/>
      </c>
      <c r="R460" s="10" t="str">
        <f>IF('[1]All Data '!BD465="","",'[1]All Data '!BD465)</f>
        <v/>
      </c>
      <c r="S460" s="11" t="str">
        <f>IF(R460="","",'[1]All Data '!BE465)</f>
        <v/>
      </c>
      <c r="T460" s="12" t="str">
        <f>IF(S460="","",[1]Inputs_Outputs!$B$8*(1-'LOCH Calc COE Calc'!S460))</f>
        <v/>
      </c>
      <c r="U460" s="13" t="str">
        <f t="shared" si="36"/>
        <v/>
      </c>
      <c r="V460" s="13" t="str">
        <f t="shared" si="37"/>
        <v/>
      </c>
      <c r="W460" s="4" t="str">
        <f t="shared" si="38"/>
        <v/>
      </c>
      <c r="X460" t="str">
        <f>IF(W460="","",LOOKUP(_xlfn.CONCAT(P460,", ",Q460),'[1]T+S Costs'!$F$2:$F$3138,'[1]T+S Costs'!$N$2:$N$3138))</f>
        <v/>
      </c>
      <c r="Y460" s="14" t="str">
        <f t="shared" si="39"/>
        <v/>
      </c>
      <c r="Z460" s="4" t="str">
        <f t="shared" si="40"/>
        <v/>
      </c>
    </row>
    <row r="461" spans="16:26" x14ac:dyDescent="0.25">
      <c r="P461" s="10" t="str">
        <f>IF('[1]All Data '!AZ466="","",'[1]All Data '!AZ466)</f>
        <v/>
      </c>
      <c r="Q461" s="10" t="str">
        <f>IF('[1]All Data '!BB466="","",'[1]All Data '!BB466)</f>
        <v/>
      </c>
      <c r="R461" s="10" t="str">
        <f>IF('[1]All Data '!BD466="","",'[1]All Data '!BD466)</f>
        <v/>
      </c>
      <c r="S461" s="11" t="str">
        <f>IF(R461="","",'[1]All Data '!BE466)</f>
        <v/>
      </c>
      <c r="T461" s="12" t="str">
        <f>IF(S461="","",[1]Inputs_Outputs!$B$8*(1-'LOCH Calc COE Calc'!S461))</f>
        <v/>
      </c>
      <c r="U461" s="13" t="str">
        <f t="shared" si="36"/>
        <v/>
      </c>
      <c r="V461" s="13" t="str">
        <f t="shared" si="37"/>
        <v/>
      </c>
      <c r="W461" s="4" t="str">
        <f t="shared" si="38"/>
        <v/>
      </c>
      <c r="X461" t="str">
        <f>IF(W461="","",LOOKUP(_xlfn.CONCAT(P461,", ",Q461),'[1]T+S Costs'!$F$2:$F$3138,'[1]T+S Costs'!$N$2:$N$3138))</f>
        <v/>
      </c>
      <c r="Y461" s="14" t="str">
        <f t="shared" si="39"/>
        <v/>
      </c>
      <c r="Z461" s="4" t="str">
        <f t="shared" si="40"/>
        <v/>
      </c>
    </row>
    <row r="462" spans="16:26" x14ac:dyDescent="0.25">
      <c r="P462" s="10" t="str">
        <f>IF('[1]All Data '!AZ467="","",'[1]All Data '!AZ467)</f>
        <v/>
      </c>
      <c r="Q462" s="10" t="str">
        <f>IF('[1]All Data '!BB467="","",'[1]All Data '!BB467)</f>
        <v/>
      </c>
      <c r="R462" s="10" t="str">
        <f>IF('[1]All Data '!BD467="","",'[1]All Data '!BD467)</f>
        <v/>
      </c>
      <c r="S462" s="11" t="str">
        <f>IF(R462="","",'[1]All Data '!BE467)</f>
        <v/>
      </c>
      <c r="T462" s="12" t="str">
        <f>IF(S462="","",[1]Inputs_Outputs!$B$8*(1-'LOCH Calc COE Calc'!S462))</f>
        <v/>
      </c>
      <c r="U462" s="13" t="str">
        <f t="shared" si="36"/>
        <v/>
      </c>
      <c r="V462" s="13" t="str">
        <f t="shared" si="37"/>
        <v/>
      </c>
      <c r="W462" s="4" t="str">
        <f t="shared" si="38"/>
        <v/>
      </c>
      <c r="X462" t="str">
        <f>IF(W462="","",LOOKUP(_xlfn.CONCAT(P462,", ",Q462),'[1]T+S Costs'!$F$2:$F$3138,'[1]T+S Costs'!$N$2:$N$3138))</f>
        <v/>
      </c>
      <c r="Y462" s="14" t="str">
        <f t="shared" si="39"/>
        <v/>
      </c>
      <c r="Z462" s="4" t="str">
        <f t="shared" si="40"/>
        <v/>
      </c>
    </row>
    <row r="463" spans="16:26" x14ac:dyDescent="0.25">
      <c r="P463" s="10" t="str">
        <f>IF('[1]All Data '!AZ468="","",'[1]All Data '!AZ468)</f>
        <v/>
      </c>
      <c r="Q463" s="10" t="str">
        <f>IF('[1]All Data '!BB468="","",'[1]All Data '!BB468)</f>
        <v/>
      </c>
      <c r="R463" s="10" t="str">
        <f>IF('[1]All Data '!BD468="","",'[1]All Data '!BD468)</f>
        <v/>
      </c>
      <c r="S463" s="11" t="str">
        <f>IF(R463="","",'[1]All Data '!BE468)</f>
        <v/>
      </c>
      <c r="T463" s="12" t="str">
        <f>IF(S463="","",[1]Inputs_Outputs!$B$8*(1-'LOCH Calc COE Calc'!S463))</f>
        <v/>
      </c>
      <c r="U463" s="13" t="str">
        <f t="shared" si="36"/>
        <v/>
      </c>
      <c r="V463" s="13" t="str">
        <f t="shared" si="37"/>
        <v/>
      </c>
      <c r="W463" s="4" t="str">
        <f t="shared" si="38"/>
        <v/>
      </c>
      <c r="X463" t="str">
        <f>IF(W463="","",LOOKUP(_xlfn.CONCAT(P463,", ",Q463),'[1]T+S Costs'!$F$2:$F$3138,'[1]T+S Costs'!$N$2:$N$3138))</f>
        <v/>
      </c>
      <c r="Y463" s="14" t="str">
        <f t="shared" si="39"/>
        <v/>
      </c>
      <c r="Z463" s="4" t="str">
        <f t="shared" si="40"/>
        <v/>
      </c>
    </row>
    <row r="464" spans="16:26" x14ac:dyDescent="0.25">
      <c r="P464" s="10" t="str">
        <f>IF('[1]All Data '!AZ469="","",'[1]All Data '!AZ469)</f>
        <v/>
      </c>
      <c r="Q464" s="10" t="str">
        <f>IF('[1]All Data '!BB469="","",'[1]All Data '!BB469)</f>
        <v/>
      </c>
      <c r="R464" s="10" t="str">
        <f>IF('[1]All Data '!BD469="","",'[1]All Data '!BD469)</f>
        <v/>
      </c>
      <c r="S464" s="11" t="str">
        <f>IF(R464="","",'[1]All Data '!BE469)</f>
        <v/>
      </c>
      <c r="T464" s="12" t="str">
        <f>IF(S464="","",[1]Inputs_Outputs!$B$8*(1-'LOCH Calc COE Calc'!S464))</f>
        <v/>
      </c>
      <c r="U464" s="13" t="str">
        <f t="shared" si="36"/>
        <v/>
      </c>
      <c r="V464" s="13" t="str">
        <f t="shared" si="37"/>
        <v/>
      </c>
      <c r="W464" s="4" t="str">
        <f t="shared" si="38"/>
        <v/>
      </c>
      <c r="X464" t="str">
        <f>IF(W464="","",LOOKUP(_xlfn.CONCAT(P464,", ",Q464),'[1]T+S Costs'!$F$2:$F$3138,'[1]T+S Costs'!$N$2:$N$3138))</f>
        <v/>
      </c>
      <c r="Y464" s="14" t="str">
        <f t="shared" si="39"/>
        <v/>
      </c>
      <c r="Z464" s="4" t="str">
        <f t="shared" si="40"/>
        <v/>
      </c>
    </row>
    <row r="465" spans="16:26" x14ac:dyDescent="0.25">
      <c r="P465" s="10" t="str">
        <f>IF('[1]All Data '!AZ470="","",'[1]All Data '!AZ470)</f>
        <v/>
      </c>
      <c r="Q465" s="10" t="str">
        <f>IF('[1]All Data '!BB470="","",'[1]All Data '!BB470)</f>
        <v/>
      </c>
      <c r="R465" s="10" t="str">
        <f>IF('[1]All Data '!BD470="","",'[1]All Data '!BD470)</f>
        <v/>
      </c>
      <c r="S465" s="11" t="str">
        <f>IF(R465="","",'[1]All Data '!BE470)</f>
        <v/>
      </c>
      <c r="T465" s="12" t="str">
        <f>IF(S465="","",[1]Inputs_Outputs!$B$8*(1-'LOCH Calc COE Calc'!S465))</f>
        <v/>
      </c>
      <c r="U465" s="13" t="str">
        <f t="shared" si="36"/>
        <v/>
      </c>
      <c r="V465" s="13" t="str">
        <f t="shared" si="37"/>
        <v/>
      </c>
      <c r="W465" s="4" t="str">
        <f t="shared" si="38"/>
        <v/>
      </c>
      <c r="X465" t="str">
        <f>IF(W465="","",LOOKUP(_xlfn.CONCAT(P465,", ",Q465),'[1]T+S Costs'!$F$2:$F$3138,'[1]T+S Costs'!$N$2:$N$3138))</f>
        <v/>
      </c>
      <c r="Y465" s="14" t="str">
        <f t="shared" si="39"/>
        <v/>
      </c>
      <c r="Z465" s="4" t="str">
        <f t="shared" si="40"/>
        <v/>
      </c>
    </row>
    <row r="466" spans="16:26" x14ac:dyDescent="0.25">
      <c r="P466" s="10" t="str">
        <f>IF('[1]All Data '!AZ471="","",'[1]All Data '!AZ471)</f>
        <v/>
      </c>
      <c r="Q466" s="10" t="str">
        <f>IF('[1]All Data '!BB471="","",'[1]All Data '!BB471)</f>
        <v/>
      </c>
      <c r="R466" s="10" t="str">
        <f>IF('[1]All Data '!BD471="","",'[1]All Data '!BD471)</f>
        <v/>
      </c>
      <c r="S466" s="11" t="str">
        <f>IF(R466="","",'[1]All Data '!BE471)</f>
        <v/>
      </c>
      <c r="T466" s="12" t="str">
        <f>IF(S466="","",[1]Inputs_Outputs!$B$8*(1-'LOCH Calc COE Calc'!S466))</f>
        <v/>
      </c>
      <c r="U466" s="13" t="str">
        <f t="shared" si="36"/>
        <v/>
      </c>
      <c r="V466" s="13" t="str">
        <f t="shared" si="37"/>
        <v/>
      </c>
      <c r="W466" s="4" t="str">
        <f t="shared" si="38"/>
        <v/>
      </c>
      <c r="X466" t="str">
        <f>IF(W466="","",LOOKUP(_xlfn.CONCAT(P466,", ",Q466),'[1]T+S Costs'!$F$2:$F$3138,'[1]T+S Costs'!$N$2:$N$3138))</f>
        <v/>
      </c>
      <c r="Y466" s="14" t="str">
        <f t="shared" si="39"/>
        <v/>
      </c>
      <c r="Z466" s="4" t="str">
        <f t="shared" si="40"/>
        <v/>
      </c>
    </row>
    <row r="467" spans="16:26" x14ac:dyDescent="0.25">
      <c r="P467" s="10" t="str">
        <f>IF('[1]All Data '!AZ472="","",'[1]All Data '!AZ472)</f>
        <v/>
      </c>
      <c r="Q467" s="10" t="str">
        <f>IF('[1]All Data '!BB472="","",'[1]All Data '!BB472)</f>
        <v/>
      </c>
      <c r="R467" s="10" t="str">
        <f>IF('[1]All Data '!BD472="","",'[1]All Data '!BD472)</f>
        <v/>
      </c>
      <c r="S467" s="11" t="str">
        <f>IF(R467="","",'[1]All Data '!BE472)</f>
        <v/>
      </c>
      <c r="T467" s="12" t="str">
        <f>IF(S467="","",[1]Inputs_Outputs!$B$8*(1-'LOCH Calc COE Calc'!S467))</f>
        <v/>
      </c>
      <c r="U467" s="13" t="str">
        <f t="shared" si="36"/>
        <v/>
      </c>
      <c r="V467" s="13" t="str">
        <f t="shared" si="37"/>
        <v/>
      </c>
      <c r="W467" s="4" t="str">
        <f t="shared" si="38"/>
        <v/>
      </c>
      <c r="X467" t="str">
        <f>IF(W467="","",LOOKUP(_xlfn.CONCAT(P467,", ",Q467),'[1]T+S Costs'!$F$2:$F$3138,'[1]T+S Costs'!$N$2:$N$3138))</f>
        <v/>
      </c>
      <c r="Y467" s="14" t="str">
        <f t="shared" si="39"/>
        <v/>
      </c>
      <c r="Z467" s="4" t="str">
        <f t="shared" si="40"/>
        <v/>
      </c>
    </row>
    <row r="468" spans="16:26" x14ac:dyDescent="0.25">
      <c r="P468" s="10" t="str">
        <f>IF('[1]All Data '!AZ473="","",'[1]All Data '!AZ473)</f>
        <v/>
      </c>
      <c r="Q468" s="10" t="str">
        <f>IF('[1]All Data '!BB473="","",'[1]All Data '!BB473)</f>
        <v/>
      </c>
      <c r="R468" s="10" t="str">
        <f>IF('[1]All Data '!BD473="","",'[1]All Data '!BD473)</f>
        <v/>
      </c>
      <c r="S468" s="11" t="str">
        <f>IF(R468="","",'[1]All Data '!BE473)</f>
        <v/>
      </c>
      <c r="T468" s="12" t="str">
        <f>IF(S468="","",[1]Inputs_Outputs!$B$8*(1-'LOCH Calc COE Calc'!S468))</f>
        <v/>
      </c>
      <c r="U468" s="13" t="str">
        <f t="shared" si="36"/>
        <v/>
      </c>
      <c r="V468" s="13" t="str">
        <f t="shared" si="37"/>
        <v/>
      </c>
      <c r="W468" s="4" t="str">
        <f t="shared" si="38"/>
        <v/>
      </c>
      <c r="X468" t="str">
        <f>IF(W468="","",LOOKUP(_xlfn.CONCAT(P468,", ",Q468),'[1]T+S Costs'!$F$2:$F$3138,'[1]T+S Costs'!$N$2:$N$3138))</f>
        <v/>
      </c>
      <c r="Y468" s="14" t="str">
        <f t="shared" si="39"/>
        <v/>
      </c>
      <c r="Z468" s="4" t="str">
        <f t="shared" si="40"/>
        <v/>
      </c>
    </row>
    <row r="469" spans="16:26" x14ac:dyDescent="0.25">
      <c r="P469" s="10" t="str">
        <f>IF('[1]All Data '!AZ474="","",'[1]All Data '!AZ474)</f>
        <v/>
      </c>
      <c r="Q469" s="10" t="str">
        <f>IF('[1]All Data '!BB474="","",'[1]All Data '!BB474)</f>
        <v/>
      </c>
      <c r="R469" s="10" t="str">
        <f>IF('[1]All Data '!BD474="","",'[1]All Data '!BD474)</f>
        <v/>
      </c>
      <c r="S469" s="11" t="str">
        <f>IF(R469="","",'[1]All Data '!BE474)</f>
        <v/>
      </c>
      <c r="T469" s="12" t="str">
        <f>IF(S469="","",[1]Inputs_Outputs!$B$8*(1-'LOCH Calc COE Calc'!S469))</f>
        <v/>
      </c>
      <c r="U469" s="13" t="str">
        <f t="shared" si="36"/>
        <v/>
      </c>
      <c r="V469" s="13" t="str">
        <f t="shared" si="37"/>
        <v/>
      </c>
      <c r="W469" s="4" t="str">
        <f t="shared" si="38"/>
        <v/>
      </c>
      <c r="X469" t="str">
        <f>IF(W469="","",LOOKUP(_xlfn.CONCAT(P469,", ",Q469),'[1]T+S Costs'!$F$2:$F$3138,'[1]T+S Costs'!$N$2:$N$3138))</f>
        <v/>
      </c>
      <c r="Y469" s="14" t="str">
        <f t="shared" si="39"/>
        <v/>
      </c>
      <c r="Z469" s="4" t="str">
        <f t="shared" si="40"/>
        <v/>
      </c>
    </row>
    <row r="470" spans="16:26" x14ac:dyDescent="0.25">
      <c r="P470" s="10" t="str">
        <f>IF('[1]All Data '!AZ475="","",'[1]All Data '!AZ475)</f>
        <v/>
      </c>
      <c r="Q470" s="10" t="str">
        <f>IF('[1]All Data '!BB475="","",'[1]All Data '!BB475)</f>
        <v/>
      </c>
      <c r="R470" s="10" t="str">
        <f>IF('[1]All Data '!BD475="","",'[1]All Data '!BD475)</f>
        <v/>
      </c>
      <c r="S470" s="11" t="str">
        <f>IF(R470="","",'[1]All Data '!BE475)</f>
        <v/>
      </c>
      <c r="T470" s="12" t="str">
        <f>IF(S470="","",[1]Inputs_Outputs!$B$8*(1-'LOCH Calc COE Calc'!S470))</f>
        <v/>
      </c>
      <c r="U470" s="13" t="str">
        <f t="shared" si="36"/>
        <v/>
      </c>
      <c r="V470" s="13" t="str">
        <f t="shared" si="37"/>
        <v/>
      </c>
      <c r="W470" s="4" t="str">
        <f t="shared" si="38"/>
        <v/>
      </c>
      <c r="X470" t="str">
        <f>IF(W470="","",LOOKUP(_xlfn.CONCAT(P470,", ",Q470),'[1]T+S Costs'!$F$2:$F$3138,'[1]T+S Costs'!$N$2:$N$3138))</f>
        <v/>
      </c>
      <c r="Y470" s="14" t="str">
        <f t="shared" si="39"/>
        <v/>
      </c>
      <c r="Z470" s="4" t="str">
        <f t="shared" si="40"/>
        <v/>
      </c>
    </row>
    <row r="471" spans="16:26" x14ac:dyDescent="0.25">
      <c r="P471" s="10" t="str">
        <f>IF('[1]All Data '!AZ476="","",'[1]All Data '!AZ476)</f>
        <v/>
      </c>
      <c r="Q471" s="10" t="str">
        <f>IF('[1]All Data '!BB476="","",'[1]All Data '!BB476)</f>
        <v/>
      </c>
      <c r="R471" s="10" t="str">
        <f>IF('[1]All Data '!BD476="","",'[1]All Data '!BD476)</f>
        <v/>
      </c>
      <c r="S471" s="11" t="str">
        <f>IF(R471="","",'[1]All Data '!BE476)</f>
        <v/>
      </c>
      <c r="T471" s="12" t="str">
        <f>IF(S471="","",[1]Inputs_Outputs!$B$8*(1-'LOCH Calc COE Calc'!S471))</f>
        <v/>
      </c>
      <c r="U471" s="13" t="str">
        <f t="shared" si="36"/>
        <v/>
      </c>
      <c r="V471" s="13" t="str">
        <f t="shared" si="37"/>
        <v/>
      </c>
      <c r="W471" s="4" t="str">
        <f t="shared" si="38"/>
        <v/>
      </c>
      <c r="X471" t="str">
        <f>IF(W471="","",LOOKUP(_xlfn.CONCAT(P471,", ",Q471),'[1]T+S Costs'!$F$2:$F$3138,'[1]T+S Costs'!$N$2:$N$3138))</f>
        <v/>
      </c>
      <c r="Y471" s="14" t="str">
        <f t="shared" si="39"/>
        <v/>
      </c>
      <c r="Z471" s="4" t="str">
        <f t="shared" si="40"/>
        <v/>
      </c>
    </row>
    <row r="472" spans="16:26" x14ac:dyDescent="0.25">
      <c r="P472" s="10" t="str">
        <f>IF('[1]All Data '!AZ477="","",'[1]All Data '!AZ477)</f>
        <v/>
      </c>
      <c r="Q472" s="10" t="str">
        <f>IF('[1]All Data '!BB477="","",'[1]All Data '!BB477)</f>
        <v/>
      </c>
      <c r="R472" s="10" t="str">
        <f>IF('[1]All Data '!BD477="","",'[1]All Data '!BD477)</f>
        <v/>
      </c>
      <c r="S472" s="11" t="str">
        <f>IF(R472="","",'[1]All Data '!BE477)</f>
        <v/>
      </c>
      <c r="T472" s="12" t="str">
        <f>IF(S472="","",[1]Inputs_Outputs!$B$8*(1-'LOCH Calc COE Calc'!S472))</f>
        <v/>
      </c>
      <c r="U472" s="13" t="str">
        <f t="shared" si="36"/>
        <v/>
      </c>
      <c r="V472" s="13" t="str">
        <f t="shared" si="37"/>
        <v/>
      </c>
      <c r="W472" s="4" t="str">
        <f t="shared" si="38"/>
        <v/>
      </c>
      <c r="X472" t="str">
        <f>IF(W472="","",LOOKUP(_xlfn.CONCAT(P472,", ",Q472),'[1]T+S Costs'!$F$2:$F$3138,'[1]T+S Costs'!$N$2:$N$3138))</f>
        <v/>
      </c>
      <c r="Y472" s="14" t="str">
        <f t="shared" si="39"/>
        <v/>
      </c>
      <c r="Z472" s="4" t="str">
        <f t="shared" si="40"/>
        <v/>
      </c>
    </row>
    <row r="473" spans="16:26" x14ac:dyDescent="0.25">
      <c r="P473" s="10" t="str">
        <f>IF('[1]All Data '!AZ478="","",'[1]All Data '!AZ478)</f>
        <v/>
      </c>
      <c r="Q473" s="10" t="str">
        <f>IF('[1]All Data '!BB478="","",'[1]All Data '!BB478)</f>
        <v/>
      </c>
      <c r="R473" s="10" t="str">
        <f>IF('[1]All Data '!BD478="","",'[1]All Data '!BD478)</f>
        <v/>
      </c>
      <c r="S473" s="11" t="str">
        <f>IF(R473="","",'[1]All Data '!BE478)</f>
        <v/>
      </c>
      <c r="T473" s="12" t="str">
        <f>IF(S473="","",[1]Inputs_Outputs!$B$8*(1-'LOCH Calc COE Calc'!S473))</f>
        <v/>
      </c>
      <c r="U473" s="13" t="str">
        <f t="shared" si="36"/>
        <v/>
      </c>
      <c r="V473" s="13" t="str">
        <f t="shared" si="37"/>
        <v/>
      </c>
      <c r="W473" s="4" t="str">
        <f t="shared" si="38"/>
        <v/>
      </c>
      <c r="X473" t="str">
        <f>IF(W473="","",LOOKUP(_xlfn.CONCAT(P473,", ",Q473),'[1]T+S Costs'!$F$2:$F$3138,'[1]T+S Costs'!$N$2:$N$3138))</f>
        <v/>
      </c>
      <c r="Y473" s="14" t="str">
        <f t="shared" si="39"/>
        <v/>
      </c>
      <c r="Z473" s="4" t="str">
        <f t="shared" si="40"/>
        <v/>
      </c>
    </row>
    <row r="474" spans="16:26" x14ac:dyDescent="0.25">
      <c r="P474" s="10" t="str">
        <f>IF('[1]All Data '!AZ479="","",'[1]All Data '!AZ479)</f>
        <v/>
      </c>
      <c r="Q474" s="10" t="str">
        <f>IF('[1]All Data '!BB479="","",'[1]All Data '!BB479)</f>
        <v/>
      </c>
      <c r="R474" s="10" t="str">
        <f>IF('[1]All Data '!BD479="","",'[1]All Data '!BD479)</f>
        <v/>
      </c>
      <c r="S474" s="11" t="str">
        <f>IF(R474="","",'[1]All Data '!BE479)</f>
        <v/>
      </c>
      <c r="T474" s="12" t="str">
        <f>IF(S474="","",[1]Inputs_Outputs!$B$8*(1-'LOCH Calc COE Calc'!S474))</f>
        <v/>
      </c>
      <c r="U474" s="13" t="str">
        <f t="shared" si="36"/>
        <v/>
      </c>
      <c r="V474" s="13" t="str">
        <f t="shared" si="37"/>
        <v/>
      </c>
      <c r="W474" s="4" t="str">
        <f t="shared" si="38"/>
        <v/>
      </c>
      <c r="X474" t="str">
        <f>IF(W474="","",LOOKUP(_xlfn.CONCAT(P474,", ",Q474),'[1]T+S Costs'!$F$2:$F$3138,'[1]T+S Costs'!$N$2:$N$3138))</f>
        <v/>
      </c>
      <c r="Y474" s="14" t="str">
        <f t="shared" si="39"/>
        <v/>
      </c>
      <c r="Z474" s="4" t="str">
        <f t="shared" si="40"/>
        <v/>
      </c>
    </row>
    <row r="475" spans="16:26" x14ac:dyDescent="0.25">
      <c r="P475" s="10" t="str">
        <f>IF('[1]All Data '!AZ480="","",'[1]All Data '!AZ480)</f>
        <v/>
      </c>
      <c r="Q475" s="10" t="str">
        <f>IF('[1]All Data '!BB480="","",'[1]All Data '!BB480)</f>
        <v/>
      </c>
      <c r="R475" s="10" t="str">
        <f>IF('[1]All Data '!BD480="","",'[1]All Data '!BD480)</f>
        <v/>
      </c>
      <c r="S475" s="11" t="str">
        <f>IF(R475="","",'[1]All Data '!BE480)</f>
        <v/>
      </c>
      <c r="T475" s="12" t="str">
        <f>IF(S475="","",[1]Inputs_Outputs!$B$8*(1-'LOCH Calc COE Calc'!S475))</f>
        <v/>
      </c>
      <c r="U475" s="13" t="str">
        <f t="shared" si="36"/>
        <v/>
      </c>
      <c r="V475" s="13" t="str">
        <f t="shared" si="37"/>
        <v/>
      </c>
      <c r="W475" s="4" t="str">
        <f t="shared" si="38"/>
        <v/>
      </c>
      <c r="X475" t="str">
        <f>IF(W475="","",LOOKUP(_xlfn.CONCAT(P475,", ",Q475),'[1]T+S Costs'!$F$2:$F$3138,'[1]T+S Costs'!$N$2:$N$3138))</f>
        <v/>
      </c>
      <c r="Y475" s="14" t="str">
        <f t="shared" si="39"/>
        <v/>
      </c>
      <c r="Z475" s="4" t="str">
        <f t="shared" si="40"/>
        <v/>
      </c>
    </row>
    <row r="476" spans="16:26" x14ac:dyDescent="0.25">
      <c r="P476" s="10" t="str">
        <f>IF('[1]All Data '!AZ481="","",'[1]All Data '!AZ481)</f>
        <v/>
      </c>
      <c r="Q476" s="10" t="str">
        <f>IF('[1]All Data '!BB481="","",'[1]All Data '!BB481)</f>
        <v/>
      </c>
      <c r="R476" s="10" t="str">
        <f>IF('[1]All Data '!BD481="","",'[1]All Data '!BD481)</f>
        <v/>
      </c>
      <c r="S476" s="11" t="str">
        <f>IF(R476="","",'[1]All Data '!BE481)</f>
        <v/>
      </c>
      <c r="T476" s="12" t="str">
        <f>IF(S476="","",[1]Inputs_Outputs!$B$8*(1-'LOCH Calc COE Calc'!S476))</f>
        <v/>
      </c>
      <c r="U476" s="13" t="str">
        <f t="shared" si="36"/>
        <v/>
      </c>
      <c r="V476" s="13" t="str">
        <f t="shared" si="37"/>
        <v/>
      </c>
      <c r="W476" s="4" t="str">
        <f t="shared" si="38"/>
        <v/>
      </c>
      <c r="X476" t="str">
        <f>IF(W476="","",LOOKUP(_xlfn.CONCAT(P476,", ",Q476),'[1]T+S Costs'!$F$2:$F$3138,'[1]T+S Costs'!$N$2:$N$3138))</f>
        <v/>
      </c>
      <c r="Y476" s="14" t="str">
        <f t="shared" si="39"/>
        <v/>
      </c>
      <c r="Z476" s="4" t="str">
        <f t="shared" si="40"/>
        <v/>
      </c>
    </row>
    <row r="477" spans="16:26" x14ac:dyDescent="0.25">
      <c r="P477" s="10" t="str">
        <f>IF('[1]All Data '!AZ482="","",'[1]All Data '!AZ482)</f>
        <v/>
      </c>
      <c r="Q477" s="10" t="str">
        <f>IF('[1]All Data '!BB482="","",'[1]All Data '!BB482)</f>
        <v/>
      </c>
      <c r="R477" s="10" t="str">
        <f>IF('[1]All Data '!BD482="","",'[1]All Data '!BD482)</f>
        <v/>
      </c>
      <c r="S477" s="11" t="str">
        <f>IF(R477="","",'[1]All Data '!BE482)</f>
        <v/>
      </c>
      <c r="T477" s="12" t="str">
        <f>IF(S477="","",[1]Inputs_Outputs!$B$8*(1-'LOCH Calc COE Calc'!S477))</f>
        <v/>
      </c>
      <c r="U477" s="13" t="str">
        <f t="shared" si="36"/>
        <v/>
      </c>
      <c r="V477" s="13" t="str">
        <f t="shared" si="37"/>
        <v/>
      </c>
      <c r="W477" s="4" t="str">
        <f t="shared" si="38"/>
        <v/>
      </c>
      <c r="X477" t="str">
        <f>IF(W477="","",LOOKUP(_xlfn.CONCAT(P477,", ",Q477),'[1]T+S Costs'!$F$2:$F$3138,'[1]T+S Costs'!$N$2:$N$3138))</f>
        <v/>
      </c>
      <c r="Y477" s="14" t="str">
        <f t="shared" si="39"/>
        <v/>
      </c>
      <c r="Z477" s="4" t="str">
        <f t="shared" si="40"/>
        <v/>
      </c>
    </row>
    <row r="478" spans="16:26" x14ac:dyDescent="0.25">
      <c r="P478" s="10" t="str">
        <f>IF('[1]All Data '!AZ483="","",'[1]All Data '!AZ483)</f>
        <v/>
      </c>
      <c r="Q478" s="10" t="str">
        <f>IF('[1]All Data '!BB483="","",'[1]All Data '!BB483)</f>
        <v/>
      </c>
      <c r="R478" s="10" t="str">
        <f>IF('[1]All Data '!BD483="","",'[1]All Data '!BD483)</f>
        <v/>
      </c>
      <c r="S478" s="11" t="str">
        <f>IF(R478="","",'[1]All Data '!BE483)</f>
        <v/>
      </c>
      <c r="T478" s="12" t="str">
        <f>IF(S478="","",[1]Inputs_Outputs!$B$8*(1-'LOCH Calc COE Calc'!S478))</f>
        <v/>
      </c>
      <c r="U478" s="13" t="str">
        <f t="shared" si="36"/>
        <v/>
      </c>
      <c r="V478" s="13" t="str">
        <f t="shared" si="37"/>
        <v/>
      </c>
      <c r="W478" s="4" t="str">
        <f t="shared" si="38"/>
        <v/>
      </c>
      <c r="X478" t="str">
        <f>IF(W478="","",LOOKUP(_xlfn.CONCAT(P478,", ",Q478),'[1]T+S Costs'!$F$2:$F$3138,'[1]T+S Costs'!$N$2:$N$3138))</f>
        <v/>
      </c>
      <c r="Y478" s="14" t="str">
        <f t="shared" si="39"/>
        <v/>
      </c>
      <c r="Z478" s="4" t="str">
        <f t="shared" si="40"/>
        <v/>
      </c>
    </row>
    <row r="479" spans="16:26" x14ac:dyDescent="0.25">
      <c r="P479" s="10" t="str">
        <f>IF('[1]All Data '!AZ484="","",'[1]All Data '!AZ484)</f>
        <v/>
      </c>
      <c r="Q479" s="10" t="str">
        <f>IF('[1]All Data '!BB484="","",'[1]All Data '!BB484)</f>
        <v/>
      </c>
      <c r="R479" s="10" t="str">
        <f>IF('[1]All Data '!BD484="","",'[1]All Data '!BD484)</f>
        <v/>
      </c>
      <c r="S479" s="11" t="str">
        <f>IF(R479="","",'[1]All Data '!BE484)</f>
        <v/>
      </c>
      <c r="T479" s="12" t="str">
        <f>IF(S479="","",[1]Inputs_Outputs!$B$8*(1-'LOCH Calc COE Calc'!S479))</f>
        <v/>
      </c>
      <c r="U479" s="13" t="str">
        <f t="shared" si="36"/>
        <v/>
      </c>
      <c r="V479" s="13" t="str">
        <f t="shared" si="37"/>
        <v/>
      </c>
      <c r="W479" s="4" t="str">
        <f t="shared" si="38"/>
        <v/>
      </c>
      <c r="X479" t="str">
        <f>IF(W479="","",LOOKUP(_xlfn.CONCAT(P479,", ",Q479),'[1]T+S Costs'!$F$2:$F$3138,'[1]T+S Costs'!$N$2:$N$3138))</f>
        <v/>
      </c>
      <c r="Y479" s="14" t="str">
        <f t="shared" si="39"/>
        <v/>
      </c>
      <c r="Z479" s="4" t="str">
        <f t="shared" si="40"/>
        <v/>
      </c>
    </row>
    <row r="480" spans="16:26" x14ac:dyDescent="0.25">
      <c r="P480" s="10" t="str">
        <f>IF('[1]All Data '!AZ485="","",'[1]All Data '!AZ485)</f>
        <v/>
      </c>
      <c r="Q480" s="10" t="str">
        <f>IF('[1]All Data '!BB485="","",'[1]All Data '!BB485)</f>
        <v/>
      </c>
      <c r="R480" s="10" t="str">
        <f>IF('[1]All Data '!BD485="","",'[1]All Data '!BD485)</f>
        <v/>
      </c>
      <c r="S480" s="11" t="str">
        <f>IF(R480="","",'[1]All Data '!BE485)</f>
        <v/>
      </c>
      <c r="T480" s="12" t="str">
        <f>IF(S480="","",[1]Inputs_Outputs!$B$8*(1-'LOCH Calc COE Calc'!S480))</f>
        <v/>
      </c>
      <c r="U480" s="13" t="str">
        <f t="shared" si="36"/>
        <v/>
      </c>
      <c r="V480" s="13" t="str">
        <f t="shared" si="37"/>
        <v/>
      </c>
      <c r="W480" s="4" t="str">
        <f t="shared" si="38"/>
        <v/>
      </c>
      <c r="X480" t="str">
        <f>IF(W480="","",LOOKUP(_xlfn.CONCAT(P480,", ",Q480),'[1]T+S Costs'!$F$2:$F$3138,'[1]T+S Costs'!$N$2:$N$3138))</f>
        <v/>
      </c>
      <c r="Y480" s="14" t="str">
        <f t="shared" si="39"/>
        <v/>
      </c>
      <c r="Z480" s="4" t="str">
        <f t="shared" si="40"/>
        <v/>
      </c>
    </row>
    <row r="481" spans="16:26" x14ac:dyDescent="0.25">
      <c r="P481" s="10" t="str">
        <f>IF('[1]All Data '!AZ486="","",'[1]All Data '!AZ486)</f>
        <v/>
      </c>
      <c r="Q481" s="10" t="str">
        <f>IF('[1]All Data '!BB486="","",'[1]All Data '!BB486)</f>
        <v/>
      </c>
      <c r="R481" s="10" t="str">
        <f>IF('[1]All Data '!BD486="","",'[1]All Data '!BD486)</f>
        <v/>
      </c>
      <c r="S481" s="11" t="str">
        <f>IF(R481="","",'[1]All Data '!BE486)</f>
        <v/>
      </c>
      <c r="T481" s="12" t="str">
        <f>IF(S481="","",[1]Inputs_Outputs!$B$8*(1-'LOCH Calc COE Calc'!S481))</f>
        <v/>
      </c>
      <c r="U481" s="13" t="str">
        <f t="shared" si="36"/>
        <v/>
      </c>
      <c r="V481" s="13" t="str">
        <f t="shared" si="37"/>
        <v/>
      </c>
      <c r="W481" s="4" t="str">
        <f t="shared" si="38"/>
        <v/>
      </c>
      <c r="X481" t="str">
        <f>IF(W481="","",LOOKUP(_xlfn.CONCAT(P481,", ",Q481),'[1]T+S Costs'!$F$2:$F$3138,'[1]T+S Costs'!$N$2:$N$3138))</f>
        <v/>
      </c>
      <c r="Y481" s="14" t="str">
        <f t="shared" si="39"/>
        <v/>
      </c>
      <c r="Z481" s="4" t="str">
        <f t="shared" si="40"/>
        <v/>
      </c>
    </row>
    <row r="482" spans="16:26" x14ac:dyDescent="0.25">
      <c r="P482" s="10" t="str">
        <f>IF('[1]All Data '!AZ487="","",'[1]All Data '!AZ487)</f>
        <v/>
      </c>
      <c r="Q482" s="10" t="str">
        <f>IF('[1]All Data '!BB487="","",'[1]All Data '!BB487)</f>
        <v/>
      </c>
      <c r="R482" s="10" t="str">
        <f>IF('[1]All Data '!BD487="","",'[1]All Data '!BD487)</f>
        <v/>
      </c>
      <c r="S482" s="11" t="str">
        <f>IF(R482="","",'[1]All Data '!BE487)</f>
        <v/>
      </c>
      <c r="T482" s="12" t="str">
        <f>IF(S482="","",[1]Inputs_Outputs!$B$8*(1-'LOCH Calc COE Calc'!S482))</f>
        <v/>
      </c>
      <c r="U482" s="13" t="str">
        <f t="shared" si="36"/>
        <v/>
      </c>
      <c r="V482" s="13" t="str">
        <f t="shared" si="37"/>
        <v/>
      </c>
      <c r="W482" s="4" t="str">
        <f t="shared" si="38"/>
        <v/>
      </c>
      <c r="X482" t="str">
        <f>IF(W482="","",LOOKUP(_xlfn.CONCAT(P482,", ",Q482),'[1]T+S Costs'!$F$2:$F$3138,'[1]T+S Costs'!$N$2:$N$3138))</f>
        <v/>
      </c>
      <c r="Y482" s="14" t="str">
        <f t="shared" si="39"/>
        <v/>
      </c>
      <c r="Z482" s="4" t="str">
        <f t="shared" si="40"/>
        <v/>
      </c>
    </row>
    <row r="483" spans="16:26" x14ac:dyDescent="0.25">
      <c r="P483" s="10" t="str">
        <f>IF('[1]All Data '!AZ488="","",'[1]All Data '!AZ488)</f>
        <v/>
      </c>
      <c r="Q483" s="10" t="str">
        <f>IF('[1]All Data '!BB488="","",'[1]All Data '!BB488)</f>
        <v/>
      </c>
      <c r="R483" s="10" t="str">
        <f>IF('[1]All Data '!BD488="","",'[1]All Data '!BD488)</f>
        <v/>
      </c>
      <c r="S483" s="11" t="str">
        <f>IF(R483="","",'[1]All Data '!BE488)</f>
        <v/>
      </c>
      <c r="T483" s="12" t="str">
        <f>IF(S483="","",[1]Inputs_Outputs!$B$8*(1-'LOCH Calc COE Calc'!S483))</f>
        <v/>
      </c>
      <c r="U483" s="13" t="str">
        <f t="shared" si="36"/>
        <v/>
      </c>
      <c r="V483" s="13" t="str">
        <f t="shared" si="37"/>
        <v/>
      </c>
      <c r="W483" s="4" t="str">
        <f t="shared" si="38"/>
        <v/>
      </c>
      <c r="X483" t="str">
        <f>IF(W483="","",LOOKUP(_xlfn.CONCAT(P483,", ",Q483),'[1]T+S Costs'!$F$2:$F$3138,'[1]T+S Costs'!$N$2:$N$3138))</f>
        <v/>
      </c>
      <c r="Y483" s="14" t="str">
        <f t="shared" si="39"/>
        <v/>
      </c>
      <c r="Z483" s="4" t="str">
        <f t="shared" si="40"/>
        <v/>
      </c>
    </row>
    <row r="484" spans="16:26" x14ac:dyDescent="0.25">
      <c r="P484" s="10" t="str">
        <f>IF('[1]All Data '!AZ489="","",'[1]All Data '!AZ489)</f>
        <v/>
      </c>
      <c r="Q484" s="10" t="str">
        <f>IF('[1]All Data '!BB489="","",'[1]All Data '!BB489)</f>
        <v/>
      </c>
      <c r="R484" s="10" t="str">
        <f>IF('[1]All Data '!BD489="","",'[1]All Data '!BD489)</f>
        <v/>
      </c>
      <c r="S484" s="11" t="str">
        <f>IF(R484="","",'[1]All Data '!BE489)</f>
        <v/>
      </c>
      <c r="T484" s="12" t="str">
        <f>IF(S484="","",[1]Inputs_Outputs!$B$8*(1-'LOCH Calc COE Calc'!S484))</f>
        <v/>
      </c>
      <c r="U484" s="13" t="str">
        <f t="shared" si="36"/>
        <v/>
      </c>
      <c r="V484" s="13" t="str">
        <f t="shared" si="37"/>
        <v/>
      </c>
      <c r="W484" s="4" t="str">
        <f t="shared" si="38"/>
        <v/>
      </c>
      <c r="X484" t="str">
        <f>IF(W484="","",LOOKUP(_xlfn.CONCAT(P484,", ",Q484),'[1]T+S Costs'!$F$2:$F$3138,'[1]T+S Costs'!$N$2:$N$3138))</f>
        <v/>
      </c>
      <c r="Y484" s="14" t="str">
        <f t="shared" si="39"/>
        <v/>
      </c>
      <c r="Z484" s="4" t="str">
        <f t="shared" si="40"/>
        <v/>
      </c>
    </row>
    <row r="485" spans="16:26" x14ac:dyDescent="0.25">
      <c r="P485" s="10" t="str">
        <f>IF('[1]All Data '!AZ490="","",'[1]All Data '!AZ490)</f>
        <v/>
      </c>
      <c r="Q485" s="10" t="str">
        <f>IF('[1]All Data '!BB490="","",'[1]All Data '!BB490)</f>
        <v/>
      </c>
      <c r="R485" s="10" t="str">
        <f>IF('[1]All Data '!BD490="","",'[1]All Data '!BD490)</f>
        <v/>
      </c>
      <c r="S485" s="11" t="str">
        <f>IF(R485="","",'[1]All Data '!BE490)</f>
        <v/>
      </c>
      <c r="T485" s="12" t="str">
        <f>IF(S485="","",[1]Inputs_Outputs!$B$8*(1-'LOCH Calc COE Calc'!S485))</f>
        <v/>
      </c>
      <c r="U485" s="13" t="str">
        <f t="shared" si="36"/>
        <v/>
      </c>
      <c r="V485" s="13" t="str">
        <f t="shared" si="37"/>
        <v/>
      </c>
      <c r="W485" s="4" t="str">
        <f t="shared" si="38"/>
        <v/>
      </c>
      <c r="X485" t="str">
        <f>IF(W485="","",LOOKUP(_xlfn.CONCAT(P485,", ",Q485),'[1]T+S Costs'!$F$2:$F$3138,'[1]T+S Costs'!$N$2:$N$3138))</f>
        <v/>
      </c>
      <c r="Y485" s="14" t="str">
        <f t="shared" si="39"/>
        <v/>
      </c>
      <c r="Z485" s="4" t="str">
        <f t="shared" si="40"/>
        <v/>
      </c>
    </row>
    <row r="486" spans="16:26" x14ac:dyDescent="0.25">
      <c r="P486" s="10" t="str">
        <f>IF('[1]All Data '!AZ491="","",'[1]All Data '!AZ491)</f>
        <v/>
      </c>
      <c r="Q486" s="10" t="str">
        <f>IF('[1]All Data '!BB491="","",'[1]All Data '!BB491)</f>
        <v/>
      </c>
      <c r="R486" s="10" t="str">
        <f>IF('[1]All Data '!BD491="","",'[1]All Data '!BD491)</f>
        <v/>
      </c>
      <c r="S486" s="11" t="str">
        <f>IF(R486="","",'[1]All Data '!BE491)</f>
        <v/>
      </c>
      <c r="T486" s="12" t="str">
        <f>IF(S486="","",[1]Inputs_Outputs!$B$8*(1-'LOCH Calc COE Calc'!S486))</f>
        <v/>
      </c>
      <c r="U486" s="13" t="str">
        <f t="shared" si="36"/>
        <v/>
      </c>
      <c r="V486" s="13" t="str">
        <f t="shared" si="37"/>
        <v/>
      </c>
      <c r="W486" s="4" t="str">
        <f t="shared" si="38"/>
        <v/>
      </c>
      <c r="X486" t="str">
        <f>IF(W486="","",LOOKUP(_xlfn.CONCAT(P486,", ",Q486),'[1]T+S Costs'!$F$2:$F$3138,'[1]T+S Costs'!$N$2:$N$3138))</f>
        <v/>
      </c>
      <c r="Y486" s="14" t="str">
        <f t="shared" si="39"/>
        <v/>
      </c>
      <c r="Z486" s="4" t="str">
        <f t="shared" si="40"/>
        <v/>
      </c>
    </row>
    <row r="487" spans="16:26" x14ac:dyDescent="0.25">
      <c r="P487" s="10" t="str">
        <f>IF('[1]All Data '!AZ492="","",'[1]All Data '!AZ492)</f>
        <v/>
      </c>
      <c r="Q487" s="10" t="str">
        <f>IF('[1]All Data '!BB492="","",'[1]All Data '!BB492)</f>
        <v/>
      </c>
      <c r="R487" s="10" t="str">
        <f>IF('[1]All Data '!BD492="","",'[1]All Data '!BD492)</f>
        <v/>
      </c>
      <c r="S487" s="11" t="str">
        <f>IF(R487="","",'[1]All Data '!BE492)</f>
        <v/>
      </c>
      <c r="T487" s="12" t="str">
        <f>IF(S487="","",[1]Inputs_Outputs!$B$8*(1-'LOCH Calc COE Calc'!S487))</f>
        <v/>
      </c>
      <c r="U487" s="13" t="str">
        <f t="shared" si="36"/>
        <v/>
      </c>
      <c r="V487" s="13" t="str">
        <f t="shared" si="37"/>
        <v/>
      </c>
      <c r="W487" s="4" t="str">
        <f t="shared" si="38"/>
        <v/>
      </c>
      <c r="X487" t="str">
        <f>IF(W487="","",LOOKUP(_xlfn.CONCAT(P487,", ",Q487),'[1]T+S Costs'!$F$2:$F$3138,'[1]T+S Costs'!$N$2:$N$3138))</f>
        <v/>
      </c>
      <c r="Y487" s="14" t="str">
        <f t="shared" si="39"/>
        <v/>
      </c>
      <c r="Z487" s="4" t="str">
        <f t="shared" si="40"/>
        <v/>
      </c>
    </row>
    <row r="488" spans="16:26" x14ac:dyDescent="0.25">
      <c r="P488" s="10" t="str">
        <f>IF('[1]All Data '!AZ493="","",'[1]All Data '!AZ493)</f>
        <v/>
      </c>
      <c r="Q488" s="10" t="str">
        <f>IF('[1]All Data '!BB493="","",'[1]All Data '!BB493)</f>
        <v/>
      </c>
      <c r="R488" s="10" t="str">
        <f>IF('[1]All Data '!BD493="","",'[1]All Data '!BD493)</f>
        <v/>
      </c>
      <c r="S488" s="11" t="str">
        <f>IF(R488="","",'[1]All Data '!BE493)</f>
        <v/>
      </c>
      <c r="T488" s="12" t="str">
        <f>IF(S488="","",[1]Inputs_Outputs!$B$8*(1-'LOCH Calc COE Calc'!S488))</f>
        <v/>
      </c>
      <c r="U488" s="13" t="str">
        <f t="shared" si="36"/>
        <v/>
      </c>
      <c r="V488" s="13" t="str">
        <f t="shared" si="37"/>
        <v/>
      </c>
      <c r="W488" s="4" t="str">
        <f t="shared" si="38"/>
        <v/>
      </c>
      <c r="X488" t="str">
        <f>IF(W488="","",LOOKUP(_xlfn.CONCAT(P488,", ",Q488),'[1]T+S Costs'!$F$2:$F$3138,'[1]T+S Costs'!$N$2:$N$3138))</f>
        <v/>
      </c>
      <c r="Y488" s="14" t="str">
        <f t="shared" si="39"/>
        <v/>
      </c>
      <c r="Z488" s="4" t="str">
        <f t="shared" si="40"/>
        <v/>
      </c>
    </row>
    <row r="489" spans="16:26" x14ac:dyDescent="0.25">
      <c r="P489" s="10" t="str">
        <f>IF('[1]All Data '!AZ494="","",'[1]All Data '!AZ494)</f>
        <v/>
      </c>
      <c r="Q489" s="10" t="str">
        <f>IF('[1]All Data '!BB494="","",'[1]All Data '!BB494)</f>
        <v/>
      </c>
      <c r="R489" s="10" t="str">
        <f>IF('[1]All Data '!BD494="","",'[1]All Data '!BD494)</f>
        <v/>
      </c>
      <c r="S489" s="11" t="str">
        <f>IF(R489="","",'[1]All Data '!BE494)</f>
        <v/>
      </c>
      <c r="T489" s="12" t="str">
        <f>IF(S489="","",[1]Inputs_Outputs!$B$8*(1-'LOCH Calc COE Calc'!S489))</f>
        <v/>
      </c>
      <c r="U489" s="13" t="str">
        <f t="shared" si="36"/>
        <v/>
      </c>
      <c r="V489" s="13" t="str">
        <f t="shared" si="37"/>
        <v/>
      </c>
      <c r="W489" s="4" t="str">
        <f t="shared" si="38"/>
        <v/>
      </c>
      <c r="X489" t="str">
        <f>IF(W489="","",LOOKUP(_xlfn.CONCAT(P489,", ",Q489),'[1]T+S Costs'!$F$2:$F$3138,'[1]T+S Costs'!$N$2:$N$3138))</f>
        <v/>
      </c>
      <c r="Y489" s="14" t="str">
        <f t="shared" si="39"/>
        <v/>
      </c>
      <c r="Z489" s="4" t="str">
        <f t="shared" si="40"/>
        <v/>
      </c>
    </row>
    <row r="490" spans="16:26" x14ac:dyDescent="0.25">
      <c r="P490" s="10" t="str">
        <f>IF('[1]All Data '!AZ495="","",'[1]All Data '!AZ495)</f>
        <v/>
      </c>
      <c r="Q490" s="10" t="str">
        <f>IF('[1]All Data '!BB495="","",'[1]All Data '!BB495)</f>
        <v/>
      </c>
      <c r="R490" s="10" t="str">
        <f>IF('[1]All Data '!BD495="","",'[1]All Data '!BD495)</f>
        <v/>
      </c>
      <c r="S490" s="11" t="str">
        <f>IF(R490="","",'[1]All Data '!BE495)</f>
        <v/>
      </c>
      <c r="T490" s="12" t="str">
        <f>IF(S490="","",[1]Inputs_Outputs!$B$8*(1-'LOCH Calc COE Calc'!S490))</f>
        <v/>
      </c>
      <c r="U490" s="13" t="str">
        <f t="shared" si="36"/>
        <v/>
      </c>
      <c r="V490" s="13" t="str">
        <f t="shared" si="37"/>
        <v/>
      </c>
      <c r="W490" s="4" t="str">
        <f t="shared" si="38"/>
        <v/>
      </c>
      <c r="X490" t="str">
        <f>IF(W490="","",LOOKUP(_xlfn.CONCAT(P490,", ",Q490),'[1]T+S Costs'!$F$2:$F$3138,'[1]T+S Costs'!$N$2:$N$3138))</f>
        <v/>
      </c>
      <c r="Y490" s="14" t="str">
        <f t="shared" si="39"/>
        <v/>
      </c>
      <c r="Z490" s="4" t="str">
        <f t="shared" si="40"/>
        <v/>
      </c>
    </row>
    <row r="491" spans="16:26" x14ac:dyDescent="0.25">
      <c r="P491" s="10" t="str">
        <f>IF('[1]All Data '!AZ496="","",'[1]All Data '!AZ496)</f>
        <v/>
      </c>
      <c r="Q491" s="10" t="str">
        <f>IF('[1]All Data '!BB496="","",'[1]All Data '!BB496)</f>
        <v/>
      </c>
      <c r="R491" s="10" t="str">
        <f>IF('[1]All Data '!BD496="","",'[1]All Data '!BD496)</f>
        <v/>
      </c>
      <c r="S491" s="11" t="str">
        <f>IF(R491="","",'[1]All Data '!BE496)</f>
        <v/>
      </c>
      <c r="T491" s="12" t="str">
        <f>IF(S491="","",[1]Inputs_Outputs!$B$8*(1-'LOCH Calc COE Calc'!S491))</f>
        <v/>
      </c>
      <c r="U491" s="13" t="str">
        <f t="shared" si="36"/>
        <v/>
      </c>
      <c r="V491" s="13" t="str">
        <f t="shared" si="37"/>
        <v/>
      </c>
      <c r="W491" s="4" t="str">
        <f t="shared" si="38"/>
        <v/>
      </c>
      <c r="X491" t="str">
        <f>IF(W491="","",LOOKUP(_xlfn.CONCAT(P491,", ",Q491),'[1]T+S Costs'!$F$2:$F$3138,'[1]T+S Costs'!$N$2:$N$3138))</f>
        <v/>
      </c>
      <c r="Y491" s="14" t="str">
        <f t="shared" si="39"/>
        <v/>
      </c>
      <c r="Z491" s="4" t="str">
        <f t="shared" si="40"/>
        <v/>
      </c>
    </row>
    <row r="492" spans="16:26" x14ac:dyDescent="0.25">
      <c r="P492" s="10" t="str">
        <f>IF('[1]All Data '!AZ497="","",'[1]All Data '!AZ497)</f>
        <v/>
      </c>
      <c r="Q492" s="10" t="str">
        <f>IF('[1]All Data '!BB497="","",'[1]All Data '!BB497)</f>
        <v/>
      </c>
      <c r="R492" s="10" t="str">
        <f>IF('[1]All Data '!BD497="","",'[1]All Data '!BD497)</f>
        <v/>
      </c>
      <c r="S492" s="11" t="str">
        <f>IF(R492="","",'[1]All Data '!BE497)</f>
        <v/>
      </c>
      <c r="T492" s="12" t="str">
        <f>IF(S492="","",[1]Inputs_Outputs!$B$8*(1-'LOCH Calc COE Calc'!S492))</f>
        <v/>
      </c>
      <c r="U492" s="13" t="str">
        <f t="shared" si="36"/>
        <v/>
      </c>
      <c r="V492" s="13" t="str">
        <f t="shared" si="37"/>
        <v/>
      </c>
      <c r="W492" s="4" t="str">
        <f t="shared" si="38"/>
        <v/>
      </c>
      <c r="X492" t="str">
        <f>IF(W492="","",LOOKUP(_xlfn.CONCAT(P492,", ",Q492),'[1]T+S Costs'!$F$2:$F$3138,'[1]T+S Costs'!$N$2:$N$3138))</f>
        <v/>
      </c>
      <c r="Y492" s="14" t="str">
        <f t="shared" si="39"/>
        <v/>
      </c>
      <c r="Z492" s="4" t="str">
        <f t="shared" si="40"/>
        <v/>
      </c>
    </row>
    <row r="493" spans="16:26" x14ac:dyDescent="0.25">
      <c r="P493" s="10" t="str">
        <f>IF('[1]All Data '!AZ498="","",'[1]All Data '!AZ498)</f>
        <v/>
      </c>
      <c r="Q493" s="10" t="str">
        <f>IF('[1]All Data '!BB498="","",'[1]All Data '!BB498)</f>
        <v/>
      </c>
      <c r="R493" s="10" t="str">
        <f>IF('[1]All Data '!BD498="","",'[1]All Data '!BD498)</f>
        <v/>
      </c>
      <c r="S493" s="11" t="str">
        <f>IF(R493="","",'[1]All Data '!BE498)</f>
        <v/>
      </c>
      <c r="T493" s="12" t="str">
        <f>IF(S493="","",[1]Inputs_Outputs!$B$8*(1-'LOCH Calc COE Calc'!S493))</f>
        <v/>
      </c>
      <c r="U493" s="13" t="str">
        <f t="shared" si="36"/>
        <v/>
      </c>
      <c r="V493" s="13" t="str">
        <f t="shared" si="37"/>
        <v/>
      </c>
      <c r="W493" s="4" t="str">
        <f t="shared" si="38"/>
        <v/>
      </c>
      <c r="X493" t="str">
        <f>IF(W493="","",LOOKUP(_xlfn.CONCAT(P493,", ",Q493),'[1]T+S Costs'!$F$2:$F$3138,'[1]T+S Costs'!$N$2:$N$3138))</f>
        <v/>
      </c>
      <c r="Y493" s="14" t="str">
        <f t="shared" si="39"/>
        <v/>
      </c>
      <c r="Z493" s="4" t="str">
        <f t="shared" si="40"/>
        <v/>
      </c>
    </row>
    <row r="494" spans="16:26" x14ac:dyDescent="0.25">
      <c r="P494" s="10" t="str">
        <f>IF('[1]All Data '!AZ499="","",'[1]All Data '!AZ499)</f>
        <v/>
      </c>
      <c r="Q494" s="10" t="str">
        <f>IF('[1]All Data '!BB499="","",'[1]All Data '!BB499)</f>
        <v/>
      </c>
      <c r="R494" s="10" t="str">
        <f>IF('[1]All Data '!BD499="","",'[1]All Data '!BD499)</f>
        <v/>
      </c>
      <c r="S494" s="11" t="str">
        <f>IF(R494="","",'[1]All Data '!BE499)</f>
        <v/>
      </c>
      <c r="T494" s="12" t="str">
        <f>IF(S494="","",[1]Inputs_Outputs!$B$8*(1-'LOCH Calc COE Calc'!S494))</f>
        <v/>
      </c>
      <c r="U494" s="13" t="str">
        <f t="shared" si="36"/>
        <v/>
      </c>
      <c r="V494" s="13" t="str">
        <f t="shared" si="37"/>
        <v/>
      </c>
      <c r="W494" s="4" t="str">
        <f t="shared" si="38"/>
        <v/>
      </c>
      <c r="X494" t="str">
        <f>IF(W494="","",LOOKUP(_xlfn.CONCAT(P494,", ",Q494),'[1]T+S Costs'!$F$2:$F$3138,'[1]T+S Costs'!$N$2:$N$3138))</f>
        <v/>
      </c>
      <c r="Y494" s="14" t="str">
        <f t="shared" si="39"/>
        <v/>
      </c>
      <c r="Z494" s="4" t="str">
        <f t="shared" si="40"/>
        <v/>
      </c>
    </row>
    <row r="495" spans="16:26" x14ac:dyDescent="0.25">
      <c r="P495" s="10" t="str">
        <f>IF('[1]All Data '!AZ500="","",'[1]All Data '!AZ500)</f>
        <v/>
      </c>
      <c r="Q495" s="10" t="str">
        <f>IF('[1]All Data '!BB500="","",'[1]All Data '!BB500)</f>
        <v/>
      </c>
      <c r="R495" s="10" t="str">
        <f>IF('[1]All Data '!BD500="","",'[1]All Data '!BD500)</f>
        <v/>
      </c>
      <c r="S495" s="11" t="str">
        <f>IF(R495="","",'[1]All Data '!BE500)</f>
        <v/>
      </c>
      <c r="T495" s="12" t="str">
        <f>IF(S495="","",[1]Inputs_Outputs!$B$8*(1-'LOCH Calc COE Calc'!S495))</f>
        <v/>
      </c>
      <c r="U495" s="13" t="str">
        <f t="shared" si="36"/>
        <v/>
      </c>
      <c r="V495" s="13" t="str">
        <f t="shared" si="37"/>
        <v/>
      </c>
      <c r="W495" s="4" t="str">
        <f t="shared" si="38"/>
        <v/>
      </c>
      <c r="X495" t="str">
        <f>IF(W495="","",LOOKUP(_xlfn.CONCAT(P495,", ",Q495),'[1]T+S Costs'!$F$2:$F$3138,'[1]T+S Costs'!$N$2:$N$3138))</f>
        <v/>
      </c>
      <c r="Y495" s="14" t="str">
        <f t="shared" si="39"/>
        <v/>
      </c>
      <c r="Z495" s="4" t="str">
        <f t="shared" si="40"/>
        <v/>
      </c>
    </row>
    <row r="496" spans="16:26" x14ac:dyDescent="0.25">
      <c r="P496" s="10" t="str">
        <f>IF('[1]All Data '!AZ501="","",'[1]All Data '!AZ501)</f>
        <v/>
      </c>
      <c r="Q496" s="10" t="str">
        <f>IF('[1]All Data '!BB501="","",'[1]All Data '!BB501)</f>
        <v/>
      </c>
      <c r="R496" s="10" t="str">
        <f>IF('[1]All Data '!BD501="","",'[1]All Data '!BD501)</f>
        <v/>
      </c>
      <c r="S496" s="11" t="str">
        <f>IF(R496="","",'[1]All Data '!BE501)</f>
        <v/>
      </c>
      <c r="T496" s="12" t="str">
        <f>IF(S496="","",[1]Inputs_Outputs!$B$8*(1-'LOCH Calc COE Calc'!S496))</f>
        <v/>
      </c>
      <c r="U496" s="13" t="str">
        <f t="shared" si="36"/>
        <v/>
      </c>
      <c r="V496" s="13" t="str">
        <f t="shared" si="37"/>
        <v/>
      </c>
      <c r="W496" s="4" t="str">
        <f t="shared" si="38"/>
        <v/>
      </c>
      <c r="X496" t="str">
        <f>IF(W496="","",LOOKUP(_xlfn.CONCAT(P496,", ",Q496),'[1]T+S Costs'!$F$2:$F$3138,'[1]T+S Costs'!$N$2:$N$3138))</f>
        <v/>
      </c>
      <c r="Y496" s="14" t="str">
        <f t="shared" si="39"/>
        <v/>
      </c>
      <c r="Z496" s="4" t="str">
        <f t="shared" si="40"/>
        <v/>
      </c>
    </row>
    <row r="497" spans="16:26" x14ac:dyDescent="0.25">
      <c r="P497" s="10" t="str">
        <f>IF('[1]All Data '!AZ502="","",'[1]All Data '!AZ502)</f>
        <v/>
      </c>
      <c r="Q497" s="10" t="str">
        <f>IF('[1]All Data '!BB502="","",'[1]All Data '!BB502)</f>
        <v/>
      </c>
      <c r="R497" s="10" t="str">
        <f>IF('[1]All Data '!BD502="","",'[1]All Data '!BD502)</f>
        <v/>
      </c>
      <c r="S497" s="11" t="str">
        <f>IF(R497="","",'[1]All Data '!BE502)</f>
        <v/>
      </c>
      <c r="T497" s="12" t="str">
        <f>IF(S497="","",[1]Inputs_Outputs!$B$8*(1-'LOCH Calc COE Calc'!S497))</f>
        <v/>
      </c>
      <c r="U497" s="13" t="str">
        <f t="shared" si="36"/>
        <v/>
      </c>
      <c r="V497" s="13" t="str">
        <f t="shared" si="37"/>
        <v/>
      </c>
      <c r="W497" s="4" t="str">
        <f t="shared" si="38"/>
        <v/>
      </c>
      <c r="X497" t="str">
        <f>IF(W497="","",LOOKUP(_xlfn.CONCAT(P497,", ",Q497),'[1]T+S Costs'!$F$2:$F$3138,'[1]T+S Costs'!$N$2:$N$3138))</f>
        <v/>
      </c>
      <c r="Y497" s="14" t="str">
        <f t="shared" si="39"/>
        <v/>
      </c>
      <c r="Z497" s="4" t="str">
        <f t="shared" si="40"/>
        <v/>
      </c>
    </row>
    <row r="498" spans="16:26" x14ac:dyDescent="0.25">
      <c r="P498" s="10" t="str">
        <f>IF('[1]All Data '!AZ503="","",'[1]All Data '!AZ503)</f>
        <v/>
      </c>
      <c r="Q498" s="10" t="str">
        <f>IF('[1]All Data '!BB503="","",'[1]All Data '!BB503)</f>
        <v/>
      </c>
      <c r="R498" s="10" t="str">
        <f>IF('[1]All Data '!BD503="","",'[1]All Data '!BD503)</f>
        <v/>
      </c>
      <c r="S498" s="11" t="str">
        <f>IF(R498="","",'[1]All Data '!BE503)</f>
        <v/>
      </c>
      <c r="T498" s="12" t="str">
        <f>IF(S498="","",[1]Inputs_Outputs!$B$8*(1-'LOCH Calc COE Calc'!S498))</f>
        <v/>
      </c>
      <c r="U498" s="13" t="str">
        <f t="shared" si="36"/>
        <v/>
      </c>
      <c r="V498" s="13" t="str">
        <f t="shared" si="37"/>
        <v/>
      </c>
      <c r="W498" s="4" t="str">
        <f t="shared" si="38"/>
        <v/>
      </c>
      <c r="X498" t="str">
        <f>IF(W498="","",LOOKUP(_xlfn.CONCAT(P498,", ",Q498),'[1]T+S Costs'!$F$2:$F$3138,'[1]T+S Costs'!$N$2:$N$3138))</f>
        <v/>
      </c>
      <c r="Y498" s="14" t="str">
        <f t="shared" si="39"/>
        <v/>
      </c>
      <c r="Z498" s="4" t="str">
        <f t="shared" si="40"/>
        <v/>
      </c>
    </row>
    <row r="499" spans="16:26" x14ac:dyDescent="0.25">
      <c r="P499" s="10" t="str">
        <f>IF('[1]All Data '!AZ504="","",'[1]All Data '!AZ504)</f>
        <v/>
      </c>
      <c r="Q499" s="10" t="str">
        <f>IF('[1]All Data '!BB504="","",'[1]All Data '!BB504)</f>
        <v/>
      </c>
      <c r="R499" s="10" t="str">
        <f>IF('[1]All Data '!BD504="","",'[1]All Data '!BD504)</f>
        <v/>
      </c>
      <c r="S499" s="11" t="str">
        <f>IF(R499="","",'[1]All Data '!BE504)</f>
        <v/>
      </c>
      <c r="T499" s="12" t="str">
        <f>IF(S499="","",[1]Inputs_Outputs!$B$8*(1-'LOCH Calc COE Calc'!S499))</f>
        <v/>
      </c>
      <c r="U499" s="13" t="str">
        <f t="shared" si="36"/>
        <v/>
      </c>
      <c r="V499" s="13" t="str">
        <f t="shared" si="37"/>
        <v/>
      </c>
      <c r="W499" s="4" t="str">
        <f t="shared" si="38"/>
        <v/>
      </c>
      <c r="X499" t="str">
        <f>IF(W499="","",LOOKUP(_xlfn.CONCAT(P499,", ",Q499),'[1]T+S Costs'!$F$2:$F$3138,'[1]T+S Costs'!$N$2:$N$3138))</f>
        <v/>
      </c>
      <c r="Y499" s="14" t="str">
        <f t="shared" si="39"/>
        <v/>
      </c>
      <c r="Z499" s="4" t="str">
        <f t="shared" si="40"/>
        <v/>
      </c>
    </row>
    <row r="500" spans="16:26" x14ac:dyDescent="0.25">
      <c r="P500" s="10" t="str">
        <f>IF('[1]All Data '!AZ505="","",'[1]All Data '!AZ505)</f>
        <v/>
      </c>
      <c r="Q500" s="10" t="str">
        <f>IF('[1]All Data '!BB505="","",'[1]All Data '!BB505)</f>
        <v/>
      </c>
      <c r="R500" s="10" t="str">
        <f>IF('[1]All Data '!BD505="","",'[1]All Data '!BD505)</f>
        <v/>
      </c>
      <c r="S500" s="11" t="str">
        <f>IF(R500="","",'[1]All Data '!BE505)</f>
        <v/>
      </c>
      <c r="T500" s="12" t="str">
        <f>IF(S500="","",[1]Inputs_Outputs!$B$8*(1-'LOCH Calc COE Calc'!S500))</f>
        <v/>
      </c>
      <c r="U500" s="13" t="str">
        <f t="shared" si="36"/>
        <v/>
      </c>
      <c r="V500" s="13" t="str">
        <f t="shared" si="37"/>
        <v/>
      </c>
      <c r="W500" s="4" t="str">
        <f t="shared" si="38"/>
        <v/>
      </c>
      <c r="X500" t="str">
        <f>IF(W500="","",LOOKUP(_xlfn.CONCAT(P500,", ",Q500),'[1]T+S Costs'!$F$2:$F$3138,'[1]T+S Costs'!$N$2:$N$3138))</f>
        <v/>
      </c>
      <c r="Y500" s="14" t="str">
        <f t="shared" si="39"/>
        <v/>
      </c>
      <c r="Z500" s="4" t="str">
        <f t="shared" si="40"/>
        <v/>
      </c>
    </row>
    <row r="501" spans="16:26" x14ac:dyDescent="0.25">
      <c r="P501" s="10" t="str">
        <f>IF('[1]All Data '!AZ506="","",'[1]All Data '!AZ506)</f>
        <v/>
      </c>
      <c r="Q501" s="10" t="str">
        <f>IF('[1]All Data '!BB506="","",'[1]All Data '!BB506)</f>
        <v/>
      </c>
      <c r="R501" s="10" t="str">
        <f>IF('[1]All Data '!BD506="","",'[1]All Data '!BD506)</f>
        <v/>
      </c>
      <c r="S501" s="11" t="str">
        <f>IF(R501="","",'[1]All Data '!BE506)</f>
        <v/>
      </c>
      <c r="T501" s="12" t="str">
        <f>IF(S501="","",[1]Inputs_Outputs!$B$8*(1-'LOCH Calc COE Calc'!S501))</f>
        <v/>
      </c>
      <c r="U501" s="13" t="str">
        <f t="shared" si="36"/>
        <v/>
      </c>
      <c r="V501" s="13" t="str">
        <f t="shared" si="37"/>
        <v/>
      </c>
      <c r="W501" s="4" t="str">
        <f t="shared" si="38"/>
        <v/>
      </c>
      <c r="X501" t="str">
        <f>IF(W501="","",LOOKUP(_xlfn.CONCAT(P501,", ",Q501),'[1]T+S Costs'!$F$2:$F$3138,'[1]T+S Costs'!$N$2:$N$3138))</f>
        <v/>
      </c>
      <c r="Y501" s="14" t="str">
        <f t="shared" si="39"/>
        <v/>
      </c>
      <c r="Z501" s="4" t="str">
        <f t="shared" si="40"/>
        <v/>
      </c>
    </row>
    <row r="502" spans="16:26" x14ac:dyDescent="0.25">
      <c r="P502" s="10" t="str">
        <f>IF('[1]All Data '!AZ507="","",'[1]All Data '!AZ507)</f>
        <v/>
      </c>
      <c r="Q502" s="10" t="str">
        <f>IF('[1]All Data '!BB507="","",'[1]All Data '!BB507)</f>
        <v/>
      </c>
      <c r="R502" s="10" t="str">
        <f>IF('[1]All Data '!BD507="","",'[1]All Data '!BD507)</f>
        <v/>
      </c>
      <c r="S502" s="11" t="str">
        <f>IF(R502="","",'[1]All Data '!BE507)</f>
        <v/>
      </c>
      <c r="T502" s="12" t="str">
        <f>IF(S502="","",[1]Inputs_Outputs!$B$8*(1-'LOCH Calc COE Calc'!S502))</f>
        <v/>
      </c>
      <c r="U502" s="13" t="str">
        <f t="shared" si="36"/>
        <v/>
      </c>
      <c r="V502" s="13" t="str">
        <f t="shared" si="37"/>
        <v/>
      </c>
      <c r="W502" s="4" t="str">
        <f t="shared" si="38"/>
        <v/>
      </c>
      <c r="X502" t="str">
        <f>IF(W502="","",LOOKUP(_xlfn.CONCAT(P502,", ",Q502),'[1]T+S Costs'!$F$2:$F$3138,'[1]T+S Costs'!$N$2:$N$3138))</f>
        <v/>
      </c>
      <c r="Y502" s="14" t="str">
        <f t="shared" si="39"/>
        <v/>
      </c>
      <c r="Z502" s="4" t="str">
        <f t="shared" si="40"/>
        <v/>
      </c>
    </row>
    <row r="503" spans="16:26" x14ac:dyDescent="0.25">
      <c r="P503" s="10" t="str">
        <f>IF('[1]All Data '!AZ508="","",'[1]All Data '!AZ508)</f>
        <v/>
      </c>
      <c r="Q503" s="10" t="str">
        <f>IF('[1]All Data '!BB508="","",'[1]All Data '!BB508)</f>
        <v/>
      </c>
      <c r="R503" s="10" t="str">
        <f>IF('[1]All Data '!BD508="","",'[1]All Data '!BD508)</f>
        <v/>
      </c>
      <c r="S503" s="11" t="str">
        <f>IF(R503="","",'[1]All Data '!BE508)</f>
        <v/>
      </c>
      <c r="T503" s="12" t="str">
        <f>IF(S503="","",[1]Inputs_Outputs!$B$8*(1-'LOCH Calc COE Calc'!S503))</f>
        <v/>
      </c>
      <c r="U503" s="13" t="str">
        <f t="shared" si="36"/>
        <v/>
      </c>
      <c r="V503" s="13" t="str">
        <f t="shared" si="37"/>
        <v/>
      </c>
      <c r="W503" s="4" t="str">
        <f t="shared" si="38"/>
        <v/>
      </c>
      <c r="X503" t="str">
        <f>IF(W503="","",LOOKUP(_xlfn.CONCAT(P503,", ",Q503),'[1]T+S Costs'!$F$2:$F$3138,'[1]T+S Costs'!$N$2:$N$3138))</f>
        <v/>
      </c>
      <c r="Y503" s="14" t="str">
        <f t="shared" si="39"/>
        <v/>
      </c>
      <c r="Z503" s="4" t="str">
        <f t="shared" si="40"/>
        <v/>
      </c>
    </row>
    <row r="504" spans="16:26" x14ac:dyDescent="0.25">
      <c r="P504" s="10" t="str">
        <f>IF('[1]All Data '!AZ509="","",'[1]All Data '!AZ509)</f>
        <v/>
      </c>
      <c r="Q504" s="10" t="str">
        <f>IF('[1]All Data '!BB509="","",'[1]All Data '!BB509)</f>
        <v/>
      </c>
      <c r="R504" s="10" t="str">
        <f>IF('[1]All Data '!BD509="","",'[1]All Data '!BD509)</f>
        <v/>
      </c>
      <c r="S504" s="11" t="str">
        <f>IF(R504="","",'[1]All Data '!BE509)</f>
        <v/>
      </c>
      <c r="T504" s="12" t="str">
        <f>IF(S504="","",[1]Inputs_Outputs!$B$8*(1-'LOCH Calc COE Calc'!S504))</f>
        <v/>
      </c>
      <c r="U504" s="13" t="str">
        <f t="shared" si="36"/>
        <v/>
      </c>
      <c r="V504" s="13" t="str">
        <f t="shared" si="37"/>
        <v/>
      </c>
      <c r="W504" s="4" t="str">
        <f t="shared" si="38"/>
        <v/>
      </c>
      <c r="X504" t="str">
        <f>IF(W504="","",LOOKUP(_xlfn.CONCAT(P504,", ",Q504),'[1]T+S Costs'!$F$2:$F$3138,'[1]T+S Costs'!$N$2:$N$3138))</f>
        <v/>
      </c>
      <c r="Y504" s="14" t="str">
        <f t="shared" si="39"/>
        <v/>
      </c>
      <c r="Z504" s="4" t="str">
        <f t="shared" si="40"/>
        <v/>
      </c>
    </row>
    <row r="505" spans="16:26" x14ac:dyDescent="0.25">
      <c r="P505" s="10" t="str">
        <f>IF('[1]All Data '!AZ510="","",'[1]All Data '!AZ510)</f>
        <v/>
      </c>
      <c r="Q505" s="10" t="str">
        <f>IF('[1]All Data '!BB510="","",'[1]All Data '!BB510)</f>
        <v/>
      </c>
      <c r="R505" s="10" t="str">
        <f>IF('[1]All Data '!BD510="","",'[1]All Data '!BD510)</f>
        <v/>
      </c>
      <c r="S505" s="11" t="str">
        <f>IF(R505="","",'[1]All Data '!BE510)</f>
        <v/>
      </c>
      <c r="T505" s="12" t="str">
        <f>IF(S505="","",[1]Inputs_Outputs!$B$8*(1-'LOCH Calc COE Calc'!S505))</f>
        <v/>
      </c>
      <c r="U505" s="13" t="str">
        <f t="shared" si="36"/>
        <v/>
      </c>
      <c r="V505" s="13" t="str">
        <f t="shared" si="37"/>
        <v/>
      </c>
      <c r="W505" s="4" t="str">
        <f t="shared" si="38"/>
        <v/>
      </c>
      <c r="X505" t="str">
        <f>IF(W505="","",LOOKUP(_xlfn.CONCAT(P505,", ",Q505),'[1]T+S Costs'!$F$2:$F$3138,'[1]T+S Costs'!$N$2:$N$3138))</f>
        <v/>
      </c>
      <c r="Y505" s="14" t="str">
        <f t="shared" si="39"/>
        <v/>
      </c>
      <c r="Z505" s="4" t="str">
        <f t="shared" si="40"/>
        <v/>
      </c>
    </row>
    <row r="506" spans="16:26" x14ac:dyDescent="0.25">
      <c r="P506" s="10" t="str">
        <f>IF('[1]All Data '!AZ511="","",'[1]All Data '!AZ511)</f>
        <v/>
      </c>
      <c r="Q506" s="10" t="str">
        <f>IF('[1]All Data '!BB511="","",'[1]All Data '!BB511)</f>
        <v/>
      </c>
      <c r="R506" s="10" t="str">
        <f>IF('[1]All Data '!BD511="","",'[1]All Data '!BD511)</f>
        <v/>
      </c>
      <c r="S506" s="11" t="str">
        <f>IF(R506="","",'[1]All Data '!BE511)</f>
        <v/>
      </c>
      <c r="T506" s="12" t="str">
        <f>IF(S506="","",[1]Inputs_Outputs!$B$8*(1-'LOCH Calc COE Calc'!S506))</f>
        <v/>
      </c>
      <c r="U506" s="13" t="str">
        <f t="shared" si="36"/>
        <v/>
      </c>
      <c r="V506" s="13" t="str">
        <f t="shared" si="37"/>
        <v/>
      </c>
      <c r="W506" s="4" t="str">
        <f t="shared" si="38"/>
        <v/>
      </c>
      <c r="X506" t="str">
        <f>IF(W506="","",LOOKUP(_xlfn.CONCAT(P506,", ",Q506),'[1]T+S Costs'!$F$2:$F$3138,'[1]T+S Costs'!$N$2:$N$3138))</f>
        <v/>
      </c>
      <c r="Y506" s="14" t="str">
        <f t="shared" si="39"/>
        <v/>
      </c>
      <c r="Z506" s="4" t="str">
        <f t="shared" si="40"/>
        <v/>
      </c>
    </row>
    <row r="507" spans="16:26" x14ac:dyDescent="0.25">
      <c r="P507" s="10" t="str">
        <f>IF('[1]All Data '!AZ512="","",'[1]All Data '!AZ512)</f>
        <v/>
      </c>
      <c r="Q507" s="10" t="str">
        <f>IF('[1]All Data '!BB512="","",'[1]All Data '!BB512)</f>
        <v/>
      </c>
      <c r="R507" s="10" t="str">
        <f>IF('[1]All Data '!BD512="","",'[1]All Data '!BD512)</f>
        <v/>
      </c>
      <c r="S507" s="11" t="str">
        <f>IF(R507="","",'[1]All Data '!BE512)</f>
        <v/>
      </c>
      <c r="T507" s="12" t="str">
        <f>IF(S507="","",[1]Inputs_Outputs!$B$8*(1-'LOCH Calc COE Calc'!S507))</f>
        <v/>
      </c>
      <c r="U507" s="13" t="str">
        <f t="shared" si="36"/>
        <v/>
      </c>
      <c r="V507" s="13" t="str">
        <f t="shared" si="37"/>
        <v/>
      </c>
      <c r="W507" s="4" t="str">
        <f t="shared" si="38"/>
        <v/>
      </c>
      <c r="X507" t="str">
        <f>IF(W507="","",LOOKUP(_xlfn.CONCAT(P507,", ",Q507),'[1]T+S Costs'!$F$2:$F$3138,'[1]T+S Costs'!$N$2:$N$3138))</f>
        <v/>
      </c>
      <c r="Y507" s="14" t="str">
        <f t="shared" si="39"/>
        <v/>
      </c>
      <c r="Z507" s="4" t="str">
        <f t="shared" si="40"/>
        <v/>
      </c>
    </row>
    <row r="508" spans="16:26" x14ac:dyDescent="0.25">
      <c r="P508" s="10" t="str">
        <f>IF('[1]All Data '!AZ513="","",'[1]All Data '!AZ513)</f>
        <v/>
      </c>
      <c r="Q508" s="10" t="str">
        <f>IF('[1]All Data '!BB513="","",'[1]All Data '!BB513)</f>
        <v/>
      </c>
      <c r="R508" s="10" t="str">
        <f>IF('[1]All Data '!BD513="","",'[1]All Data '!BD513)</f>
        <v/>
      </c>
      <c r="S508" s="11" t="str">
        <f>IF(R508="","",'[1]All Data '!BE513)</f>
        <v/>
      </c>
      <c r="T508" s="12" t="str">
        <f>IF(S508="","",[1]Inputs_Outputs!$B$8*(1-'LOCH Calc COE Calc'!S508))</f>
        <v/>
      </c>
      <c r="U508" s="13" t="str">
        <f t="shared" si="36"/>
        <v/>
      </c>
      <c r="V508" s="13" t="str">
        <f t="shared" si="37"/>
        <v/>
      </c>
      <c r="W508" s="4" t="str">
        <f t="shared" si="38"/>
        <v/>
      </c>
      <c r="X508" t="str">
        <f>IF(W508="","",LOOKUP(_xlfn.CONCAT(P508,", ",Q508),'[1]T+S Costs'!$F$2:$F$3138,'[1]T+S Costs'!$N$2:$N$3138))</f>
        <v/>
      </c>
      <c r="Y508" s="14" t="str">
        <f t="shared" si="39"/>
        <v/>
      </c>
      <c r="Z508" s="4" t="str">
        <f t="shared" si="40"/>
        <v/>
      </c>
    </row>
    <row r="509" spans="16:26" x14ac:dyDescent="0.25">
      <c r="P509" s="10" t="str">
        <f>IF('[1]All Data '!AZ514="","",'[1]All Data '!AZ514)</f>
        <v/>
      </c>
      <c r="Q509" s="10" t="str">
        <f>IF('[1]All Data '!BB514="","",'[1]All Data '!BB514)</f>
        <v/>
      </c>
      <c r="R509" s="10" t="str">
        <f>IF('[1]All Data '!BD514="","",'[1]All Data '!BD514)</f>
        <v/>
      </c>
      <c r="S509" s="11" t="str">
        <f>IF(R509="","",'[1]All Data '!BE514)</f>
        <v/>
      </c>
      <c r="T509" s="12" t="str">
        <f>IF(S509="","",[1]Inputs_Outputs!$B$8*(1-'LOCH Calc COE Calc'!S509))</f>
        <v/>
      </c>
      <c r="U509" s="13" t="str">
        <f t="shared" si="36"/>
        <v/>
      </c>
      <c r="V509" s="13" t="str">
        <f t="shared" si="37"/>
        <v/>
      </c>
      <c r="W509" s="4" t="str">
        <f t="shared" si="38"/>
        <v/>
      </c>
      <c r="X509" t="str">
        <f>IF(W509="","",LOOKUP(_xlfn.CONCAT(P509,", ",Q509),'[1]T+S Costs'!$F$2:$F$3138,'[1]T+S Costs'!$N$2:$N$3138))</f>
        <v/>
      </c>
      <c r="Y509" s="14" t="str">
        <f t="shared" si="39"/>
        <v/>
      </c>
      <c r="Z509" s="4" t="str">
        <f t="shared" si="40"/>
        <v/>
      </c>
    </row>
    <row r="510" spans="16:26" x14ac:dyDescent="0.25">
      <c r="P510" s="10" t="str">
        <f>IF('[1]All Data '!AZ515="","",'[1]All Data '!AZ515)</f>
        <v/>
      </c>
      <c r="Q510" s="10" t="str">
        <f>IF('[1]All Data '!BB515="","",'[1]All Data '!BB515)</f>
        <v/>
      </c>
      <c r="R510" s="10" t="str">
        <f>IF('[1]All Data '!BD515="","",'[1]All Data '!BD515)</f>
        <v/>
      </c>
      <c r="S510" s="11" t="str">
        <f>IF(R510="","",'[1]All Data '!BE515)</f>
        <v/>
      </c>
      <c r="T510" s="12" t="str">
        <f>IF(S510="","",[1]Inputs_Outputs!$B$8*(1-'LOCH Calc COE Calc'!S510))</f>
        <v/>
      </c>
      <c r="U510" s="13" t="str">
        <f t="shared" si="36"/>
        <v/>
      </c>
      <c r="V510" s="13" t="str">
        <f t="shared" si="37"/>
        <v/>
      </c>
      <c r="W510" s="4" t="str">
        <f t="shared" si="38"/>
        <v/>
      </c>
      <c r="X510" t="str">
        <f>IF(W510="","",LOOKUP(_xlfn.CONCAT(P510,", ",Q510),'[1]T+S Costs'!$F$2:$F$3138,'[1]T+S Costs'!$N$2:$N$3138))</f>
        <v/>
      </c>
      <c r="Y510" s="14" t="str">
        <f t="shared" si="39"/>
        <v/>
      </c>
      <c r="Z510" s="4" t="str">
        <f t="shared" si="40"/>
        <v/>
      </c>
    </row>
    <row r="511" spans="16:26" x14ac:dyDescent="0.25">
      <c r="P511" s="10" t="str">
        <f>IF('[1]All Data '!AZ516="","",'[1]All Data '!AZ516)</f>
        <v/>
      </c>
      <c r="Q511" s="10" t="str">
        <f>IF('[1]All Data '!BB516="","",'[1]All Data '!BB516)</f>
        <v/>
      </c>
      <c r="R511" s="10" t="str">
        <f>IF('[1]All Data '!BD516="","",'[1]All Data '!BD516)</f>
        <v/>
      </c>
      <c r="S511" s="11" t="str">
        <f>IF(R511="","",'[1]All Data '!BE516)</f>
        <v/>
      </c>
      <c r="T511" s="12" t="str">
        <f>IF(S511="","",[1]Inputs_Outputs!$B$8*(1-'LOCH Calc COE Calc'!S511))</f>
        <v/>
      </c>
      <c r="U511" s="13" t="str">
        <f t="shared" si="36"/>
        <v/>
      </c>
      <c r="V511" s="13" t="str">
        <f t="shared" si="37"/>
        <v/>
      </c>
      <c r="W511" s="4" t="str">
        <f t="shared" si="38"/>
        <v/>
      </c>
      <c r="X511" t="str">
        <f>IF(W511="","",LOOKUP(_xlfn.CONCAT(P511,", ",Q511),'[1]T+S Costs'!$F$2:$F$3138,'[1]T+S Costs'!$N$2:$N$3138))</f>
        <v/>
      </c>
      <c r="Y511" s="14" t="str">
        <f t="shared" si="39"/>
        <v/>
      </c>
      <c r="Z511" s="4" t="str">
        <f t="shared" si="40"/>
        <v/>
      </c>
    </row>
    <row r="512" spans="16:26" x14ac:dyDescent="0.25">
      <c r="P512" s="10" t="str">
        <f>IF('[1]All Data '!AZ517="","",'[1]All Data '!AZ517)</f>
        <v/>
      </c>
      <c r="Q512" s="10" t="str">
        <f>IF('[1]All Data '!BB517="","",'[1]All Data '!BB517)</f>
        <v/>
      </c>
      <c r="R512" s="10" t="str">
        <f>IF('[1]All Data '!BD517="","",'[1]All Data '!BD517)</f>
        <v/>
      </c>
      <c r="S512" s="11" t="str">
        <f>IF(R512="","",'[1]All Data '!BE517)</f>
        <v/>
      </c>
      <c r="T512" s="12" t="str">
        <f>IF(S512="","",[1]Inputs_Outputs!$B$8*(1-'LOCH Calc COE Calc'!S512))</f>
        <v/>
      </c>
      <c r="U512" s="13" t="str">
        <f t="shared" si="36"/>
        <v/>
      </c>
      <c r="V512" s="13" t="str">
        <f t="shared" si="37"/>
        <v/>
      </c>
      <c r="W512" s="4" t="str">
        <f t="shared" si="38"/>
        <v/>
      </c>
      <c r="X512" t="str">
        <f>IF(W512="","",LOOKUP(_xlfn.CONCAT(P512,", ",Q512),'[1]T+S Costs'!$F$2:$F$3138,'[1]T+S Costs'!$N$2:$N$3138))</f>
        <v/>
      </c>
      <c r="Y512" s="14" t="str">
        <f t="shared" si="39"/>
        <v/>
      </c>
      <c r="Z512" s="4" t="str">
        <f t="shared" si="40"/>
        <v/>
      </c>
    </row>
    <row r="513" spans="16:26" x14ac:dyDescent="0.25">
      <c r="P513" s="10" t="str">
        <f>IF('[1]All Data '!AZ518="","",'[1]All Data '!AZ518)</f>
        <v/>
      </c>
      <c r="Q513" s="10" t="str">
        <f>IF('[1]All Data '!BB518="","",'[1]All Data '!BB518)</f>
        <v/>
      </c>
      <c r="R513" s="10" t="str">
        <f>IF('[1]All Data '!BD518="","",'[1]All Data '!BD518)</f>
        <v/>
      </c>
      <c r="S513" s="11" t="str">
        <f>IF(R513="","",'[1]All Data '!BE518)</f>
        <v/>
      </c>
      <c r="T513" s="12" t="str">
        <f>IF(S513="","",[1]Inputs_Outputs!$B$8*(1-'LOCH Calc COE Calc'!S513))</f>
        <v/>
      </c>
      <c r="U513" s="13" t="str">
        <f t="shared" si="36"/>
        <v/>
      </c>
      <c r="V513" s="13" t="str">
        <f t="shared" si="37"/>
        <v/>
      </c>
      <c r="W513" s="4" t="str">
        <f t="shared" si="38"/>
        <v/>
      </c>
      <c r="X513" t="str">
        <f>IF(W513="","",LOOKUP(_xlfn.CONCAT(P513,", ",Q513),'[1]T+S Costs'!$F$2:$F$3138,'[1]T+S Costs'!$N$2:$N$3138))</f>
        <v/>
      </c>
      <c r="Y513" s="14" t="str">
        <f t="shared" si="39"/>
        <v/>
      </c>
      <c r="Z513" s="4" t="str">
        <f t="shared" si="40"/>
        <v/>
      </c>
    </row>
    <row r="514" spans="16:26" x14ac:dyDescent="0.25">
      <c r="P514" s="10" t="str">
        <f>IF('[1]All Data '!AZ519="","",'[1]All Data '!AZ519)</f>
        <v/>
      </c>
      <c r="Q514" s="10" t="str">
        <f>IF('[1]All Data '!BB519="","",'[1]All Data '!BB519)</f>
        <v/>
      </c>
      <c r="R514" s="10" t="str">
        <f>IF('[1]All Data '!BD519="","",'[1]All Data '!BD519)</f>
        <v/>
      </c>
      <c r="S514" s="11" t="str">
        <f>IF(R514="","",'[1]All Data '!BE519)</f>
        <v/>
      </c>
      <c r="T514" s="12" t="str">
        <f>IF(S514="","",[1]Inputs_Outputs!$B$8*(1-'LOCH Calc COE Calc'!S514))</f>
        <v/>
      </c>
      <c r="U514" s="13" t="str">
        <f t="shared" si="36"/>
        <v/>
      </c>
      <c r="V514" s="13" t="str">
        <f t="shared" si="37"/>
        <v/>
      </c>
      <c r="W514" s="4" t="str">
        <f t="shared" si="38"/>
        <v/>
      </c>
      <c r="X514" t="str">
        <f>IF(W514="","",LOOKUP(_xlfn.CONCAT(P514,", ",Q514),'[1]T+S Costs'!$F$2:$F$3138,'[1]T+S Costs'!$N$2:$N$3138))</f>
        <v/>
      </c>
      <c r="Y514" s="14" t="str">
        <f t="shared" si="39"/>
        <v/>
      </c>
      <c r="Z514" s="4" t="str">
        <f t="shared" si="40"/>
        <v/>
      </c>
    </row>
    <row r="515" spans="16:26" x14ac:dyDescent="0.25">
      <c r="P515" s="10" t="str">
        <f>IF('[1]All Data '!AZ520="","",'[1]All Data '!AZ520)</f>
        <v/>
      </c>
      <c r="Q515" s="10" t="str">
        <f>IF('[1]All Data '!BB520="","",'[1]All Data '!BB520)</f>
        <v/>
      </c>
      <c r="R515" s="10" t="str">
        <f>IF('[1]All Data '!BD520="","",'[1]All Data '!BD520)</f>
        <v/>
      </c>
      <c r="S515" s="11" t="str">
        <f>IF(R515="","",'[1]All Data '!BE520)</f>
        <v/>
      </c>
      <c r="T515" s="12" t="str">
        <f>IF(S515="","",[1]Inputs_Outputs!$B$8*(1-'LOCH Calc COE Calc'!S515))</f>
        <v/>
      </c>
      <c r="U515" s="13" t="str">
        <f t="shared" ref="U515:U578" si="41">IF(S515="","",R515*T515*365*$B$19/100)</f>
        <v/>
      </c>
      <c r="V515" s="13" t="str">
        <f t="shared" ref="V515:V578" si="42">IF(S515="","",(U515*$B$19)/(($B$28)*$B$19))</f>
        <v/>
      </c>
      <c r="W515" s="4" t="str">
        <f t="shared" ref="W515:W578" si="43">IF(S515="","",V515+$C$49+$C$50+$C$51)</f>
        <v/>
      </c>
      <c r="X515" t="str">
        <f>IF(W515="","",LOOKUP(_xlfn.CONCAT(P515,", ",Q515),'[1]T+S Costs'!$F$2:$F$3138,'[1]T+S Costs'!$N$2:$N$3138))</f>
        <v/>
      </c>
      <c r="Y515" s="14" t="str">
        <f t="shared" ref="Y515:Y578" si="44">IF(X515="","",((X515*$B$60/$B$59)*$C$44)/$C$28)</f>
        <v/>
      </c>
      <c r="Z515" s="4" t="str">
        <f t="shared" ref="Z515:Z578" si="45">IF(Y515="","",W515+Y515)</f>
        <v/>
      </c>
    </row>
    <row r="516" spans="16:26" x14ac:dyDescent="0.25">
      <c r="P516" s="10" t="str">
        <f>IF('[1]All Data '!AZ521="","",'[1]All Data '!AZ521)</f>
        <v/>
      </c>
      <c r="Q516" s="10" t="str">
        <f>IF('[1]All Data '!BB521="","",'[1]All Data '!BB521)</f>
        <v/>
      </c>
      <c r="R516" s="10" t="str">
        <f>IF('[1]All Data '!BD521="","",'[1]All Data '!BD521)</f>
        <v/>
      </c>
      <c r="S516" s="11" t="str">
        <f>IF(R516="","",'[1]All Data '!BE521)</f>
        <v/>
      </c>
      <c r="T516" s="12" t="str">
        <f>IF(S516="","",[1]Inputs_Outputs!$B$8*(1-'LOCH Calc COE Calc'!S516))</f>
        <v/>
      </c>
      <c r="U516" s="13" t="str">
        <f t="shared" si="41"/>
        <v/>
      </c>
      <c r="V516" s="13" t="str">
        <f t="shared" si="42"/>
        <v/>
      </c>
      <c r="W516" s="4" t="str">
        <f t="shared" si="43"/>
        <v/>
      </c>
      <c r="X516" t="str">
        <f>IF(W516="","",LOOKUP(_xlfn.CONCAT(P516,", ",Q516),'[1]T+S Costs'!$F$2:$F$3138,'[1]T+S Costs'!$N$2:$N$3138))</f>
        <v/>
      </c>
      <c r="Y516" s="14" t="str">
        <f t="shared" si="44"/>
        <v/>
      </c>
      <c r="Z516" s="4" t="str">
        <f t="shared" si="45"/>
        <v/>
      </c>
    </row>
    <row r="517" spans="16:26" x14ac:dyDescent="0.25">
      <c r="P517" s="10" t="str">
        <f>IF('[1]All Data '!AZ522="","",'[1]All Data '!AZ522)</f>
        <v/>
      </c>
      <c r="Q517" s="10" t="str">
        <f>IF('[1]All Data '!BB522="","",'[1]All Data '!BB522)</f>
        <v/>
      </c>
      <c r="R517" s="10" t="str">
        <f>IF('[1]All Data '!BD522="","",'[1]All Data '!BD522)</f>
        <v/>
      </c>
      <c r="S517" s="11" t="str">
        <f>IF(R517="","",'[1]All Data '!BE522)</f>
        <v/>
      </c>
      <c r="T517" s="12" t="str">
        <f>IF(S517="","",[1]Inputs_Outputs!$B$8*(1-'LOCH Calc COE Calc'!S517))</f>
        <v/>
      </c>
      <c r="U517" s="13" t="str">
        <f t="shared" si="41"/>
        <v/>
      </c>
      <c r="V517" s="13" t="str">
        <f t="shared" si="42"/>
        <v/>
      </c>
      <c r="W517" s="4" t="str">
        <f t="shared" si="43"/>
        <v/>
      </c>
      <c r="X517" t="str">
        <f>IF(W517="","",LOOKUP(_xlfn.CONCAT(P517,", ",Q517),'[1]T+S Costs'!$F$2:$F$3138,'[1]T+S Costs'!$N$2:$N$3138))</f>
        <v/>
      </c>
      <c r="Y517" s="14" t="str">
        <f t="shared" si="44"/>
        <v/>
      </c>
      <c r="Z517" s="4" t="str">
        <f t="shared" si="45"/>
        <v/>
      </c>
    </row>
    <row r="518" spans="16:26" x14ac:dyDescent="0.25">
      <c r="P518" s="10" t="str">
        <f>IF('[1]All Data '!AZ523="","",'[1]All Data '!AZ523)</f>
        <v/>
      </c>
      <c r="Q518" s="10" t="str">
        <f>IF('[1]All Data '!BB523="","",'[1]All Data '!BB523)</f>
        <v/>
      </c>
      <c r="R518" s="10" t="str">
        <f>IF('[1]All Data '!BD523="","",'[1]All Data '!BD523)</f>
        <v/>
      </c>
      <c r="S518" s="11" t="str">
        <f>IF(R518="","",'[1]All Data '!BE523)</f>
        <v/>
      </c>
      <c r="T518" s="12" t="str">
        <f>IF(S518="","",[1]Inputs_Outputs!$B$8*(1-'LOCH Calc COE Calc'!S518))</f>
        <v/>
      </c>
      <c r="U518" s="13" t="str">
        <f t="shared" si="41"/>
        <v/>
      </c>
      <c r="V518" s="13" t="str">
        <f t="shared" si="42"/>
        <v/>
      </c>
      <c r="W518" s="4" t="str">
        <f t="shared" si="43"/>
        <v/>
      </c>
      <c r="X518" t="str">
        <f>IF(W518="","",LOOKUP(_xlfn.CONCAT(P518,", ",Q518),'[1]T+S Costs'!$F$2:$F$3138,'[1]T+S Costs'!$N$2:$N$3138))</f>
        <v/>
      </c>
      <c r="Y518" s="14" t="str">
        <f t="shared" si="44"/>
        <v/>
      </c>
      <c r="Z518" s="4" t="str">
        <f t="shared" si="45"/>
        <v/>
      </c>
    </row>
    <row r="519" spans="16:26" x14ac:dyDescent="0.25">
      <c r="P519" s="10" t="str">
        <f>IF('[1]All Data '!AZ524="","",'[1]All Data '!AZ524)</f>
        <v/>
      </c>
      <c r="Q519" s="10" t="str">
        <f>IF('[1]All Data '!BB524="","",'[1]All Data '!BB524)</f>
        <v/>
      </c>
      <c r="R519" s="10" t="str">
        <f>IF('[1]All Data '!BD524="","",'[1]All Data '!BD524)</f>
        <v/>
      </c>
      <c r="S519" s="11" t="str">
        <f>IF(R519="","",'[1]All Data '!BE524)</f>
        <v/>
      </c>
      <c r="T519" s="12" t="str">
        <f>IF(S519="","",[1]Inputs_Outputs!$B$8*(1-'LOCH Calc COE Calc'!S519))</f>
        <v/>
      </c>
      <c r="U519" s="13" t="str">
        <f t="shared" si="41"/>
        <v/>
      </c>
      <c r="V519" s="13" t="str">
        <f t="shared" si="42"/>
        <v/>
      </c>
      <c r="W519" s="4" t="str">
        <f t="shared" si="43"/>
        <v/>
      </c>
      <c r="X519" t="str">
        <f>IF(W519="","",LOOKUP(_xlfn.CONCAT(P519,", ",Q519),'[1]T+S Costs'!$F$2:$F$3138,'[1]T+S Costs'!$N$2:$N$3138))</f>
        <v/>
      </c>
      <c r="Y519" s="14" t="str">
        <f t="shared" si="44"/>
        <v/>
      </c>
      <c r="Z519" s="4" t="str">
        <f t="shared" si="45"/>
        <v/>
      </c>
    </row>
    <row r="520" spans="16:26" x14ac:dyDescent="0.25">
      <c r="P520" s="10" t="str">
        <f>IF('[1]All Data '!AZ525="","",'[1]All Data '!AZ525)</f>
        <v/>
      </c>
      <c r="Q520" s="10" t="str">
        <f>IF('[1]All Data '!BB525="","",'[1]All Data '!BB525)</f>
        <v/>
      </c>
      <c r="R520" s="10" t="str">
        <f>IF('[1]All Data '!BD525="","",'[1]All Data '!BD525)</f>
        <v/>
      </c>
      <c r="S520" s="11" t="str">
        <f>IF(R520="","",'[1]All Data '!BE525)</f>
        <v/>
      </c>
      <c r="T520" s="12" t="str">
        <f>IF(S520="","",[1]Inputs_Outputs!$B$8*(1-'LOCH Calc COE Calc'!S520))</f>
        <v/>
      </c>
      <c r="U520" s="13" t="str">
        <f t="shared" si="41"/>
        <v/>
      </c>
      <c r="V520" s="13" t="str">
        <f t="shared" si="42"/>
        <v/>
      </c>
      <c r="W520" s="4" t="str">
        <f t="shared" si="43"/>
        <v/>
      </c>
      <c r="X520" t="str">
        <f>IF(W520="","",LOOKUP(_xlfn.CONCAT(P520,", ",Q520),'[1]T+S Costs'!$F$2:$F$3138,'[1]T+S Costs'!$N$2:$N$3138))</f>
        <v/>
      </c>
      <c r="Y520" s="14" t="str">
        <f t="shared" si="44"/>
        <v/>
      </c>
      <c r="Z520" s="4" t="str">
        <f t="shared" si="45"/>
        <v/>
      </c>
    </row>
    <row r="521" spans="16:26" x14ac:dyDescent="0.25">
      <c r="P521" s="10" t="str">
        <f>IF('[1]All Data '!AZ526="","",'[1]All Data '!AZ526)</f>
        <v/>
      </c>
      <c r="Q521" s="10" t="str">
        <f>IF('[1]All Data '!BB526="","",'[1]All Data '!BB526)</f>
        <v/>
      </c>
      <c r="R521" s="10" t="str">
        <f>IF('[1]All Data '!BD526="","",'[1]All Data '!BD526)</f>
        <v/>
      </c>
      <c r="S521" s="11" t="str">
        <f>IF(R521="","",'[1]All Data '!BE526)</f>
        <v/>
      </c>
      <c r="T521" s="12" t="str">
        <f>IF(S521="","",[1]Inputs_Outputs!$B$8*(1-'LOCH Calc COE Calc'!S521))</f>
        <v/>
      </c>
      <c r="U521" s="13" t="str">
        <f t="shared" si="41"/>
        <v/>
      </c>
      <c r="V521" s="13" t="str">
        <f t="shared" si="42"/>
        <v/>
      </c>
      <c r="W521" s="4" t="str">
        <f t="shared" si="43"/>
        <v/>
      </c>
      <c r="X521" t="str">
        <f>IF(W521="","",LOOKUP(_xlfn.CONCAT(P521,", ",Q521),'[1]T+S Costs'!$F$2:$F$3138,'[1]T+S Costs'!$N$2:$N$3138))</f>
        <v/>
      </c>
      <c r="Y521" s="14" t="str">
        <f t="shared" si="44"/>
        <v/>
      </c>
      <c r="Z521" s="4" t="str">
        <f t="shared" si="45"/>
        <v/>
      </c>
    </row>
    <row r="522" spans="16:26" x14ac:dyDescent="0.25">
      <c r="P522" s="10" t="str">
        <f>IF('[1]All Data '!AZ527="","",'[1]All Data '!AZ527)</f>
        <v/>
      </c>
      <c r="Q522" s="10" t="str">
        <f>IF('[1]All Data '!BB527="","",'[1]All Data '!BB527)</f>
        <v/>
      </c>
      <c r="R522" s="10" t="str">
        <f>IF('[1]All Data '!BD527="","",'[1]All Data '!BD527)</f>
        <v/>
      </c>
      <c r="S522" s="11" t="str">
        <f>IF(R522="","",'[1]All Data '!BE527)</f>
        <v/>
      </c>
      <c r="T522" s="12" t="str">
        <f>IF(S522="","",[1]Inputs_Outputs!$B$8*(1-'LOCH Calc COE Calc'!S522))</f>
        <v/>
      </c>
      <c r="U522" s="13" t="str">
        <f t="shared" si="41"/>
        <v/>
      </c>
      <c r="V522" s="13" t="str">
        <f t="shared" si="42"/>
        <v/>
      </c>
      <c r="W522" s="4" t="str">
        <f t="shared" si="43"/>
        <v/>
      </c>
      <c r="X522" t="str">
        <f>IF(W522="","",LOOKUP(_xlfn.CONCAT(P522,", ",Q522),'[1]T+S Costs'!$F$2:$F$3138,'[1]T+S Costs'!$N$2:$N$3138))</f>
        <v/>
      </c>
      <c r="Y522" s="14" t="str">
        <f t="shared" si="44"/>
        <v/>
      </c>
      <c r="Z522" s="4" t="str">
        <f t="shared" si="45"/>
        <v/>
      </c>
    </row>
    <row r="523" spans="16:26" x14ac:dyDescent="0.25">
      <c r="P523" s="10" t="str">
        <f>IF('[1]All Data '!AZ528="","",'[1]All Data '!AZ528)</f>
        <v/>
      </c>
      <c r="Q523" s="10" t="str">
        <f>IF('[1]All Data '!BB528="","",'[1]All Data '!BB528)</f>
        <v/>
      </c>
      <c r="R523" s="10" t="str">
        <f>IF('[1]All Data '!BD528="","",'[1]All Data '!BD528)</f>
        <v/>
      </c>
      <c r="S523" s="11" t="str">
        <f>IF(R523="","",'[1]All Data '!BE528)</f>
        <v/>
      </c>
      <c r="T523" s="12" t="str">
        <f>IF(S523="","",[1]Inputs_Outputs!$B$8*(1-'LOCH Calc COE Calc'!S523))</f>
        <v/>
      </c>
      <c r="U523" s="13" t="str">
        <f t="shared" si="41"/>
        <v/>
      </c>
      <c r="V523" s="13" t="str">
        <f t="shared" si="42"/>
        <v/>
      </c>
      <c r="W523" s="4" t="str">
        <f t="shared" si="43"/>
        <v/>
      </c>
      <c r="X523" t="str">
        <f>IF(W523="","",LOOKUP(_xlfn.CONCAT(P523,", ",Q523),'[1]T+S Costs'!$F$2:$F$3138,'[1]T+S Costs'!$N$2:$N$3138))</f>
        <v/>
      </c>
      <c r="Y523" s="14" t="str">
        <f t="shared" si="44"/>
        <v/>
      </c>
      <c r="Z523" s="4" t="str">
        <f t="shared" si="45"/>
        <v/>
      </c>
    </row>
    <row r="524" spans="16:26" x14ac:dyDescent="0.25">
      <c r="P524" s="10" t="str">
        <f>IF('[1]All Data '!AZ529="","",'[1]All Data '!AZ529)</f>
        <v/>
      </c>
      <c r="Q524" s="10" t="str">
        <f>IF('[1]All Data '!BB529="","",'[1]All Data '!BB529)</f>
        <v/>
      </c>
      <c r="R524" s="10" t="str">
        <f>IF('[1]All Data '!BD529="","",'[1]All Data '!BD529)</f>
        <v/>
      </c>
      <c r="S524" s="11" t="str">
        <f>IF(R524="","",'[1]All Data '!BE529)</f>
        <v/>
      </c>
      <c r="T524" s="12" t="str">
        <f>IF(S524="","",[1]Inputs_Outputs!$B$8*(1-'LOCH Calc COE Calc'!S524))</f>
        <v/>
      </c>
      <c r="U524" s="13" t="str">
        <f t="shared" si="41"/>
        <v/>
      </c>
      <c r="V524" s="13" t="str">
        <f t="shared" si="42"/>
        <v/>
      </c>
      <c r="W524" s="4" t="str">
        <f t="shared" si="43"/>
        <v/>
      </c>
      <c r="X524" t="str">
        <f>IF(W524="","",LOOKUP(_xlfn.CONCAT(P524,", ",Q524),'[1]T+S Costs'!$F$2:$F$3138,'[1]T+S Costs'!$N$2:$N$3138))</f>
        <v/>
      </c>
      <c r="Y524" s="14" t="str">
        <f t="shared" si="44"/>
        <v/>
      </c>
      <c r="Z524" s="4" t="str">
        <f t="shared" si="45"/>
        <v/>
      </c>
    </row>
    <row r="525" spans="16:26" x14ac:dyDescent="0.25">
      <c r="P525" s="10" t="str">
        <f>IF('[1]All Data '!AZ530="","",'[1]All Data '!AZ530)</f>
        <v/>
      </c>
      <c r="Q525" s="10" t="str">
        <f>IF('[1]All Data '!BB530="","",'[1]All Data '!BB530)</f>
        <v/>
      </c>
      <c r="R525" s="10" t="str">
        <f>IF('[1]All Data '!BD530="","",'[1]All Data '!BD530)</f>
        <v/>
      </c>
      <c r="S525" s="11" t="str">
        <f>IF(R525="","",'[1]All Data '!BE530)</f>
        <v/>
      </c>
      <c r="T525" s="12" t="str">
        <f>IF(S525="","",[1]Inputs_Outputs!$B$8*(1-'LOCH Calc COE Calc'!S525))</f>
        <v/>
      </c>
      <c r="U525" s="13" t="str">
        <f t="shared" si="41"/>
        <v/>
      </c>
      <c r="V525" s="13" t="str">
        <f t="shared" si="42"/>
        <v/>
      </c>
      <c r="W525" s="4" t="str">
        <f t="shared" si="43"/>
        <v/>
      </c>
      <c r="X525" t="str">
        <f>IF(W525="","",LOOKUP(_xlfn.CONCAT(P525,", ",Q525),'[1]T+S Costs'!$F$2:$F$3138,'[1]T+S Costs'!$N$2:$N$3138))</f>
        <v/>
      </c>
      <c r="Y525" s="14" t="str">
        <f t="shared" si="44"/>
        <v/>
      </c>
      <c r="Z525" s="4" t="str">
        <f t="shared" si="45"/>
        <v/>
      </c>
    </row>
    <row r="526" spans="16:26" x14ac:dyDescent="0.25">
      <c r="P526" s="10" t="str">
        <f>IF('[1]All Data '!AZ531="","",'[1]All Data '!AZ531)</f>
        <v/>
      </c>
      <c r="Q526" s="10" t="str">
        <f>IF('[1]All Data '!BB531="","",'[1]All Data '!BB531)</f>
        <v/>
      </c>
      <c r="R526" s="10" t="str">
        <f>IF('[1]All Data '!BD531="","",'[1]All Data '!BD531)</f>
        <v/>
      </c>
      <c r="S526" s="11" t="str">
        <f>IF(R526="","",'[1]All Data '!BE531)</f>
        <v/>
      </c>
      <c r="T526" s="12" t="str">
        <f>IF(S526="","",[1]Inputs_Outputs!$B$8*(1-'LOCH Calc COE Calc'!S526))</f>
        <v/>
      </c>
      <c r="U526" s="13" t="str">
        <f t="shared" si="41"/>
        <v/>
      </c>
      <c r="V526" s="13" t="str">
        <f t="shared" si="42"/>
        <v/>
      </c>
      <c r="W526" s="4" t="str">
        <f t="shared" si="43"/>
        <v/>
      </c>
      <c r="X526" t="str">
        <f>IF(W526="","",LOOKUP(_xlfn.CONCAT(P526,", ",Q526),'[1]T+S Costs'!$F$2:$F$3138,'[1]T+S Costs'!$N$2:$N$3138))</f>
        <v/>
      </c>
      <c r="Y526" s="14" t="str">
        <f t="shared" si="44"/>
        <v/>
      </c>
      <c r="Z526" s="4" t="str">
        <f t="shared" si="45"/>
        <v/>
      </c>
    </row>
    <row r="527" spans="16:26" x14ac:dyDescent="0.25">
      <c r="P527" s="10" t="str">
        <f>IF('[1]All Data '!AZ532="","",'[1]All Data '!AZ532)</f>
        <v/>
      </c>
      <c r="Q527" s="10" t="str">
        <f>IF('[1]All Data '!BB532="","",'[1]All Data '!BB532)</f>
        <v/>
      </c>
      <c r="R527" s="10" t="str">
        <f>IF('[1]All Data '!BD532="","",'[1]All Data '!BD532)</f>
        <v/>
      </c>
      <c r="S527" s="11" t="str">
        <f>IF(R527="","",'[1]All Data '!BE532)</f>
        <v/>
      </c>
      <c r="T527" s="12" t="str">
        <f>IF(S527="","",[1]Inputs_Outputs!$B$8*(1-'LOCH Calc COE Calc'!S527))</f>
        <v/>
      </c>
      <c r="U527" s="13" t="str">
        <f t="shared" si="41"/>
        <v/>
      </c>
      <c r="V527" s="13" t="str">
        <f t="shared" si="42"/>
        <v/>
      </c>
      <c r="W527" s="4" t="str">
        <f t="shared" si="43"/>
        <v/>
      </c>
      <c r="X527" t="str">
        <f>IF(W527="","",LOOKUP(_xlfn.CONCAT(P527,", ",Q527),'[1]T+S Costs'!$F$2:$F$3138,'[1]T+S Costs'!$N$2:$N$3138))</f>
        <v/>
      </c>
      <c r="Y527" s="14" t="str">
        <f t="shared" si="44"/>
        <v/>
      </c>
      <c r="Z527" s="4" t="str">
        <f t="shared" si="45"/>
        <v/>
      </c>
    </row>
    <row r="528" spans="16:26" x14ac:dyDescent="0.25">
      <c r="P528" s="10" t="str">
        <f>IF('[1]All Data '!AZ533="","",'[1]All Data '!AZ533)</f>
        <v/>
      </c>
      <c r="Q528" s="10" t="str">
        <f>IF('[1]All Data '!BB533="","",'[1]All Data '!BB533)</f>
        <v/>
      </c>
      <c r="R528" s="10" t="str">
        <f>IF('[1]All Data '!BD533="","",'[1]All Data '!BD533)</f>
        <v/>
      </c>
      <c r="S528" s="11" t="str">
        <f>IF(R528="","",'[1]All Data '!BE533)</f>
        <v/>
      </c>
      <c r="T528" s="12" t="str">
        <f>IF(S528="","",[1]Inputs_Outputs!$B$8*(1-'LOCH Calc COE Calc'!S528))</f>
        <v/>
      </c>
      <c r="U528" s="13" t="str">
        <f t="shared" si="41"/>
        <v/>
      </c>
      <c r="V528" s="13" t="str">
        <f t="shared" si="42"/>
        <v/>
      </c>
      <c r="W528" s="4" t="str">
        <f t="shared" si="43"/>
        <v/>
      </c>
      <c r="X528" t="str">
        <f>IF(W528="","",LOOKUP(_xlfn.CONCAT(P528,", ",Q528),'[1]T+S Costs'!$F$2:$F$3138,'[1]T+S Costs'!$N$2:$N$3138))</f>
        <v/>
      </c>
      <c r="Y528" s="14" t="str">
        <f t="shared" si="44"/>
        <v/>
      </c>
      <c r="Z528" s="4" t="str">
        <f t="shared" si="45"/>
        <v/>
      </c>
    </row>
    <row r="529" spans="16:26" x14ac:dyDescent="0.25">
      <c r="P529" s="10" t="str">
        <f>IF('[1]All Data '!AZ534="","",'[1]All Data '!AZ534)</f>
        <v/>
      </c>
      <c r="Q529" s="10" t="str">
        <f>IF('[1]All Data '!BB534="","",'[1]All Data '!BB534)</f>
        <v/>
      </c>
      <c r="R529" s="10" t="str">
        <f>IF('[1]All Data '!BD534="","",'[1]All Data '!BD534)</f>
        <v/>
      </c>
      <c r="S529" s="11" t="str">
        <f>IF(R529="","",'[1]All Data '!BE534)</f>
        <v/>
      </c>
      <c r="T529" s="12" t="str">
        <f>IF(S529="","",[1]Inputs_Outputs!$B$8*(1-'LOCH Calc COE Calc'!S529))</f>
        <v/>
      </c>
      <c r="U529" s="13" t="str">
        <f t="shared" si="41"/>
        <v/>
      </c>
      <c r="V529" s="13" t="str">
        <f t="shared" si="42"/>
        <v/>
      </c>
      <c r="W529" s="4" t="str">
        <f t="shared" si="43"/>
        <v/>
      </c>
      <c r="X529" t="str">
        <f>IF(W529="","",LOOKUP(_xlfn.CONCAT(P529,", ",Q529),'[1]T+S Costs'!$F$2:$F$3138,'[1]T+S Costs'!$N$2:$N$3138))</f>
        <v/>
      </c>
      <c r="Y529" s="14" t="str">
        <f t="shared" si="44"/>
        <v/>
      </c>
      <c r="Z529" s="4" t="str">
        <f t="shared" si="45"/>
        <v/>
      </c>
    </row>
    <row r="530" spans="16:26" x14ac:dyDescent="0.25">
      <c r="P530" s="10" t="str">
        <f>IF('[1]All Data '!AZ535="","",'[1]All Data '!AZ535)</f>
        <v/>
      </c>
      <c r="Q530" s="10" t="str">
        <f>IF('[1]All Data '!BB535="","",'[1]All Data '!BB535)</f>
        <v/>
      </c>
      <c r="R530" s="10" t="str">
        <f>IF('[1]All Data '!BD535="","",'[1]All Data '!BD535)</f>
        <v/>
      </c>
      <c r="S530" s="11" t="str">
        <f>IF(R530="","",'[1]All Data '!BE535)</f>
        <v/>
      </c>
      <c r="T530" s="12" t="str">
        <f>IF(S530="","",[1]Inputs_Outputs!$B$8*(1-'LOCH Calc COE Calc'!S530))</f>
        <v/>
      </c>
      <c r="U530" s="13" t="str">
        <f t="shared" si="41"/>
        <v/>
      </c>
      <c r="V530" s="13" t="str">
        <f t="shared" si="42"/>
        <v/>
      </c>
      <c r="W530" s="4" t="str">
        <f t="shared" si="43"/>
        <v/>
      </c>
      <c r="X530" t="str">
        <f>IF(W530="","",LOOKUP(_xlfn.CONCAT(P530,", ",Q530),'[1]T+S Costs'!$F$2:$F$3138,'[1]T+S Costs'!$N$2:$N$3138))</f>
        <v/>
      </c>
      <c r="Y530" s="14" t="str">
        <f t="shared" si="44"/>
        <v/>
      </c>
      <c r="Z530" s="4" t="str">
        <f t="shared" si="45"/>
        <v/>
      </c>
    </row>
    <row r="531" spans="16:26" x14ac:dyDescent="0.25">
      <c r="P531" s="10" t="str">
        <f>IF('[1]All Data '!AZ536="","",'[1]All Data '!AZ536)</f>
        <v/>
      </c>
      <c r="Q531" s="10" t="str">
        <f>IF('[1]All Data '!BB536="","",'[1]All Data '!BB536)</f>
        <v/>
      </c>
      <c r="R531" s="10" t="str">
        <f>IF('[1]All Data '!BD536="","",'[1]All Data '!BD536)</f>
        <v/>
      </c>
      <c r="S531" s="11" t="str">
        <f>IF(R531="","",'[1]All Data '!BE536)</f>
        <v/>
      </c>
      <c r="T531" s="12" t="str">
        <f>IF(S531="","",[1]Inputs_Outputs!$B$8*(1-'LOCH Calc COE Calc'!S531))</f>
        <v/>
      </c>
      <c r="U531" s="13" t="str">
        <f t="shared" si="41"/>
        <v/>
      </c>
      <c r="V531" s="13" t="str">
        <f t="shared" si="42"/>
        <v/>
      </c>
      <c r="W531" s="4" t="str">
        <f t="shared" si="43"/>
        <v/>
      </c>
      <c r="X531" t="str">
        <f>IF(W531="","",LOOKUP(_xlfn.CONCAT(P531,", ",Q531),'[1]T+S Costs'!$F$2:$F$3138,'[1]T+S Costs'!$N$2:$N$3138))</f>
        <v/>
      </c>
      <c r="Y531" s="14" t="str">
        <f t="shared" si="44"/>
        <v/>
      </c>
      <c r="Z531" s="4" t="str">
        <f t="shared" si="45"/>
        <v/>
      </c>
    </row>
    <row r="532" spans="16:26" x14ac:dyDescent="0.25">
      <c r="P532" s="10" t="str">
        <f>IF('[1]All Data '!AZ537="","",'[1]All Data '!AZ537)</f>
        <v/>
      </c>
      <c r="Q532" s="10" t="str">
        <f>IF('[1]All Data '!BB537="","",'[1]All Data '!BB537)</f>
        <v/>
      </c>
      <c r="R532" s="10" t="str">
        <f>IF('[1]All Data '!BD537="","",'[1]All Data '!BD537)</f>
        <v/>
      </c>
      <c r="S532" s="11" t="str">
        <f>IF(R532="","",'[1]All Data '!BE537)</f>
        <v/>
      </c>
      <c r="T532" s="12" t="str">
        <f>IF(S532="","",[1]Inputs_Outputs!$B$8*(1-'LOCH Calc COE Calc'!S532))</f>
        <v/>
      </c>
      <c r="U532" s="13" t="str">
        <f t="shared" si="41"/>
        <v/>
      </c>
      <c r="V532" s="13" t="str">
        <f t="shared" si="42"/>
        <v/>
      </c>
      <c r="W532" s="4" t="str">
        <f t="shared" si="43"/>
        <v/>
      </c>
      <c r="X532" t="str">
        <f>IF(W532="","",LOOKUP(_xlfn.CONCAT(P532,", ",Q532),'[1]T+S Costs'!$F$2:$F$3138,'[1]T+S Costs'!$N$2:$N$3138))</f>
        <v/>
      </c>
      <c r="Y532" s="14" t="str">
        <f t="shared" si="44"/>
        <v/>
      </c>
      <c r="Z532" s="4" t="str">
        <f t="shared" si="45"/>
        <v/>
      </c>
    </row>
    <row r="533" spans="16:26" x14ac:dyDescent="0.25">
      <c r="P533" s="10" t="str">
        <f>IF('[1]All Data '!AZ538="","",'[1]All Data '!AZ538)</f>
        <v/>
      </c>
      <c r="Q533" s="10" t="str">
        <f>IF('[1]All Data '!BB538="","",'[1]All Data '!BB538)</f>
        <v/>
      </c>
      <c r="R533" s="10" t="str">
        <f>IF('[1]All Data '!BD538="","",'[1]All Data '!BD538)</f>
        <v/>
      </c>
      <c r="S533" s="11" t="str">
        <f>IF(R533="","",'[1]All Data '!BE538)</f>
        <v/>
      </c>
      <c r="T533" s="12" t="str">
        <f>IF(S533="","",[1]Inputs_Outputs!$B$8*(1-'LOCH Calc COE Calc'!S533))</f>
        <v/>
      </c>
      <c r="U533" s="13" t="str">
        <f t="shared" si="41"/>
        <v/>
      </c>
      <c r="V533" s="13" t="str">
        <f t="shared" si="42"/>
        <v/>
      </c>
      <c r="W533" s="4" t="str">
        <f t="shared" si="43"/>
        <v/>
      </c>
      <c r="X533" t="str">
        <f>IF(W533="","",LOOKUP(_xlfn.CONCAT(P533,", ",Q533),'[1]T+S Costs'!$F$2:$F$3138,'[1]T+S Costs'!$N$2:$N$3138))</f>
        <v/>
      </c>
      <c r="Y533" s="14" t="str">
        <f t="shared" si="44"/>
        <v/>
      </c>
      <c r="Z533" s="4" t="str">
        <f t="shared" si="45"/>
        <v/>
      </c>
    </row>
    <row r="534" spans="16:26" x14ac:dyDescent="0.25">
      <c r="P534" s="10" t="str">
        <f>IF('[1]All Data '!AZ539="","",'[1]All Data '!AZ539)</f>
        <v/>
      </c>
      <c r="Q534" s="10" t="str">
        <f>IF('[1]All Data '!BB539="","",'[1]All Data '!BB539)</f>
        <v/>
      </c>
      <c r="R534" s="10" t="str">
        <f>IF('[1]All Data '!BD539="","",'[1]All Data '!BD539)</f>
        <v/>
      </c>
      <c r="S534" s="11" t="str">
        <f>IF(R534="","",'[1]All Data '!BE539)</f>
        <v/>
      </c>
      <c r="T534" s="12" t="str">
        <f>IF(S534="","",[1]Inputs_Outputs!$B$8*(1-'LOCH Calc COE Calc'!S534))</f>
        <v/>
      </c>
      <c r="U534" s="13" t="str">
        <f t="shared" si="41"/>
        <v/>
      </c>
      <c r="V534" s="13" t="str">
        <f t="shared" si="42"/>
        <v/>
      </c>
      <c r="W534" s="4" t="str">
        <f t="shared" si="43"/>
        <v/>
      </c>
      <c r="X534" t="str">
        <f>IF(W534="","",LOOKUP(_xlfn.CONCAT(P534,", ",Q534),'[1]T+S Costs'!$F$2:$F$3138,'[1]T+S Costs'!$N$2:$N$3138))</f>
        <v/>
      </c>
      <c r="Y534" s="14" t="str">
        <f t="shared" si="44"/>
        <v/>
      </c>
      <c r="Z534" s="4" t="str">
        <f t="shared" si="45"/>
        <v/>
      </c>
    </row>
    <row r="535" spans="16:26" x14ac:dyDescent="0.25">
      <c r="P535" s="10" t="str">
        <f>IF('[1]All Data '!AZ540="","",'[1]All Data '!AZ540)</f>
        <v/>
      </c>
      <c r="Q535" s="10" t="str">
        <f>IF('[1]All Data '!BB540="","",'[1]All Data '!BB540)</f>
        <v/>
      </c>
      <c r="R535" s="10" t="str">
        <f>IF('[1]All Data '!BD540="","",'[1]All Data '!BD540)</f>
        <v/>
      </c>
      <c r="S535" s="11" t="str">
        <f>IF(R535="","",'[1]All Data '!BE540)</f>
        <v/>
      </c>
      <c r="T535" s="12" t="str">
        <f>IF(S535="","",[1]Inputs_Outputs!$B$8*(1-'LOCH Calc COE Calc'!S535))</f>
        <v/>
      </c>
      <c r="U535" s="13" t="str">
        <f t="shared" si="41"/>
        <v/>
      </c>
      <c r="V535" s="13" t="str">
        <f t="shared" si="42"/>
        <v/>
      </c>
      <c r="W535" s="4" t="str">
        <f t="shared" si="43"/>
        <v/>
      </c>
      <c r="X535" t="str">
        <f>IF(W535="","",LOOKUP(_xlfn.CONCAT(P535,", ",Q535),'[1]T+S Costs'!$F$2:$F$3138,'[1]T+S Costs'!$N$2:$N$3138))</f>
        <v/>
      </c>
      <c r="Y535" s="14" t="str">
        <f t="shared" si="44"/>
        <v/>
      </c>
      <c r="Z535" s="4" t="str">
        <f t="shared" si="45"/>
        <v/>
      </c>
    </row>
    <row r="536" spans="16:26" x14ac:dyDescent="0.25">
      <c r="P536" s="10" t="str">
        <f>IF('[1]All Data '!AZ541="","",'[1]All Data '!AZ541)</f>
        <v/>
      </c>
      <c r="Q536" s="10" t="str">
        <f>IF('[1]All Data '!BB541="","",'[1]All Data '!BB541)</f>
        <v/>
      </c>
      <c r="R536" s="10" t="str">
        <f>IF('[1]All Data '!BD541="","",'[1]All Data '!BD541)</f>
        <v/>
      </c>
      <c r="S536" s="11" t="str">
        <f>IF(R536="","",'[1]All Data '!BE541)</f>
        <v/>
      </c>
      <c r="T536" s="12" t="str">
        <f>IF(S536="","",[1]Inputs_Outputs!$B$8*(1-'LOCH Calc COE Calc'!S536))</f>
        <v/>
      </c>
      <c r="U536" s="13" t="str">
        <f t="shared" si="41"/>
        <v/>
      </c>
      <c r="V536" s="13" t="str">
        <f t="shared" si="42"/>
        <v/>
      </c>
      <c r="W536" s="4" t="str">
        <f t="shared" si="43"/>
        <v/>
      </c>
      <c r="X536" t="str">
        <f>IF(W536="","",LOOKUP(_xlfn.CONCAT(P536,", ",Q536),'[1]T+S Costs'!$F$2:$F$3138,'[1]T+S Costs'!$N$2:$N$3138))</f>
        <v/>
      </c>
      <c r="Y536" s="14" t="str">
        <f t="shared" si="44"/>
        <v/>
      </c>
      <c r="Z536" s="4" t="str">
        <f t="shared" si="45"/>
        <v/>
      </c>
    </row>
    <row r="537" spans="16:26" x14ac:dyDescent="0.25">
      <c r="P537" s="10" t="str">
        <f>IF('[1]All Data '!AZ542="","",'[1]All Data '!AZ542)</f>
        <v/>
      </c>
      <c r="Q537" s="10" t="str">
        <f>IF('[1]All Data '!BB542="","",'[1]All Data '!BB542)</f>
        <v/>
      </c>
      <c r="R537" s="10" t="str">
        <f>IF('[1]All Data '!BD542="","",'[1]All Data '!BD542)</f>
        <v/>
      </c>
      <c r="S537" s="11" t="str">
        <f>IF(R537="","",'[1]All Data '!BE542)</f>
        <v/>
      </c>
      <c r="T537" s="12" t="str">
        <f>IF(S537="","",[1]Inputs_Outputs!$B$8*(1-'LOCH Calc COE Calc'!S537))</f>
        <v/>
      </c>
      <c r="U537" s="13" t="str">
        <f t="shared" si="41"/>
        <v/>
      </c>
      <c r="V537" s="13" t="str">
        <f t="shared" si="42"/>
        <v/>
      </c>
      <c r="W537" s="4" t="str">
        <f t="shared" si="43"/>
        <v/>
      </c>
      <c r="X537" t="str">
        <f>IF(W537="","",LOOKUP(_xlfn.CONCAT(P537,", ",Q537),'[1]T+S Costs'!$F$2:$F$3138,'[1]T+S Costs'!$N$2:$N$3138))</f>
        <v/>
      </c>
      <c r="Y537" s="14" t="str">
        <f t="shared" si="44"/>
        <v/>
      </c>
      <c r="Z537" s="4" t="str">
        <f t="shared" si="45"/>
        <v/>
      </c>
    </row>
    <row r="538" spans="16:26" x14ac:dyDescent="0.25">
      <c r="P538" s="10" t="str">
        <f>IF('[1]All Data '!AZ543="","",'[1]All Data '!AZ543)</f>
        <v/>
      </c>
      <c r="Q538" s="10" t="str">
        <f>IF('[1]All Data '!BB543="","",'[1]All Data '!BB543)</f>
        <v/>
      </c>
      <c r="R538" s="10" t="str">
        <f>IF('[1]All Data '!BD543="","",'[1]All Data '!BD543)</f>
        <v/>
      </c>
      <c r="S538" s="11" t="str">
        <f>IF(R538="","",'[1]All Data '!BE543)</f>
        <v/>
      </c>
      <c r="T538" s="12" t="str">
        <f>IF(S538="","",[1]Inputs_Outputs!$B$8*(1-'LOCH Calc COE Calc'!S538))</f>
        <v/>
      </c>
      <c r="U538" s="13" t="str">
        <f t="shared" si="41"/>
        <v/>
      </c>
      <c r="V538" s="13" t="str">
        <f t="shared" si="42"/>
        <v/>
      </c>
      <c r="W538" s="4" t="str">
        <f t="shared" si="43"/>
        <v/>
      </c>
      <c r="X538" t="str">
        <f>IF(W538="","",LOOKUP(_xlfn.CONCAT(P538,", ",Q538),'[1]T+S Costs'!$F$2:$F$3138,'[1]T+S Costs'!$N$2:$N$3138))</f>
        <v/>
      </c>
      <c r="Y538" s="14" t="str">
        <f t="shared" si="44"/>
        <v/>
      </c>
      <c r="Z538" s="4" t="str">
        <f t="shared" si="45"/>
        <v/>
      </c>
    </row>
    <row r="539" spans="16:26" x14ac:dyDescent="0.25">
      <c r="P539" s="10" t="str">
        <f>IF('[1]All Data '!AZ544="","",'[1]All Data '!AZ544)</f>
        <v/>
      </c>
      <c r="Q539" s="10" t="str">
        <f>IF('[1]All Data '!BB544="","",'[1]All Data '!BB544)</f>
        <v/>
      </c>
      <c r="R539" s="10" t="str">
        <f>IF('[1]All Data '!BD544="","",'[1]All Data '!BD544)</f>
        <v/>
      </c>
      <c r="S539" s="11" t="str">
        <f>IF(R539="","",'[1]All Data '!BE544)</f>
        <v/>
      </c>
      <c r="T539" s="12" t="str">
        <f>IF(S539="","",[1]Inputs_Outputs!$B$8*(1-'LOCH Calc COE Calc'!S539))</f>
        <v/>
      </c>
      <c r="U539" s="13" t="str">
        <f t="shared" si="41"/>
        <v/>
      </c>
      <c r="V539" s="13" t="str">
        <f t="shared" si="42"/>
        <v/>
      </c>
      <c r="W539" s="4" t="str">
        <f t="shared" si="43"/>
        <v/>
      </c>
      <c r="X539" t="str">
        <f>IF(W539="","",LOOKUP(_xlfn.CONCAT(P539,", ",Q539),'[1]T+S Costs'!$F$2:$F$3138,'[1]T+S Costs'!$N$2:$N$3138))</f>
        <v/>
      </c>
      <c r="Y539" s="14" t="str">
        <f t="shared" si="44"/>
        <v/>
      </c>
      <c r="Z539" s="4" t="str">
        <f t="shared" si="45"/>
        <v/>
      </c>
    </row>
    <row r="540" spans="16:26" x14ac:dyDescent="0.25">
      <c r="P540" s="10" t="str">
        <f>IF('[1]All Data '!AZ545="","",'[1]All Data '!AZ545)</f>
        <v/>
      </c>
      <c r="Q540" s="10" t="str">
        <f>IF('[1]All Data '!BB545="","",'[1]All Data '!BB545)</f>
        <v/>
      </c>
      <c r="R540" s="10" t="str">
        <f>IF('[1]All Data '!BD545="","",'[1]All Data '!BD545)</f>
        <v/>
      </c>
      <c r="S540" s="11" t="str">
        <f>IF(R540="","",'[1]All Data '!BE545)</f>
        <v/>
      </c>
      <c r="T540" s="12" t="str">
        <f>IF(S540="","",[1]Inputs_Outputs!$B$8*(1-'LOCH Calc COE Calc'!S540))</f>
        <v/>
      </c>
      <c r="U540" s="13" t="str">
        <f t="shared" si="41"/>
        <v/>
      </c>
      <c r="V540" s="13" t="str">
        <f t="shared" si="42"/>
        <v/>
      </c>
      <c r="W540" s="4" t="str">
        <f t="shared" si="43"/>
        <v/>
      </c>
      <c r="X540" t="str">
        <f>IF(W540="","",LOOKUP(_xlfn.CONCAT(P540,", ",Q540),'[1]T+S Costs'!$F$2:$F$3138,'[1]T+S Costs'!$N$2:$N$3138))</f>
        <v/>
      </c>
      <c r="Y540" s="14" t="str">
        <f t="shared" si="44"/>
        <v/>
      </c>
      <c r="Z540" s="4" t="str">
        <f t="shared" si="45"/>
        <v/>
      </c>
    </row>
    <row r="541" spans="16:26" x14ac:dyDescent="0.25">
      <c r="P541" s="10" t="str">
        <f>IF('[1]All Data '!AZ546="","",'[1]All Data '!AZ546)</f>
        <v/>
      </c>
      <c r="Q541" s="10" t="str">
        <f>IF('[1]All Data '!BB546="","",'[1]All Data '!BB546)</f>
        <v/>
      </c>
      <c r="R541" s="10" t="str">
        <f>IF('[1]All Data '!BD546="","",'[1]All Data '!BD546)</f>
        <v/>
      </c>
      <c r="S541" s="11" t="str">
        <f>IF(R541="","",'[1]All Data '!BE546)</f>
        <v/>
      </c>
      <c r="T541" s="12" t="str">
        <f>IF(S541="","",[1]Inputs_Outputs!$B$8*(1-'LOCH Calc COE Calc'!S541))</f>
        <v/>
      </c>
      <c r="U541" s="13" t="str">
        <f t="shared" si="41"/>
        <v/>
      </c>
      <c r="V541" s="13" t="str">
        <f t="shared" si="42"/>
        <v/>
      </c>
      <c r="W541" s="4" t="str">
        <f t="shared" si="43"/>
        <v/>
      </c>
      <c r="X541" t="str">
        <f>IF(W541="","",LOOKUP(_xlfn.CONCAT(P541,", ",Q541),'[1]T+S Costs'!$F$2:$F$3138,'[1]T+S Costs'!$N$2:$N$3138))</f>
        <v/>
      </c>
      <c r="Y541" s="14" t="str">
        <f t="shared" si="44"/>
        <v/>
      </c>
      <c r="Z541" s="4" t="str">
        <f t="shared" si="45"/>
        <v/>
      </c>
    </row>
    <row r="542" spans="16:26" x14ac:dyDescent="0.25">
      <c r="P542" s="10" t="str">
        <f>IF('[1]All Data '!AZ547="","",'[1]All Data '!AZ547)</f>
        <v/>
      </c>
      <c r="Q542" s="10" t="str">
        <f>IF('[1]All Data '!BB547="","",'[1]All Data '!BB547)</f>
        <v/>
      </c>
      <c r="R542" s="10" t="str">
        <f>IF('[1]All Data '!BD547="","",'[1]All Data '!BD547)</f>
        <v/>
      </c>
      <c r="S542" s="11" t="str">
        <f>IF(R542="","",'[1]All Data '!BE547)</f>
        <v/>
      </c>
      <c r="T542" s="12" t="str">
        <f>IF(S542="","",[1]Inputs_Outputs!$B$8*(1-'LOCH Calc COE Calc'!S542))</f>
        <v/>
      </c>
      <c r="U542" s="13" t="str">
        <f t="shared" si="41"/>
        <v/>
      </c>
      <c r="V542" s="13" t="str">
        <f t="shared" si="42"/>
        <v/>
      </c>
      <c r="W542" s="4" t="str">
        <f t="shared" si="43"/>
        <v/>
      </c>
      <c r="X542" t="str">
        <f>IF(W542="","",LOOKUP(_xlfn.CONCAT(P542,", ",Q542),'[1]T+S Costs'!$F$2:$F$3138,'[1]T+S Costs'!$N$2:$N$3138))</f>
        <v/>
      </c>
      <c r="Y542" s="14" t="str">
        <f t="shared" si="44"/>
        <v/>
      </c>
      <c r="Z542" s="4" t="str">
        <f t="shared" si="45"/>
        <v/>
      </c>
    </row>
    <row r="543" spans="16:26" x14ac:dyDescent="0.25">
      <c r="P543" s="10" t="str">
        <f>IF('[1]All Data '!AZ548="","",'[1]All Data '!AZ548)</f>
        <v/>
      </c>
      <c r="Q543" s="10" t="str">
        <f>IF('[1]All Data '!BB548="","",'[1]All Data '!BB548)</f>
        <v/>
      </c>
      <c r="R543" s="10" t="str">
        <f>IF('[1]All Data '!BD548="","",'[1]All Data '!BD548)</f>
        <v/>
      </c>
      <c r="S543" s="11" t="str">
        <f>IF(R543="","",'[1]All Data '!BE548)</f>
        <v/>
      </c>
      <c r="T543" s="12" t="str">
        <f>IF(S543="","",[1]Inputs_Outputs!$B$8*(1-'LOCH Calc COE Calc'!S543))</f>
        <v/>
      </c>
      <c r="U543" s="13" t="str">
        <f t="shared" si="41"/>
        <v/>
      </c>
      <c r="V543" s="13" t="str">
        <f t="shared" si="42"/>
        <v/>
      </c>
      <c r="W543" s="4" t="str">
        <f t="shared" si="43"/>
        <v/>
      </c>
      <c r="X543" t="str">
        <f>IF(W543="","",LOOKUP(_xlfn.CONCAT(P543,", ",Q543),'[1]T+S Costs'!$F$2:$F$3138,'[1]T+S Costs'!$N$2:$N$3138))</f>
        <v/>
      </c>
      <c r="Y543" s="14" t="str">
        <f t="shared" si="44"/>
        <v/>
      </c>
      <c r="Z543" s="4" t="str">
        <f t="shared" si="45"/>
        <v/>
      </c>
    </row>
    <row r="544" spans="16:26" x14ac:dyDescent="0.25">
      <c r="P544" s="10" t="str">
        <f>IF('[1]All Data '!AZ549="","",'[1]All Data '!AZ549)</f>
        <v/>
      </c>
      <c r="Q544" s="10" t="str">
        <f>IF('[1]All Data '!BB549="","",'[1]All Data '!BB549)</f>
        <v/>
      </c>
      <c r="R544" s="10" t="str">
        <f>IF('[1]All Data '!BD549="","",'[1]All Data '!BD549)</f>
        <v/>
      </c>
      <c r="S544" s="11" t="str">
        <f>IF(R544="","",'[1]All Data '!BE549)</f>
        <v/>
      </c>
      <c r="T544" s="12" t="str">
        <f>IF(S544="","",[1]Inputs_Outputs!$B$8*(1-'LOCH Calc COE Calc'!S544))</f>
        <v/>
      </c>
      <c r="U544" s="13" t="str">
        <f t="shared" si="41"/>
        <v/>
      </c>
      <c r="V544" s="13" t="str">
        <f t="shared" si="42"/>
        <v/>
      </c>
      <c r="W544" s="4" t="str">
        <f t="shared" si="43"/>
        <v/>
      </c>
      <c r="X544" t="str">
        <f>IF(W544="","",LOOKUP(_xlfn.CONCAT(P544,", ",Q544),'[1]T+S Costs'!$F$2:$F$3138,'[1]T+S Costs'!$N$2:$N$3138))</f>
        <v/>
      </c>
      <c r="Y544" s="14" t="str">
        <f t="shared" si="44"/>
        <v/>
      </c>
      <c r="Z544" s="4" t="str">
        <f t="shared" si="45"/>
        <v/>
      </c>
    </row>
    <row r="545" spans="16:26" x14ac:dyDescent="0.25">
      <c r="P545" s="10" t="str">
        <f>IF('[1]All Data '!AZ550="","",'[1]All Data '!AZ550)</f>
        <v/>
      </c>
      <c r="Q545" s="10" t="str">
        <f>IF('[1]All Data '!BB550="","",'[1]All Data '!BB550)</f>
        <v/>
      </c>
      <c r="R545" s="10" t="str">
        <f>IF('[1]All Data '!BD550="","",'[1]All Data '!BD550)</f>
        <v/>
      </c>
      <c r="S545" s="11" t="str">
        <f>IF(R545="","",'[1]All Data '!BE550)</f>
        <v/>
      </c>
      <c r="T545" s="12" t="str">
        <f>IF(S545="","",[1]Inputs_Outputs!$B$8*(1-'LOCH Calc COE Calc'!S545))</f>
        <v/>
      </c>
      <c r="U545" s="13" t="str">
        <f t="shared" si="41"/>
        <v/>
      </c>
      <c r="V545" s="13" t="str">
        <f t="shared" si="42"/>
        <v/>
      </c>
      <c r="W545" s="4" t="str">
        <f t="shared" si="43"/>
        <v/>
      </c>
      <c r="X545" t="str">
        <f>IF(W545="","",LOOKUP(_xlfn.CONCAT(P545,", ",Q545),'[1]T+S Costs'!$F$2:$F$3138,'[1]T+S Costs'!$N$2:$N$3138))</f>
        <v/>
      </c>
      <c r="Y545" s="14" t="str">
        <f t="shared" si="44"/>
        <v/>
      </c>
      <c r="Z545" s="4" t="str">
        <f t="shared" si="45"/>
        <v/>
      </c>
    </row>
    <row r="546" spans="16:26" x14ac:dyDescent="0.25">
      <c r="P546" s="10" t="str">
        <f>IF('[1]All Data '!AZ551="","",'[1]All Data '!AZ551)</f>
        <v/>
      </c>
      <c r="Q546" s="10" t="str">
        <f>IF('[1]All Data '!BB551="","",'[1]All Data '!BB551)</f>
        <v/>
      </c>
      <c r="R546" s="10" t="str">
        <f>IF('[1]All Data '!BD551="","",'[1]All Data '!BD551)</f>
        <v/>
      </c>
      <c r="S546" s="11" t="str">
        <f>IF(R546="","",'[1]All Data '!BE551)</f>
        <v/>
      </c>
      <c r="T546" s="12" t="str">
        <f>IF(S546="","",[1]Inputs_Outputs!$B$8*(1-'LOCH Calc COE Calc'!S546))</f>
        <v/>
      </c>
      <c r="U546" s="13" t="str">
        <f t="shared" si="41"/>
        <v/>
      </c>
      <c r="V546" s="13" t="str">
        <f t="shared" si="42"/>
        <v/>
      </c>
      <c r="W546" s="4" t="str">
        <f t="shared" si="43"/>
        <v/>
      </c>
      <c r="X546" t="str">
        <f>IF(W546="","",LOOKUP(_xlfn.CONCAT(P546,", ",Q546),'[1]T+S Costs'!$F$2:$F$3138,'[1]T+S Costs'!$N$2:$N$3138))</f>
        <v/>
      </c>
      <c r="Y546" s="14" t="str">
        <f t="shared" si="44"/>
        <v/>
      </c>
      <c r="Z546" s="4" t="str">
        <f t="shared" si="45"/>
        <v/>
      </c>
    </row>
    <row r="547" spans="16:26" x14ac:dyDescent="0.25">
      <c r="P547" s="10" t="str">
        <f>IF('[1]All Data '!AZ552="","",'[1]All Data '!AZ552)</f>
        <v/>
      </c>
      <c r="Q547" s="10" t="str">
        <f>IF('[1]All Data '!BB552="","",'[1]All Data '!BB552)</f>
        <v/>
      </c>
      <c r="R547" s="10" t="str">
        <f>IF('[1]All Data '!BD552="","",'[1]All Data '!BD552)</f>
        <v/>
      </c>
      <c r="S547" s="11" t="str">
        <f>IF(R547="","",'[1]All Data '!BE552)</f>
        <v/>
      </c>
      <c r="T547" s="12" t="str">
        <f>IF(S547="","",[1]Inputs_Outputs!$B$8*(1-'LOCH Calc COE Calc'!S547))</f>
        <v/>
      </c>
      <c r="U547" s="13" t="str">
        <f t="shared" si="41"/>
        <v/>
      </c>
      <c r="V547" s="13" t="str">
        <f t="shared" si="42"/>
        <v/>
      </c>
      <c r="W547" s="4" t="str">
        <f t="shared" si="43"/>
        <v/>
      </c>
      <c r="X547" t="str">
        <f>IF(W547="","",LOOKUP(_xlfn.CONCAT(P547,", ",Q547),'[1]T+S Costs'!$F$2:$F$3138,'[1]T+S Costs'!$N$2:$N$3138))</f>
        <v/>
      </c>
      <c r="Y547" s="14" t="str">
        <f t="shared" si="44"/>
        <v/>
      </c>
      <c r="Z547" s="4" t="str">
        <f t="shared" si="45"/>
        <v/>
      </c>
    </row>
    <row r="548" spans="16:26" x14ac:dyDescent="0.25">
      <c r="P548" s="10" t="str">
        <f>IF('[1]All Data '!AZ553="","",'[1]All Data '!AZ553)</f>
        <v/>
      </c>
      <c r="Q548" s="10" t="str">
        <f>IF('[1]All Data '!BB553="","",'[1]All Data '!BB553)</f>
        <v/>
      </c>
      <c r="R548" s="10" t="str">
        <f>IF('[1]All Data '!BD553="","",'[1]All Data '!BD553)</f>
        <v/>
      </c>
      <c r="S548" s="11" t="str">
        <f>IF(R548="","",'[1]All Data '!BE553)</f>
        <v/>
      </c>
      <c r="T548" s="12" t="str">
        <f>IF(S548="","",[1]Inputs_Outputs!$B$8*(1-'LOCH Calc COE Calc'!S548))</f>
        <v/>
      </c>
      <c r="U548" s="13" t="str">
        <f t="shared" si="41"/>
        <v/>
      </c>
      <c r="V548" s="13" t="str">
        <f t="shared" si="42"/>
        <v/>
      </c>
      <c r="W548" s="4" t="str">
        <f t="shared" si="43"/>
        <v/>
      </c>
      <c r="X548" t="str">
        <f>IF(W548="","",LOOKUP(_xlfn.CONCAT(P548,", ",Q548),'[1]T+S Costs'!$F$2:$F$3138,'[1]T+S Costs'!$N$2:$N$3138))</f>
        <v/>
      </c>
      <c r="Y548" s="14" t="str">
        <f t="shared" si="44"/>
        <v/>
      </c>
      <c r="Z548" s="4" t="str">
        <f t="shared" si="45"/>
        <v/>
      </c>
    </row>
    <row r="549" spans="16:26" x14ac:dyDescent="0.25">
      <c r="P549" s="10" t="str">
        <f>IF('[1]All Data '!AZ554="","",'[1]All Data '!AZ554)</f>
        <v/>
      </c>
      <c r="Q549" s="10" t="str">
        <f>IF('[1]All Data '!BB554="","",'[1]All Data '!BB554)</f>
        <v/>
      </c>
      <c r="R549" s="10" t="str">
        <f>IF('[1]All Data '!BD554="","",'[1]All Data '!BD554)</f>
        <v/>
      </c>
      <c r="S549" s="11" t="str">
        <f>IF(R549="","",'[1]All Data '!BE554)</f>
        <v/>
      </c>
      <c r="T549" s="12" t="str">
        <f>IF(S549="","",[1]Inputs_Outputs!$B$8*(1-'LOCH Calc COE Calc'!S549))</f>
        <v/>
      </c>
      <c r="U549" s="13" t="str">
        <f t="shared" si="41"/>
        <v/>
      </c>
      <c r="V549" s="13" t="str">
        <f t="shared" si="42"/>
        <v/>
      </c>
      <c r="W549" s="4" t="str">
        <f t="shared" si="43"/>
        <v/>
      </c>
      <c r="X549" t="str">
        <f>IF(W549="","",LOOKUP(_xlfn.CONCAT(P549,", ",Q549),'[1]T+S Costs'!$F$2:$F$3138,'[1]T+S Costs'!$N$2:$N$3138))</f>
        <v/>
      </c>
      <c r="Y549" s="14" t="str">
        <f t="shared" si="44"/>
        <v/>
      </c>
      <c r="Z549" s="4" t="str">
        <f t="shared" si="45"/>
        <v/>
      </c>
    </row>
    <row r="550" spans="16:26" x14ac:dyDescent="0.25">
      <c r="P550" s="10" t="str">
        <f>IF('[1]All Data '!AZ555="","",'[1]All Data '!AZ555)</f>
        <v/>
      </c>
      <c r="Q550" s="10" t="str">
        <f>IF('[1]All Data '!BB555="","",'[1]All Data '!BB555)</f>
        <v/>
      </c>
      <c r="R550" s="10" t="str">
        <f>IF('[1]All Data '!BD555="","",'[1]All Data '!BD555)</f>
        <v/>
      </c>
      <c r="S550" s="11" t="str">
        <f>IF(R550="","",'[1]All Data '!BE555)</f>
        <v/>
      </c>
      <c r="T550" s="12" t="str">
        <f>IF(S550="","",[1]Inputs_Outputs!$B$8*(1-'LOCH Calc COE Calc'!S550))</f>
        <v/>
      </c>
      <c r="U550" s="13" t="str">
        <f t="shared" si="41"/>
        <v/>
      </c>
      <c r="V550" s="13" t="str">
        <f t="shared" si="42"/>
        <v/>
      </c>
      <c r="W550" s="4" t="str">
        <f t="shared" si="43"/>
        <v/>
      </c>
      <c r="X550" t="str">
        <f>IF(W550="","",LOOKUP(_xlfn.CONCAT(P550,", ",Q550),'[1]T+S Costs'!$F$2:$F$3138,'[1]T+S Costs'!$N$2:$N$3138))</f>
        <v/>
      </c>
      <c r="Y550" s="14" t="str">
        <f t="shared" si="44"/>
        <v/>
      </c>
      <c r="Z550" s="4" t="str">
        <f t="shared" si="45"/>
        <v/>
      </c>
    </row>
    <row r="551" spans="16:26" x14ac:dyDescent="0.25">
      <c r="P551" s="10" t="str">
        <f>IF('[1]All Data '!AZ556="","",'[1]All Data '!AZ556)</f>
        <v/>
      </c>
      <c r="Q551" s="10" t="str">
        <f>IF('[1]All Data '!BB556="","",'[1]All Data '!BB556)</f>
        <v/>
      </c>
      <c r="R551" s="10" t="str">
        <f>IF('[1]All Data '!BD556="","",'[1]All Data '!BD556)</f>
        <v/>
      </c>
      <c r="S551" s="11" t="str">
        <f>IF(R551="","",'[1]All Data '!BE556)</f>
        <v/>
      </c>
      <c r="T551" s="12" t="str">
        <f>IF(S551="","",[1]Inputs_Outputs!$B$8*(1-'LOCH Calc COE Calc'!S551))</f>
        <v/>
      </c>
      <c r="U551" s="13" t="str">
        <f t="shared" si="41"/>
        <v/>
      </c>
      <c r="V551" s="13" t="str">
        <f t="shared" si="42"/>
        <v/>
      </c>
      <c r="W551" s="4" t="str">
        <f t="shared" si="43"/>
        <v/>
      </c>
      <c r="X551" t="str">
        <f>IF(W551="","",LOOKUP(_xlfn.CONCAT(P551,", ",Q551),'[1]T+S Costs'!$F$2:$F$3138,'[1]T+S Costs'!$N$2:$N$3138))</f>
        <v/>
      </c>
      <c r="Y551" s="14" t="str">
        <f t="shared" si="44"/>
        <v/>
      </c>
      <c r="Z551" s="4" t="str">
        <f t="shared" si="45"/>
        <v/>
      </c>
    </row>
    <row r="552" spans="16:26" x14ac:dyDescent="0.25">
      <c r="P552" s="10" t="str">
        <f>IF('[1]All Data '!AZ557="","",'[1]All Data '!AZ557)</f>
        <v/>
      </c>
      <c r="Q552" s="10" t="str">
        <f>IF('[1]All Data '!BB557="","",'[1]All Data '!BB557)</f>
        <v/>
      </c>
      <c r="R552" s="10" t="str">
        <f>IF('[1]All Data '!BD557="","",'[1]All Data '!BD557)</f>
        <v/>
      </c>
      <c r="S552" s="11" t="str">
        <f>IF(R552="","",'[1]All Data '!BE557)</f>
        <v/>
      </c>
      <c r="T552" s="12" t="str">
        <f>IF(S552="","",[1]Inputs_Outputs!$B$8*(1-'LOCH Calc COE Calc'!S552))</f>
        <v/>
      </c>
      <c r="U552" s="13" t="str">
        <f t="shared" si="41"/>
        <v/>
      </c>
      <c r="V552" s="13" t="str">
        <f t="shared" si="42"/>
        <v/>
      </c>
      <c r="W552" s="4" t="str">
        <f t="shared" si="43"/>
        <v/>
      </c>
      <c r="X552" t="str">
        <f>IF(W552="","",LOOKUP(_xlfn.CONCAT(P552,", ",Q552),'[1]T+S Costs'!$F$2:$F$3138,'[1]T+S Costs'!$N$2:$N$3138))</f>
        <v/>
      </c>
      <c r="Y552" s="14" t="str">
        <f t="shared" si="44"/>
        <v/>
      </c>
      <c r="Z552" s="4" t="str">
        <f t="shared" si="45"/>
        <v/>
      </c>
    </row>
    <row r="553" spans="16:26" x14ac:dyDescent="0.25">
      <c r="P553" s="10" t="str">
        <f>IF('[1]All Data '!AZ558="","",'[1]All Data '!AZ558)</f>
        <v/>
      </c>
      <c r="Q553" s="10" t="str">
        <f>IF('[1]All Data '!BB558="","",'[1]All Data '!BB558)</f>
        <v/>
      </c>
      <c r="R553" s="10" t="str">
        <f>IF('[1]All Data '!BD558="","",'[1]All Data '!BD558)</f>
        <v/>
      </c>
      <c r="S553" s="11" t="str">
        <f>IF(R553="","",'[1]All Data '!BE558)</f>
        <v/>
      </c>
      <c r="T553" s="12" t="str">
        <f>IF(S553="","",[1]Inputs_Outputs!$B$8*(1-'LOCH Calc COE Calc'!S553))</f>
        <v/>
      </c>
      <c r="U553" s="13" t="str">
        <f t="shared" si="41"/>
        <v/>
      </c>
      <c r="V553" s="13" t="str">
        <f t="shared" si="42"/>
        <v/>
      </c>
      <c r="W553" s="4" t="str">
        <f t="shared" si="43"/>
        <v/>
      </c>
      <c r="X553" t="str">
        <f>IF(W553="","",LOOKUP(_xlfn.CONCAT(P553,", ",Q553),'[1]T+S Costs'!$F$2:$F$3138,'[1]T+S Costs'!$N$2:$N$3138))</f>
        <v/>
      </c>
      <c r="Y553" s="14" t="str">
        <f t="shared" si="44"/>
        <v/>
      </c>
      <c r="Z553" s="4" t="str">
        <f t="shared" si="45"/>
        <v/>
      </c>
    </row>
    <row r="554" spans="16:26" x14ac:dyDescent="0.25">
      <c r="P554" s="10" t="str">
        <f>IF('[1]All Data '!AZ559="","",'[1]All Data '!AZ559)</f>
        <v/>
      </c>
      <c r="Q554" s="10" t="str">
        <f>IF('[1]All Data '!BB559="","",'[1]All Data '!BB559)</f>
        <v/>
      </c>
      <c r="R554" s="10" t="str">
        <f>IF('[1]All Data '!BD559="","",'[1]All Data '!BD559)</f>
        <v/>
      </c>
      <c r="S554" s="11" t="str">
        <f>IF(R554="","",'[1]All Data '!BE559)</f>
        <v/>
      </c>
      <c r="T554" s="12" t="str">
        <f>IF(S554="","",[1]Inputs_Outputs!$B$8*(1-'LOCH Calc COE Calc'!S554))</f>
        <v/>
      </c>
      <c r="U554" s="13" t="str">
        <f t="shared" si="41"/>
        <v/>
      </c>
      <c r="V554" s="13" t="str">
        <f t="shared" si="42"/>
        <v/>
      </c>
      <c r="W554" s="4" t="str">
        <f t="shared" si="43"/>
        <v/>
      </c>
      <c r="X554" t="str">
        <f>IF(W554="","",LOOKUP(_xlfn.CONCAT(P554,", ",Q554),'[1]T+S Costs'!$F$2:$F$3138,'[1]T+S Costs'!$N$2:$N$3138))</f>
        <v/>
      </c>
      <c r="Y554" s="14" t="str">
        <f t="shared" si="44"/>
        <v/>
      </c>
      <c r="Z554" s="4" t="str">
        <f t="shared" si="45"/>
        <v/>
      </c>
    </row>
    <row r="555" spans="16:26" x14ac:dyDescent="0.25">
      <c r="P555" s="10" t="str">
        <f>IF('[1]All Data '!AZ560="","",'[1]All Data '!AZ560)</f>
        <v/>
      </c>
      <c r="Q555" s="10" t="str">
        <f>IF('[1]All Data '!BB560="","",'[1]All Data '!BB560)</f>
        <v/>
      </c>
      <c r="R555" s="10" t="str">
        <f>IF('[1]All Data '!BD560="","",'[1]All Data '!BD560)</f>
        <v/>
      </c>
      <c r="S555" s="11" t="str">
        <f>IF(R555="","",'[1]All Data '!BE560)</f>
        <v/>
      </c>
      <c r="T555" s="12" t="str">
        <f>IF(S555="","",[1]Inputs_Outputs!$B$8*(1-'LOCH Calc COE Calc'!S555))</f>
        <v/>
      </c>
      <c r="U555" s="13" t="str">
        <f t="shared" si="41"/>
        <v/>
      </c>
      <c r="V555" s="13" t="str">
        <f t="shared" si="42"/>
        <v/>
      </c>
      <c r="W555" s="4" t="str">
        <f t="shared" si="43"/>
        <v/>
      </c>
      <c r="X555" t="str">
        <f>IF(W555="","",LOOKUP(_xlfn.CONCAT(P555,", ",Q555),'[1]T+S Costs'!$F$2:$F$3138,'[1]T+S Costs'!$N$2:$N$3138))</f>
        <v/>
      </c>
      <c r="Y555" s="14" t="str">
        <f t="shared" si="44"/>
        <v/>
      </c>
      <c r="Z555" s="4" t="str">
        <f t="shared" si="45"/>
        <v/>
      </c>
    </row>
    <row r="556" spans="16:26" x14ac:dyDescent="0.25">
      <c r="P556" s="10" t="str">
        <f>IF('[1]All Data '!AZ561="","",'[1]All Data '!AZ561)</f>
        <v/>
      </c>
      <c r="Q556" s="10" t="str">
        <f>IF('[1]All Data '!BB561="","",'[1]All Data '!BB561)</f>
        <v/>
      </c>
      <c r="R556" s="10" t="str">
        <f>IF('[1]All Data '!BD561="","",'[1]All Data '!BD561)</f>
        <v/>
      </c>
      <c r="S556" s="11" t="str">
        <f>IF(R556="","",'[1]All Data '!BE561)</f>
        <v/>
      </c>
      <c r="T556" s="12" t="str">
        <f>IF(S556="","",[1]Inputs_Outputs!$B$8*(1-'LOCH Calc COE Calc'!S556))</f>
        <v/>
      </c>
      <c r="U556" s="13" t="str">
        <f t="shared" si="41"/>
        <v/>
      </c>
      <c r="V556" s="13" t="str">
        <f t="shared" si="42"/>
        <v/>
      </c>
      <c r="W556" s="4" t="str">
        <f t="shared" si="43"/>
        <v/>
      </c>
      <c r="X556" t="str">
        <f>IF(W556="","",LOOKUP(_xlfn.CONCAT(P556,", ",Q556),'[1]T+S Costs'!$F$2:$F$3138,'[1]T+S Costs'!$N$2:$N$3138))</f>
        <v/>
      </c>
      <c r="Y556" s="14" t="str">
        <f t="shared" si="44"/>
        <v/>
      </c>
      <c r="Z556" s="4" t="str">
        <f t="shared" si="45"/>
        <v/>
      </c>
    </row>
    <row r="557" spans="16:26" x14ac:dyDescent="0.25">
      <c r="P557" s="10" t="str">
        <f>IF('[1]All Data '!AZ562="","",'[1]All Data '!AZ562)</f>
        <v/>
      </c>
      <c r="Q557" s="10" t="str">
        <f>IF('[1]All Data '!BB562="","",'[1]All Data '!BB562)</f>
        <v/>
      </c>
      <c r="R557" s="10" t="str">
        <f>IF('[1]All Data '!BD562="","",'[1]All Data '!BD562)</f>
        <v/>
      </c>
      <c r="S557" s="11" t="str">
        <f>IF(R557="","",'[1]All Data '!BE562)</f>
        <v/>
      </c>
      <c r="T557" s="12" t="str">
        <f>IF(S557="","",[1]Inputs_Outputs!$B$8*(1-'LOCH Calc COE Calc'!S557))</f>
        <v/>
      </c>
      <c r="U557" s="13" t="str">
        <f t="shared" si="41"/>
        <v/>
      </c>
      <c r="V557" s="13" t="str">
        <f t="shared" si="42"/>
        <v/>
      </c>
      <c r="W557" s="4" t="str">
        <f t="shared" si="43"/>
        <v/>
      </c>
      <c r="X557" t="str">
        <f>IF(W557="","",LOOKUP(_xlfn.CONCAT(P557,", ",Q557),'[1]T+S Costs'!$F$2:$F$3138,'[1]T+S Costs'!$N$2:$N$3138))</f>
        <v/>
      </c>
      <c r="Y557" s="14" t="str">
        <f t="shared" si="44"/>
        <v/>
      </c>
      <c r="Z557" s="4" t="str">
        <f t="shared" si="45"/>
        <v/>
      </c>
    </row>
    <row r="558" spans="16:26" x14ac:dyDescent="0.25">
      <c r="P558" s="10" t="str">
        <f>IF('[1]All Data '!AZ563="","",'[1]All Data '!AZ563)</f>
        <v/>
      </c>
      <c r="Q558" s="10" t="str">
        <f>IF('[1]All Data '!BB563="","",'[1]All Data '!BB563)</f>
        <v/>
      </c>
      <c r="R558" s="10" t="str">
        <f>IF('[1]All Data '!BD563="","",'[1]All Data '!BD563)</f>
        <v/>
      </c>
      <c r="S558" s="11" t="str">
        <f>IF(R558="","",'[1]All Data '!BE563)</f>
        <v/>
      </c>
      <c r="T558" s="12" t="str">
        <f>IF(S558="","",[1]Inputs_Outputs!$B$8*(1-'LOCH Calc COE Calc'!S558))</f>
        <v/>
      </c>
      <c r="U558" s="13" t="str">
        <f t="shared" si="41"/>
        <v/>
      </c>
      <c r="V558" s="13" t="str">
        <f t="shared" si="42"/>
        <v/>
      </c>
      <c r="W558" s="4" t="str">
        <f t="shared" si="43"/>
        <v/>
      </c>
      <c r="X558" t="str">
        <f>IF(W558="","",LOOKUP(_xlfn.CONCAT(P558,", ",Q558),'[1]T+S Costs'!$F$2:$F$3138,'[1]T+S Costs'!$N$2:$N$3138))</f>
        <v/>
      </c>
      <c r="Y558" s="14" t="str">
        <f t="shared" si="44"/>
        <v/>
      </c>
      <c r="Z558" s="4" t="str">
        <f t="shared" si="45"/>
        <v/>
      </c>
    </row>
    <row r="559" spans="16:26" x14ac:dyDescent="0.25">
      <c r="P559" s="10" t="str">
        <f>IF('[1]All Data '!AZ564="","",'[1]All Data '!AZ564)</f>
        <v/>
      </c>
      <c r="Q559" s="10" t="str">
        <f>IF('[1]All Data '!BB564="","",'[1]All Data '!BB564)</f>
        <v/>
      </c>
      <c r="R559" s="10" t="str">
        <f>IF('[1]All Data '!BD564="","",'[1]All Data '!BD564)</f>
        <v/>
      </c>
      <c r="S559" s="11" t="str">
        <f>IF(R559="","",'[1]All Data '!BE564)</f>
        <v/>
      </c>
      <c r="T559" s="12" t="str">
        <f>IF(S559="","",[1]Inputs_Outputs!$B$8*(1-'LOCH Calc COE Calc'!S559))</f>
        <v/>
      </c>
      <c r="U559" s="13" t="str">
        <f t="shared" si="41"/>
        <v/>
      </c>
      <c r="V559" s="13" t="str">
        <f t="shared" si="42"/>
        <v/>
      </c>
      <c r="W559" s="4" t="str">
        <f t="shared" si="43"/>
        <v/>
      </c>
      <c r="X559" t="str">
        <f>IF(W559="","",LOOKUP(_xlfn.CONCAT(P559,", ",Q559),'[1]T+S Costs'!$F$2:$F$3138,'[1]T+S Costs'!$N$2:$N$3138))</f>
        <v/>
      </c>
      <c r="Y559" s="14" t="str">
        <f t="shared" si="44"/>
        <v/>
      </c>
      <c r="Z559" s="4" t="str">
        <f t="shared" si="45"/>
        <v/>
      </c>
    </row>
    <row r="560" spans="16:26" x14ac:dyDescent="0.25">
      <c r="P560" s="10" t="str">
        <f>IF('[1]All Data '!AZ565="","",'[1]All Data '!AZ565)</f>
        <v/>
      </c>
      <c r="Q560" s="10" t="str">
        <f>IF('[1]All Data '!BB565="","",'[1]All Data '!BB565)</f>
        <v/>
      </c>
      <c r="R560" s="10" t="str">
        <f>IF('[1]All Data '!BD565="","",'[1]All Data '!BD565)</f>
        <v/>
      </c>
      <c r="S560" s="11" t="str">
        <f>IF(R560="","",'[1]All Data '!BE565)</f>
        <v/>
      </c>
      <c r="T560" s="12" t="str">
        <f>IF(S560="","",[1]Inputs_Outputs!$B$8*(1-'LOCH Calc COE Calc'!S560))</f>
        <v/>
      </c>
      <c r="U560" s="13" t="str">
        <f t="shared" si="41"/>
        <v/>
      </c>
      <c r="V560" s="13" t="str">
        <f t="shared" si="42"/>
        <v/>
      </c>
      <c r="W560" s="4" t="str">
        <f t="shared" si="43"/>
        <v/>
      </c>
      <c r="X560" t="str">
        <f>IF(W560="","",LOOKUP(_xlfn.CONCAT(P560,", ",Q560),'[1]T+S Costs'!$F$2:$F$3138,'[1]T+S Costs'!$N$2:$N$3138))</f>
        <v/>
      </c>
      <c r="Y560" s="14" t="str">
        <f t="shared" si="44"/>
        <v/>
      </c>
      <c r="Z560" s="4" t="str">
        <f t="shared" si="45"/>
        <v/>
      </c>
    </row>
    <row r="561" spans="16:26" x14ac:dyDescent="0.25">
      <c r="P561" s="10" t="str">
        <f>IF('[1]All Data '!AZ566="","",'[1]All Data '!AZ566)</f>
        <v/>
      </c>
      <c r="Q561" s="10" t="str">
        <f>IF('[1]All Data '!BB566="","",'[1]All Data '!BB566)</f>
        <v/>
      </c>
      <c r="R561" s="10" t="str">
        <f>IF('[1]All Data '!BD566="","",'[1]All Data '!BD566)</f>
        <v/>
      </c>
      <c r="S561" s="11" t="str">
        <f>IF(R561="","",'[1]All Data '!BE566)</f>
        <v/>
      </c>
      <c r="T561" s="12" t="str">
        <f>IF(S561="","",[1]Inputs_Outputs!$B$8*(1-'LOCH Calc COE Calc'!S561))</f>
        <v/>
      </c>
      <c r="U561" s="13" t="str">
        <f t="shared" si="41"/>
        <v/>
      </c>
      <c r="V561" s="13" t="str">
        <f t="shared" si="42"/>
        <v/>
      </c>
      <c r="W561" s="4" t="str">
        <f t="shared" si="43"/>
        <v/>
      </c>
      <c r="X561" t="str">
        <f>IF(W561="","",LOOKUP(_xlfn.CONCAT(P561,", ",Q561),'[1]T+S Costs'!$F$2:$F$3138,'[1]T+S Costs'!$N$2:$N$3138))</f>
        <v/>
      </c>
      <c r="Y561" s="14" t="str">
        <f t="shared" si="44"/>
        <v/>
      </c>
      <c r="Z561" s="4" t="str">
        <f t="shared" si="45"/>
        <v/>
      </c>
    </row>
    <row r="562" spans="16:26" x14ac:dyDescent="0.25">
      <c r="P562" s="10" t="str">
        <f>IF('[1]All Data '!AZ567="","",'[1]All Data '!AZ567)</f>
        <v/>
      </c>
      <c r="Q562" s="10" t="str">
        <f>IF('[1]All Data '!BB567="","",'[1]All Data '!BB567)</f>
        <v/>
      </c>
      <c r="R562" s="10" t="str">
        <f>IF('[1]All Data '!BD567="","",'[1]All Data '!BD567)</f>
        <v/>
      </c>
      <c r="S562" s="11" t="str">
        <f>IF(R562="","",'[1]All Data '!BE567)</f>
        <v/>
      </c>
      <c r="T562" s="12" t="str">
        <f>IF(S562="","",[1]Inputs_Outputs!$B$8*(1-'LOCH Calc COE Calc'!S562))</f>
        <v/>
      </c>
      <c r="U562" s="13" t="str">
        <f t="shared" si="41"/>
        <v/>
      </c>
      <c r="V562" s="13" t="str">
        <f t="shared" si="42"/>
        <v/>
      </c>
      <c r="W562" s="4" t="str">
        <f t="shared" si="43"/>
        <v/>
      </c>
      <c r="X562" t="str">
        <f>IF(W562="","",LOOKUP(_xlfn.CONCAT(P562,", ",Q562),'[1]T+S Costs'!$F$2:$F$3138,'[1]T+S Costs'!$N$2:$N$3138))</f>
        <v/>
      </c>
      <c r="Y562" s="14" t="str">
        <f t="shared" si="44"/>
        <v/>
      </c>
      <c r="Z562" s="4" t="str">
        <f t="shared" si="45"/>
        <v/>
      </c>
    </row>
    <row r="563" spans="16:26" x14ac:dyDescent="0.25">
      <c r="P563" s="10" t="str">
        <f>IF('[1]All Data '!AZ568="","",'[1]All Data '!AZ568)</f>
        <v/>
      </c>
      <c r="Q563" s="10" t="str">
        <f>IF('[1]All Data '!BB568="","",'[1]All Data '!BB568)</f>
        <v/>
      </c>
      <c r="R563" s="10" t="str">
        <f>IF('[1]All Data '!BD568="","",'[1]All Data '!BD568)</f>
        <v/>
      </c>
      <c r="S563" s="11" t="str">
        <f>IF(R563="","",'[1]All Data '!BE568)</f>
        <v/>
      </c>
      <c r="T563" s="12" t="str">
        <f>IF(S563="","",[1]Inputs_Outputs!$B$8*(1-'LOCH Calc COE Calc'!S563))</f>
        <v/>
      </c>
      <c r="U563" s="13" t="str">
        <f t="shared" si="41"/>
        <v/>
      </c>
      <c r="V563" s="13" t="str">
        <f t="shared" si="42"/>
        <v/>
      </c>
      <c r="W563" s="4" t="str">
        <f t="shared" si="43"/>
        <v/>
      </c>
      <c r="X563" t="str">
        <f>IF(W563="","",LOOKUP(_xlfn.CONCAT(P563,", ",Q563),'[1]T+S Costs'!$F$2:$F$3138,'[1]T+S Costs'!$N$2:$N$3138))</f>
        <v/>
      </c>
      <c r="Y563" s="14" t="str">
        <f t="shared" si="44"/>
        <v/>
      </c>
      <c r="Z563" s="4" t="str">
        <f t="shared" si="45"/>
        <v/>
      </c>
    </row>
    <row r="564" spans="16:26" x14ac:dyDescent="0.25">
      <c r="P564" s="10" t="str">
        <f>IF('[1]All Data '!AZ569="","",'[1]All Data '!AZ569)</f>
        <v/>
      </c>
      <c r="Q564" s="10" t="str">
        <f>IF('[1]All Data '!BB569="","",'[1]All Data '!BB569)</f>
        <v/>
      </c>
      <c r="R564" s="10" t="str">
        <f>IF('[1]All Data '!BD569="","",'[1]All Data '!BD569)</f>
        <v/>
      </c>
      <c r="S564" s="11" t="str">
        <f>IF(R564="","",'[1]All Data '!BE569)</f>
        <v/>
      </c>
      <c r="T564" s="12" t="str">
        <f>IF(S564="","",[1]Inputs_Outputs!$B$8*(1-'LOCH Calc COE Calc'!S564))</f>
        <v/>
      </c>
      <c r="U564" s="13" t="str">
        <f t="shared" si="41"/>
        <v/>
      </c>
      <c r="V564" s="13" t="str">
        <f t="shared" si="42"/>
        <v/>
      </c>
      <c r="W564" s="4" t="str">
        <f t="shared" si="43"/>
        <v/>
      </c>
      <c r="X564" t="str">
        <f>IF(W564="","",LOOKUP(_xlfn.CONCAT(P564,", ",Q564),'[1]T+S Costs'!$F$2:$F$3138,'[1]T+S Costs'!$N$2:$N$3138))</f>
        <v/>
      </c>
      <c r="Y564" s="14" t="str">
        <f t="shared" si="44"/>
        <v/>
      </c>
      <c r="Z564" s="4" t="str">
        <f t="shared" si="45"/>
        <v/>
      </c>
    </row>
    <row r="565" spans="16:26" x14ac:dyDescent="0.25">
      <c r="P565" s="10" t="str">
        <f>IF('[1]All Data '!AZ570="","",'[1]All Data '!AZ570)</f>
        <v/>
      </c>
      <c r="Q565" s="10" t="str">
        <f>IF('[1]All Data '!BB570="","",'[1]All Data '!BB570)</f>
        <v/>
      </c>
      <c r="R565" s="10" t="str">
        <f>IF('[1]All Data '!BD570="","",'[1]All Data '!BD570)</f>
        <v/>
      </c>
      <c r="S565" s="11" t="str">
        <f>IF(R565="","",'[1]All Data '!BE570)</f>
        <v/>
      </c>
      <c r="T565" s="12" t="str">
        <f>IF(S565="","",[1]Inputs_Outputs!$B$8*(1-'LOCH Calc COE Calc'!S565))</f>
        <v/>
      </c>
      <c r="U565" s="13" t="str">
        <f t="shared" si="41"/>
        <v/>
      </c>
      <c r="V565" s="13" t="str">
        <f t="shared" si="42"/>
        <v/>
      </c>
      <c r="W565" s="4" t="str">
        <f t="shared" si="43"/>
        <v/>
      </c>
      <c r="X565" t="str">
        <f>IF(W565="","",LOOKUP(_xlfn.CONCAT(P565,", ",Q565),'[1]T+S Costs'!$F$2:$F$3138,'[1]T+S Costs'!$N$2:$N$3138))</f>
        <v/>
      </c>
      <c r="Y565" s="14" t="str">
        <f t="shared" si="44"/>
        <v/>
      </c>
      <c r="Z565" s="4" t="str">
        <f t="shared" si="45"/>
        <v/>
      </c>
    </row>
    <row r="566" spans="16:26" x14ac:dyDescent="0.25">
      <c r="P566" s="10" t="str">
        <f>IF('[1]All Data '!AZ571="","",'[1]All Data '!AZ571)</f>
        <v/>
      </c>
      <c r="Q566" s="10" t="str">
        <f>IF('[1]All Data '!BB571="","",'[1]All Data '!BB571)</f>
        <v/>
      </c>
      <c r="R566" s="10" t="str">
        <f>IF('[1]All Data '!BD571="","",'[1]All Data '!BD571)</f>
        <v/>
      </c>
      <c r="S566" s="11" t="str">
        <f>IF(R566="","",'[1]All Data '!BE571)</f>
        <v/>
      </c>
      <c r="T566" s="12" t="str">
        <f>IF(S566="","",[1]Inputs_Outputs!$B$8*(1-'LOCH Calc COE Calc'!S566))</f>
        <v/>
      </c>
      <c r="U566" s="13" t="str">
        <f t="shared" si="41"/>
        <v/>
      </c>
      <c r="V566" s="13" t="str">
        <f t="shared" si="42"/>
        <v/>
      </c>
      <c r="W566" s="4" t="str">
        <f t="shared" si="43"/>
        <v/>
      </c>
      <c r="X566" t="str">
        <f>IF(W566="","",LOOKUP(_xlfn.CONCAT(P566,", ",Q566),'[1]T+S Costs'!$F$2:$F$3138,'[1]T+S Costs'!$N$2:$N$3138))</f>
        <v/>
      </c>
      <c r="Y566" s="14" t="str">
        <f t="shared" si="44"/>
        <v/>
      </c>
      <c r="Z566" s="4" t="str">
        <f t="shared" si="45"/>
        <v/>
      </c>
    </row>
    <row r="567" spans="16:26" x14ac:dyDescent="0.25">
      <c r="P567" s="10" t="str">
        <f>IF('[1]All Data '!AZ572="","",'[1]All Data '!AZ572)</f>
        <v/>
      </c>
      <c r="Q567" s="10" t="str">
        <f>IF('[1]All Data '!BB572="","",'[1]All Data '!BB572)</f>
        <v/>
      </c>
      <c r="R567" s="10" t="str">
        <f>IF('[1]All Data '!BD572="","",'[1]All Data '!BD572)</f>
        <v/>
      </c>
      <c r="S567" s="11" t="str">
        <f>IF(R567="","",'[1]All Data '!BE572)</f>
        <v/>
      </c>
      <c r="T567" s="12" t="str">
        <f>IF(S567="","",[1]Inputs_Outputs!$B$8*(1-'LOCH Calc COE Calc'!S567))</f>
        <v/>
      </c>
      <c r="U567" s="13" t="str">
        <f t="shared" si="41"/>
        <v/>
      </c>
      <c r="V567" s="13" t="str">
        <f t="shared" si="42"/>
        <v/>
      </c>
      <c r="W567" s="4" t="str">
        <f t="shared" si="43"/>
        <v/>
      </c>
      <c r="X567" t="str">
        <f>IF(W567="","",LOOKUP(_xlfn.CONCAT(P567,", ",Q567),'[1]T+S Costs'!$F$2:$F$3138,'[1]T+S Costs'!$N$2:$N$3138))</f>
        <v/>
      </c>
      <c r="Y567" s="14" t="str">
        <f t="shared" si="44"/>
        <v/>
      </c>
      <c r="Z567" s="4" t="str">
        <f t="shared" si="45"/>
        <v/>
      </c>
    </row>
    <row r="568" spans="16:26" x14ac:dyDescent="0.25">
      <c r="P568" s="10" t="str">
        <f>IF('[1]All Data '!AZ573="","",'[1]All Data '!AZ573)</f>
        <v/>
      </c>
      <c r="Q568" s="10" t="str">
        <f>IF('[1]All Data '!BB573="","",'[1]All Data '!BB573)</f>
        <v/>
      </c>
      <c r="R568" s="10" t="str">
        <f>IF('[1]All Data '!BD573="","",'[1]All Data '!BD573)</f>
        <v/>
      </c>
      <c r="S568" s="11" t="str">
        <f>IF(R568="","",'[1]All Data '!BE573)</f>
        <v/>
      </c>
      <c r="T568" s="12" t="str">
        <f>IF(S568="","",[1]Inputs_Outputs!$B$8*(1-'LOCH Calc COE Calc'!S568))</f>
        <v/>
      </c>
      <c r="U568" s="13" t="str">
        <f t="shared" si="41"/>
        <v/>
      </c>
      <c r="V568" s="13" t="str">
        <f t="shared" si="42"/>
        <v/>
      </c>
      <c r="W568" s="4" t="str">
        <f t="shared" si="43"/>
        <v/>
      </c>
      <c r="X568" t="str">
        <f>IF(W568="","",LOOKUP(_xlfn.CONCAT(P568,", ",Q568),'[1]T+S Costs'!$F$2:$F$3138,'[1]T+S Costs'!$N$2:$N$3138))</f>
        <v/>
      </c>
      <c r="Y568" s="14" t="str">
        <f t="shared" si="44"/>
        <v/>
      </c>
      <c r="Z568" s="4" t="str">
        <f t="shared" si="45"/>
        <v/>
      </c>
    </row>
    <row r="569" spans="16:26" x14ac:dyDescent="0.25">
      <c r="P569" s="10" t="str">
        <f>IF('[1]All Data '!AZ574="","",'[1]All Data '!AZ574)</f>
        <v/>
      </c>
      <c r="Q569" s="10" t="str">
        <f>IF('[1]All Data '!BB574="","",'[1]All Data '!BB574)</f>
        <v/>
      </c>
      <c r="R569" s="10" t="str">
        <f>IF('[1]All Data '!BD574="","",'[1]All Data '!BD574)</f>
        <v/>
      </c>
      <c r="S569" s="11" t="str">
        <f>IF(R569="","",'[1]All Data '!BE574)</f>
        <v/>
      </c>
      <c r="T569" s="12" t="str">
        <f>IF(S569="","",[1]Inputs_Outputs!$B$8*(1-'LOCH Calc COE Calc'!S569))</f>
        <v/>
      </c>
      <c r="U569" s="13" t="str">
        <f t="shared" si="41"/>
        <v/>
      </c>
      <c r="V569" s="13" t="str">
        <f t="shared" si="42"/>
        <v/>
      </c>
      <c r="W569" s="4" t="str">
        <f t="shared" si="43"/>
        <v/>
      </c>
      <c r="X569" t="str">
        <f>IF(W569="","",LOOKUP(_xlfn.CONCAT(P569,", ",Q569),'[1]T+S Costs'!$F$2:$F$3138,'[1]T+S Costs'!$N$2:$N$3138))</f>
        <v/>
      </c>
      <c r="Y569" s="14" t="str">
        <f t="shared" si="44"/>
        <v/>
      </c>
      <c r="Z569" s="4" t="str">
        <f t="shared" si="45"/>
        <v/>
      </c>
    </row>
    <row r="570" spans="16:26" x14ac:dyDescent="0.25">
      <c r="P570" s="10" t="str">
        <f>IF('[1]All Data '!AZ575="","",'[1]All Data '!AZ575)</f>
        <v/>
      </c>
      <c r="Q570" s="10" t="str">
        <f>IF('[1]All Data '!BB575="","",'[1]All Data '!BB575)</f>
        <v/>
      </c>
      <c r="R570" s="10" t="str">
        <f>IF('[1]All Data '!BD575="","",'[1]All Data '!BD575)</f>
        <v/>
      </c>
      <c r="S570" s="11" t="str">
        <f>IF(R570="","",'[1]All Data '!BE575)</f>
        <v/>
      </c>
      <c r="T570" s="12" t="str">
        <f>IF(S570="","",[1]Inputs_Outputs!$B$8*(1-'LOCH Calc COE Calc'!S570))</f>
        <v/>
      </c>
      <c r="U570" s="13" t="str">
        <f t="shared" si="41"/>
        <v/>
      </c>
      <c r="V570" s="13" t="str">
        <f t="shared" si="42"/>
        <v/>
      </c>
      <c r="W570" s="4" t="str">
        <f t="shared" si="43"/>
        <v/>
      </c>
      <c r="X570" t="str">
        <f>IF(W570="","",LOOKUP(_xlfn.CONCAT(P570,", ",Q570),'[1]T+S Costs'!$F$2:$F$3138,'[1]T+S Costs'!$N$2:$N$3138))</f>
        <v/>
      </c>
      <c r="Y570" s="14" t="str">
        <f t="shared" si="44"/>
        <v/>
      </c>
      <c r="Z570" s="4" t="str">
        <f t="shared" si="45"/>
        <v/>
      </c>
    </row>
    <row r="571" spans="16:26" x14ac:dyDescent="0.25">
      <c r="P571" s="10" t="str">
        <f>IF('[1]All Data '!AZ576="","",'[1]All Data '!AZ576)</f>
        <v/>
      </c>
      <c r="Q571" s="10" t="str">
        <f>IF('[1]All Data '!BB576="","",'[1]All Data '!BB576)</f>
        <v/>
      </c>
      <c r="R571" s="10" t="str">
        <f>IF('[1]All Data '!BD576="","",'[1]All Data '!BD576)</f>
        <v/>
      </c>
      <c r="S571" s="11" t="str">
        <f>IF(R571="","",'[1]All Data '!BE576)</f>
        <v/>
      </c>
      <c r="T571" s="12" t="str">
        <f>IF(S571="","",[1]Inputs_Outputs!$B$8*(1-'LOCH Calc COE Calc'!S571))</f>
        <v/>
      </c>
      <c r="U571" s="13" t="str">
        <f t="shared" si="41"/>
        <v/>
      </c>
      <c r="V571" s="13" t="str">
        <f t="shared" si="42"/>
        <v/>
      </c>
      <c r="W571" s="4" t="str">
        <f t="shared" si="43"/>
        <v/>
      </c>
      <c r="X571" t="str">
        <f>IF(W571="","",LOOKUP(_xlfn.CONCAT(P571,", ",Q571),'[1]T+S Costs'!$F$2:$F$3138,'[1]T+S Costs'!$N$2:$N$3138))</f>
        <v/>
      </c>
      <c r="Y571" s="14" t="str">
        <f t="shared" si="44"/>
        <v/>
      </c>
      <c r="Z571" s="4" t="str">
        <f t="shared" si="45"/>
        <v/>
      </c>
    </row>
    <row r="572" spans="16:26" x14ac:dyDescent="0.25">
      <c r="P572" s="10" t="str">
        <f>IF('[1]All Data '!AZ577="","",'[1]All Data '!AZ577)</f>
        <v/>
      </c>
      <c r="Q572" s="10" t="str">
        <f>IF('[1]All Data '!BB577="","",'[1]All Data '!BB577)</f>
        <v/>
      </c>
      <c r="R572" s="10" t="str">
        <f>IF('[1]All Data '!BD577="","",'[1]All Data '!BD577)</f>
        <v/>
      </c>
      <c r="S572" s="11" t="str">
        <f>IF(R572="","",'[1]All Data '!BE577)</f>
        <v/>
      </c>
      <c r="T572" s="12" t="str">
        <f>IF(S572="","",[1]Inputs_Outputs!$B$8*(1-'LOCH Calc COE Calc'!S572))</f>
        <v/>
      </c>
      <c r="U572" s="13" t="str">
        <f t="shared" si="41"/>
        <v/>
      </c>
      <c r="V572" s="13" t="str">
        <f t="shared" si="42"/>
        <v/>
      </c>
      <c r="W572" s="4" t="str">
        <f t="shared" si="43"/>
        <v/>
      </c>
      <c r="X572" t="str">
        <f>IF(W572="","",LOOKUP(_xlfn.CONCAT(P572,", ",Q572),'[1]T+S Costs'!$F$2:$F$3138,'[1]T+S Costs'!$N$2:$N$3138))</f>
        <v/>
      </c>
      <c r="Y572" s="14" t="str">
        <f t="shared" si="44"/>
        <v/>
      </c>
      <c r="Z572" s="4" t="str">
        <f t="shared" si="45"/>
        <v/>
      </c>
    </row>
    <row r="573" spans="16:26" x14ac:dyDescent="0.25">
      <c r="P573" s="10" t="str">
        <f>IF('[1]All Data '!AZ578="","",'[1]All Data '!AZ578)</f>
        <v/>
      </c>
      <c r="Q573" s="10" t="str">
        <f>IF('[1]All Data '!BB578="","",'[1]All Data '!BB578)</f>
        <v/>
      </c>
      <c r="R573" s="10" t="str">
        <f>IF('[1]All Data '!BD578="","",'[1]All Data '!BD578)</f>
        <v/>
      </c>
      <c r="S573" s="11" t="str">
        <f>IF(R573="","",'[1]All Data '!BE578)</f>
        <v/>
      </c>
      <c r="T573" s="12" t="str">
        <f>IF(S573="","",[1]Inputs_Outputs!$B$8*(1-'LOCH Calc COE Calc'!S573))</f>
        <v/>
      </c>
      <c r="U573" s="13" t="str">
        <f t="shared" si="41"/>
        <v/>
      </c>
      <c r="V573" s="13" t="str">
        <f t="shared" si="42"/>
        <v/>
      </c>
      <c r="W573" s="4" t="str">
        <f t="shared" si="43"/>
        <v/>
      </c>
      <c r="X573" t="str">
        <f>IF(W573="","",LOOKUP(_xlfn.CONCAT(P573,", ",Q573),'[1]T+S Costs'!$F$2:$F$3138,'[1]T+S Costs'!$N$2:$N$3138))</f>
        <v/>
      </c>
      <c r="Y573" s="14" t="str">
        <f t="shared" si="44"/>
        <v/>
      </c>
      <c r="Z573" s="4" t="str">
        <f t="shared" si="45"/>
        <v/>
      </c>
    </row>
    <row r="574" spans="16:26" x14ac:dyDescent="0.25">
      <c r="P574" s="10" t="str">
        <f>IF('[1]All Data '!AZ579="","",'[1]All Data '!AZ579)</f>
        <v/>
      </c>
      <c r="Q574" s="10" t="str">
        <f>IF('[1]All Data '!BB579="","",'[1]All Data '!BB579)</f>
        <v/>
      </c>
      <c r="R574" s="10" t="str">
        <f>IF('[1]All Data '!BD579="","",'[1]All Data '!BD579)</f>
        <v/>
      </c>
      <c r="S574" s="11" t="str">
        <f>IF(R574="","",'[1]All Data '!BE579)</f>
        <v/>
      </c>
      <c r="T574" s="12" t="str">
        <f>IF(S574="","",[1]Inputs_Outputs!$B$8*(1-'LOCH Calc COE Calc'!S574))</f>
        <v/>
      </c>
      <c r="U574" s="13" t="str">
        <f t="shared" si="41"/>
        <v/>
      </c>
      <c r="V574" s="13" t="str">
        <f t="shared" si="42"/>
        <v/>
      </c>
      <c r="W574" s="4" t="str">
        <f t="shared" si="43"/>
        <v/>
      </c>
      <c r="X574" t="str">
        <f>IF(W574="","",LOOKUP(_xlfn.CONCAT(P574,", ",Q574),'[1]T+S Costs'!$F$2:$F$3138,'[1]T+S Costs'!$N$2:$N$3138))</f>
        <v/>
      </c>
      <c r="Y574" s="14" t="str">
        <f t="shared" si="44"/>
        <v/>
      </c>
      <c r="Z574" s="4" t="str">
        <f t="shared" si="45"/>
        <v/>
      </c>
    </row>
    <row r="575" spans="16:26" x14ac:dyDescent="0.25">
      <c r="P575" s="10" t="str">
        <f>IF('[1]All Data '!AZ580="","",'[1]All Data '!AZ580)</f>
        <v/>
      </c>
      <c r="Q575" s="10" t="str">
        <f>IF('[1]All Data '!BB580="","",'[1]All Data '!BB580)</f>
        <v/>
      </c>
      <c r="R575" s="10" t="str">
        <f>IF('[1]All Data '!BD580="","",'[1]All Data '!BD580)</f>
        <v/>
      </c>
      <c r="S575" s="11" t="str">
        <f>IF(R575="","",'[1]All Data '!BE580)</f>
        <v/>
      </c>
      <c r="T575" s="12" t="str">
        <f>IF(S575="","",[1]Inputs_Outputs!$B$8*(1-'LOCH Calc COE Calc'!S575))</f>
        <v/>
      </c>
      <c r="U575" s="13" t="str">
        <f t="shared" si="41"/>
        <v/>
      </c>
      <c r="V575" s="13" t="str">
        <f t="shared" si="42"/>
        <v/>
      </c>
      <c r="W575" s="4" t="str">
        <f t="shared" si="43"/>
        <v/>
      </c>
      <c r="X575" t="str">
        <f>IF(W575="","",LOOKUP(_xlfn.CONCAT(P575,", ",Q575),'[1]T+S Costs'!$F$2:$F$3138,'[1]T+S Costs'!$N$2:$N$3138))</f>
        <v/>
      </c>
      <c r="Y575" s="14" t="str">
        <f t="shared" si="44"/>
        <v/>
      </c>
      <c r="Z575" s="4" t="str">
        <f t="shared" si="45"/>
        <v/>
      </c>
    </row>
    <row r="576" spans="16:26" x14ac:dyDescent="0.25">
      <c r="P576" s="10" t="str">
        <f>IF('[1]All Data '!AZ581="","",'[1]All Data '!AZ581)</f>
        <v/>
      </c>
      <c r="Q576" s="10" t="str">
        <f>IF('[1]All Data '!BB581="","",'[1]All Data '!BB581)</f>
        <v/>
      </c>
      <c r="R576" s="10" t="str">
        <f>IF('[1]All Data '!BD581="","",'[1]All Data '!BD581)</f>
        <v/>
      </c>
      <c r="S576" s="11" t="str">
        <f>IF(R576="","",'[1]All Data '!BE581)</f>
        <v/>
      </c>
      <c r="T576" s="12" t="str">
        <f>IF(S576="","",[1]Inputs_Outputs!$B$8*(1-'LOCH Calc COE Calc'!S576))</f>
        <v/>
      </c>
      <c r="U576" s="13" t="str">
        <f t="shared" si="41"/>
        <v/>
      </c>
      <c r="V576" s="13" t="str">
        <f t="shared" si="42"/>
        <v/>
      </c>
      <c r="W576" s="4" t="str">
        <f t="shared" si="43"/>
        <v/>
      </c>
      <c r="X576" t="str">
        <f>IF(W576="","",LOOKUP(_xlfn.CONCAT(P576,", ",Q576),'[1]T+S Costs'!$F$2:$F$3138,'[1]T+S Costs'!$N$2:$N$3138))</f>
        <v/>
      </c>
      <c r="Y576" s="14" t="str">
        <f t="shared" si="44"/>
        <v/>
      </c>
      <c r="Z576" s="4" t="str">
        <f t="shared" si="45"/>
        <v/>
      </c>
    </row>
    <row r="577" spans="16:26" x14ac:dyDescent="0.25">
      <c r="P577" s="10" t="str">
        <f>IF('[1]All Data '!AZ582="","",'[1]All Data '!AZ582)</f>
        <v/>
      </c>
      <c r="Q577" s="10" t="str">
        <f>IF('[1]All Data '!BB582="","",'[1]All Data '!BB582)</f>
        <v/>
      </c>
      <c r="R577" s="10" t="str">
        <f>IF('[1]All Data '!BD582="","",'[1]All Data '!BD582)</f>
        <v/>
      </c>
      <c r="S577" s="11" t="str">
        <f>IF(R577="","",'[1]All Data '!BE582)</f>
        <v/>
      </c>
      <c r="T577" s="12" t="str">
        <f>IF(S577="","",[1]Inputs_Outputs!$B$8*(1-'LOCH Calc COE Calc'!S577))</f>
        <v/>
      </c>
      <c r="U577" s="13" t="str">
        <f t="shared" si="41"/>
        <v/>
      </c>
      <c r="V577" s="13" t="str">
        <f t="shared" si="42"/>
        <v/>
      </c>
      <c r="W577" s="4" t="str">
        <f t="shared" si="43"/>
        <v/>
      </c>
      <c r="X577" t="str">
        <f>IF(W577="","",LOOKUP(_xlfn.CONCAT(P577,", ",Q577),'[1]T+S Costs'!$F$2:$F$3138,'[1]T+S Costs'!$N$2:$N$3138))</f>
        <v/>
      </c>
      <c r="Y577" s="14" t="str">
        <f t="shared" si="44"/>
        <v/>
      </c>
      <c r="Z577" s="4" t="str">
        <f t="shared" si="45"/>
        <v/>
      </c>
    </row>
    <row r="578" spans="16:26" x14ac:dyDescent="0.25">
      <c r="P578" s="10" t="str">
        <f>IF('[1]All Data '!AZ583="","",'[1]All Data '!AZ583)</f>
        <v/>
      </c>
      <c r="Q578" s="10" t="str">
        <f>IF('[1]All Data '!BB583="","",'[1]All Data '!BB583)</f>
        <v/>
      </c>
      <c r="R578" s="10" t="str">
        <f>IF('[1]All Data '!BD583="","",'[1]All Data '!BD583)</f>
        <v/>
      </c>
      <c r="S578" s="11" t="str">
        <f>IF(R578="","",'[1]All Data '!BE583)</f>
        <v/>
      </c>
      <c r="T578" s="12" t="str">
        <f>IF(S578="","",[1]Inputs_Outputs!$B$8*(1-'LOCH Calc COE Calc'!S578))</f>
        <v/>
      </c>
      <c r="U578" s="13" t="str">
        <f t="shared" si="41"/>
        <v/>
      </c>
      <c r="V578" s="13" t="str">
        <f t="shared" si="42"/>
        <v/>
      </c>
      <c r="W578" s="4" t="str">
        <f t="shared" si="43"/>
        <v/>
      </c>
      <c r="X578" t="str">
        <f>IF(W578="","",LOOKUP(_xlfn.CONCAT(P578,", ",Q578),'[1]T+S Costs'!$F$2:$F$3138,'[1]T+S Costs'!$N$2:$N$3138))</f>
        <v/>
      </c>
      <c r="Y578" s="14" t="str">
        <f t="shared" si="44"/>
        <v/>
      </c>
      <c r="Z578" s="4" t="str">
        <f t="shared" si="45"/>
        <v/>
      </c>
    </row>
    <row r="579" spans="16:26" x14ac:dyDescent="0.25">
      <c r="P579" s="10" t="str">
        <f>IF('[1]All Data '!AZ584="","",'[1]All Data '!AZ584)</f>
        <v/>
      </c>
      <c r="Q579" s="10" t="str">
        <f>IF('[1]All Data '!BB584="","",'[1]All Data '!BB584)</f>
        <v/>
      </c>
      <c r="R579" s="10" t="str">
        <f>IF('[1]All Data '!BD584="","",'[1]All Data '!BD584)</f>
        <v/>
      </c>
      <c r="S579" s="11" t="str">
        <f>IF(R579="","",'[1]All Data '!BE584)</f>
        <v/>
      </c>
      <c r="T579" s="12" t="str">
        <f>IF(S579="","",[1]Inputs_Outputs!$B$8*(1-'LOCH Calc COE Calc'!S579))</f>
        <v/>
      </c>
      <c r="U579" s="13" t="str">
        <f t="shared" ref="U579:U642" si="46">IF(S579="","",R579*T579*365*$B$19/100)</f>
        <v/>
      </c>
      <c r="V579" s="13" t="str">
        <f t="shared" ref="V579:V642" si="47">IF(S579="","",(U579*$B$19)/(($B$28)*$B$19))</f>
        <v/>
      </c>
      <c r="W579" s="4" t="str">
        <f t="shared" ref="W579:W642" si="48">IF(S579="","",V579+$C$49+$C$50+$C$51)</f>
        <v/>
      </c>
      <c r="X579" t="str">
        <f>IF(W579="","",LOOKUP(_xlfn.CONCAT(P579,", ",Q579),'[1]T+S Costs'!$F$2:$F$3138,'[1]T+S Costs'!$N$2:$N$3138))</f>
        <v/>
      </c>
      <c r="Y579" s="14" t="str">
        <f t="shared" ref="Y579:Y642" si="49">IF(X579="","",((X579*$B$60/$B$59)*$C$44)/$C$28)</f>
        <v/>
      </c>
      <c r="Z579" s="4" t="str">
        <f t="shared" ref="Z579:Z642" si="50">IF(Y579="","",W579+Y579)</f>
        <v/>
      </c>
    </row>
    <row r="580" spans="16:26" x14ac:dyDescent="0.25">
      <c r="P580" s="10" t="str">
        <f>IF('[1]All Data '!AZ585="","",'[1]All Data '!AZ585)</f>
        <v/>
      </c>
      <c r="Q580" s="10" t="str">
        <f>IF('[1]All Data '!BB585="","",'[1]All Data '!BB585)</f>
        <v/>
      </c>
      <c r="R580" s="10" t="str">
        <f>IF('[1]All Data '!BD585="","",'[1]All Data '!BD585)</f>
        <v/>
      </c>
      <c r="S580" s="11" t="str">
        <f>IF(R580="","",'[1]All Data '!BE585)</f>
        <v/>
      </c>
      <c r="T580" s="12" t="str">
        <f>IF(S580="","",[1]Inputs_Outputs!$B$8*(1-'LOCH Calc COE Calc'!S580))</f>
        <v/>
      </c>
      <c r="U580" s="13" t="str">
        <f t="shared" si="46"/>
        <v/>
      </c>
      <c r="V580" s="13" t="str">
        <f t="shared" si="47"/>
        <v/>
      </c>
      <c r="W580" s="4" t="str">
        <f t="shared" si="48"/>
        <v/>
      </c>
      <c r="X580" t="str">
        <f>IF(W580="","",LOOKUP(_xlfn.CONCAT(P580,", ",Q580),'[1]T+S Costs'!$F$2:$F$3138,'[1]T+S Costs'!$N$2:$N$3138))</f>
        <v/>
      </c>
      <c r="Y580" s="14" t="str">
        <f t="shared" si="49"/>
        <v/>
      </c>
      <c r="Z580" s="4" t="str">
        <f t="shared" si="50"/>
        <v/>
      </c>
    </row>
    <row r="581" spans="16:26" x14ac:dyDescent="0.25">
      <c r="P581" s="10" t="str">
        <f>IF('[1]All Data '!AZ586="","",'[1]All Data '!AZ586)</f>
        <v/>
      </c>
      <c r="Q581" s="10" t="str">
        <f>IF('[1]All Data '!BB586="","",'[1]All Data '!BB586)</f>
        <v/>
      </c>
      <c r="R581" s="10" t="str">
        <f>IF('[1]All Data '!BD586="","",'[1]All Data '!BD586)</f>
        <v/>
      </c>
      <c r="S581" s="11" t="str">
        <f>IF(R581="","",'[1]All Data '!BE586)</f>
        <v/>
      </c>
      <c r="T581" s="12" t="str">
        <f>IF(S581="","",[1]Inputs_Outputs!$B$8*(1-'LOCH Calc COE Calc'!S581))</f>
        <v/>
      </c>
      <c r="U581" s="13" t="str">
        <f t="shared" si="46"/>
        <v/>
      </c>
      <c r="V581" s="13" t="str">
        <f t="shared" si="47"/>
        <v/>
      </c>
      <c r="W581" s="4" t="str">
        <f t="shared" si="48"/>
        <v/>
      </c>
      <c r="X581" t="str">
        <f>IF(W581="","",LOOKUP(_xlfn.CONCAT(P581,", ",Q581),'[1]T+S Costs'!$F$2:$F$3138,'[1]T+S Costs'!$N$2:$N$3138))</f>
        <v/>
      </c>
      <c r="Y581" s="14" t="str">
        <f t="shared" si="49"/>
        <v/>
      </c>
      <c r="Z581" s="4" t="str">
        <f t="shared" si="50"/>
        <v/>
      </c>
    </row>
    <row r="582" spans="16:26" x14ac:dyDescent="0.25">
      <c r="P582" s="10" t="str">
        <f>IF('[1]All Data '!AZ587="","",'[1]All Data '!AZ587)</f>
        <v/>
      </c>
      <c r="Q582" s="10" t="str">
        <f>IF('[1]All Data '!BB587="","",'[1]All Data '!BB587)</f>
        <v/>
      </c>
      <c r="R582" s="10" t="str">
        <f>IF('[1]All Data '!BD587="","",'[1]All Data '!BD587)</f>
        <v/>
      </c>
      <c r="S582" s="11" t="str">
        <f>IF(R582="","",'[1]All Data '!BE587)</f>
        <v/>
      </c>
      <c r="T582" s="12" t="str">
        <f>IF(S582="","",[1]Inputs_Outputs!$B$8*(1-'LOCH Calc COE Calc'!S582))</f>
        <v/>
      </c>
      <c r="U582" s="13" t="str">
        <f t="shared" si="46"/>
        <v/>
      </c>
      <c r="V582" s="13" t="str">
        <f t="shared" si="47"/>
        <v/>
      </c>
      <c r="W582" s="4" t="str">
        <f t="shared" si="48"/>
        <v/>
      </c>
      <c r="X582" t="str">
        <f>IF(W582="","",LOOKUP(_xlfn.CONCAT(P582,", ",Q582),'[1]T+S Costs'!$F$2:$F$3138,'[1]T+S Costs'!$N$2:$N$3138))</f>
        <v/>
      </c>
      <c r="Y582" s="14" t="str">
        <f t="shared" si="49"/>
        <v/>
      </c>
      <c r="Z582" s="4" t="str">
        <f t="shared" si="50"/>
        <v/>
      </c>
    </row>
    <row r="583" spans="16:26" x14ac:dyDescent="0.25">
      <c r="P583" s="10" t="str">
        <f>IF('[1]All Data '!AZ588="","",'[1]All Data '!AZ588)</f>
        <v/>
      </c>
      <c r="Q583" s="10" t="str">
        <f>IF('[1]All Data '!BB588="","",'[1]All Data '!BB588)</f>
        <v/>
      </c>
      <c r="R583" s="10" t="str">
        <f>IF('[1]All Data '!BD588="","",'[1]All Data '!BD588)</f>
        <v/>
      </c>
      <c r="S583" s="11" t="str">
        <f>IF(R583="","",'[1]All Data '!BE588)</f>
        <v/>
      </c>
      <c r="T583" s="12" t="str">
        <f>IF(S583="","",[1]Inputs_Outputs!$B$8*(1-'LOCH Calc COE Calc'!S583))</f>
        <v/>
      </c>
      <c r="U583" s="13" t="str">
        <f t="shared" si="46"/>
        <v/>
      </c>
      <c r="V583" s="13" t="str">
        <f t="shared" si="47"/>
        <v/>
      </c>
      <c r="W583" s="4" t="str">
        <f t="shared" si="48"/>
        <v/>
      </c>
      <c r="X583" t="str">
        <f>IF(W583="","",LOOKUP(_xlfn.CONCAT(P583,", ",Q583),'[1]T+S Costs'!$F$2:$F$3138,'[1]T+S Costs'!$N$2:$N$3138))</f>
        <v/>
      </c>
      <c r="Y583" s="14" t="str">
        <f t="shared" si="49"/>
        <v/>
      </c>
      <c r="Z583" s="4" t="str">
        <f t="shared" si="50"/>
        <v/>
      </c>
    </row>
    <row r="584" spans="16:26" x14ac:dyDescent="0.25">
      <c r="P584" s="10" t="str">
        <f>IF('[1]All Data '!AZ589="","",'[1]All Data '!AZ589)</f>
        <v/>
      </c>
      <c r="Q584" s="10" t="str">
        <f>IF('[1]All Data '!BB589="","",'[1]All Data '!BB589)</f>
        <v/>
      </c>
      <c r="R584" s="10" t="str">
        <f>IF('[1]All Data '!BD589="","",'[1]All Data '!BD589)</f>
        <v/>
      </c>
      <c r="S584" s="11" t="str">
        <f>IF(R584="","",'[1]All Data '!BE589)</f>
        <v/>
      </c>
      <c r="T584" s="12" t="str">
        <f>IF(S584="","",[1]Inputs_Outputs!$B$8*(1-'LOCH Calc COE Calc'!S584))</f>
        <v/>
      </c>
      <c r="U584" s="13" t="str">
        <f t="shared" si="46"/>
        <v/>
      </c>
      <c r="V584" s="13" t="str">
        <f t="shared" si="47"/>
        <v/>
      </c>
      <c r="W584" s="4" t="str">
        <f t="shared" si="48"/>
        <v/>
      </c>
      <c r="X584" t="str">
        <f>IF(W584="","",LOOKUP(_xlfn.CONCAT(P584,", ",Q584),'[1]T+S Costs'!$F$2:$F$3138,'[1]T+S Costs'!$N$2:$N$3138))</f>
        <v/>
      </c>
      <c r="Y584" s="14" t="str">
        <f t="shared" si="49"/>
        <v/>
      </c>
      <c r="Z584" s="4" t="str">
        <f t="shared" si="50"/>
        <v/>
      </c>
    </row>
    <row r="585" spans="16:26" x14ac:dyDescent="0.25">
      <c r="P585" s="10" t="str">
        <f>IF('[1]All Data '!AZ590="","",'[1]All Data '!AZ590)</f>
        <v/>
      </c>
      <c r="Q585" s="10" t="str">
        <f>IF('[1]All Data '!BB590="","",'[1]All Data '!BB590)</f>
        <v/>
      </c>
      <c r="R585" s="10" t="str">
        <f>IF('[1]All Data '!BD590="","",'[1]All Data '!BD590)</f>
        <v/>
      </c>
      <c r="S585" s="11" t="str">
        <f>IF(R585="","",'[1]All Data '!BE590)</f>
        <v/>
      </c>
      <c r="T585" s="12" t="str">
        <f>IF(S585="","",[1]Inputs_Outputs!$B$8*(1-'LOCH Calc COE Calc'!S585))</f>
        <v/>
      </c>
      <c r="U585" s="13" t="str">
        <f t="shared" si="46"/>
        <v/>
      </c>
      <c r="V585" s="13" t="str">
        <f t="shared" si="47"/>
        <v/>
      </c>
      <c r="W585" s="4" t="str">
        <f t="shared" si="48"/>
        <v/>
      </c>
      <c r="X585" t="str">
        <f>IF(W585="","",LOOKUP(_xlfn.CONCAT(P585,", ",Q585),'[1]T+S Costs'!$F$2:$F$3138,'[1]T+S Costs'!$N$2:$N$3138))</f>
        <v/>
      </c>
      <c r="Y585" s="14" t="str">
        <f t="shared" si="49"/>
        <v/>
      </c>
      <c r="Z585" s="4" t="str">
        <f t="shared" si="50"/>
        <v/>
      </c>
    </row>
    <row r="586" spans="16:26" x14ac:dyDescent="0.25">
      <c r="P586" s="10" t="str">
        <f>IF('[1]All Data '!AZ591="","",'[1]All Data '!AZ591)</f>
        <v/>
      </c>
      <c r="Q586" s="10" t="str">
        <f>IF('[1]All Data '!BB591="","",'[1]All Data '!BB591)</f>
        <v/>
      </c>
      <c r="R586" s="10" t="str">
        <f>IF('[1]All Data '!BD591="","",'[1]All Data '!BD591)</f>
        <v/>
      </c>
      <c r="S586" s="11" t="str">
        <f>IF(R586="","",'[1]All Data '!BE591)</f>
        <v/>
      </c>
      <c r="T586" s="12" t="str">
        <f>IF(S586="","",[1]Inputs_Outputs!$B$8*(1-'LOCH Calc COE Calc'!S586))</f>
        <v/>
      </c>
      <c r="U586" s="13" t="str">
        <f t="shared" si="46"/>
        <v/>
      </c>
      <c r="V586" s="13" t="str">
        <f t="shared" si="47"/>
        <v/>
      </c>
      <c r="W586" s="4" t="str">
        <f t="shared" si="48"/>
        <v/>
      </c>
      <c r="X586" t="str">
        <f>IF(W586="","",LOOKUP(_xlfn.CONCAT(P586,", ",Q586),'[1]T+S Costs'!$F$2:$F$3138,'[1]T+S Costs'!$N$2:$N$3138))</f>
        <v/>
      </c>
      <c r="Y586" s="14" t="str">
        <f t="shared" si="49"/>
        <v/>
      </c>
      <c r="Z586" s="4" t="str">
        <f t="shared" si="50"/>
        <v/>
      </c>
    </row>
    <row r="587" spans="16:26" x14ac:dyDescent="0.25">
      <c r="P587" s="10" t="str">
        <f>IF('[1]All Data '!AZ592="","",'[1]All Data '!AZ592)</f>
        <v/>
      </c>
      <c r="Q587" s="10" t="str">
        <f>IF('[1]All Data '!BB592="","",'[1]All Data '!BB592)</f>
        <v/>
      </c>
      <c r="R587" s="10" t="str">
        <f>IF('[1]All Data '!BD592="","",'[1]All Data '!BD592)</f>
        <v/>
      </c>
      <c r="S587" s="11" t="str">
        <f>IF(R587="","",'[1]All Data '!BE592)</f>
        <v/>
      </c>
      <c r="T587" s="12" t="str">
        <f>IF(S587="","",[1]Inputs_Outputs!$B$8*(1-'LOCH Calc COE Calc'!S587))</f>
        <v/>
      </c>
      <c r="U587" s="13" t="str">
        <f t="shared" si="46"/>
        <v/>
      </c>
      <c r="V587" s="13" t="str">
        <f t="shared" si="47"/>
        <v/>
      </c>
      <c r="W587" s="4" t="str">
        <f t="shared" si="48"/>
        <v/>
      </c>
      <c r="X587" t="str">
        <f>IF(W587="","",LOOKUP(_xlfn.CONCAT(P587,", ",Q587),'[1]T+S Costs'!$F$2:$F$3138,'[1]T+S Costs'!$N$2:$N$3138))</f>
        <v/>
      </c>
      <c r="Y587" s="14" t="str">
        <f t="shared" si="49"/>
        <v/>
      </c>
      <c r="Z587" s="4" t="str">
        <f t="shared" si="50"/>
        <v/>
      </c>
    </row>
    <row r="588" spans="16:26" x14ac:dyDescent="0.25">
      <c r="P588" s="10" t="str">
        <f>IF('[1]All Data '!AZ593="","",'[1]All Data '!AZ593)</f>
        <v/>
      </c>
      <c r="Q588" s="10" t="str">
        <f>IF('[1]All Data '!BB593="","",'[1]All Data '!BB593)</f>
        <v/>
      </c>
      <c r="R588" s="10" t="str">
        <f>IF('[1]All Data '!BD593="","",'[1]All Data '!BD593)</f>
        <v/>
      </c>
      <c r="S588" s="11" t="str">
        <f>IF(R588="","",'[1]All Data '!BE593)</f>
        <v/>
      </c>
      <c r="T588" s="12" t="str">
        <f>IF(S588="","",[1]Inputs_Outputs!$B$8*(1-'LOCH Calc COE Calc'!S588))</f>
        <v/>
      </c>
      <c r="U588" s="13" t="str">
        <f t="shared" si="46"/>
        <v/>
      </c>
      <c r="V588" s="13" t="str">
        <f t="shared" si="47"/>
        <v/>
      </c>
      <c r="W588" s="4" t="str">
        <f t="shared" si="48"/>
        <v/>
      </c>
      <c r="X588" t="str">
        <f>IF(W588="","",LOOKUP(_xlfn.CONCAT(P588,", ",Q588),'[1]T+S Costs'!$F$2:$F$3138,'[1]T+S Costs'!$N$2:$N$3138))</f>
        <v/>
      </c>
      <c r="Y588" s="14" t="str">
        <f t="shared" si="49"/>
        <v/>
      </c>
      <c r="Z588" s="4" t="str">
        <f t="shared" si="50"/>
        <v/>
      </c>
    </row>
    <row r="589" spans="16:26" x14ac:dyDescent="0.25">
      <c r="P589" s="10" t="str">
        <f>IF('[1]All Data '!AZ594="","",'[1]All Data '!AZ594)</f>
        <v/>
      </c>
      <c r="Q589" s="10" t="str">
        <f>IF('[1]All Data '!BB594="","",'[1]All Data '!BB594)</f>
        <v/>
      </c>
      <c r="R589" s="10" t="str">
        <f>IF('[1]All Data '!BD594="","",'[1]All Data '!BD594)</f>
        <v/>
      </c>
      <c r="S589" s="11" t="str">
        <f>IF(R589="","",'[1]All Data '!BE594)</f>
        <v/>
      </c>
      <c r="T589" s="12" t="str">
        <f>IF(S589="","",[1]Inputs_Outputs!$B$8*(1-'LOCH Calc COE Calc'!S589))</f>
        <v/>
      </c>
      <c r="U589" s="13" t="str">
        <f t="shared" si="46"/>
        <v/>
      </c>
      <c r="V589" s="13" t="str">
        <f t="shared" si="47"/>
        <v/>
      </c>
      <c r="W589" s="4" t="str">
        <f t="shared" si="48"/>
        <v/>
      </c>
      <c r="X589" t="str">
        <f>IF(W589="","",LOOKUP(_xlfn.CONCAT(P589,", ",Q589),'[1]T+S Costs'!$F$2:$F$3138,'[1]T+S Costs'!$N$2:$N$3138))</f>
        <v/>
      </c>
      <c r="Y589" s="14" t="str">
        <f t="shared" si="49"/>
        <v/>
      </c>
      <c r="Z589" s="4" t="str">
        <f t="shared" si="50"/>
        <v/>
      </c>
    </row>
    <row r="590" spans="16:26" x14ac:dyDescent="0.25">
      <c r="P590" s="10" t="str">
        <f>IF('[1]All Data '!AZ595="","",'[1]All Data '!AZ595)</f>
        <v/>
      </c>
      <c r="Q590" s="10" t="str">
        <f>IF('[1]All Data '!BB595="","",'[1]All Data '!BB595)</f>
        <v/>
      </c>
      <c r="R590" s="10" t="str">
        <f>IF('[1]All Data '!BD595="","",'[1]All Data '!BD595)</f>
        <v/>
      </c>
      <c r="S590" s="11" t="str">
        <f>IF(R590="","",'[1]All Data '!BE595)</f>
        <v/>
      </c>
      <c r="T590" s="12" t="str">
        <f>IF(S590="","",[1]Inputs_Outputs!$B$8*(1-'LOCH Calc COE Calc'!S590))</f>
        <v/>
      </c>
      <c r="U590" s="13" t="str">
        <f t="shared" si="46"/>
        <v/>
      </c>
      <c r="V590" s="13" t="str">
        <f t="shared" si="47"/>
        <v/>
      </c>
      <c r="W590" s="4" t="str">
        <f t="shared" si="48"/>
        <v/>
      </c>
      <c r="X590" t="str">
        <f>IF(W590="","",LOOKUP(_xlfn.CONCAT(P590,", ",Q590),'[1]T+S Costs'!$F$2:$F$3138,'[1]T+S Costs'!$N$2:$N$3138))</f>
        <v/>
      </c>
      <c r="Y590" s="14" t="str">
        <f t="shared" si="49"/>
        <v/>
      </c>
      <c r="Z590" s="4" t="str">
        <f t="shared" si="50"/>
        <v/>
      </c>
    </row>
    <row r="591" spans="16:26" x14ac:dyDescent="0.25">
      <c r="P591" s="10" t="str">
        <f>IF('[1]All Data '!AZ596="","",'[1]All Data '!AZ596)</f>
        <v/>
      </c>
      <c r="Q591" s="10" t="str">
        <f>IF('[1]All Data '!BB596="","",'[1]All Data '!BB596)</f>
        <v/>
      </c>
      <c r="R591" s="10" t="str">
        <f>IF('[1]All Data '!BD596="","",'[1]All Data '!BD596)</f>
        <v/>
      </c>
      <c r="S591" s="11" t="str">
        <f>IF(R591="","",'[1]All Data '!BE596)</f>
        <v/>
      </c>
      <c r="T591" s="12" t="str">
        <f>IF(S591="","",[1]Inputs_Outputs!$B$8*(1-'LOCH Calc COE Calc'!S591))</f>
        <v/>
      </c>
      <c r="U591" s="13" t="str">
        <f t="shared" si="46"/>
        <v/>
      </c>
      <c r="V591" s="13" t="str">
        <f t="shared" si="47"/>
        <v/>
      </c>
      <c r="W591" s="4" t="str">
        <f t="shared" si="48"/>
        <v/>
      </c>
      <c r="X591" t="str">
        <f>IF(W591="","",LOOKUP(_xlfn.CONCAT(P591,", ",Q591),'[1]T+S Costs'!$F$2:$F$3138,'[1]T+S Costs'!$N$2:$N$3138))</f>
        <v/>
      </c>
      <c r="Y591" s="14" t="str">
        <f t="shared" si="49"/>
        <v/>
      </c>
      <c r="Z591" s="4" t="str">
        <f t="shared" si="50"/>
        <v/>
      </c>
    </row>
    <row r="592" spans="16:26" x14ac:dyDescent="0.25">
      <c r="P592" s="10" t="str">
        <f>IF('[1]All Data '!AZ597="","",'[1]All Data '!AZ597)</f>
        <v/>
      </c>
      <c r="Q592" s="10" t="str">
        <f>IF('[1]All Data '!BB597="","",'[1]All Data '!BB597)</f>
        <v/>
      </c>
      <c r="R592" s="10" t="str">
        <f>IF('[1]All Data '!BD597="","",'[1]All Data '!BD597)</f>
        <v/>
      </c>
      <c r="S592" s="11" t="str">
        <f>IF(R592="","",'[1]All Data '!BE597)</f>
        <v/>
      </c>
      <c r="T592" s="12" t="str">
        <f>IF(S592="","",[1]Inputs_Outputs!$B$8*(1-'LOCH Calc COE Calc'!S592))</f>
        <v/>
      </c>
      <c r="U592" s="13" t="str">
        <f t="shared" si="46"/>
        <v/>
      </c>
      <c r="V592" s="13" t="str">
        <f t="shared" si="47"/>
        <v/>
      </c>
      <c r="W592" s="4" t="str">
        <f t="shared" si="48"/>
        <v/>
      </c>
      <c r="X592" t="str">
        <f>IF(W592="","",LOOKUP(_xlfn.CONCAT(P592,", ",Q592),'[1]T+S Costs'!$F$2:$F$3138,'[1]T+S Costs'!$N$2:$N$3138))</f>
        <v/>
      </c>
      <c r="Y592" s="14" t="str">
        <f t="shared" si="49"/>
        <v/>
      </c>
      <c r="Z592" s="4" t="str">
        <f t="shared" si="50"/>
        <v/>
      </c>
    </row>
    <row r="593" spans="16:26" x14ac:dyDescent="0.25">
      <c r="P593" s="10" t="str">
        <f>IF('[1]All Data '!AZ598="","",'[1]All Data '!AZ598)</f>
        <v/>
      </c>
      <c r="Q593" s="10" t="str">
        <f>IF('[1]All Data '!BB598="","",'[1]All Data '!BB598)</f>
        <v/>
      </c>
      <c r="R593" s="10" t="str">
        <f>IF('[1]All Data '!BD598="","",'[1]All Data '!BD598)</f>
        <v/>
      </c>
      <c r="S593" s="11" t="str">
        <f>IF(R593="","",'[1]All Data '!BE598)</f>
        <v/>
      </c>
      <c r="T593" s="12" t="str">
        <f>IF(S593="","",[1]Inputs_Outputs!$B$8*(1-'LOCH Calc COE Calc'!S593))</f>
        <v/>
      </c>
      <c r="U593" s="13" t="str">
        <f t="shared" si="46"/>
        <v/>
      </c>
      <c r="V593" s="13" t="str">
        <f t="shared" si="47"/>
        <v/>
      </c>
      <c r="W593" s="4" t="str">
        <f t="shared" si="48"/>
        <v/>
      </c>
      <c r="X593" t="str">
        <f>IF(W593="","",LOOKUP(_xlfn.CONCAT(P593,", ",Q593),'[1]T+S Costs'!$F$2:$F$3138,'[1]T+S Costs'!$N$2:$N$3138))</f>
        <v/>
      </c>
      <c r="Y593" s="14" t="str">
        <f t="shared" si="49"/>
        <v/>
      </c>
      <c r="Z593" s="4" t="str">
        <f t="shared" si="50"/>
        <v/>
      </c>
    </row>
    <row r="594" spans="16:26" x14ac:dyDescent="0.25">
      <c r="P594" s="10" t="str">
        <f>IF('[1]All Data '!AZ599="","",'[1]All Data '!AZ599)</f>
        <v/>
      </c>
      <c r="Q594" s="10" t="str">
        <f>IF('[1]All Data '!BB599="","",'[1]All Data '!BB599)</f>
        <v/>
      </c>
      <c r="R594" s="10" t="str">
        <f>IF('[1]All Data '!BD599="","",'[1]All Data '!BD599)</f>
        <v/>
      </c>
      <c r="S594" s="11" t="str">
        <f>IF(R594="","",'[1]All Data '!BE599)</f>
        <v/>
      </c>
      <c r="T594" s="12" t="str">
        <f>IF(S594="","",[1]Inputs_Outputs!$B$8*(1-'LOCH Calc COE Calc'!S594))</f>
        <v/>
      </c>
      <c r="U594" s="13" t="str">
        <f t="shared" si="46"/>
        <v/>
      </c>
      <c r="V594" s="13" t="str">
        <f t="shared" si="47"/>
        <v/>
      </c>
      <c r="W594" s="4" t="str">
        <f t="shared" si="48"/>
        <v/>
      </c>
      <c r="X594" t="str">
        <f>IF(W594="","",LOOKUP(_xlfn.CONCAT(P594,", ",Q594),'[1]T+S Costs'!$F$2:$F$3138,'[1]T+S Costs'!$N$2:$N$3138))</f>
        <v/>
      </c>
      <c r="Y594" s="14" t="str">
        <f t="shared" si="49"/>
        <v/>
      </c>
      <c r="Z594" s="4" t="str">
        <f t="shared" si="50"/>
        <v/>
      </c>
    </row>
    <row r="595" spans="16:26" x14ac:dyDescent="0.25">
      <c r="P595" s="10" t="str">
        <f>IF('[1]All Data '!AZ600="","",'[1]All Data '!AZ600)</f>
        <v/>
      </c>
      <c r="Q595" s="10" t="str">
        <f>IF('[1]All Data '!BB600="","",'[1]All Data '!BB600)</f>
        <v/>
      </c>
      <c r="R595" s="10" t="str">
        <f>IF('[1]All Data '!BD600="","",'[1]All Data '!BD600)</f>
        <v/>
      </c>
      <c r="S595" s="11" t="str">
        <f>IF(R595="","",'[1]All Data '!BE600)</f>
        <v/>
      </c>
      <c r="T595" s="12" t="str">
        <f>IF(S595="","",[1]Inputs_Outputs!$B$8*(1-'LOCH Calc COE Calc'!S595))</f>
        <v/>
      </c>
      <c r="U595" s="13" t="str">
        <f t="shared" si="46"/>
        <v/>
      </c>
      <c r="V595" s="13" t="str">
        <f t="shared" si="47"/>
        <v/>
      </c>
      <c r="W595" s="4" t="str">
        <f t="shared" si="48"/>
        <v/>
      </c>
      <c r="X595" t="str">
        <f>IF(W595="","",LOOKUP(_xlfn.CONCAT(P595,", ",Q595),'[1]T+S Costs'!$F$2:$F$3138,'[1]T+S Costs'!$N$2:$N$3138))</f>
        <v/>
      </c>
      <c r="Y595" s="14" t="str">
        <f t="shared" si="49"/>
        <v/>
      </c>
      <c r="Z595" s="4" t="str">
        <f t="shared" si="50"/>
        <v/>
      </c>
    </row>
    <row r="596" spans="16:26" x14ac:dyDescent="0.25">
      <c r="P596" s="10" t="str">
        <f>IF('[1]All Data '!AZ601="","",'[1]All Data '!AZ601)</f>
        <v/>
      </c>
      <c r="Q596" s="10" t="str">
        <f>IF('[1]All Data '!BB601="","",'[1]All Data '!BB601)</f>
        <v/>
      </c>
      <c r="R596" s="10" t="str">
        <f>IF('[1]All Data '!BD601="","",'[1]All Data '!BD601)</f>
        <v/>
      </c>
      <c r="S596" s="11" t="str">
        <f>IF(R596="","",'[1]All Data '!BE601)</f>
        <v/>
      </c>
      <c r="T596" s="12" t="str">
        <f>IF(S596="","",[1]Inputs_Outputs!$B$8*(1-'LOCH Calc COE Calc'!S596))</f>
        <v/>
      </c>
      <c r="U596" s="13" t="str">
        <f t="shared" si="46"/>
        <v/>
      </c>
      <c r="V596" s="13" t="str">
        <f t="shared" si="47"/>
        <v/>
      </c>
      <c r="W596" s="4" t="str">
        <f t="shared" si="48"/>
        <v/>
      </c>
      <c r="X596" t="str">
        <f>IF(W596="","",LOOKUP(_xlfn.CONCAT(P596,", ",Q596),'[1]T+S Costs'!$F$2:$F$3138,'[1]T+S Costs'!$N$2:$N$3138))</f>
        <v/>
      </c>
      <c r="Y596" s="14" t="str">
        <f t="shared" si="49"/>
        <v/>
      </c>
      <c r="Z596" s="4" t="str">
        <f t="shared" si="50"/>
        <v/>
      </c>
    </row>
    <row r="597" spans="16:26" x14ac:dyDescent="0.25">
      <c r="P597" s="10" t="str">
        <f>IF('[1]All Data '!AZ602="","",'[1]All Data '!AZ602)</f>
        <v/>
      </c>
      <c r="Q597" s="10" t="str">
        <f>IF('[1]All Data '!BB602="","",'[1]All Data '!BB602)</f>
        <v/>
      </c>
      <c r="R597" s="10" t="str">
        <f>IF('[1]All Data '!BD602="","",'[1]All Data '!BD602)</f>
        <v/>
      </c>
      <c r="S597" s="11" t="str">
        <f>IF(R597="","",'[1]All Data '!BE602)</f>
        <v/>
      </c>
      <c r="T597" s="12" t="str">
        <f>IF(S597="","",[1]Inputs_Outputs!$B$8*(1-'LOCH Calc COE Calc'!S597))</f>
        <v/>
      </c>
      <c r="U597" s="13" t="str">
        <f t="shared" si="46"/>
        <v/>
      </c>
      <c r="V597" s="13" t="str">
        <f t="shared" si="47"/>
        <v/>
      </c>
      <c r="W597" s="4" t="str">
        <f t="shared" si="48"/>
        <v/>
      </c>
      <c r="X597" t="str">
        <f>IF(W597="","",LOOKUP(_xlfn.CONCAT(P597,", ",Q597),'[1]T+S Costs'!$F$2:$F$3138,'[1]T+S Costs'!$N$2:$N$3138))</f>
        <v/>
      </c>
      <c r="Y597" s="14" t="str">
        <f t="shared" si="49"/>
        <v/>
      </c>
      <c r="Z597" s="4" t="str">
        <f t="shared" si="50"/>
        <v/>
      </c>
    </row>
    <row r="598" spans="16:26" x14ac:dyDescent="0.25">
      <c r="P598" s="10" t="str">
        <f>IF('[1]All Data '!AZ603="","",'[1]All Data '!AZ603)</f>
        <v/>
      </c>
      <c r="Q598" s="10" t="str">
        <f>IF('[1]All Data '!BB603="","",'[1]All Data '!BB603)</f>
        <v/>
      </c>
      <c r="R598" s="10" t="str">
        <f>IF('[1]All Data '!BD603="","",'[1]All Data '!BD603)</f>
        <v/>
      </c>
      <c r="S598" s="11" t="str">
        <f>IF(R598="","",'[1]All Data '!BE603)</f>
        <v/>
      </c>
      <c r="T598" s="12" t="str">
        <f>IF(S598="","",[1]Inputs_Outputs!$B$8*(1-'LOCH Calc COE Calc'!S598))</f>
        <v/>
      </c>
      <c r="U598" s="13" t="str">
        <f t="shared" si="46"/>
        <v/>
      </c>
      <c r="V598" s="13" t="str">
        <f t="shared" si="47"/>
        <v/>
      </c>
      <c r="W598" s="4" t="str">
        <f t="shared" si="48"/>
        <v/>
      </c>
      <c r="X598" t="str">
        <f>IF(W598="","",LOOKUP(_xlfn.CONCAT(P598,", ",Q598),'[1]T+S Costs'!$F$2:$F$3138,'[1]T+S Costs'!$N$2:$N$3138))</f>
        <v/>
      </c>
      <c r="Y598" s="14" t="str">
        <f t="shared" si="49"/>
        <v/>
      </c>
      <c r="Z598" s="4" t="str">
        <f t="shared" si="50"/>
        <v/>
      </c>
    </row>
    <row r="599" spans="16:26" x14ac:dyDescent="0.25">
      <c r="P599" s="10" t="str">
        <f>IF('[1]All Data '!AZ604="","",'[1]All Data '!AZ604)</f>
        <v/>
      </c>
      <c r="Q599" s="10" t="str">
        <f>IF('[1]All Data '!BB604="","",'[1]All Data '!BB604)</f>
        <v/>
      </c>
      <c r="R599" s="10" t="str">
        <f>IF('[1]All Data '!BD604="","",'[1]All Data '!BD604)</f>
        <v/>
      </c>
      <c r="S599" s="11" t="str">
        <f>IF(R599="","",'[1]All Data '!BE604)</f>
        <v/>
      </c>
      <c r="T599" s="12" t="str">
        <f>IF(S599="","",[1]Inputs_Outputs!$B$8*(1-'LOCH Calc COE Calc'!S599))</f>
        <v/>
      </c>
      <c r="U599" s="13" t="str">
        <f t="shared" si="46"/>
        <v/>
      </c>
      <c r="V599" s="13" t="str">
        <f t="shared" si="47"/>
        <v/>
      </c>
      <c r="W599" s="4" t="str">
        <f t="shared" si="48"/>
        <v/>
      </c>
      <c r="X599" t="str">
        <f>IF(W599="","",LOOKUP(_xlfn.CONCAT(P599,", ",Q599),'[1]T+S Costs'!$F$2:$F$3138,'[1]T+S Costs'!$N$2:$N$3138))</f>
        <v/>
      </c>
      <c r="Y599" s="14" t="str">
        <f t="shared" si="49"/>
        <v/>
      </c>
      <c r="Z599" s="4" t="str">
        <f t="shared" si="50"/>
        <v/>
      </c>
    </row>
    <row r="600" spans="16:26" x14ac:dyDescent="0.25">
      <c r="P600" s="10" t="str">
        <f>IF('[1]All Data '!AZ605="","",'[1]All Data '!AZ605)</f>
        <v/>
      </c>
      <c r="Q600" s="10" t="str">
        <f>IF('[1]All Data '!BB605="","",'[1]All Data '!BB605)</f>
        <v/>
      </c>
      <c r="R600" s="10" t="str">
        <f>IF('[1]All Data '!BD605="","",'[1]All Data '!BD605)</f>
        <v/>
      </c>
      <c r="S600" s="11" t="str">
        <f>IF(R600="","",'[1]All Data '!BE605)</f>
        <v/>
      </c>
      <c r="T600" s="12" t="str">
        <f>IF(S600="","",[1]Inputs_Outputs!$B$8*(1-'LOCH Calc COE Calc'!S600))</f>
        <v/>
      </c>
      <c r="U600" s="13" t="str">
        <f t="shared" si="46"/>
        <v/>
      </c>
      <c r="V600" s="13" t="str">
        <f t="shared" si="47"/>
        <v/>
      </c>
      <c r="W600" s="4" t="str">
        <f t="shared" si="48"/>
        <v/>
      </c>
      <c r="X600" t="str">
        <f>IF(W600="","",LOOKUP(_xlfn.CONCAT(P600,", ",Q600),'[1]T+S Costs'!$F$2:$F$3138,'[1]T+S Costs'!$N$2:$N$3138))</f>
        <v/>
      </c>
      <c r="Y600" s="14" t="str">
        <f t="shared" si="49"/>
        <v/>
      </c>
      <c r="Z600" s="4" t="str">
        <f t="shared" si="50"/>
        <v/>
      </c>
    </row>
    <row r="601" spans="16:26" x14ac:dyDescent="0.25">
      <c r="P601" s="10" t="str">
        <f>IF('[1]All Data '!AZ606="","",'[1]All Data '!AZ606)</f>
        <v/>
      </c>
      <c r="Q601" s="10" t="str">
        <f>IF('[1]All Data '!BB606="","",'[1]All Data '!BB606)</f>
        <v/>
      </c>
      <c r="R601" s="10" t="str">
        <f>IF('[1]All Data '!BD606="","",'[1]All Data '!BD606)</f>
        <v/>
      </c>
      <c r="S601" s="11" t="str">
        <f>IF(R601="","",'[1]All Data '!BE606)</f>
        <v/>
      </c>
      <c r="T601" s="12" t="str">
        <f>IF(S601="","",[1]Inputs_Outputs!$B$8*(1-'LOCH Calc COE Calc'!S601))</f>
        <v/>
      </c>
      <c r="U601" s="13" t="str">
        <f t="shared" si="46"/>
        <v/>
      </c>
      <c r="V601" s="13" t="str">
        <f t="shared" si="47"/>
        <v/>
      </c>
      <c r="W601" s="4" t="str">
        <f t="shared" si="48"/>
        <v/>
      </c>
      <c r="X601" t="str">
        <f>IF(W601="","",LOOKUP(_xlfn.CONCAT(P601,", ",Q601),'[1]T+S Costs'!$F$2:$F$3138,'[1]T+S Costs'!$N$2:$N$3138))</f>
        <v/>
      </c>
      <c r="Y601" s="14" t="str">
        <f t="shared" si="49"/>
        <v/>
      </c>
      <c r="Z601" s="4" t="str">
        <f t="shared" si="50"/>
        <v/>
      </c>
    </row>
    <row r="602" spans="16:26" x14ac:dyDescent="0.25">
      <c r="P602" s="10" t="str">
        <f>IF('[1]All Data '!AZ607="","",'[1]All Data '!AZ607)</f>
        <v/>
      </c>
      <c r="Q602" s="10" t="str">
        <f>IF('[1]All Data '!BB607="","",'[1]All Data '!BB607)</f>
        <v/>
      </c>
      <c r="R602" s="10" t="str">
        <f>IF('[1]All Data '!BD607="","",'[1]All Data '!BD607)</f>
        <v/>
      </c>
      <c r="S602" s="11" t="str">
        <f>IF(R602="","",'[1]All Data '!BE607)</f>
        <v/>
      </c>
      <c r="T602" s="12" t="str">
        <f>IF(S602="","",[1]Inputs_Outputs!$B$8*(1-'LOCH Calc COE Calc'!S602))</f>
        <v/>
      </c>
      <c r="U602" s="13" t="str">
        <f t="shared" si="46"/>
        <v/>
      </c>
      <c r="V602" s="13" t="str">
        <f t="shared" si="47"/>
        <v/>
      </c>
      <c r="W602" s="4" t="str">
        <f t="shared" si="48"/>
        <v/>
      </c>
      <c r="X602" t="str">
        <f>IF(W602="","",LOOKUP(_xlfn.CONCAT(P602,", ",Q602),'[1]T+S Costs'!$F$2:$F$3138,'[1]T+S Costs'!$N$2:$N$3138))</f>
        <v/>
      </c>
      <c r="Y602" s="14" t="str">
        <f t="shared" si="49"/>
        <v/>
      </c>
      <c r="Z602" s="4" t="str">
        <f t="shared" si="50"/>
        <v/>
      </c>
    </row>
    <row r="603" spans="16:26" x14ac:dyDescent="0.25">
      <c r="P603" s="10" t="str">
        <f>IF('[1]All Data '!AZ608="","",'[1]All Data '!AZ608)</f>
        <v/>
      </c>
      <c r="Q603" s="10" t="str">
        <f>IF('[1]All Data '!BB608="","",'[1]All Data '!BB608)</f>
        <v/>
      </c>
      <c r="R603" s="10" t="str">
        <f>IF('[1]All Data '!BD608="","",'[1]All Data '!BD608)</f>
        <v/>
      </c>
      <c r="S603" s="11" t="str">
        <f>IF(R603="","",'[1]All Data '!BE608)</f>
        <v/>
      </c>
      <c r="T603" s="12" t="str">
        <f>IF(S603="","",[1]Inputs_Outputs!$B$8*(1-'LOCH Calc COE Calc'!S603))</f>
        <v/>
      </c>
      <c r="U603" s="13" t="str">
        <f t="shared" si="46"/>
        <v/>
      </c>
      <c r="V603" s="13" t="str">
        <f t="shared" si="47"/>
        <v/>
      </c>
      <c r="W603" s="4" t="str">
        <f t="shared" si="48"/>
        <v/>
      </c>
      <c r="X603" t="str">
        <f>IF(W603="","",LOOKUP(_xlfn.CONCAT(P603,", ",Q603),'[1]T+S Costs'!$F$2:$F$3138,'[1]T+S Costs'!$N$2:$N$3138))</f>
        <v/>
      </c>
      <c r="Y603" s="14" t="str">
        <f t="shared" si="49"/>
        <v/>
      </c>
      <c r="Z603" s="4" t="str">
        <f t="shared" si="50"/>
        <v/>
      </c>
    </row>
    <row r="604" spans="16:26" x14ac:dyDescent="0.25">
      <c r="P604" s="10" t="str">
        <f>IF('[1]All Data '!AZ609="","",'[1]All Data '!AZ609)</f>
        <v/>
      </c>
      <c r="Q604" s="10" t="str">
        <f>IF('[1]All Data '!BB609="","",'[1]All Data '!BB609)</f>
        <v/>
      </c>
      <c r="R604" s="10" t="str">
        <f>IF('[1]All Data '!BD609="","",'[1]All Data '!BD609)</f>
        <v/>
      </c>
      <c r="S604" s="11" t="str">
        <f>IF(R604="","",'[1]All Data '!BE609)</f>
        <v/>
      </c>
      <c r="T604" s="12" t="str">
        <f>IF(S604="","",[1]Inputs_Outputs!$B$8*(1-'LOCH Calc COE Calc'!S604))</f>
        <v/>
      </c>
      <c r="U604" s="13" t="str">
        <f t="shared" si="46"/>
        <v/>
      </c>
      <c r="V604" s="13" t="str">
        <f t="shared" si="47"/>
        <v/>
      </c>
      <c r="W604" s="4" t="str">
        <f t="shared" si="48"/>
        <v/>
      </c>
      <c r="X604" t="str">
        <f>IF(W604="","",LOOKUP(_xlfn.CONCAT(P604,", ",Q604),'[1]T+S Costs'!$F$2:$F$3138,'[1]T+S Costs'!$N$2:$N$3138))</f>
        <v/>
      </c>
      <c r="Y604" s="14" t="str">
        <f t="shared" si="49"/>
        <v/>
      </c>
      <c r="Z604" s="4" t="str">
        <f t="shared" si="50"/>
        <v/>
      </c>
    </row>
    <row r="605" spans="16:26" x14ac:dyDescent="0.25">
      <c r="P605" s="10" t="str">
        <f>IF('[1]All Data '!AZ610="","",'[1]All Data '!AZ610)</f>
        <v/>
      </c>
      <c r="Q605" s="10" t="str">
        <f>IF('[1]All Data '!BB610="","",'[1]All Data '!BB610)</f>
        <v/>
      </c>
      <c r="R605" s="10" t="str">
        <f>IF('[1]All Data '!BD610="","",'[1]All Data '!BD610)</f>
        <v/>
      </c>
      <c r="S605" s="11" t="str">
        <f>IF(R605="","",'[1]All Data '!BE610)</f>
        <v/>
      </c>
      <c r="T605" s="12" t="str">
        <f>IF(S605="","",[1]Inputs_Outputs!$B$8*(1-'LOCH Calc COE Calc'!S605))</f>
        <v/>
      </c>
      <c r="U605" s="13" t="str">
        <f t="shared" si="46"/>
        <v/>
      </c>
      <c r="V605" s="13" t="str">
        <f t="shared" si="47"/>
        <v/>
      </c>
      <c r="W605" s="4" t="str">
        <f t="shared" si="48"/>
        <v/>
      </c>
      <c r="X605" t="str">
        <f>IF(W605="","",LOOKUP(_xlfn.CONCAT(P605,", ",Q605),'[1]T+S Costs'!$F$2:$F$3138,'[1]T+S Costs'!$N$2:$N$3138))</f>
        <v/>
      </c>
      <c r="Y605" s="14" t="str">
        <f t="shared" si="49"/>
        <v/>
      </c>
      <c r="Z605" s="4" t="str">
        <f t="shared" si="50"/>
        <v/>
      </c>
    </row>
    <row r="606" spans="16:26" x14ac:dyDescent="0.25">
      <c r="P606" s="10" t="str">
        <f>IF('[1]All Data '!AZ611="","",'[1]All Data '!AZ611)</f>
        <v/>
      </c>
      <c r="Q606" s="10" t="str">
        <f>IF('[1]All Data '!BB611="","",'[1]All Data '!BB611)</f>
        <v/>
      </c>
      <c r="R606" s="10" t="str">
        <f>IF('[1]All Data '!BD611="","",'[1]All Data '!BD611)</f>
        <v/>
      </c>
      <c r="S606" s="11" t="str">
        <f>IF(R606="","",'[1]All Data '!BE611)</f>
        <v/>
      </c>
      <c r="T606" s="12" t="str">
        <f>IF(S606="","",[1]Inputs_Outputs!$B$8*(1-'LOCH Calc COE Calc'!S606))</f>
        <v/>
      </c>
      <c r="U606" s="13" t="str">
        <f t="shared" si="46"/>
        <v/>
      </c>
      <c r="V606" s="13" t="str">
        <f t="shared" si="47"/>
        <v/>
      </c>
      <c r="W606" s="4" t="str">
        <f t="shared" si="48"/>
        <v/>
      </c>
      <c r="X606" t="str">
        <f>IF(W606="","",LOOKUP(_xlfn.CONCAT(P606,", ",Q606),'[1]T+S Costs'!$F$2:$F$3138,'[1]T+S Costs'!$N$2:$N$3138))</f>
        <v/>
      </c>
      <c r="Y606" s="14" t="str">
        <f t="shared" si="49"/>
        <v/>
      </c>
      <c r="Z606" s="4" t="str">
        <f t="shared" si="50"/>
        <v/>
      </c>
    </row>
    <row r="607" spans="16:26" x14ac:dyDescent="0.25">
      <c r="P607" s="10" t="str">
        <f>IF('[1]All Data '!AZ612="","",'[1]All Data '!AZ612)</f>
        <v/>
      </c>
      <c r="Q607" s="10" t="str">
        <f>IF('[1]All Data '!BB612="","",'[1]All Data '!BB612)</f>
        <v/>
      </c>
      <c r="R607" s="10" t="str">
        <f>IF('[1]All Data '!BD612="","",'[1]All Data '!BD612)</f>
        <v/>
      </c>
      <c r="S607" s="11" t="str">
        <f>IF(R607="","",'[1]All Data '!BE612)</f>
        <v/>
      </c>
      <c r="T607" s="12" t="str">
        <f>IF(S607="","",[1]Inputs_Outputs!$B$8*(1-'LOCH Calc COE Calc'!S607))</f>
        <v/>
      </c>
      <c r="U607" s="13" t="str">
        <f t="shared" si="46"/>
        <v/>
      </c>
      <c r="V607" s="13" t="str">
        <f t="shared" si="47"/>
        <v/>
      </c>
      <c r="W607" s="4" t="str">
        <f t="shared" si="48"/>
        <v/>
      </c>
      <c r="X607" t="str">
        <f>IF(W607="","",LOOKUP(_xlfn.CONCAT(P607,", ",Q607),'[1]T+S Costs'!$F$2:$F$3138,'[1]T+S Costs'!$N$2:$N$3138))</f>
        <v/>
      </c>
      <c r="Y607" s="14" t="str">
        <f t="shared" si="49"/>
        <v/>
      </c>
      <c r="Z607" s="4" t="str">
        <f t="shared" si="50"/>
        <v/>
      </c>
    </row>
    <row r="608" spans="16:26" x14ac:dyDescent="0.25">
      <c r="P608" s="10" t="str">
        <f>IF('[1]All Data '!AZ613="","",'[1]All Data '!AZ613)</f>
        <v/>
      </c>
      <c r="Q608" s="10" t="str">
        <f>IF('[1]All Data '!BB613="","",'[1]All Data '!BB613)</f>
        <v/>
      </c>
      <c r="R608" s="10" t="str">
        <f>IF('[1]All Data '!BD613="","",'[1]All Data '!BD613)</f>
        <v/>
      </c>
      <c r="S608" s="11" t="str">
        <f>IF(R608="","",'[1]All Data '!BE613)</f>
        <v/>
      </c>
      <c r="T608" s="12" t="str">
        <f>IF(S608="","",[1]Inputs_Outputs!$B$8*(1-'LOCH Calc COE Calc'!S608))</f>
        <v/>
      </c>
      <c r="U608" s="13" t="str">
        <f t="shared" si="46"/>
        <v/>
      </c>
      <c r="V608" s="13" t="str">
        <f t="shared" si="47"/>
        <v/>
      </c>
      <c r="W608" s="4" t="str">
        <f t="shared" si="48"/>
        <v/>
      </c>
      <c r="X608" t="str">
        <f>IF(W608="","",LOOKUP(_xlfn.CONCAT(P608,", ",Q608),'[1]T+S Costs'!$F$2:$F$3138,'[1]T+S Costs'!$N$2:$N$3138))</f>
        <v/>
      </c>
      <c r="Y608" s="14" t="str">
        <f t="shared" si="49"/>
        <v/>
      </c>
      <c r="Z608" s="4" t="str">
        <f t="shared" si="50"/>
        <v/>
      </c>
    </row>
    <row r="609" spans="16:26" x14ac:dyDescent="0.25">
      <c r="P609" s="10" t="str">
        <f>IF('[1]All Data '!AZ614="","",'[1]All Data '!AZ614)</f>
        <v/>
      </c>
      <c r="Q609" s="10" t="str">
        <f>IF('[1]All Data '!BB614="","",'[1]All Data '!BB614)</f>
        <v/>
      </c>
      <c r="R609" s="10" t="str">
        <f>IF('[1]All Data '!BD614="","",'[1]All Data '!BD614)</f>
        <v/>
      </c>
      <c r="S609" s="11" t="str">
        <f>IF(R609="","",'[1]All Data '!BE614)</f>
        <v/>
      </c>
      <c r="T609" s="12" t="str">
        <f>IF(S609="","",[1]Inputs_Outputs!$B$8*(1-'LOCH Calc COE Calc'!S609))</f>
        <v/>
      </c>
      <c r="U609" s="13" t="str">
        <f t="shared" si="46"/>
        <v/>
      </c>
      <c r="V609" s="13" t="str">
        <f t="shared" si="47"/>
        <v/>
      </c>
      <c r="W609" s="4" t="str">
        <f t="shared" si="48"/>
        <v/>
      </c>
      <c r="X609" t="str">
        <f>IF(W609="","",LOOKUP(_xlfn.CONCAT(P609,", ",Q609),'[1]T+S Costs'!$F$2:$F$3138,'[1]T+S Costs'!$N$2:$N$3138))</f>
        <v/>
      </c>
      <c r="Y609" s="14" t="str">
        <f t="shared" si="49"/>
        <v/>
      </c>
      <c r="Z609" s="4" t="str">
        <f t="shared" si="50"/>
        <v/>
      </c>
    </row>
    <row r="610" spans="16:26" x14ac:dyDescent="0.25">
      <c r="P610" s="10" t="str">
        <f>IF('[1]All Data '!AZ615="","",'[1]All Data '!AZ615)</f>
        <v/>
      </c>
      <c r="Q610" s="10" t="str">
        <f>IF('[1]All Data '!BB615="","",'[1]All Data '!BB615)</f>
        <v/>
      </c>
      <c r="R610" s="10" t="str">
        <f>IF('[1]All Data '!BD615="","",'[1]All Data '!BD615)</f>
        <v/>
      </c>
      <c r="S610" s="11" t="str">
        <f>IF(R610="","",'[1]All Data '!BE615)</f>
        <v/>
      </c>
      <c r="T610" s="12" t="str">
        <f>IF(S610="","",[1]Inputs_Outputs!$B$8*(1-'LOCH Calc COE Calc'!S610))</f>
        <v/>
      </c>
      <c r="U610" s="13" t="str">
        <f t="shared" si="46"/>
        <v/>
      </c>
      <c r="V610" s="13" t="str">
        <f t="shared" si="47"/>
        <v/>
      </c>
      <c r="W610" s="4" t="str">
        <f t="shared" si="48"/>
        <v/>
      </c>
      <c r="X610" t="str">
        <f>IF(W610="","",LOOKUP(_xlfn.CONCAT(P610,", ",Q610),'[1]T+S Costs'!$F$2:$F$3138,'[1]T+S Costs'!$N$2:$N$3138))</f>
        <v/>
      </c>
      <c r="Y610" s="14" t="str">
        <f t="shared" si="49"/>
        <v/>
      </c>
      <c r="Z610" s="4" t="str">
        <f t="shared" si="50"/>
        <v/>
      </c>
    </row>
    <row r="611" spans="16:26" x14ac:dyDescent="0.25">
      <c r="P611" s="10" t="str">
        <f>IF('[1]All Data '!AZ616="","",'[1]All Data '!AZ616)</f>
        <v/>
      </c>
      <c r="Q611" s="10" t="str">
        <f>IF('[1]All Data '!BB616="","",'[1]All Data '!BB616)</f>
        <v/>
      </c>
      <c r="R611" s="10" t="str">
        <f>IF('[1]All Data '!BD616="","",'[1]All Data '!BD616)</f>
        <v/>
      </c>
      <c r="S611" s="11" t="str">
        <f>IF(R611="","",'[1]All Data '!BE616)</f>
        <v/>
      </c>
      <c r="T611" s="12" t="str">
        <f>IF(S611="","",[1]Inputs_Outputs!$B$8*(1-'LOCH Calc COE Calc'!S611))</f>
        <v/>
      </c>
      <c r="U611" s="13" t="str">
        <f t="shared" si="46"/>
        <v/>
      </c>
      <c r="V611" s="13" t="str">
        <f t="shared" si="47"/>
        <v/>
      </c>
      <c r="W611" s="4" t="str">
        <f t="shared" si="48"/>
        <v/>
      </c>
      <c r="X611" t="str">
        <f>IF(W611="","",LOOKUP(_xlfn.CONCAT(P611,", ",Q611),'[1]T+S Costs'!$F$2:$F$3138,'[1]T+S Costs'!$N$2:$N$3138))</f>
        <v/>
      </c>
      <c r="Y611" s="14" t="str">
        <f t="shared" si="49"/>
        <v/>
      </c>
      <c r="Z611" s="4" t="str">
        <f t="shared" si="50"/>
        <v/>
      </c>
    </row>
    <row r="612" spans="16:26" x14ac:dyDescent="0.25">
      <c r="P612" s="10" t="str">
        <f>IF('[1]All Data '!AZ617="","",'[1]All Data '!AZ617)</f>
        <v/>
      </c>
      <c r="Q612" s="10" t="str">
        <f>IF('[1]All Data '!BB617="","",'[1]All Data '!BB617)</f>
        <v/>
      </c>
      <c r="R612" s="10" t="str">
        <f>IF('[1]All Data '!BD617="","",'[1]All Data '!BD617)</f>
        <v/>
      </c>
      <c r="S612" s="11" t="str">
        <f>IF(R612="","",'[1]All Data '!BE617)</f>
        <v/>
      </c>
      <c r="T612" s="12" t="str">
        <f>IF(S612="","",[1]Inputs_Outputs!$B$8*(1-'LOCH Calc COE Calc'!S612))</f>
        <v/>
      </c>
      <c r="U612" s="13" t="str">
        <f t="shared" si="46"/>
        <v/>
      </c>
      <c r="V612" s="13" t="str">
        <f t="shared" si="47"/>
        <v/>
      </c>
      <c r="W612" s="4" t="str">
        <f t="shared" si="48"/>
        <v/>
      </c>
      <c r="X612" t="str">
        <f>IF(W612="","",LOOKUP(_xlfn.CONCAT(P612,", ",Q612),'[1]T+S Costs'!$F$2:$F$3138,'[1]T+S Costs'!$N$2:$N$3138))</f>
        <v/>
      </c>
      <c r="Y612" s="14" t="str">
        <f t="shared" si="49"/>
        <v/>
      </c>
      <c r="Z612" s="4" t="str">
        <f t="shared" si="50"/>
        <v/>
      </c>
    </row>
    <row r="613" spans="16:26" x14ac:dyDescent="0.25">
      <c r="P613" s="10" t="str">
        <f>IF('[1]All Data '!AZ618="","",'[1]All Data '!AZ618)</f>
        <v/>
      </c>
      <c r="Q613" s="10" t="str">
        <f>IF('[1]All Data '!BB618="","",'[1]All Data '!BB618)</f>
        <v/>
      </c>
      <c r="R613" s="10" t="str">
        <f>IF('[1]All Data '!BD618="","",'[1]All Data '!BD618)</f>
        <v/>
      </c>
      <c r="S613" s="11" t="str">
        <f>IF(R613="","",'[1]All Data '!BE618)</f>
        <v/>
      </c>
      <c r="T613" s="12" t="str">
        <f>IF(S613="","",[1]Inputs_Outputs!$B$8*(1-'LOCH Calc COE Calc'!S613))</f>
        <v/>
      </c>
      <c r="U613" s="13" t="str">
        <f t="shared" si="46"/>
        <v/>
      </c>
      <c r="V613" s="13" t="str">
        <f t="shared" si="47"/>
        <v/>
      </c>
      <c r="W613" s="4" t="str">
        <f t="shared" si="48"/>
        <v/>
      </c>
      <c r="X613" t="str">
        <f>IF(W613="","",LOOKUP(_xlfn.CONCAT(P613,", ",Q613),'[1]T+S Costs'!$F$2:$F$3138,'[1]T+S Costs'!$N$2:$N$3138))</f>
        <v/>
      </c>
      <c r="Y613" s="14" t="str">
        <f t="shared" si="49"/>
        <v/>
      </c>
      <c r="Z613" s="4" t="str">
        <f t="shared" si="50"/>
        <v/>
      </c>
    </row>
    <row r="614" spans="16:26" x14ac:dyDescent="0.25">
      <c r="P614" s="10" t="str">
        <f>IF('[1]All Data '!AZ619="","",'[1]All Data '!AZ619)</f>
        <v/>
      </c>
      <c r="Q614" s="10" t="str">
        <f>IF('[1]All Data '!BB619="","",'[1]All Data '!BB619)</f>
        <v/>
      </c>
      <c r="R614" s="10" t="str">
        <f>IF('[1]All Data '!BD619="","",'[1]All Data '!BD619)</f>
        <v/>
      </c>
      <c r="S614" s="11" t="str">
        <f>IF(R614="","",'[1]All Data '!BE619)</f>
        <v/>
      </c>
      <c r="T614" s="12" t="str">
        <f>IF(S614="","",[1]Inputs_Outputs!$B$8*(1-'LOCH Calc COE Calc'!S614))</f>
        <v/>
      </c>
      <c r="U614" s="13" t="str">
        <f t="shared" si="46"/>
        <v/>
      </c>
      <c r="V614" s="13" t="str">
        <f t="shared" si="47"/>
        <v/>
      </c>
      <c r="W614" s="4" t="str">
        <f t="shared" si="48"/>
        <v/>
      </c>
      <c r="X614" t="str">
        <f>IF(W614="","",LOOKUP(_xlfn.CONCAT(P614,", ",Q614),'[1]T+S Costs'!$F$2:$F$3138,'[1]T+S Costs'!$N$2:$N$3138))</f>
        <v/>
      </c>
      <c r="Y614" s="14" t="str">
        <f t="shared" si="49"/>
        <v/>
      </c>
      <c r="Z614" s="4" t="str">
        <f t="shared" si="50"/>
        <v/>
      </c>
    </row>
    <row r="615" spans="16:26" x14ac:dyDescent="0.25">
      <c r="P615" s="10" t="str">
        <f>IF('[1]All Data '!AZ620="","",'[1]All Data '!AZ620)</f>
        <v/>
      </c>
      <c r="Q615" s="10" t="str">
        <f>IF('[1]All Data '!BB620="","",'[1]All Data '!BB620)</f>
        <v/>
      </c>
      <c r="R615" s="10" t="str">
        <f>IF('[1]All Data '!BD620="","",'[1]All Data '!BD620)</f>
        <v/>
      </c>
      <c r="S615" s="11" t="str">
        <f>IF(R615="","",'[1]All Data '!BE620)</f>
        <v/>
      </c>
      <c r="T615" s="12" t="str">
        <f>IF(S615="","",[1]Inputs_Outputs!$B$8*(1-'LOCH Calc COE Calc'!S615))</f>
        <v/>
      </c>
      <c r="U615" s="13" t="str">
        <f t="shared" si="46"/>
        <v/>
      </c>
      <c r="V615" s="13" t="str">
        <f t="shared" si="47"/>
        <v/>
      </c>
      <c r="W615" s="4" t="str">
        <f t="shared" si="48"/>
        <v/>
      </c>
      <c r="X615" t="str">
        <f>IF(W615="","",LOOKUP(_xlfn.CONCAT(P615,", ",Q615),'[1]T+S Costs'!$F$2:$F$3138,'[1]T+S Costs'!$N$2:$N$3138))</f>
        <v/>
      </c>
      <c r="Y615" s="14" t="str">
        <f t="shared" si="49"/>
        <v/>
      </c>
      <c r="Z615" s="4" t="str">
        <f t="shared" si="50"/>
        <v/>
      </c>
    </row>
    <row r="616" spans="16:26" x14ac:dyDescent="0.25">
      <c r="P616" s="10" t="str">
        <f>IF('[1]All Data '!AZ621="","",'[1]All Data '!AZ621)</f>
        <v/>
      </c>
      <c r="Q616" s="10" t="str">
        <f>IF('[1]All Data '!BB621="","",'[1]All Data '!BB621)</f>
        <v/>
      </c>
      <c r="R616" s="10" t="str">
        <f>IF('[1]All Data '!BD621="","",'[1]All Data '!BD621)</f>
        <v/>
      </c>
      <c r="S616" s="11" t="str">
        <f>IF(R616="","",'[1]All Data '!BE621)</f>
        <v/>
      </c>
      <c r="T616" s="12" t="str">
        <f>IF(S616="","",[1]Inputs_Outputs!$B$8*(1-'LOCH Calc COE Calc'!S616))</f>
        <v/>
      </c>
      <c r="U616" s="13" t="str">
        <f t="shared" si="46"/>
        <v/>
      </c>
      <c r="V616" s="13" t="str">
        <f t="shared" si="47"/>
        <v/>
      </c>
      <c r="W616" s="4" t="str">
        <f t="shared" si="48"/>
        <v/>
      </c>
      <c r="X616" t="str">
        <f>IF(W616="","",LOOKUP(_xlfn.CONCAT(P616,", ",Q616),'[1]T+S Costs'!$F$2:$F$3138,'[1]T+S Costs'!$N$2:$N$3138))</f>
        <v/>
      </c>
      <c r="Y616" s="14" t="str">
        <f t="shared" si="49"/>
        <v/>
      </c>
      <c r="Z616" s="4" t="str">
        <f t="shared" si="50"/>
        <v/>
      </c>
    </row>
    <row r="617" spans="16:26" x14ac:dyDescent="0.25">
      <c r="P617" s="10" t="str">
        <f>IF('[1]All Data '!AZ622="","",'[1]All Data '!AZ622)</f>
        <v/>
      </c>
      <c r="Q617" s="10" t="str">
        <f>IF('[1]All Data '!BB622="","",'[1]All Data '!BB622)</f>
        <v/>
      </c>
      <c r="R617" s="10" t="str">
        <f>IF('[1]All Data '!BD622="","",'[1]All Data '!BD622)</f>
        <v/>
      </c>
      <c r="S617" s="11" t="str">
        <f>IF(R617="","",'[1]All Data '!BE622)</f>
        <v/>
      </c>
      <c r="T617" s="12" t="str">
        <f>IF(S617="","",[1]Inputs_Outputs!$B$8*(1-'LOCH Calc COE Calc'!S617))</f>
        <v/>
      </c>
      <c r="U617" s="13" t="str">
        <f t="shared" si="46"/>
        <v/>
      </c>
      <c r="V617" s="13" t="str">
        <f t="shared" si="47"/>
        <v/>
      </c>
      <c r="W617" s="4" t="str">
        <f t="shared" si="48"/>
        <v/>
      </c>
      <c r="X617" t="str">
        <f>IF(W617="","",LOOKUP(_xlfn.CONCAT(P617,", ",Q617),'[1]T+S Costs'!$F$2:$F$3138,'[1]T+S Costs'!$N$2:$N$3138))</f>
        <v/>
      </c>
      <c r="Y617" s="14" t="str">
        <f t="shared" si="49"/>
        <v/>
      </c>
      <c r="Z617" s="4" t="str">
        <f t="shared" si="50"/>
        <v/>
      </c>
    </row>
    <row r="618" spans="16:26" x14ac:dyDescent="0.25">
      <c r="P618" s="10" t="str">
        <f>IF('[1]All Data '!AZ623="","",'[1]All Data '!AZ623)</f>
        <v/>
      </c>
      <c r="Q618" s="10" t="str">
        <f>IF('[1]All Data '!BB623="","",'[1]All Data '!BB623)</f>
        <v/>
      </c>
      <c r="R618" s="10" t="str">
        <f>IF('[1]All Data '!BD623="","",'[1]All Data '!BD623)</f>
        <v/>
      </c>
      <c r="S618" s="11" t="str">
        <f>IF(R618="","",'[1]All Data '!BE623)</f>
        <v/>
      </c>
      <c r="T618" s="12" t="str">
        <f>IF(S618="","",[1]Inputs_Outputs!$B$8*(1-'LOCH Calc COE Calc'!S618))</f>
        <v/>
      </c>
      <c r="U618" s="13" t="str">
        <f t="shared" si="46"/>
        <v/>
      </c>
      <c r="V618" s="13" t="str">
        <f t="shared" si="47"/>
        <v/>
      </c>
      <c r="W618" s="4" t="str">
        <f t="shared" si="48"/>
        <v/>
      </c>
      <c r="X618" t="str">
        <f>IF(W618="","",LOOKUP(_xlfn.CONCAT(P618,", ",Q618),'[1]T+S Costs'!$F$2:$F$3138,'[1]T+S Costs'!$N$2:$N$3138))</f>
        <v/>
      </c>
      <c r="Y618" s="14" t="str">
        <f t="shared" si="49"/>
        <v/>
      </c>
      <c r="Z618" s="4" t="str">
        <f t="shared" si="50"/>
        <v/>
      </c>
    </row>
    <row r="619" spans="16:26" x14ac:dyDescent="0.25">
      <c r="P619" s="10" t="str">
        <f>IF('[1]All Data '!AZ624="","",'[1]All Data '!AZ624)</f>
        <v/>
      </c>
      <c r="Q619" s="10" t="str">
        <f>IF('[1]All Data '!BB624="","",'[1]All Data '!BB624)</f>
        <v/>
      </c>
      <c r="R619" s="10" t="str">
        <f>IF('[1]All Data '!BD624="","",'[1]All Data '!BD624)</f>
        <v/>
      </c>
      <c r="S619" s="11" t="str">
        <f>IF(R619="","",'[1]All Data '!BE624)</f>
        <v/>
      </c>
      <c r="T619" s="12" t="str">
        <f>IF(S619="","",[1]Inputs_Outputs!$B$8*(1-'LOCH Calc COE Calc'!S619))</f>
        <v/>
      </c>
      <c r="U619" s="13" t="str">
        <f t="shared" si="46"/>
        <v/>
      </c>
      <c r="V619" s="13" t="str">
        <f t="shared" si="47"/>
        <v/>
      </c>
      <c r="W619" s="4" t="str">
        <f t="shared" si="48"/>
        <v/>
      </c>
      <c r="X619" t="str">
        <f>IF(W619="","",LOOKUP(_xlfn.CONCAT(P619,", ",Q619),'[1]T+S Costs'!$F$2:$F$3138,'[1]T+S Costs'!$N$2:$N$3138))</f>
        <v/>
      </c>
      <c r="Y619" s="14" t="str">
        <f t="shared" si="49"/>
        <v/>
      </c>
      <c r="Z619" s="4" t="str">
        <f t="shared" si="50"/>
        <v/>
      </c>
    </row>
    <row r="620" spans="16:26" x14ac:dyDescent="0.25">
      <c r="P620" s="10" t="str">
        <f>IF('[1]All Data '!AZ625="","",'[1]All Data '!AZ625)</f>
        <v/>
      </c>
      <c r="Q620" s="10" t="str">
        <f>IF('[1]All Data '!BB625="","",'[1]All Data '!BB625)</f>
        <v/>
      </c>
      <c r="R620" s="10" t="str">
        <f>IF('[1]All Data '!BD625="","",'[1]All Data '!BD625)</f>
        <v/>
      </c>
      <c r="S620" s="11" t="str">
        <f>IF(R620="","",'[1]All Data '!BE625)</f>
        <v/>
      </c>
      <c r="T620" s="12" t="str">
        <f>IF(S620="","",[1]Inputs_Outputs!$B$8*(1-'LOCH Calc COE Calc'!S620))</f>
        <v/>
      </c>
      <c r="U620" s="13" t="str">
        <f t="shared" si="46"/>
        <v/>
      </c>
      <c r="V620" s="13" t="str">
        <f t="shared" si="47"/>
        <v/>
      </c>
      <c r="W620" s="4" t="str">
        <f t="shared" si="48"/>
        <v/>
      </c>
      <c r="X620" t="str">
        <f>IF(W620="","",LOOKUP(_xlfn.CONCAT(P620,", ",Q620),'[1]T+S Costs'!$F$2:$F$3138,'[1]T+S Costs'!$N$2:$N$3138))</f>
        <v/>
      </c>
      <c r="Y620" s="14" t="str">
        <f t="shared" si="49"/>
        <v/>
      </c>
      <c r="Z620" s="4" t="str">
        <f t="shared" si="50"/>
        <v/>
      </c>
    </row>
    <row r="621" spans="16:26" x14ac:dyDescent="0.25">
      <c r="P621" s="10" t="str">
        <f>IF('[1]All Data '!AZ626="","",'[1]All Data '!AZ626)</f>
        <v/>
      </c>
      <c r="Q621" s="10" t="str">
        <f>IF('[1]All Data '!BB626="","",'[1]All Data '!BB626)</f>
        <v/>
      </c>
      <c r="R621" s="10" t="str">
        <f>IF('[1]All Data '!BD626="","",'[1]All Data '!BD626)</f>
        <v/>
      </c>
      <c r="S621" s="11" t="str">
        <f>IF(R621="","",'[1]All Data '!BE626)</f>
        <v/>
      </c>
      <c r="T621" s="12" t="str">
        <f>IF(S621="","",[1]Inputs_Outputs!$B$8*(1-'LOCH Calc COE Calc'!S621))</f>
        <v/>
      </c>
      <c r="U621" s="13" t="str">
        <f t="shared" si="46"/>
        <v/>
      </c>
      <c r="V621" s="13" t="str">
        <f t="shared" si="47"/>
        <v/>
      </c>
      <c r="W621" s="4" t="str">
        <f t="shared" si="48"/>
        <v/>
      </c>
      <c r="X621" t="str">
        <f>IF(W621="","",LOOKUP(_xlfn.CONCAT(P621,", ",Q621),'[1]T+S Costs'!$F$2:$F$3138,'[1]T+S Costs'!$N$2:$N$3138))</f>
        <v/>
      </c>
      <c r="Y621" s="14" t="str">
        <f t="shared" si="49"/>
        <v/>
      </c>
      <c r="Z621" s="4" t="str">
        <f t="shared" si="50"/>
        <v/>
      </c>
    </row>
    <row r="622" spans="16:26" x14ac:dyDescent="0.25">
      <c r="P622" s="10" t="str">
        <f>IF('[1]All Data '!AZ627="","",'[1]All Data '!AZ627)</f>
        <v/>
      </c>
      <c r="Q622" s="10" t="str">
        <f>IF('[1]All Data '!BB627="","",'[1]All Data '!BB627)</f>
        <v/>
      </c>
      <c r="R622" s="10" t="str">
        <f>IF('[1]All Data '!BD627="","",'[1]All Data '!BD627)</f>
        <v/>
      </c>
      <c r="S622" s="11" t="str">
        <f>IF(R622="","",'[1]All Data '!BE627)</f>
        <v/>
      </c>
      <c r="T622" s="12" t="str">
        <f>IF(S622="","",[1]Inputs_Outputs!$B$8*(1-'LOCH Calc COE Calc'!S622))</f>
        <v/>
      </c>
      <c r="U622" s="13" t="str">
        <f t="shared" si="46"/>
        <v/>
      </c>
      <c r="V622" s="13" t="str">
        <f t="shared" si="47"/>
        <v/>
      </c>
      <c r="W622" s="4" t="str">
        <f t="shared" si="48"/>
        <v/>
      </c>
      <c r="X622" t="str">
        <f>IF(W622="","",LOOKUP(_xlfn.CONCAT(P622,", ",Q622),'[1]T+S Costs'!$F$2:$F$3138,'[1]T+S Costs'!$N$2:$N$3138))</f>
        <v/>
      </c>
      <c r="Y622" s="14" t="str">
        <f t="shared" si="49"/>
        <v/>
      </c>
      <c r="Z622" s="4" t="str">
        <f t="shared" si="50"/>
        <v/>
      </c>
    </row>
    <row r="623" spans="16:26" x14ac:dyDescent="0.25">
      <c r="P623" s="10" t="str">
        <f>IF('[1]All Data '!AZ628="","",'[1]All Data '!AZ628)</f>
        <v/>
      </c>
      <c r="Q623" s="10" t="str">
        <f>IF('[1]All Data '!BB628="","",'[1]All Data '!BB628)</f>
        <v/>
      </c>
      <c r="R623" s="10" t="str">
        <f>IF('[1]All Data '!BD628="","",'[1]All Data '!BD628)</f>
        <v/>
      </c>
      <c r="S623" s="11" t="str">
        <f>IF(R623="","",'[1]All Data '!BE628)</f>
        <v/>
      </c>
      <c r="T623" s="12" t="str">
        <f>IF(S623="","",[1]Inputs_Outputs!$B$8*(1-'LOCH Calc COE Calc'!S623))</f>
        <v/>
      </c>
      <c r="U623" s="13" t="str">
        <f t="shared" si="46"/>
        <v/>
      </c>
      <c r="V623" s="13" t="str">
        <f t="shared" si="47"/>
        <v/>
      </c>
      <c r="W623" s="4" t="str">
        <f t="shared" si="48"/>
        <v/>
      </c>
      <c r="X623" t="str">
        <f>IF(W623="","",LOOKUP(_xlfn.CONCAT(P623,", ",Q623),'[1]T+S Costs'!$F$2:$F$3138,'[1]T+S Costs'!$N$2:$N$3138))</f>
        <v/>
      </c>
      <c r="Y623" s="14" t="str">
        <f t="shared" si="49"/>
        <v/>
      </c>
      <c r="Z623" s="4" t="str">
        <f t="shared" si="50"/>
        <v/>
      </c>
    </row>
    <row r="624" spans="16:26" x14ac:dyDescent="0.25">
      <c r="P624" s="10" t="str">
        <f>IF('[1]All Data '!AZ629="","",'[1]All Data '!AZ629)</f>
        <v/>
      </c>
      <c r="Q624" s="10" t="str">
        <f>IF('[1]All Data '!BB629="","",'[1]All Data '!BB629)</f>
        <v/>
      </c>
      <c r="R624" s="10" t="str">
        <f>IF('[1]All Data '!BD629="","",'[1]All Data '!BD629)</f>
        <v/>
      </c>
      <c r="S624" s="11" t="str">
        <f>IF(R624="","",'[1]All Data '!BE629)</f>
        <v/>
      </c>
      <c r="T624" s="12" t="str">
        <f>IF(S624="","",[1]Inputs_Outputs!$B$8*(1-'LOCH Calc COE Calc'!S624))</f>
        <v/>
      </c>
      <c r="U624" s="13" t="str">
        <f t="shared" si="46"/>
        <v/>
      </c>
      <c r="V624" s="13" t="str">
        <f t="shared" si="47"/>
        <v/>
      </c>
      <c r="W624" s="4" t="str">
        <f t="shared" si="48"/>
        <v/>
      </c>
      <c r="X624" t="str">
        <f>IF(W624="","",LOOKUP(_xlfn.CONCAT(P624,", ",Q624),'[1]T+S Costs'!$F$2:$F$3138,'[1]T+S Costs'!$N$2:$N$3138))</f>
        <v/>
      </c>
      <c r="Y624" s="14" t="str">
        <f t="shared" si="49"/>
        <v/>
      </c>
      <c r="Z624" s="4" t="str">
        <f t="shared" si="50"/>
        <v/>
      </c>
    </row>
    <row r="625" spans="16:26" x14ac:dyDescent="0.25">
      <c r="P625" s="10" t="str">
        <f>IF('[1]All Data '!AZ630="","",'[1]All Data '!AZ630)</f>
        <v/>
      </c>
      <c r="Q625" s="10" t="str">
        <f>IF('[1]All Data '!BB630="","",'[1]All Data '!BB630)</f>
        <v/>
      </c>
      <c r="R625" s="10" t="str">
        <f>IF('[1]All Data '!BD630="","",'[1]All Data '!BD630)</f>
        <v/>
      </c>
      <c r="S625" s="11" t="str">
        <f>IF(R625="","",'[1]All Data '!BE630)</f>
        <v/>
      </c>
      <c r="T625" s="12" t="str">
        <f>IF(S625="","",[1]Inputs_Outputs!$B$8*(1-'LOCH Calc COE Calc'!S625))</f>
        <v/>
      </c>
      <c r="U625" s="13" t="str">
        <f t="shared" si="46"/>
        <v/>
      </c>
      <c r="V625" s="13" t="str">
        <f t="shared" si="47"/>
        <v/>
      </c>
      <c r="W625" s="4" t="str">
        <f t="shared" si="48"/>
        <v/>
      </c>
      <c r="X625" t="str">
        <f>IF(W625="","",LOOKUP(_xlfn.CONCAT(P625,", ",Q625),'[1]T+S Costs'!$F$2:$F$3138,'[1]T+S Costs'!$N$2:$N$3138))</f>
        <v/>
      </c>
      <c r="Y625" s="14" t="str">
        <f t="shared" si="49"/>
        <v/>
      </c>
      <c r="Z625" s="4" t="str">
        <f t="shared" si="50"/>
        <v/>
      </c>
    </row>
    <row r="626" spans="16:26" x14ac:dyDescent="0.25">
      <c r="P626" s="10" t="str">
        <f>IF('[1]All Data '!AZ631="","",'[1]All Data '!AZ631)</f>
        <v/>
      </c>
      <c r="Q626" s="10" t="str">
        <f>IF('[1]All Data '!BB631="","",'[1]All Data '!BB631)</f>
        <v/>
      </c>
      <c r="R626" s="10" t="str">
        <f>IF('[1]All Data '!BD631="","",'[1]All Data '!BD631)</f>
        <v/>
      </c>
      <c r="S626" s="11" t="str">
        <f>IF(R626="","",'[1]All Data '!BE631)</f>
        <v/>
      </c>
      <c r="T626" s="12" t="str">
        <f>IF(S626="","",[1]Inputs_Outputs!$B$8*(1-'LOCH Calc COE Calc'!S626))</f>
        <v/>
      </c>
      <c r="U626" s="13" t="str">
        <f t="shared" si="46"/>
        <v/>
      </c>
      <c r="V626" s="13" t="str">
        <f t="shared" si="47"/>
        <v/>
      </c>
      <c r="W626" s="4" t="str">
        <f t="shared" si="48"/>
        <v/>
      </c>
      <c r="X626" t="str">
        <f>IF(W626="","",LOOKUP(_xlfn.CONCAT(P626,", ",Q626),'[1]T+S Costs'!$F$2:$F$3138,'[1]T+S Costs'!$N$2:$N$3138))</f>
        <v/>
      </c>
      <c r="Y626" s="14" t="str">
        <f t="shared" si="49"/>
        <v/>
      </c>
      <c r="Z626" s="4" t="str">
        <f t="shared" si="50"/>
        <v/>
      </c>
    </row>
    <row r="627" spans="16:26" x14ac:dyDescent="0.25">
      <c r="P627" s="10" t="str">
        <f>IF('[1]All Data '!AZ632="","",'[1]All Data '!AZ632)</f>
        <v/>
      </c>
      <c r="Q627" s="10" t="str">
        <f>IF('[1]All Data '!BB632="","",'[1]All Data '!BB632)</f>
        <v/>
      </c>
      <c r="R627" s="10" t="str">
        <f>IF('[1]All Data '!BD632="","",'[1]All Data '!BD632)</f>
        <v/>
      </c>
      <c r="S627" s="11" t="str">
        <f>IF(R627="","",'[1]All Data '!BE632)</f>
        <v/>
      </c>
      <c r="T627" s="12" t="str">
        <f>IF(S627="","",[1]Inputs_Outputs!$B$8*(1-'LOCH Calc COE Calc'!S627))</f>
        <v/>
      </c>
      <c r="U627" s="13" t="str">
        <f t="shared" si="46"/>
        <v/>
      </c>
      <c r="V627" s="13" t="str">
        <f t="shared" si="47"/>
        <v/>
      </c>
      <c r="W627" s="4" t="str">
        <f t="shared" si="48"/>
        <v/>
      </c>
      <c r="X627" t="str">
        <f>IF(W627="","",LOOKUP(_xlfn.CONCAT(P627,", ",Q627),'[1]T+S Costs'!$F$2:$F$3138,'[1]T+S Costs'!$N$2:$N$3138))</f>
        <v/>
      </c>
      <c r="Y627" s="14" t="str">
        <f t="shared" si="49"/>
        <v/>
      </c>
      <c r="Z627" s="4" t="str">
        <f t="shared" si="50"/>
        <v/>
      </c>
    </row>
    <row r="628" spans="16:26" x14ac:dyDescent="0.25">
      <c r="P628" s="10" t="str">
        <f>IF('[1]All Data '!AZ633="","",'[1]All Data '!AZ633)</f>
        <v/>
      </c>
      <c r="Q628" s="10" t="str">
        <f>IF('[1]All Data '!BB633="","",'[1]All Data '!BB633)</f>
        <v/>
      </c>
      <c r="R628" s="10" t="str">
        <f>IF('[1]All Data '!BD633="","",'[1]All Data '!BD633)</f>
        <v/>
      </c>
      <c r="S628" s="11" t="str">
        <f>IF(R628="","",'[1]All Data '!BE633)</f>
        <v/>
      </c>
      <c r="T628" s="12" t="str">
        <f>IF(S628="","",[1]Inputs_Outputs!$B$8*(1-'LOCH Calc COE Calc'!S628))</f>
        <v/>
      </c>
      <c r="U628" s="13" t="str">
        <f t="shared" si="46"/>
        <v/>
      </c>
      <c r="V628" s="13" t="str">
        <f t="shared" si="47"/>
        <v/>
      </c>
      <c r="W628" s="4" t="str">
        <f t="shared" si="48"/>
        <v/>
      </c>
      <c r="X628" t="str">
        <f>IF(W628="","",LOOKUP(_xlfn.CONCAT(P628,", ",Q628),'[1]T+S Costs'!$F$2:$F$3138,'[1]T+S Costs'!$N$2:$N$3138))</f>
        <v/>
      </c>
      <c r="Y628" s="14" t="str">
        <f t="shared" si="49"/>
        <v/>
      </c>
      <c r="Z628" s="4" t="str">
        <f t="shared" si="50"/>
        <v/>
      </c>
    </row>
    <row r="629" spans="16:26" x14ac:dyDescent="0.25">
      <c r="P629" s="10" t="str">
        <f>IF('[1]All Data '!AZ634="","",'[1]All Data '!AZ634)</f>
        <v/>
      </c>
      <c r="Q629" s="10" t="str">
        <f>IF('[1]All Data '!BB634="","",'[1]All Data '!BB634)</f>
        <v/>
      </c>
      <c r="R629" s="10" t="str">
        <f>IF('[1]All Data '!BD634="","",'[1]All Data '!BD634)</f>
        <v/>
      </c>
      <c r="S629" s="11" t="str">
        <f>IF(R629="","",'[1]All Data '!BE634)</f>
        <v/>
      </c>
      <c r="T629" s="12" t="str">
        <f>IF(S629="","",[1]Inputs_Outputs!$B$8*(1-'LOCH Calc COE Calc'!S629))</f>
        <v/>
      </c>
      <c r="U629" s="13" t="str">
        <f t="shared" si="46"/>
        <v/>
      </c>
      <c r="V629" s="13" t="str">
        <f t="shared" si="47"/>
        <v/>
      </c>
      <c r="W629" s="4" t="str">
        <f t="shared" si="48"/>
        <v/>
      </c>
      <c r="X629" t="str">
        <f>IF(W629="","",LOOKUP(_xlfn.CONCAT(P629,", ",Q629),'[1]T+S Costs'!$F$2:$F$3138,'[1]T+S Costs'!$N$2:$N$3138))</f>
        <v/>
      </c>
      <c r="Y629" s="14" t="str">
        <f t="shared" si="49"/>
        <v/>
      </c>
      <c r="Z629" s="4" t="str">
        <f t="shared" si="50"/>
        <v/>
      </c>
    </row>
    <row r="630" spans="16:26" x14ac:dyDescent="0.25">
      <c r="P630" s="10" t="str">
        <f>IF('[1]All Data '!AZ635="","",'[1]All Data '!AZ635)</f>
        <v/>
      </c>
      <c r="Q630" s="10" t="str">
        <f>IF('[1]All Data '!BB635="","",'[1]All Data '!BB635)</f>
        <v/>
      </c>
      <c r="R630" s="10" t="str">
        <f>IF('[1]All Data '!BD635="","",'[1]All Data '!BD635)</f>
        <v/>
      </c>
      <c r="S630" s="11" t="str">
        <f>IF(R630="","",'[1]All Data '!BE635)</f>
        <v/>
      </c>
      <c r="T630" s="12" t="str">
        <f>IF(S630="","",[1]Inputs_Outputs!$B$8*(1-'LOCH Calc COE Calc'!S630))</f>
        <v/>
      </c>
      <c r="U630" s="13" t="str">
        <f t="shared" si="46"/>
        <v/>
      </c>
      <c r="V630" s="13" t="str">
        <f t="shared" si="47"/>
        <v/>
      </c>
      <c r="W630" s="4" t="str">
        <f t="shared" si="48"/>
        <v/>
      </c>
      <c r="X630" t="str">
        <f>IF(W630="","",LOOKUP(_xlfn.CONCAT(P630,", ",Q630),'[1]T+S Costs'!$F$2:$F$3138,'[1]T+S Costs'!$N$2:$N$3138))</f>
        <v/>
      </c>
      <c r="Y630" s="14" t="str">
        <f t="shared" si="49"/>
        <v/>
      </c>
      <c r="Z630" s="4" t="str">
        <f t="shared" si="50"/>
        <v/>
      </c>
    </row>
    <row r="631" spans="16:26" x14ac:dyDescent="0.25">
      <c r="P631" s="10" t="str">
        <f>IF('[1]All Data '!AZ636="","",'[1]All Data '!AZ636)</f>
        <v/>
      </c>
      <c r="Q631" s="10" t="str">
        <f>IF('[1]All Data '!BB636="","",'[1]All Data '!BB636)</f>
        <v/>
      </c>
      <c r="R631" s="10" t="str">
        <f>IF('[1]All Data '!BD636="","",'[1]All Data '!BD636)</f>
        <v/>
      </c>
      <c r="S631" s="11" t="str">
        <f>IF(R631="","",'[1]All Data '!BE636)</f>
        <v/>
      </c>
      <c r="T631" s="12" t="str">
        <f>IF(S631="","",[1]Inputs_Outputs!$B$8*(1-'LOCH Calc COE Calc'!S631))</f>
        <v/>
      </c>
      <c r="U631" s="13" t="str">
        <f t="shared" si="46"/>
        <v/>
      </c>
      <c r="V631" s="13" t="str">
        <f t="shared" si="47"/>
        <v/>
      </c>
      <c r="W631" s="4" t="str">
        <f t="shared" si="48"/>
        <v/>
      </c>
      <c r="X631" t="str">
        <f>IF(W631="","",LOOKUP(_xlfn.CONCAT(P631,", ",Q631),'[1]T+S Costs'!$F$2:$F$3138,'[1]T+S Costs'!$N$2:$N$3138))</f>
        <v/>
      </c>
      <c r="Y631" s="14" t="str">
        <f t="shared" si="49"/>
        <v/>
      </c>
      <c r="Z631" s="4" t="str">
        <f t="shared" si="50"/>
        <v/>
      </c>
    </row>
    <row r="632" spans="16:26" x14ac:dyDescent="0.25">
      <c r="P632" s="10" t="str">
        <f>IF('[1]All Data '!AZ637="","",'[1]All Data '!AZ637)</f>
        <v/>
      </c>
      <c r="Q632" s="10" t="str">
        <f>IF('[1]All Data '!BB637="","",'[1]All Data '!BB637)</f>
        <v/>
      </c>
      <c r="R632" s="10" t="str">
        <f>IF('[1]All Data '!BD637="","",'[1]All Data '!BD637)</f>
        <v/>
      </c>
      <c r="S632" s="11" t="str">
        <f>IF(R632="","",'[1]All Data '!BE637)</f>
        <v/>
      </c>
      <c r="T632" s="12" t="str">
        <f>IF(S632="","",[1]Inputs_Outputs!$B$8*(1-'LOCH Calc COE Calc'!S632))</f>
        <v/>
      </c>
      <c r="U632" s="13" t="str">
        <f t="shared" si="46"/>
        <v/>
      </c>
      <c r="V632" s="13" t="str">
        <f t="shared" si="47"/>
        <v/>
      </c>
      <c r="W632" s="4" t="str">
        <f t="shared" si="48"/>
        <v/>
      </c>
      <c r="X632" t="str">
        <f>IF(W632="","",LOOKUP(_xlfn.CONCAT(P632,", ",Q632),'[1]T+S Costs'!$F$2:$F$3138,'[1]T+S Costs'!$N$2:$N$3138))</f>
        <v/>
      </c>
      <c r="Y632" s="14" t="str">
        <f t="shared" si="49"/>
        <v/>
      </c>
      <c r="Z632" s="4" t="str">
        <f t="shared" si="50"/>
        <v/>
      </c>
    </row>
    <row r="633" spans="16:26" x14ac:dyDescent="0.25">
      <c r="P633" s="10" t="str">
        <f>IF('[1]All Data '!AZ638="","",'[1]All Data '!AZ638)</f>
        <v/>
      </c>
      <c r="Q633" s="10" t="str">
        <f>IF('[1]All Data '!BB638="","",'[1]All Data '!BB638)</f>
        <v/>
      </c>
      <c r="R633" s="10" t="str">
        <f>IF('[1]All Data '!BD638="","",'[1]All Data '!BD638)</f>
        <v/>
      </c>
      <c r="S633" s="11" t="str">
        <f>IF(R633="","",'[1]All Data '!BE638)</f>
        <v/>
      </c>
      <c r="T633" s="12" t="str">
        <f>IF(S633="","",[1]Inputs_Outputs!$B$8*(1-'LOCH Calc COE Calc'!S633))</f>
        <v/>
      </c>
      <c r="U633" s="13" t="str">
        <f t="shared" si="46"/>
        <v/>
      </c>
      <c r="V633" s="13" t="str">
        <f t="shared" si="47"/>
        <v/>
      </c>
      <c r="W633" s="4" t="str">
        <f t="shared" si="48"/>
        <v/>
      </c>
      <c r="X633" t="str">
        <f>IF(W633="","",LOOKUP(_xlfn.CONCAT(P633,", ",Q633),'[1]T+S Costs'!$F$2:$F$3138,'[1]T+S Costs'!$N$2:$N$3138))</f>
        <v/>
      </c>
      <c r="Y633" s="14" t="str">
        <f t="shared" si="49"/>
        <v/>
      </c>
      <c r="Z633" s="4" t="str">
        <f t="shared" si="50"/>
        <v/>
      </c>
    </row>
    <row r="634" spans="16:26" x14ac:dyDescent="0.25">
      <c r="P634" s="10" t="str">
        <f>IF('[1]All Data '!AZ639="","",'[1]All Data '!AZ639)</f>
        <v/>
      </c>
      <c r="Q634" s="10" t="str">
        <f>IF('[1]All Data '!BB639="","",'[1]All Data '!BB639)</f>
        <v/>
      </c>
      <c r="R634" s="10" t="str">
        <f>IF('[1]All Data '!BD639="","",'[1]All Data '!BD639)</f>
        <v/>
      </c>
      <c r="S634" s="11" t="str">
        <f>IF(R634="","",'[1]All Data '!BE639)</f>
        <v/>
      </c>
      <c r="T634" s="12" t="str">
        <f>IF(S634="","",[1]Inputs_Outputs!$B$8*(1-'LOCH Calc COE Calc'!S634))</f>
        <v/>
      </c>
      <c r="U634" s="13" t="str">
        <f t="shared" si="46"/>
        <v/>
      </c>
      <c r="V634" s="13" t="str">
        <f t="shared" si="47"/>
        <v/>
      </c>
      <c r="W634" s="4" t="str">
        <f t="shared" si="48"/>
        <v/>
      </c>
      <c r="X634" t="str">
        <f>IF(W634="","",LOOKUP(_xlfn.CONCAT(P634,", ",Q634),'[1]T+S Costs'!$F$2:$F$3138,'[1]T+S Costs'!$N$2:$N$3138))</f>
        <v/>
      </c>
      <c r="Y634" s="14" t="str">
        <f t="shared" si="49"/>
        <v/>
      </c>
      <c r="Z634" s="4" t="str">
        <f t="shared" si="50"/>
        <v/>
      </c>
    </row>
    <row r="635" spans="16:26" x14ac:dyDescent="0.25">
      <c r="P635" s="10" t="str">
        <f>IF('[1]All Data '!AZ640="","",'[1]All Data '!AZ640)</f>
        <v/>
      </c>
      <c r="Q635" s="10" t="str">
        <f>IF('[1]All Data '!BB640="","",'[1]All Data '!BB640)</f>
        <v/>
      </c>
      <c r="R635" s="10" t="str">
        <f>IF('[1]All Data '!BD640="","",'[1]All Data '!BD640)</f>
        <v/>
      </c>
      <c r="S635" s="11" t="str">
        <f>IF(R635="","",'[1]All Data '!BE640)</f>
        <v/>
      </c>
      <c r="T635" s="12" t="str">
        <f>IF(S635="","",[1]Inputs_Outputs!$B$8*(1-'LOCH Calc COE Calc'!S635))</f>
        <v/>
      </c>
      <c r="U635" s="13" t="str">
        <f t="shared" si="46"/>
        <v/>
      </c>
      <c r="V635" s="13" t="str">
        <f t="shared" si="47"/>
        <v/>
      </c>
      <c r="W635" s="4" t="str">
        <f t="shared" si="48"/>
        <v/>
      </c>
      <c r="X635" t="str">
        <f>IF(W635="","",LOOKUP(_xlfn.CONCAT(P635,", ",Q635),'[1]T+S Costs'!$F$2:$F$3138,'[1]T+S Costs'!$N$2:$N$3138))</f>
        <v/>
      </c>
      <c r="Y635" s="14" t="str">
        <f t="shared" si="49"/>
        <v/>
      </c>
      <c r="Z635" s="4" t="str">
        <f t="shared" si="50"/>
        <v/>
      </c>
    </row>
    <row r="636" spans="16:26" x14ac:dyDescent="0.25">
      <c r="P636" s="10" t="str">
        <f>IF('[1]All Data '!AZ641="","",'[1]All Data '!AZ641)</f>
        <v/>
      </c>
      <c r="Q636" s="10" t="str">
        <f>IF('[1]All Data '!BB641="","",'[1]All Data '!BB641)</f>
        <v/>
      </c>
      <c r="R636" s="10" t="str">
        <f>IF('[1]All Data '!BD641="","",'[1]All Data '!BD641)</f>
        <v/>
      </c>
      <c r="S636" s="11" t="str">
        <f>IF(R636="","",'[1]All Data '!BE641)</f>
        <v/>
      </c>
      <c r="T636" s="12" t="str">
        <f>IF(S636="","",[1]Inputs_Outputs!$B$8*(1-'LOCH Calc COE Calc'!S636))</f>
        <v/>
      </c>
      <c r="U636" s="13" t="str">
        <f t="shared" si="46"/>
        <v/>
      </c>
      <c r="V636" s="13" t="str">
        <f t="shared" si="47"/>
        <v/>
      </c>
      <c r="W636" s="4" t="str">
        <f t="shared" si="48"/>
        <v/>
      </c>
      <c r="X636" t="str">
        <f>IF(W636="","",LOOKUP(_xlfn.CONCAT(P636,", ",Q636),'[1]T+S Costs'!$F$2:$F$3138,'[1]T+S Costs'!$N$2:$N$3138))</f>
        <v/>
      </c>
      <c r="Y636" s="14" t="str">
        <f t="shared" si="49"/>
        <v/>
      </c>
      <c r="Z636" s="4" t="str">
        <f t="shared" si="50"/>
        <v/>
      </c>
    </row>
    <row r="637" spans="16:26" x14ac:dyDescent="0.25">
      <c r="P637" s="10" t="str">
        <f>IF('[1]All Data '!AZ642="","",'[1]All Data '!AZ642)</f>
        <v/>
      </c>
      <c r="Q637" s="10" t="str">
        <f>IF('[1]All Data '!BB642="","",'[1]All Data '!BB642)</f>
        <v/>
      </c>
      <c r="R637" s="10" t="str">
        <f>IF('[1]All Data '!BD642="","",'[1]All Data '!BD642)</f>
        <v/>
      </c>
      <c r="S637" s="11" t="str">
        <f>IF(R637="","",'[1]All Data '!BE642)</f>
        <v/>
      </c>
      <c r="T637" s="12" t="str">
        <f>IF(S637="","",[1]Inputs_Outputs!$B$8*(1-'LOCH Calc COE Calc'!S637))</f>
        <v/>
      </c>
      <c r="U637" s="13" t="str">
        <f t="shared" si="46"/>
        <v/>
      </c>
      <c r="V637" s="13" t="str">
        <f t="shared" si="47"/>
        <v/>
      </c>
      <c r="W637" s="4" t="str">
        <f t="shared" si="48"/>
        <v/>
      </c>
      <c r="X637" t="str">
        <f>IF(W637="","",LOOKUP(_xlfn.CONCAT(P637,", ",Q637),'[1]T+S Costs'!$F$2:$F$3138,'[1]T+S Costs'!$N$2:$N$3138))</f>
        <v/>
      </c>
      <c r="Y637" s="14" t="str">
        <f t="shared" si="49"/>
        <v/>
      </c>
      <c r="Z637" s="4" t="str">
        <f t="shared" si="50"/>
        <v/>
      </c>
    </row>
    <row r="638" spans="16:26" x14ac:dyDescent="0.25">
      <c r="P638" s="10" t="str">
        <f>IF('[1]All Data '!AZ643="","",'[1]All Data '!AZ643)</f>
        <v/>
      </c>
      <c r="Q638" s="10" t="str">
        <f>IF('[1]All Data '!BB643="","",'[1]All Data '!BB643)</f>
        <v/>
      </c>
      <c r="R638" s="10" t="str">
        <f>IF('[1]All Data '!BD643="","",'[1]All Data '!BD643)</f>
        <v/>
      </c>
      <c r="S638" s="11" t="str">
        <f>IF(R638="","",'[1]All Data '!BE643)</f>
        <v/>
      </c>
      <c r="T638" s="12" t="str">
        <f>IF(S638="","",[1]Inputs_Outputs!$B$8*(1-'LOCH Calc COE Calc'!S638))</f>
        <v/>
      </c>
      <c r="U638" s="13" t="str">
        <f t="shared" si="46"/>
        <v/>
      </c>
      <c r="V638" s="13" t="str">
        <f t="shared" si="47"/>
        <v/>
      </c>
      <c r="W638" s="4" t="str">
        <f t="shared" si="48"/>
        <v/>
      </c>
      <c r="X638" t="str">
        <f>IF(W638="","",LOOKUP(_xlfn.CONCAT(P638,", ",Q638),'[1]T+S Costs'!$F$2:$F$3138,'[1]T+S Costs'!$N$2:$N$3138))</f>
        <v/>
      </c>
      <c r="Y638" s="14" t="str">
        <f t="shared" si="49"/>
        <v/>
      </c>
      <c r="Z638" s="4" t="str">
        <f t="shared" si="50"/>
        <v/>
      </c>
    </row>
    <row r="639" spans="16:26" x14ac:dyDescent="0.25">
      <c r="P639" s="10" t="str">
        <f>IF('[1]All Data '!AZ644="","",'[1]All Data '!AZ644)</f>
        <v/>
      </c>
      <c r="Q639" s="10" t="str">
        <f>IF('[1]All Data '!BB644="","",'[1]All Data '!BB644)</f>
        <v/>
      </c>
      <c r="R639" s="10" t="str">
        <f>IF('[1]All Data '!BD644="","",'[1]All Data '!BD644)</f>
        <v/>
      </c>
      <c r="S639" s="11" t="str">
        <f>IF(R639="","",'[1]All Data '!BE644)</f>
        <v/>
      </c>
      <c r="T639" s="12" t="str">
        <f>IF(S639="","",[1]Inputs_Outputs!$B$8*(1-'LOCH Calc COE Calc'!S639))</f>
        <v/>
      </c>
      <c r="U639" s="13" t="str">
        <f t="shared" si="46"/>
        <v/>
      </c>
      <c r="V639" s="13" t="str">
        <f t="shared" si="47"/>
        <v/>
      </c>
      <c r="W639" s="4" t="str">
        <f t="shared" si="48"/>
        <v/>
      </c>
      <c r="X639" t="str">
        <f>IF(W639="","",LOOKUP(_xlfn.CONCAT(P639,", ",Q639),'[1]T+S Costs'!$F$2:$F$3138,'[1]T+S Costs'!$N$2:$N$3138))</f>
        <v/>
      </c>
      <c r="Y639" s="14" t="str">
        <f t="shared" si="49"/>
        <v/>
      </c>
      <c r="Z639" s="4" t="str">
        <f t="shared" si="50"/>
        <v/>
      </c>
    </row>
    <row r="640" spans="16:26" x14ac:dyDescent="0.25">
      <c r="P640" s="10" t="str">
        <f>IF('[1]All Data '!AZ645="","",'[1]All Data '!AZ645)</f>
        <v/>
      </c>
      <c r="Q640" s="10" t="str">
        <f>IF('[1]All Data '!BB645="","",'[1]All Data '!BB645)</f>
        <v/>
      </c>
      <c r="R640" s="10" t="str">
        <f>IF('[1]All Data '!BD645="","",'[1]All Data '!BD645)</f>
        <v/>
      </c>
      <c r="S640" s="11" t="str">
        <f>IF(R640="","",'[1]All Data '!BE645)</f>
        <v/>
      </c>
      <c r="T640" s="12" t="str">
        <f>IF(S640="","",[1]Inputs_Outputs!$B$8*(1-'LOCH Calc COE Calc'!S640))</f>
        <v/>
      </c>
      <c r="U640" s="13" t="str">
        <f t="shared" si="46"/>
        <v/>
      </c>
      <c r="V640" s="13" t="str">
        <f t="shared" si="47"/>
        <v/>
      </c>
      <c r="W640" s="4" t="str">
        <f t="shared" si="48"/>
        <v/>
      </c>
      <c r="X640" t="str">
        <f>IF(W640="","",LOOKUP(_xlfn.CONCAT(P640,", ",Q640),'[1]T+S Costs'!$F$2:$F$3138,'[1]T+S Costs'!$N$2:$N$3138))</f>
        <v/>
      </c>
      <c r="Y640" s="14" t="str">
        <f t="shared" si="49"/>
        <v/>
      </c>
      <c r="Z640" s="4" t="str">
        <f t="shared" si="50"/>
        <v/>
      </c>
    </row>
    <row r="641" spans="16:26" x14ac:dyDescent="0.25">
      <c r="P641" s="10" t="str">
        <f>IF('[1]All Data '!AZ646="","",'[1]All Data '!AZ646)</f>
        <v/>
      </c>
      <c r="Q641" s="10" t="str">
        <f>IF('[1]All Data '!BB646="","",'[1]All Data '!BB646)</f>
        <v/>
      </c>
      <c r="R641" s="10" t="str">
        <f>IF('[1]All Data '!BD646="","",'[1]All Data '!BD646)</f>
        <v/>
      </c>
      <c r="S641" s="11" t="str">
        <f>IF(R641="","",'[1]All Data '!BE646)</f>
        <v/>
      </c>
      <c r="T641" s="12" t="str">
        <f>IF(S641="","",[1]Inputs_Outputs!$B$8*(1-'LOCH Calc COE Calc'!S641))</f>
        <v/>
      </c>
      <c r="U641" s="13" t="str">
        <f t="shared" si="46"/>
        <v/>
      </c>
      <c r="V641" s="13" t="str">
        <f t="shared" si="47"/>
        <v/>
      </c>
      <c r="W641" s="4" t="str">
        <f t="shared" si="48"/>
        <v/>
      </c>
      <c r="X641" t="str">
        <f>IF(W641="","",LOOKUP(_xlfn.CONCAT(P641,", ",Q641),'[1]T+S Costs'!$F$2:$F$3138,'[1]T+S Costs'!$N$2:$N$3138))</f>
        <v/>
      </c>
      <c r="Y641" s="14" t="str">
        <f t="shared" si="49"/>
        <v/>
      </c>
      <c r="Z641" s="4" t="str">
        <f t="shared" si="50"/>
        <v/>
      </c>
    </row>
    <row r="642" spans="16:26" x14ac:dyDescent="0.25">
      <c r="P642" s="10" t="str">
        <f>IF('[1]All Data '!AZ647="","",'[1]All Data '!AZ647)</f>
        <v/>
      </c>
      <c r="Q642" s="10" t="str">
        <f>IF('[1]All Data '!BB647="","",'[1]All Data '!BB647)</f>
        <v/>
      </c>
      <c r="R642" s="10" t="str">
        <f>IF('[1]All Data '!BD647="","",'[1]All Data '!BD647)</f>
        <v/>
      </c>
      <c r="S642" s="11" t="str">
        <f>IF(R642="","",'[1]All Data '!BE647)</f>
        <v/>
      </c>
      <c r="T642" s="12" t="str">
        <f>IF(S642="","",[1]Inputs_Outputs!$B$8*(1-'LOCH Calc COE Calc'!S642))</f>
        <v/>
      </c>
      <c r="U642" s="13" t="str">
        <f t="shared" si="46"/>
        <v/>
      </c>
      <c r="V642" s="13" t="str">
        <f t="shared" si="47"/>
        <v/>
      </c>
      <c r="W642" s="4" t="str">
        <f t="shared" si="48"/>
        <v/>
      </c>
      <c r="X642" t="str">
        <f>IF(W642="","",LOOKUP(_xlfn.CONCAT(P642,", ",Q642),'[1]T+S Costs'!$F$2:$F$3138,'[1]T+S Costs'!$N$2:$N$3138))</f>
        <v/>
      </c>
      <c r="Y642" s="14" t="str">
        <f t="shared" si="49"/>
        <v/>
      </c>
      <c r="Z642" s="4" t="str">
        <f t="shared" si="50"/>
        <v/>
      </c>
    </row>
    <row r="643" spans="16:26" x14ac:dyDescent="0.25">
      <c r="P643" s="10" t="str">
        <f>IF('[1]All Data '!AZ648="","",'[1]All Data '!AZ648)</f>
        <v/>
      </c>
      <c r="Q643" s="10" t="str">
        <f>IF('[1]All Data '!BB648="","",'[1]All Data '!BB648)</f>
        <v/>
      </c>
      <c r="R643" s="10" t="str">
        <f>IF('[1]All Data '!BD648="","",'[1]All Data '!BD648)</f>
        <v/>
      </c>
      <c r="S643" s="11" t="str">
        <f>IF(R643="","",'[1]All Data '!BE648)</f>
        <v/>
      </c>
      <c r="T643" s="12" t="str">
        <f>IF(S643="","",[1]Inputs_Outputs!$B$8*(1-'LOCH Calc COE Calc'!S643))</f>
        <v/>
      </c>
      <c r="U643" s="13" t="str">
        <f t="shared" ref="U643:U706" si="51">IF(S643="","",R643*T643*365*$B$19/100)</f>
        <v/>
      </c>
      <c r="V643" s="13" t="str">
        <f t="shared" ref="V643:V706" si="52">IF(S643="","",(U643*$B$19)/(($B$28)*$B$19))</f>
        <v/>
      </c>
      <c r="W643" s="4" t="str">
        <f t="shared" ref="W643:W706" si="53">IF(S643="","",V643+$C$49+$C$50+$C$51)</f>
        <v/>
      </c>
      <c r="X643" t="str">
        <f>IF(W643="","",LOOKUP(_xlfn.CONCAT(P643,", ",Q643),'[1]T+S Costs'!$F$2:$F$3138,'[1]T+S Costs'!$N$2:$N$3138))</f>
        <v/>
      </c>
      <c r="Y643" s="14" t="str">
        <f t="shared" ref="Y643:Y706" si="54">IF(X643="","",((X643*$B$60/$B$59)*$C$44)/$C$28)</f>
        <v/>
      </c>
      <c r="Z643" s="4" t="str">
        <f t="shared" ref="Z643:Z706" si="55">IF(Y643="","",W643+Y643)</f>
        <v/>
      </c>
    </row>
    <row r="644" spans="16:26" x14ac:dyDescent="0.25">
      <c r="P644" s="10" t="str">
        <f>IF('[1]All Data '!AZ649="","",'[1]All Data '!AZ649)</f>
        <v/>
      </c>
      <c r="Q644" s="10" t="str">
        <f>IF('[1]All Data '!BB649="","",'[1]All Data '!BB649)</f>
        <v/>
      </c>
      <c r="R644" s="10" t="str">
        <f>IF('[1]All Data '!BD649="","",'[1]All Data '!BD649)</f>
        <v/>
      </c>
      <c r="S644" s="11" t="str">
        <f>IF(R644="","",'[1]All Data '!BE649)</f>
        <v/>
      </c>
      <c r="T644" s="12" t="str">
        <f>IF(S644="","",[1]Inputs_Outputs!$B$8*(1-'LOCH Calc COE Calc'!S644))</f>
        <v/>
      </c>
      <c r="U644" s="13" t="str">
        <f t="shared" si="51"/>
        <v/>
      </c>
      <c r="V644" s="13" t="str">
        <f t="shared" si="52"/>
        <v/>
      </c>
      <c r="W644" s="4" t="str">
        <f t="shared" si="53"/>
        <v/>
      </c>
      <c r="X644" t="str">
        <f>IF(W644="","",LOOKUP(_xlfn.CONCAT(P644,", ",Q644),'[1]T+S Costs'!$F$2:$F$3138,'[1]T+S Costs'!$N$2:$N$3138))</f>
        <v/>
      </c>
      <c r="Y644" s="14" t="str">
        <f t="shared" si="54"/>
        <v/>
      </c>
      <c r="Z644" s="4" t="str">
        <f t="shared" si="55"/>
        <v/>
      </c>
    </row>
    <row r="645" spans="16:26" x14ac:dyDescent="0.25">
      <c r="P645" s="10" t="str">
        <f>IF('[1]All Data '!AZ650="","",'[1]All Data '!AZ650)</f>
        <v/>
      </c>
      <c r="Q645" s="10" t="str">
        <f>IF('[1]All Data '!BB650="","",'[1]All Data '!BB650)</f>
        <v/>
      </c>
      <c r="R645" s="10" t="str">
        <f>IF('[1]All Data '!BD650="","",'[1]All Data '!BD650)</f>
        <v/>
      </c>
      <c r="S645" s="11" t="str">
        <f>IF(R645="","",'[1]All Data '!BE650)</f>
        <v/>
      </c>
      <c r="T645" s="12" t="str">
        <f>IF(S645="","",[1]Inputs_Outputs!$B$8*(1-'LOCH Calc COE Calc'!S645))</f>
        <v/>
      </c>
      <c r="U645" s="13" t="str">
        <f t="shared" si="51"/>
        <v/>
      </c>
      <c r="V645" s="13" t="str">
        <f t="shared" si="52"/>
        <v/>
      </c>
      <c r="W645" s="4" t="str">
        <f t="shared" si="53"/>
        <v/>
      </c>
      <c r="X645" t="str">
        <f>IF(W645="","",LOOKUP(_xlfn.CONCAT(P645,", ",Q645),'[1]T+S Costs'!$F$2:$F$3138,'[1]T+S Costs'!$N$2:$N$3138))</f>
        <v/>
      </c>
      <c r="Y645" s="14" t="str">
        <f t="shared" si="54"/>
        <v/>
      </c>
      <c r="Z645" s="4" t="str">
        <f t="shared" si="55"/>
        <v/>
      </c>
    </row>
    <row r="646" spans="16:26" x14ac:dyDescent="0.25">
      <c r="P646" s="10" t="str">
        <f>IF('[1]All Data '!AZ651="","",'[1]All Data '!AZ651)</f>
        <v/>
      </c>
      <c r="Q646" s="10" t="str">
        <f>IF('[1]All Data '!BB651="","",'[1]All Data '!BB651)</f>
        <v/>
      </c>
      <c r="R646" s="10" t="str">
        <f>IF('[1]All Data '!BD651="","",'[1]All Data '!BD651)</f>
        <v/>
      </c>
      <c r="S646" s="11" t="str">
        <f>IF(R646="","",'[1]All Data '!BE651)</f>
        <v/>
      </c>
      <c r="T646" s="12" t="str">
        <f>IF(S646="","",[1]Inputs_Outputs!$B$8*(1-'LOCH Calc COE Calc'!S646))</f>
        <v/>
      </c>
      <c r="U646" s="13" t="str">
        <f t="shared" si="51"/>
        <v/>
      </c>
      <c r="V646" s="13" t="str">
        <f t="shared" si="52"/>
        <v/>
      </c>
      <c r="W646" s="4" t="str">
        <f t="shared" si="53"/>
        <v/>
      </c>
      <c r="X646" t="str">
        <f>IF(W646="","",LOOKUP(_xlfn.CONCAT(P646,", ",Q646),'[1]T+S Costs'!$F$2:$F$3138,'[1]T+S Costs'!$N$2:$N$3138))</f>
        <v/>
      </c>
      <c r="Y646" s="14" t="str">
        <f t="shared" si="54"/>
        <v/>
      </c>
      <c r="Z646" s="4" t="str">
        <f t="shared" si="55"/>
        <v/>
      </c>
    </row>
    <row r="647" spans="16:26" x14ac:dyDescent="0.25">
      <c r="P647" s="10" t="str">
        <f>IF('[1]All Data '!AZ652="","",'[1]All Data '!AZ652)</f>
        <v/>
      </c>
      <c r="Q647" s="10" t="str">
        <f>IF('[1]All Data '!BB652="","",'[1]All Data '!BB652)</f>
        <v/>
      </c>
      <c r="R647" s="10" t="str">
        <f>IF('[1]All Data '!BD652="","",'[1]All Data '!BD652)</f>
        <v/>
      </c>
      <c r="S647" s="11" t="str">
        <f>IF(R647="","",'[1]All Data '!BE652)</f>
        <v/>
      </c>
      <c r="T647" s="12" t="str">
        <f>IF(S647="","",[1]Inputs_Outputs!$B$8*(1-'LOCH Calc COE Calc'!S647))</f>
        <v/>
      </c>
      <c r="U647" s="13" t="str">
        <f t="shared" si="51"/>
        <v/>
      </c>
      <c r="V647" s="13" t="str">
        <f t="shared" si="52"/>
        <v/>
      </c>
      <c r="W647" s="4" t="str">
        <f t="shared" si="53"/>
        <v/>
      </c>
      <c r="X647" t="str">
        <f>IF(W647="","",LOOKUP(_xlfn.CONCAT(P647,", ",Q647),'[1]T+S Costs'!$F$2:$F$3138,'[1]T+S Costs'!$N$2:$N$3138))</f>
        <v/>
      </c>
      <c r="Y647" s="14" t="str">
        <f t="shared" si="54"/>
        <v/>
      </c>
      <c r="Z647" s="4" t="str">
        <f t="shared" si="55"/>
        <v/>
      </c>
    </row>
    <row r="648" spans="16:26" x14ac:dyDescent="0.25">
      <c r="P648" s="10" t="str">
        <f>IF('[1]All Data '!AZ653="","",'[1]All Data '!AZ653)</f>
        <v/>
      </c>
      <c r="Q648" s="10" t="str">
        <f>IF('[1]All Data '!BB653="","",'[1]All Data '!BB653)</f>
        <v/>
      </c>
      <c r="R648" s="10" t="str">
        <f>IF('[1]All Data '!BD653="","",'[1]All Data '!BD653)</f>
        <v/>
      </c>
      <c r="S648" s="11" t="str">
        <f>IF(R648="","",'[1]All Data '!BE653)</f>
        <v/>
      </c>
      <c r="T648" s="12" t="str">
        <f>IF(S648="","",[1]Inputs_Outputs!$B$8*(1-'LOCH Calc COE Calc'!S648))</f>
        <v/>
      </c>
      <c r="U648" s="13" t="str">
        <f t="shared" si="51"/>
        <v/>
      </c>
      <c r="V648" s="13" t="str">
        <f t="shared" si="52"/>
        <v/>
      </c>
      <c r="W648" s="4" t="str">
        <f t="shared" si="53"/>
        <v/>
      </c>
      <c r="X648" t="str">
        <f>IF(W648="","",LOOKUP(_xlfn.CONCAT(P648,", ",Q648),'[1]T+S Costs'!$F$2:$F$3138,'[1]T+S Costs'!$N$2:$N$3138))</f>
        <v/>
      </c>
      <c r="Y648" s="14" t="str">
        <f t="shared" si="54"/>
        <v/>
      </c>
      <c r="Z648" s="4" t="str">
        <f t="shared" si="55"/>
        <v/>
      </c>
    </row>
    <row r="649" spans="16:26" x14ac:dyDescent="0.25">
      <c r="P649" s="10" t="str">
        <f>IF('[1]All Data '!AZ654="","",'[1]All Data '!AZ654)</f>
        <v/>
      </c>
      <c r="Q649" s="10" t="str">
        <f>IF('[1]All Data '!BB654="","",'[1]All Data '!BB654)</f>
        <v/>
      </c>
      <c r="R649" s="10" t="str">
        <f>IF('[1]All Data '!BD654="","",'[1]All Data '!BD654)</f>
        <v/>
      </c>
      <c r="S649" s="11" t="str">
        <f>IF(R649="","",'[1]All Data '!BE654)</f>
        <v/>
      </c>
      <c r="T649" s="12" t="str">
        <f>IF(S649="","",[1]Inputs_Outputs!$B$8*(1-'LOCH Calc COE Calc'!S649))</f>
        <v/>
      </c>
      <c r="U649" s="13" t="str">
        <f t="shared" si="51"/>
        <v/>
      </c>
      <c r="V649" s="13" t="str">
        <f t="shared" si="52"/>
        <v/>
      </c>
      <c r="W649" s="4" t="str">
        <f t="shared" si="53"/>
        <v/>
      </c>
      <c r="X649" t="str">
        <f>IF(W649="","",LOOKUP(_xlfn.CONCAT(P649,", ",Q649),'[1]T+S Costs'!$F$2:$F$3138,'[1]T+S Costs'!$N$2:$N$3138))</f>
        <v/>
      </c>
      <c r="Y649" s="14" t="str">
        <f t="shared" si="54"/>
        <v/>
      </c>
      <c r="Z649" s="4" t="str">
        <f t="shared" si="55"/>
        <v/>
      </c>
    </row>
    <row r="650" spans="16:26" x14ac:dyDescent="0.25">
      <c r="P650" s="10" t="str">
        <f>IF('[1]All Data '!AZ655="","",'[1]All Data '!AZ655)</f>
        <v/>
      </c>
      <c r="Q650" s="10" t="str">
        <f>IF('[1]All Data '!BB655="","",'[1]All Data '!BB655)</f>
        <v/>
      </c>
      <c r="R650" s="10" t="str">
        <f>IF('[1]All Data '!BD655="","",'[1]All Data '!BD655)</f>
        <v/>
      </c>
      <c r="S650" s="11" t="str">
        <f>IF(R650="","",'[1]All Data '!BE655)</f>
        <v/>
      </c>
      <c r="T650" s="12" t="str">
        <f>IF(S650="","",[1]Inputs_Outputs!$B$8*(1-'LOCH Calc COE Calc'!S650))</f>
        <v/>
      </c>
      <c r="U650" s="13" t="str">
        <f t="shared" si="51"/>
        <v/>
      </c>
      <c r="V650" s="13" t="str">
        <f t="shared" si="52"/>
        <v/>
      </c>
      <c r="W650" s="4" t="str">
        <f t="shared" si="53"/>
        <v/>
      </c>
      <c r="X650" t="str">
        <f>IF(W650="","",LOOKUP(_xlfn.CONCAT(P650,", ",Q650),'[1]T+S Costs'!$F$2:$F$3138,'[1]T+S Costs'!$N$2:$N$3138))</f>
        <v/>
      </c>
      <c r="Y650" s="14" t="str">
        <f t="shared" si="54"/>
        <v/>
      </c>
      <c r="Z650" s="4" t="str">
        <f t="shared" si="55"/>
        <v/>
      </c>
    </row>
    <row r="651" spans="16:26" x14ac:dyDescent="0.25">
      <c r="P651" s="10" t="str">
        <f>IF('[1]All Data '!AZ656="","",'[1]All Data '!AZ656)</f>
        <v/>
      </c>
      <c r="Q651" s="10" t="str">
        <f>IF('[1]All Data '!BB656="","",'[1]All Data '!BB656)</f>
        <v/>
      </c>
      <c r="R651" s="10" t="str">
        <f>IF('[1]All Data '!BD656="","",'[1]All Data '!BD656)</f>
        <v/>
      </c>
      <c r="S651" s="11" t="str">
        <f>IF(R651="","",'[1]All Data '!BE656)</f>
        <v/>
      </c>
      <c r="T651" s="12" t="str">
        <f>IF(S651="","",[1]Inputs_Outputs!$B$8*(1-'LOCH Calc COE Calc'!S651))</f>
        <v/>
      </c>
      <c r="U651" s="13" t="str">
        <f t="shared" si="51"/>
        <v/>
      </c>
      <c r="V651" s="13" t="str">
        <f t="shared" si="52"/>
        <v/>
      </c>
      <c r="W651" s="4" t="str">
        <f t="shared" si="53"/>
        <v/>
      </c>
      <c r="X651" t="str">
        <f>IF(W651="","",LOOKUP(_xlfn.CONCAT(P651,", ",Q651),'[1]T+S Costs'!$F$2:$F$3138,'[1]T+S Costs'!$N$2:$N$3138))</f>
        <v/>
      </c>
      <c r="Y651" s="14" t="str">
        <f t="shared" si="54"/>
        <v/>
      </c>
      <c r="Z651" s="4" t="str">
        <f t="shared" si="55"/>
        <v/>
      </c>
    </row>
    <row r="652" spans="16:26" x14ac:dyDescent="0.25">
      <c r="P652" s="10" t="str">
        <f>IF('[1]All Data '!AZ657="","",'[1]All Data '!AZ657)</f>
        <v/>
      </c>
      <c r="Q652" s="10" t="str">
        <f>IF('[1]All Data '!BB657="","",'[1]All Data '!BB657)</f>
        <v/>
      </c>
      <c r="R652" s="10" t="str">
        <f>IF('[1]All Data '!BD657="","",'[1]All Data '!BD657)</f>
        <v/>
      </c>
      <c r="S652" s="11" t="str">
        <f>IF(R652="","",'[1]All Data '!BE657)</f>
        <v/>
      </c>
      <c r="T652" s="12" t="str">
        <f>IF(S652="","",[1]Inputs_Outputs!$B$8*(1-'LOCH Calc COE Calc'!S652))</f>
        <v/>
      </c>
      <c r="U652" s="13" t="str">
        <f t="shared" si="51"/>
        <v/>
      </c>
      <c r="V652" s="13" t="str">
        <f t="shared" si="52"/>
        <v/>
      </c>
      <c r="W652" s="4" t="str">
        <f t="shared" si="53"/>
        <v/>
      </c>
      <c r="X652" t="str">
        <f>IF(W652="","",LOOKUP(_xlfn.CONCAT(P652,", ",Q652),'[1]T+S Costs'!$F$2:$F$3138,'[1]T+S Costs'!$N$2:$N$3138))</f>
        <v/>
      </c>
      <c r="Y652" s="14" t="str">
        <f t="shared" si="54"/>
        <v/>
      </c>
      <c r="Z652" s="4" t="str">
        <f t="shared" si="55"/>
        <v/>
      </c>
    </row>
    <row r="653" spans="16:26" x14ac:dyDescent="0.25">
      <c r="P653" s="10" t="str">
        <f>IF('[1]All Data '!AZ658="","",'[1]All Data '!AZ658)</f>
        <v/>
      </c>
      <c r="Q653" s="10" t="str">
        <f>IF('[1]All Data '!BB658="","",'[1]All Data '!BB658)</f>
        <v/>
      </c>
      <c r="R653" s="10" t="str">
        <f>IF('[1]All Data '!BD658="","",'[1]All Data '!BD658)</f>
        <v/>
      </c>
      <c r="S653" s="11" t="str">
        <f>IF(R653="","",'[1]All Data '!BE658)</f>
        <v/>
      </c>
      <c r="T653" s="12" t="str">
        <f>IF(S653="","",[1]Inputs_Outputs!$B$8*(1-'LOCH Calc COE Calc'!S653))</f>
        <v/>
      </c>
      <c r="U653" s="13" t="str">
        <f t="shared" si="51"/>
        <v/>
      </c>
      <c r="V653" s="13" t="str">
        <f t="shared" si="52"/>
        <v/>
      </c>
      <c r="W653" s="4" t="str">
        <f t="shared" si="53"/>
        <v/>
      </c>
      <c r="X653" t="str">
        <f>IF(W653="","",LOOKUP(_xlfn.CONCAT(P653,", ",Q653),'[1]T+S Costs'!$F$2:$F$3138,'[1]T+S Costs'!$N$2:$N$3138))</f>
        <v/>
      </c>
      <c r="Y653" s="14" t="str">
        <f t="shared" si="54"/>
        <v/>
      </c>
      <c r="Z653" s="4" t="str">
        <f t="shared" si="55"/>
        <v/>
      </c>
    </row>
    <row r="654" spans="16:26" x14ac:dyDescent="0.25">
      <c r="P654" s="10" t="str">
        <f>IF('[1]All Data '!AZ659="","",'[1]All Data '!AZ659)</f>
        <v/>
      </c>
      <c r="Q654" s="10" t="str">
        <f>IF('[1]All Data '!BB659="","",'[1]All Data '!BB659)</f>
        <v/>
      </c>
      <c r="R654" s="10" t="str">
        <f>IF('[1]All Data '!BD659="","",'[1]All Data '!BD659)</f>
        <v/>
      </c>
      <c r="S654" s="11" t="str">
        <f>IF(R654="","",'[1]All Data '!BE659)</f>
        <v/>
      </c>
      <c r="T654" s="12" t="str">
        <f>IF(S654="","",[1]Inputs_Outputs!$B$8*(1-'LOCH Calc COE Calc'!S654))</f>
        <v/>
      </c>
      <c r="U654" s="13" t="str">
        <f t="shared" si="51"/>
        <v/>
      </c>
      <c r="V654" s="13" t="str">
        <f t="shared" si="52"/>
        <v/>
      </c>
      <c r="W654" s="4" t="str">
        <f t="shared" si="53"/>
        <v/>
      </c>
      <c r="X654" t="str">
        <f>IF(W654="","",LOOKUP(_xlfn.CONCAT(P654,", ",Q654),'[1]T+S Costs'!$F$2:$F$3138,'[1]T+S Costs'!$N$2:$N$3138))</f>
        <v/>
      </c>
      <c r="Y654" s="14" t="str">
        <f t="shared" si="54"/>
        <v/>
      </c>
      <c r="Z654" s="4" t="str">
        <f t="shared" si="55"/>
        <v/>
      </c>
    </row>
    <row r="655" spans="16:26" x14ac:dyDescent="0.25">
      <c r="P655" s="10" t="str">
        <f>IF('[1]All Data '!AZ660="","",'[1]All Data '!AZ660)</f>
        <v/>
      </c>
      <c r="Q655" s="10" t="str">
        <f>IF('[1]All Data '!BB660="","",'[1]All Data '!BB660)</f>
        <v/>
      </c>
      <c r="R655" s="10" t="str">
        <f>IF('[1]All Data '!BD660="","",'[1]All Data '!BD660)</f>
        <v/>
      </c>
      <c r="S655" s="11" t="str">
        <f>IF(R655="","",'[1]All Data '!BE660)</f>
        <v/>
      </c>
      <c r="T655" s="12" t="str">
        <f>IF(S655="","",[1]Inputs_Outputs!$B$8*(1-'LOCH Calc COE Calc'!S655))</f>
        <v/>
      </c>
      <c r="U655" s="13" t="str">
        <f t="shared" si="51"/>
        <v/>
      </c>
      <c r="V655" s="13" t="str">
        <f t="shared" si="52"/>
        <v/>
      </c>
      <c r="W655" s="4" t="str">
        <f t="shared" si="53"/>
        <v/>
      </c>
      <c r="X655" t="str">
        <f>IF(W655="","",LOOKUP(_xlfn.CONCAT(P655,", ",Q655),'[1]T+S Costs'!$F$2:$F$3138,'[1]T+S Costs'!$N$2:$N$3138))</f>
        <v/>
      </c>
      <c r="Y655" s="14" t="str">
        <f t="shared" si="54"/>
        <v/>
      </c>
      <c r="Z655" s="4" t="str">
        <f t="shared" si="55"/>
        <v/>
      </c>
    </row>
    <row r="656" spans="16:26" x14ac:dyDescent="0.25">
      <c r="P656" s="10" t="str">
        <f>IF('[1]All Data '!AZ661="","",'[1]All Data '!AZ661)</f>
        <v/>
      </c>
      <c r="Q656" s="10" t="str">
        <f>IF('[1]All Data '!BB661="","",'[1]All Data '!BB661)</f>
        <v/>
      </c>
      <c r="R656" s="10" t="str">
        <f>IF('[1]All Data '!BD661="","",'[1]All Data '!BD661)</f>
        <v/>
      </c>
      <c r="S656" s="11" t="str">
        <f>IF(R656="","",'[1]All Data '!BE661)</f>
        <v/>
      </c>
      <c r="T656" s="12" t="str">
        <f>IF(S656="","",[1]Inputs_Outputs!$B$8*(1-'LOCH Calc COE Calc'!S656))</f>
        <v/>
      </c>
      <c r="U656" s="13" t="str">
        <f t="shared" si="51"/>
        <v/>
      </c>
      <c r="V656" s="13" t="str">
        <f t="shared" si="52"/>
        <v/>
      </c>
      <c r="W656" s="4" t="str">
        <f t="shared" si="53"/>
        <v/>
      </c>
      <c r="X656" t="str">
        <f>IF(W656="","",LOOKUP(_xlfn.CONCAT(P656,", ",Q656),'[1]T+S Costs'!$F$2:$F$3138,'[1]T+S Costs'!$N$2:$N$3138))</f>
        <v/>
      </c>
      <c r="Y656" s="14" t="str">
        <f t="shared" si="54"/>
        <v/>
      </c>
      <c r="Z656" s="4" t="str">
        <f t="shared" si="55"/>
        <v/>
      </c>
    </row>
    <row r="657" spans="16:26" x14ac:dyDescent="0.25">
      <c r="P657" s="10" t="str">
        <f>IF('[1]All Data '!AZ662="","",'[1]All Data '!AZ662)</f>
        <v/>
      </c>
      <c r="Q657" s="10" t="str">
        <f>IF('[1]All Data '!BB662="","",'[1]All Data '!BB662)</f>
        <v/>
      </c>
      <c r="R657" s="10" t="str">
        <f>IF('[1]All Data '!BD662="","",'[1]All Data '!BD662)</f>
        <v/>
      </c>
      <c r="S657" s="11" t="str">
        <f>IF(R657="","",'[1]All Data '!BE662)</f>
        <v/>
      </c>
      <c r="T657" s="12" t="str">
        <f>IF(S657="","",[1]Inputs_Outputs!$B$8*(1-'LOCH Calc COE Calc'!S657))</f>
        <v/>
      </c>
      <c r="U657" s="13" t="str">
        <f t="shared" si="51"/>
        <v/>
      </c>
      <c r="V657" s="13" t="str">
        <f t="shared" si="52"/>
        <v/>
      </c>
      <c r="W657" s="4" t="str">
        <f t="shared" si="53"/>
        <v/>
      </c>
      <c r="X657" t="str">
        <f>IF(W657="","",LOOKUP(_xlfn.CONCAT(P657,", ",Q657),'[1]T+S Costs'!$F$2:$F$3138,'[1]T+S Costs'!$N$2:$N$3138))</f>
        <v/>
      </c>
      <c r="Y657" s="14" t="str">
        <f t="shared" si="54"/>
        <v/>
      </c>
      <c r="Z657" s="4" t="str">
        <f t="shared" si="55"/>
        <v/>
      </c>
    </row>
    <row r="658" spans="16:26" x14ac:dyDescent="0.25">
      <c r="P658" s="10" t="str">
        <f>IF('[1]All Data '!AZ663="","",'[1]All Data '!AZ663)</f>
        <v/>
      </c>
      <c r="Q658" s="10" t="str">
        <f>IF('[1]All Data '!BB663="","",'[1]All Data '!BB663)</f>
        <v/>
      </c>
      <c r="R658" s="10" t="str">
        <f>IF('[1]All Data '!BD663="","",'[1]All Data '!BD663)</f>
        <v/>
      </c>
      <c r="S658" s="11" t="str">
        <f>IF(R658="","",'[1]All Data '!BE663)</f>
        <v/>
      </c>
      <c r="T658" s="12" t="str">
        <f>IF(S658="","",[1]Inputs_Outputs!$B$8*(1-'LOCH Calc COE Calc'!S658))</f>
        <v/>
      </c>
      <c r="U658" s="13" t="str">
        <f t="shared" si="51"/>
        <v/>
      </c>
      <c r="V658" s="13" t="str">
        <f t="shared" si="52"/>
        <v/>
      </c>
      <c r="W658" s="4" t="str">
        <f t="shared" si="53"/>
        <v/>
      </c>
      <c r="X658" t="str">
        <f>IF(W658="","",LOOKUP(_xlfn.CONCAT(P658,", ",Q658),'[1]T+S Costs'!$F$2:$F$3138,'[1]T+S Costs'!$N$2:$N$3138))</f>
        <v/>
      </c>
      <c r="Y658" s="14" t="str">
        <f t="shared" si="54"/>
        <v/>
      </c>
      <c r="Z658" s="4" t="str">
        <f t="shared" si="55"/>
        <v/>
      </c>
    </row>
    <row r="659" spans="16:26" x14ac:dyDescent="0.25">
      <c r="P659" s="10" t="str">
        <f>IF('[1]All Data '!AZ664="","",'[1]All Data '!AZ664)</f>
        <v/>
      </c>
      <c r="Q659" s="10" t="str">
        <f>IF('[1]All Data '!BB664="","",'[1]All Data '!BB664)</f>
        <v/>
      </c>
      <c r="R659" s="10" t="str">
        <f>IF('[1]All Data '!BD664="","",'[1]All Data '!BD664)</f>
        <v/>
      </c>
      <c r="S659" s="11" t="str">
        <f>IF(R659="","",'[1]All Data '!BE664)</f>
        <v/>
      </c>
      <c r="T659" s="12" t="str">
        <f>IF(S659="","",[1]Inputs_Outputs!$B$8*(1-'LOCH Calc COE Calc'!S659))</f>
        <v/>
      </c>
      <c r="U659" s="13" t="str">
        <f t="shared" si="51"/>
        <v/>
      </c>
      <c r="V659" s="13" t="str">
        <f t="shared" si="52"/>
        <v/>
      </c>
      <c r="W659" s="4" t="str">
        <f t="shared" si="53"/>
        <v/>
      </c>
      <c r="X659" t="str">
        <f>IF(W659="","",LOOKUP(_xlfn.CONCAT(P659,", ",Q659),'[1]T+S Costs'!$F$2:$F$3138,'[1]T+S Costs'!$N$2:$N$3138))</f>
        <v/>
      </c>
      <c r="Y659" s="14" t="str">
        <f t="shared" si="54"/>
        <v/>
      </c>
      <c r="Z659" s="4" t="str">
        <f t="shared" si="55"/>
        <v/>
      </c>
    </row>
    <row r="660" spans="16:26" x14ac:dyDescent="0.25">
      <c r="P660" s="10" t="str">
        <f>IF('[1]All Data '!AZ665="","",'[1]All Data '!AZ665)</f>
        <v/>
      </c>
      <c r="Q660" s="10" t="str">
        <f>IF('[1]All Data '!BB665="","",'[1]All Data '!BB665)</f>
        <v/>
      </c>
      <c r="R660" s="10" t="str">
        <f>IF('[1]All Data '!BD665="","",'[1]All Data '!BD665)</f>
        <v/>
      </c>
      <c r="S660" s="11" t="str">
        <f>IF(R660="","",'[1]All Data '!BE665)</f>
        <v/>
      </c>
      <c r="T660" s="12" t="str">
        <f>IF(S660="","",[1]Inputs_Outputs!$B$8*(1-'LOCH Calc COE Calc'!S660))</f>
        <v/>
      </c>
      <c r="U660" s="13" t="str">
        <f t="shared" si="51"/>
        <v/>
      </c>
      <c r="V660" s="13" t="str">
        <f t="shared" si="52"/>
        <v/>
      </c>
      <c r="W660" s="4" t="str">
        <f t="shared" si="53"/>
        <v/>
      </c>
      <c r="X660" t="str">
        <f>IF(W660="","",LOOKUP(_xlfn.CONCAT(P660,", ",Q660),'[1]T+S Costs'!$F$2:$F$3138,'[1]T+S Costs'!$N$2:$N$3138))</f>
        <v/>
      </c>
      <c r="Y660" s="14" t="str">
        <f t="shared" si="54"/>
        <v/>
      </c>
      <c r="Z660" s="4" t="str">
        <f t="shared" si="55"/>
        <v/>
      </c>
    </row>
    <row r="661" spans="16:26" x14ac:dyDescent="0.25">
      <c r="P661" s="10" t="str">
        <f>IF('[1]All Data '!AZ666="","",'[1]All Data '!AZ666)</f>
        <v/>
      </c>
      <c r="Q661" s="10" t="str">
        <f>IF('[1]All Data '!BB666="","",'[1]All Data '!BB666)</f>
        <v/>
      </c>
      <c r="R661" s="10" t="str">
        <f>IF('[1]All Data '!BD666="","",'[1]All Data '!BD666)</f>
        <v/>
      </c>
      <c r="S661" s="11" t="str">
        <f>IF(R661="","",'[1]All Data '!BE666)</f>
        <v/>
      </c>
      <c r="T661" s="12" t="str">
        <f>IF(S661="","",[1]Inputs_Outputs!$B$8*(1-'LOCH Calc COE Calc'!S661))</f>
        <v/>
      </c>
      <c r="U661" s="13" t="str">
        <f t="shared" si="51"/>
        <v/>
      </c>
      <c r="V661" s="13" t="str">
        <f t="shared" si="52"/>
        <v/>
      </c>
      <c r="W661" s="4" t="str">
        <f t="shared" si="53"/>
        <v/>
      </c>
      <c r="X661" t="str">
        <f>IF(W661="","",LOOKUP(_xlfn.CONCAT(P661,", ",Q661),'[1]T+S Costs'!$F$2:$F$3138,'[1]T+S Costs'!$N$2:$N$3138))</f>
        <v/>
      </c>
      <c r="Y661" s="14" t="str">
        <f t="shared" si="54"/>
        <v/>
      </c>
      <c r="Z661" s="4" t="str">
        <f t="shared" si="55"/>
        <v/>
      </c>
    </row>
    <row r="662" spans="16:26" x14ac:dyDescent="0.25">
      <c r="P662" s="10" t="str">
        <f>IF('[1]All Data '!AZ667="","",'[1]All Data '!AZ667)</f>
        <v/>
      </c>
      <c r="Q662" s="10" t="str">
        <f>IF('[1]All Data '!BB667="","",'[1]All Data '!BB667)</f>
        <v/>
      </c>
      <c r="R662" s="10" t="str">
        <f>IF('[1]All Data '!BD667="","",'[1]All Data '!BD667)</f>
        <v/>
      </c>
      <c r="S662" s="11" t="str">
        <f>IF(R662="","",'[1]All Data '!BE667)</f>
        <v/>
      </c>
      <c r="T662" s="12" t="str">
        <f>IF(S662="","",[1]Inputs_Outputs!$B$8*(1-'LOCH Calc COE Calc'!S662))</f>
        <v/>
      </c>
      <c r="U662" s="13" t="str">
        <f t="shared" si="51"/>
        <v/>
      </c>
      <c r="V662" s="13" t="str">
        <f t="shared" si="52"/>
        <v/>
      </c>
      <c r="W662" s="4" t="str">
        <f t="shared" si="53"/>
        <v/>
      </c>
      <c r="X662" t="str">
        <f>IF(W662="","",LOOKUP(_xlfn.CONCAT(P662,", ",Q662),'[1]T+S Costs'!$F$2:$F$3138,'[1]T+S Costs'!$N$2:$N$3138))</f>
        <v/>
      </c>
      <c r="Y662" s="14" t="str">
        <f t="shared" si="54"/>
        <v/>
      </c>
      <c r="Z662" s="4" t="str">
        <f t="shared" si="55"/>
        <v/>
      </c>
    </row>
    <row r="663" spans="16:26" x14ac:dyDescent="0.25">
      <c r="P663" s="10" t="str">
        <f>IF('[1]All Data '!AZ668="","",'[1]All Data '!AZ668)</f>
        <v/>
      </c>
      <c r="Q663" s="10" t="str">
        <f>IF('[1]All Data '!BB668="","",'[1]All Data '!BB668)</f>
        <v/>
      </c>
      <c r="R663" s="10" t="str">
        <f>IF('[1]All Data '!BD668="","",'[1]All Data '!BD668)</f>
        <v/>
      </c>
      <c r="S663" s="11" t="str">
        <f>IF(R663="","",'[1]All Data '!BE668)</f>
        <v/>
      </c>
      <c r="T663" s="12" t="str">
        <f>IF(S663="","",[1]Inputs_Outputs!$B$8*(1-'LOCH Calc COE Calc'!S663))</f>
        <v/>
      </c>
      <c r="U663" s="13" t="str">
        <f t="shared" si="51"/>
        <v/>
      </c>
      <c r="V663" s="13" t="str">
        <f t="shared" si="52"/>
        <v/>
      </c>
      <c r="W663" s="4" t="str">
        <f t="shared" si="53"/>
        <v/>
      </c>
      <c r="X663" t="str">
        <f>IF(W663="","",LOOKUP(_xlfn.CONCAT(P663,", ",Q663),'[1]T+S Costs'!$F$2:$F$3138,'[1]T+S Costs'!$N$2:$N$3138))</f>
        <v/>
      </c>
      <c r="Y663" s="14" t="str">
        <f t="shared" si="54"/>
        <v/>
      </c>
      <c r="Z663" s="4" t="str">
        <f t="shared" si="55"/>
        <v/>
      </c>
    </row>
    <row r="664" spans="16:26" x14ac:dyDescent="0.25">
      <c r="P664" s="10" t="str">
        <f>IF('[1]All Data '!AZ669="","",'[1]All Data '!AZ669)</f>
        <v/>
      </c>
      <c r="Q664" s="10" t="str">
        <f>IF('[1]All Data '!BB669="","",'[1]All Data '!BB669)</f>
        <v/>
      </c>
      <c r="R664" s="10" t="str">
        <f>IF('[1]All Data '!BD669="","",'[1]All Data '!BD669)</f>
        <v/>
      </c>
      <c r="S664" s="11" t="str">
        <f>IF(R664="","",'[1]All Data '!BE669)</f>
        <v/>
      </c>
      <c r="T664" s="12" t="str">
        <f>IF(S664="","",[1]Inputs_Outputs!$B$8*(1-'LOCH Calc COE Calc'!S664))</f>
        <v/>
      </c>
      <c r="U664" s="13" t="str">
        <f t="shared" si="51"/>
        <v/>
      </c>
      <c r="V664" s="13" t="str">
        <f t="shared" si="52"/>
        <v/>
      </c>
      <c r="W664" s="4" t="str">
        <f t="shared" si="53"/>
        <v/>
      </c>
      <c r="X664" t="str">
        <f>IF(W664="","",LOOKUP(_xlfn.CONCAT(P664,", ",Q664),'[1]T+S Costs'!$F$2:$F$3138,'[1]T+S Costs'!$N$2:$N$3138))</f>
        <v/>
      </c>
      <c r="Y664" s="14" t="str">
        <f t="shared" si="54"/>
        <v/>
      </c>
      <c r="Z664" s="4" t="str">
        <f t="shared" si="55"/>
        <v/>
      </c>
    </row>
    <row r="665" spans="16:26" x14ac:dyDescent="0.25">
      <c r="P665" s="10" t="str">
        <f>IF('[1]All Data '!AZ670="","",'[1]All Data '!AZ670)</f>
        <v/>
      </c>
      <c r="Q665" s="10" t="str">
        <f>IF('[1]All Data '!BB670="","",'[1]All Data '!BB670)</f>
        <v/>
      </c>
      <c r="R665" s="10" t="str">
        <f>IF('[1]All Data '!BD670="","",'[1]All Data '!BD670)</f>
        <v/>
      </c>
      <c r="S665" s="11" t="str">
        <f>IF(R665="","",'[1]All Data '!BE670)</f>
        <v/>
      </c>
      <c r="T665" s="12" t="str">
        <f>IF(S665="","",[1]Inputs_Outputs!$B$8*(1-'LOCH Calc COE Calc'!S665))</f>
        <v/>
      </c>
      <c r="U665" s="13" t="str">
        <f t="shared" si="51"/>
        <v/>
      </c>
      <c r="V665" s="13" t="str">
        <f t="shared" si="52"/>
        <v/>
      </c>
      <c r="W665" s="4" t="str">
        <f t="shared" si="53"/>
        <v/>
      </c>
      <c r="X665" t="str">
        <f>IF(W665="","",LOOKUP(_xlfn.CONCAT(P665,", ",Q665),'[1]T+S Costs'!$F$2:$F$3138,'[1]T+S Costs'!$N$2:$N$3138))</f>
        <v/>
      </c>
      <c r="Y665" s="14" t="str">
        <f t="shared" si="54"/>
        <v/>
      </c>
      <c r="Z665" s="4" t="str">
        <f t="shared" si="55"/>
        <v/>
      </c>
    </row>
    <row r="666" spans="16:26" x14ac:dyDescent="0.25">
      <c r="P666" s="10" t="str">
        <f>IF('[1]All Data '!AZ671="","",'[1]All Data '!AZ671)</f>
        <v/>
      </c>
      <c r="Q666" s="10" t="str">
        <f>IF('[1]All Data '!BB671="","",'[1]All Data '!BB671)</f>
        <v/>
      </c>
      <c r="R666" s="10" t="str">
        <f>IF('[1]All Data '!BD671="","",'[1]All Data '!BD671)</f>
        <v/>
      </c>
      <c r="S666" s="11" t="str">
        <f>IF(R666="","",'[1]All Data '!BE671)</f>
        <v/>
      </c>
      <c r="T666" s="12" t="str">
        <f>IF(S666="","",[1]Inputs_Outputs!$B$8*(1-'LOCH Calc COE Calc'!S666))</f>
        <v/>
      </c>
      <c r="U666" s="13" t="str">
        <f t="shared" si="51"/>
        <v/>
      </c>
      <c r="V666" s="13" t="str">
        <f t="shared" si="52"/>
        <v/>
      </c>
      <c r="W666" s="4" t="str">
        <f t="shared" si="53"/>
        <v/>
      </c>
      <c r="X666" t="str">
        <f>IF(W666="","",LOOKUP(_xlfn.CONCAT(P666,", ",Q666),'[1]T+S Costs'!$F$2:$F$3138,'[1]T+S Costs'!$N$2:$N$3138))</f>
        <v/>
      </c>
      <c r="Y666" s="14" t="str">
        <f t="shared" si="54"/>
        <v/>
      </c>
      <c r="Z666" s="4" t="str">
        <f t="shared" si="55"/>
        <v/>
      </c>
    </row>
    <row r="667" spans="16:26" x14ac:dyDescent="0.25">
      <c r="P667" s="10" t="str">
        <f>IF('[1]All Data '!AZ672="","",'[1]All Data '!AZ672)</f>
        <v/>
      </c>
      <c r="Q667" s="10" t="str">
        <f>IF('[1]All Data '!BB672="","",'[1]All Data '!BB672)</f>
        <v/>
      </c>
      <c r="R667" s="10" t="str">
        <f>IF('[1]All Data '!BD672="","",'[1]All Data '!BD672)</f>
        <v/>
      </c>
      <c r="S667" s="11" t="str">
        <f>IF(R667="","",'[1]All Data '!BE672)</f>
        <v/>
      </c>
      <c r="T667" s="12" t="str">
        <f>IF(S667="","",[1]Inputs_Outputs!$B$8*(1-'LOCH Calc COE Calc'!S667))</f>
        <v/>
      </c>
      <c r="U667" s="13" t="str">
        <f t="shared" si="51"/>
        <v/>
      </c>
      <c r="V667" s="13" t="str">
        <f t="shared" si="52"/>
        <v/>
      </c>
      <c r="W667" s="4" t="str">
        <f t="shared" si="53"/>
        <v/>
      </c>
      <c r="X667" t="str">
        <f>IF(W667="","",LOOKUP(_xlfn.CONCAT(P667,", ",Q667),'[1]T+S Costs'!$F$2:$F$3138,'[1]T+S Costs'!$N$2:$N$3138))</f>
        <v/>
      </c>
      <c r="Y667" s="14" t="str">
        <f t="shared" si="54"/>
        <v/>
      </c>
      <c r="Z667" s="4" t="str">
        <f t="shared" si="55"/>
        <v/>
      </c>
    </row>
    <row r="668" spans="16:26" x14ac:dyDescent="0.25">
      <c r="P668" s="10" t="str">
        <f>IF('[1]All Data '!AZ673="","",'[1]All Data '!AZ673)</f>
        <v/>
      </c>
      <c r="Q668" s="10" t="str">
        <f>IF('[1]All Data '!BB673="","",'[1]All Data '!BB673)</f>
        <v/>
      </c>
      <c r="R668" s="10" t="str">
        <f>IF('[1]All Data '!BD673="","",'[1]All Data '!BD673)</f>
        <v/>
      </c>
      <c r="S668" s="11" t="str">
        <f>IF(R668="","",'[1]All Data '!BE673)</f>
        <v/>
      </c>
      <c r="T668" s="12" t="str">
        <f>IF(S668="","",[1]Inputs_Outputs!$B$8*(1-'LOCH Calc COE Calc'!S668))</f>
        <v/>
      </c>
      <c r="U668" s="13" t="str">
        <f t="shared" si="51"/>
        <v/>
      </c>
      <c r="V668" s="13" t="str">
        <f t="shared" si="52"/>
        <v/>
      </c>
      <c r="W668" s="4" t="str">
        <f t="shared" si="53"/>
        <v/>
      </c>
      <c r="X668" t="str">
        <f>IF(W668="","",LOOKUP(_xlfn.CONCAT(P668,", ",Q668),'[1]T+S Costs'!$F$2:$F$3138,'[1]T+S Costs'!$N$2:$N$3138))</f>
        <v/>
      </c>
      <c r="Y668" s="14" t="str">
        <f t="shared" si="54"/>
        <v/>
      </c>
      <c r="Z668" s="4" t="str">
        <f t="shared" si="55"/>
        <v/>
      </c>
    </row>
    <row r="669" spans="16:26" x14ac:dyDescent="0.25">
      <c r="P669" s="10" t="str">
        <f>IF('[1]All Data '!AZ674="","",'[1]All Data '!AZ674)</f>
        <v/>
      </c>
      <c r="Q669" s="10" t="str">
        <f>IF('[1]All Data '!BB674="","",'[1]All Data '!BB674)</f>
        <v/>
      </c>
      <c r="R669" s="10" t="str">
        <f>IF('[1]All Data '!BD674="","",'[1]All Data '!BD674)</f>
        <v/>
      </c>
      <c r="S669" s="11" t="str">
        <f>IF(R669="","",'[1]All Data '!BE674)</f>
        <v/>
      </c>
      <c r="T669" s="12" t="str">
        <f>IF(S669="","",[1]Inputs_Outputs!$B$8*(1-'LOCH Calc COE Calc'!S669))</f>
        <v/>
      </c>
      <c r="U669" s="13" t="str">
        <f t="shared" si="51"/>
        <v/>
      </c>
      <c r="V669" s="13" t="str">
        <f t="shared" si="52"/>
        <v/>
      </c>
      <c r="W669" s="4" t="str">
        <f t="shared" si="53"/>
        <v/>
      </c>
      <c r="X669" t="str">
        <f>IF(W669="","",LOOKUP(_xlfn.CONCAT(P669,", ",Q669),'[1]T+S Costs'!$F$2:$F$3138,'[1]T+S Costs'!$N$2:$N$3138))</f>
        <v/>
      </c>
      <c r="Y669" s="14" t="str">
        <f t="shared" si="54"/>
        <v/>
      </c>
      <c r="Z669" s="4" t="str">
        <f t="shared" si="55"/>
        <v/>
      </c>
    </row>
    <row r="670" spans="16:26" x14ac:dyDescent="0.25">
      <c r="P670" s="10" t="str">
        <f>IF('[1]All Data '!AZ675="","",'[1]All Data '!AZ675)</f>
        <v/>
      </c>
      <c r="Q670" s="10" t="str">
        <f>IF('[1]All Data '!BB675="","",'[1]All Data '!BB675)</f>
        <v/>
      </c>
      <c r="R670" s="10" t="str">
        <f>IF('[1]All Data '!BD675="","",'[1]All Data '!BD675)</f>
        <v/>
      </c>
      <c r="S670" s="11" t="str">
        <f>IF(R670="","",'[1]All Data '!BE675)</f>
        <v/>
      </c>
      <c r="T670" s="12" t="str">
        <f>IF(S670="","",[1]Inputs_Outputs!$B$8*(1-'LOCH Calc COE Calc'!S670))</f>
        <v/>
      </c>
      <c r="U670" s="13" t="str">
        <f t="shared" si="51"/>
        <v/>
      </c>
      <c r="V670" s="13" t="str">
        <f t="shared" si="52"/>
        <v/>
      </c>
      <c r="W670" s="4" t="str">
        <f t="shared" si="53"/>
        <v/>
      </c>
      <c r="X670" t="str">
        <f>IF(W670="","",LOOKUP(_xlfn.CONCAT(P670,", ",Q670),'[1]T+S Costs'!$F$2:$F$3138,'[1]T+S Costs'!$N$2:$N$3138))</f>
        <v/>
      </c>
      <c r="Y670" s="14" t="str">
        <f t="shared" si="54"/>
        <v/>
      </c>
      <c r="Z670" s="4" t="str">
        <f t="shared" si="55"/>
        <v/>
      </c>
    </row>
    <row r="671" spans="16:26" x14ac:dyDescent="0.25">
      <c r="P671" s="10" t="str">
        <f>IF('[1]All Data '!AZ676="","",'[1]All Data '!AZ676)</f>
        <v/>
      </c>
      <c r="Q671" s="10" t="str">
        <f>IF('[1]All Data '!BB676="","",'[1]All Data '!BB676)</f>
        <v/>
      </c>
      <c r="R671" s="10" t="str">
        <f>IF('[1]All Data '!BD676="","",'[1]All Data '!BD676)</f>
        <v/>
      </c>
      <c r="S671" s="11" t="str">
        <f>IF(R671="","",'[1]All Data '!BE676)</f>
        <v/>
      </c>
      <c r="T671" s="12" t="str">
        <f>IF(S671="","",[1]Inputs_Outputs!$B$8*(1-'LOCH Calc COE Calc'!S671))</f>
        <v/>
      </c>
      <c r="U671" s="13" t="str">
        <f t="shared" si="51"/>
        <v/>
      </c>
      <c r="V671" s="13" t="str">
        <f t="shared" si="52"/>
        <v/>
      </c>
      <c r="W671" s="4" t="str">
        <f t="shared" si="53"/>
        <v/>
      </c>
      <c r="X671" t="str">
        <f>IF(W671="","",LOOKUP(_xlfn.CONCAT(P671,", ",Q671),'[1]T+S Costs'!$F$2:$F$3138,'[1]T+S Costs'!$N$2:$N$3138))</f>
        <v/>
      </c>
      <c r="Y671" s="14" t="str">
        <f t="shared" si="54"/>
        <v/>
      </c>
      <c r="Z671" s="4" t="str">
        <f t="shared" si="55"/>
        <v/>
      </c>
    </row>
    <row r="672" spans="16:26" x14ac:dyDescent="0.25">
      <c r="P672" s="10" t="str">
        <f>IF('[1]All Data '!AZ677="","",'[1]All Data '!AZ677)</f>
        <v/>
      </c>
      <c r="Q672" s="10" t="str">
        <f>IF('[1]All Data '!BB677="","",'[1]All Data '!BB677)</f>
        <v/>
      </c>
      <c r="R672" s="10" t="str">
        <f>IF('[1]All Data '!BD677="","",'[1]All Data '!BD677)</f>
        <v/>
      </c>
      <c r="S672" s="11" t="str">
        <f>IF(R672="","",'[1]All Data '!BE677)</f>
        <v/>
      </c>
      <c r="T672" s="12" t="str">
        <f>IF(S672="","",[1]Inputs_Outputs!$B$8*(1-'LOCH Calc COE Calc'!S672))</f>
        <v/>
      </c>
      <c r="U672" s="13" t="str">
        <f t="shared" si="51"/>
        <v/>
      </c>
      <c r="V672" s="13" t="str">
        <f t="shared" si="52"/>
        <v/>
      </c>
      <c r="W672" s="4" t="str">
        <f t="shared" si="53"/>
        <v/>
      </c>
      <c r="X672" t="str">
        <f>IF(W672="","",LOOKUP(_xlfn.CONCAT(P672,", ",Q672),'[1]T+S Costs'!$F$2:$F$3138,'[1]T+S Costs'!$N$2:$N$3138))</f>
        <v/>
      </c>
      <c r="Y672" s="14" t="str">
        <f t="shared" si="54"/>
        <v/>
      </c>
      <c r="Z672" s="4" t="str">
        <f t="shared" si="55"/>
        <v/>
      </c>
    </row>
    <row r="673" spans="16:26" x14ac:dyDescent="0.25">
      <c r="P673" s="10" t="str">
        <f>IF('[1]All Data '!AZ678="","",'[1]All Data '!AZ678)</f>
        <v/>
      </c>
      <c r="Q673" s="10" t="str">
        <f>IF('[1]All Data '!BB678="","",'[1]All Data '!BB678)</f>
        <v/>
      </c>
      <c r="R673" s="10" t="str">
        <f>IF('[1]All Data '!BD678="","",'[1]All Data '!BD678)</f>
        <v/>
      </c>
      <c r="S673" s="11" t="str">
        <f>IF(R673="","",'[1]All Data '!BE678)</f>
        <v/>
      </c>
      <c r="T673" s="12" t="str">
        <f>IF(S673="","",[1]Inputs_Outputs!$B$8*(1-'LOCH Calc COE Calc'!S673))</f>
        <v/>
      </c>
      <c r="U673" s="13" t="str">
        <f t="shared" si="51"/>
        <v/>
      </c>
      <c r="V673" s="13" t="str">
        <f t="shared" si="52"/>
        <v/>
      </c>
      <c r="W673" s="4" t="str">
        <f t="shared" si="53"/>
        <v/>
      </c>
      <c r="X673" t="str">
        <f>IF(W673="","",LOOKUP(_xlfn.CONCAT(P673,", ",Q673),'[1]T+S Costs'!$F$2:$F$3138,'[1]T+S Costs'!$N$2:$N$3138))</f>
        <v/>
      </c>
      <c r="Y673" s="14" t="str">
        <f t="shared" si="54"/>
        <v/>
      </c>
      <c r="Z673" s="4" t="str">
        <f t="shared" si="55"/>
        <v/>
      </c>
    </row>
    <row r="674" spans="16:26" x14ac:dyDescent="0.25">
      <c r="P674" s="10" t="str">
        <f>IF('[1]All Data '!AZ679="","",'[1]All Data '!AZ679)</f>
        <v/>
      </c>
      <c r="Q674" s="10" t="str">
        <f>IF('[1]All Data '!BB679="","",'[1]All Data '!BB679)</f>
        <v/>
      </c>
      <c r="R674" s="10" t="str">
        <f>IF('[1]All Data '!BD679="","",'[1]All Data '!BD679)</f>
        <v/>
      </c>
      <c r="S674" s="11" t="str">
        <f>IF(R674="","",'[1]All Data '!BE679)</f>
        <v/>
      </c>
      <c r="T674" s="12" t="str">
        <f>IF(S674="","",[1]Inputs_Outputs!$B$8*(1-'LOCH Calc COE Calc'!S674))</f>
        <v/>
      </c>
      <c r="U674" s="13" t="str">
        <f t="shared" si="51"/>
        <v/>
      </c>
      <c r="V674" s="13" t="str">
        <f t="shared" si="52"/>
        <v/>
      </c>
      <c r="W674" s="4" t="str">
        <f t="shared" si="53"/>
        <v/>
      </c>
      <c r="X674" t="str">
        <f>IF(W674="","",LOOKUP(_xlfn.CONCAT(P674,", ",Q674),'[1]T+S Costs'!$F$2:$F$3138,'[1]T+S Costs'!$N$2:$N$3138))</f>
        <v/>
      </c>
      <c r="Y674" s="14" t="str">
        <f t="shared" si="54"/>
        <v/>
      </c>
      <c r="Z674" s="4" t="str">
        <f t="shared" si="55"/>
        <v/>
      </c>
    </row>
    <row r="675" spans="16:26" x14ac:dyDescent="0.25">
      <c r="P675" s="10" t="str">
        <f>IF('[1]All Data '!AZ680="","",'[1]All Data '!AZ680)</f>
        <v/>
      </c>
      <c r="Q675" s="10" t="str">
        <f>IF('[1]All Data '!BB680="","",'[1]All Data '!BB680)</f>
        <v/>
      </c>
      <c r="R675" s="10" t="str">
        <f>IF('[1]All Data '!BD680="","",'[1]All Data '!BD680)</f>
        <v/>
      </c>
      <c r="S675" s="11" t="str">
        <f>IF(R675="","",'[1]All Data '!BE680)</f>
        <v/>
      </c>
      <c r="T675" s="12" t="str">
        <f>IF(S675="","",[1]Inputs_Outputs!$B$8*(1-'LOCH Calc COE Calc'!S675))</f>
        <v/>
      </c>
      <c r="U675" s="13" t="str">
        <f t="shared" si="51"/>
        <v/>
      </c>
      <c r="V675" s="13" t="str">
        <f t="shared" si="52"/>
        <v/>
      </c>
      <c r="W675" s="4" t="str">
        <f t="shared" si="53"/>
        <v/>
      </c>
      <c r="X675" t="str">
        <f>IF(W675="","",LOOKUP(_xlfn.CONCAT(P675,", ",Q675),'[1]T+S Costs'!$F$2:$F$3138,'[1]T+S Costs'!$N$2:$N$3138))</f>
        <v/>
      </c>
      <c r="Y675" s="14" t="str">
        <f t="shared" si="54"/>
        <v/>
      </c>
      <c r="Z675" s="4" t="str">
        <f t="shared" si="55"/>
        <v/>
      </c>
    </row>
    <row r="676" spans="16:26" x14ac:dyDescent="0.25">
      <c r="P676" s="10" t="str">
        <f>IF('[1]All Data '!AZ681="","",'[1]All Data '!AZ681)</f>
        <v/>
      </c>
      <c r="Q676" s="10" t="str">
        <f>IF('[1]All Data '!BB681="","",'[1]All Data '!BB681)</f>
        <v/>
      </c>
      <c r="R676" s="10" t="str">
        <f>IF('[1]All Data '!BD681="","",'[1]All Data '!BD681)</f>
        <v/>
      </c>
      <c r="S676" s="11" t="str">
        <f>IF(R676="","",'[1]All Data '!BE681)</f>
        <v/>
      </c>
      <c r="T676" s="12" t="str">
        <f>IF(S676="","",[1]Inputs_Outputs!$B$8*(1-'LOCH Calc COE Calc'!S676))</f>
        <v/>
      </c>
      <c r="U676" s="13" t="str">
        <f t="shared" si="51"/>
        <v/>
      </c>
      <c r="V676" s="13" t="str">
        <f t="shared" si="52"/>
        <v/>
      </c>
      <c r="W676" s="4" t="str">
        <f t="shared" si="53"/>
        <v/>
      </c>
      <c r="X676" t="str">
        <f>IF(W676="","",LOOKUP(_xlfn.CONCAT(P676,", ",Q676),'[1]T+S Costs'!$F$2:$F$3138,'[1]T+S Costs'!$N$2:$N$3138))</f>
        <v/>
      </c>
      <c r="Y676" s="14" t="str">
        <f t="shared" si="54"/>
        <v/>
      </c>
      <c r="Z676" s="4" t="str">
        <f t="shared" si="55"/>
        <v/>
      </c>
    </row>
    <row r="677" spans="16:26" x14ac:dyDescent="0.25">
      <c r="P677" s="10" t="str">
        <f>IF('[1]All Data '!AZ682="","",'[1]All Data '!AZ682)</f>
        <v/>
      </c>
      <c r="Q677" s="10" t="str">
        <f>IF('[1]All Data '!BB682="","",'[1]All Data '!BB682)</f>
        <v/>
      </c>
      <c r="R677" s="10" t="str">
        <f>IF('[1]All Data '!BD682="","",'[1]All Data '!BD682)</f>
        <v/>
      </c>
      <c r="S677" s="11" t="str">
        <f>IF(R677="","",'[1]All Data '!BE682)</f>
        <v/>
      </c>
      <c r="T677" s="12" t="str">
        <f>IF(S677="","",[1]Inputs_Outputs!$B$8*(1-'LOCH Calc COE Calc'!S677))</f>
        <v/>
      </c>
      <c r="U677" s="13" t="str">
        <f t="shared" si="51"/>
        <v/>
      </c>
      <c r="V677" s="13" t="str">
        <f t="shared" si="52"/>
        <v/>
      </c>
      <c r="W677" s="4" t="str">
        <f t="shared" si="53"/>
        <v/>
      </c>
      <c r="X677" t="str">
        <f>IF(W677="","",LOOKUP(_xlfn.CONCAT(P677,", ",Q677),'[1]T+S Costs'!$F$2:$F$3138,'[1]T+S Costs'!$N$2:$N$3138))</f>
        <v/>
      </c>
      <c r="Y677" s="14" t="str">
        <f t="shared" si="54"/>
        <v/>
      </c>
      <c r="Z677" s="4" t="str">
        <f t="shared" si="55"/>
        <v/>
      </c>
    </row>
    <row r="678" spans="16:26" x14ac:dyDescent="0.25">
      <c r="P678" s="10" t="str">
        <f>IF('[1]All Data '!AZ683="","",'[1]All Data '!AZ683)</f>
        <v/>
      </c>
      <c r="Q678" s="10" t="str">
        <f>IF('[1]All Data '!BB683="","",'[1]All Data '!BB683)</f>
        <v/>
      </c>
      <c r="R678" s="10" t="str">
        <f>IF('[1]All Data '!BD683="","",'[1]All Data '!BD683)</f>
        <v/>
      </c>
      <c r="S678" s="11" t="str">
        <f>IF(R678="","",'[1]All Data '!BE683)</f>
        <v/>
      </c>
      <c r="T678" s="12" t="str">
        <f>IF(S678="","",[1]Inputs_Outputs!$B$8*(1-'LOCH Calc COE Calc'!S678))</f>
        <v/>
      </c>
      <c r="U678" s="13" t="str">
        <f t="shared" si="51"/>
        <v/>
      </c>
      <c r="V678" s="13" t="str">
        <f t="shared" si="52"/>
        <v/>
      </c>
      <c r="W678" s="4" t="str">
        <f t="shared" si="53"/>
        <v/>
      </c>
      <c r="X678" t="str">
        <f>IF(W678="","",LOOKUP(_xlfn.CONCAT(P678,", ",Q678),'[1]T+S Costs'!$F$2:$F$3138,'[1]T+S Costs'!$N$2:$N$3138))</f>
        <v/>
      </c>
      <c r="Y678" s="14" t="str">
        <f t="shared" si="54"/>
        <v/>
      </c>
      <c r="Z678" s="4" t="str">
        <f t="shared" si="55"/>
        <v/>
      </c>
    </row>
    <row r="679" spans="16:26" x14ac:dyDescent="0.25">
      <c r="P679" s="10" t="str">
        <f>IF('[1]All Data '!AZ684="","",'[1]All Data '!AZ684)</f>
        <v/>
      </c>
      <c r="Q679" s="10" t="str">
        <f>IF('[1]All Data '!BB684="","",'[1]All Data '!BB684)</f>
        <v/>
      </c>
      <c r="R679" s="10" t="str">
        <f>IF('[1]All Data '!BD684="","",'[1]All Data '!BD684)</f>
        <v/>
      </c>
      <c r="S679" s="11" t="str">
        <f>IF(R679="","",'[1]All Data '!BE684)</f>
        <v/>
      </c>
      <c r="T679" s="12" t="str">
        <f>IF(S679="","",[1]Inputs_Outputs!$B$8*(1-'LOCH Calc COE Calc'!S679))</f>
        <v/>
      </c>
      <c r="U679" s="13" t="str">
        <f t="shared" si="51"/>
        <v/>
      </c>
      <c r="V679" s="13" t="str">
        <f t="shared" si="52"/>
        <v/>
      </c>
      <c r="W679" s="4" t="str">
        <f t="shared" si="53"/>
        <v/>
      </c>
      <c r="X679" t="str">
        <f>IF(W679="","",LOOKUP(_xlfn.CONCAT(P679,", ",Q679),'[1]T+S Costs'!$F$2:$F$3138,'[1]T+S Costs'!$N$2:$N$3138))</f>
        <v/>
      </c>
      <c r="Y679" s="14" t="str">
        <f t="shared" si="54"/>
        <v/>
      </c>
      <c r="Z679" s="4" t="str">
        <f t="shared" si="55"/>
        <v/>
      </c>
    </row>
    <row r="680" spans="16:26" x14ac:dyDescent="0.25">
      <c r="P680" s="10" t="str">
        <f>IF('[1]All Data '!AZ685="","",'[1]All Data '!AZ685)</f>
        <v/>
      </c>
      <c r="Q680" s="10" t="str">
        <f>IF('[1]All Data '!BB685="","",'[1]All Data '!BB685)</f>
        <v/>
      </c>
      <c r="R680" s="10" t="str">
        <f>IF('[1]All Data '!BD685="","",'[1]All Data '!BD685)</f>
        <v/>
      </c>
      <c r="S680" s="11" t="str">
        <f>IF(R680="","",'[1]All Data '!BE685)</f>
        <v/>
      </c>
      <c r="T680" s="12" t="str">
        <f>IF(S680="","",[1]Inputs_Outputs!$B$8*(1-'LOCH Calc COE Calc'!S680))</f>
        <v/>
      </c>
      <c r="U680" s="13" t="str">
        <f t="shared" si="51"/>
        <v/>
      </c>
      <c r="V680" s="13" t="str">
        <f t="shared" si="52"/>
        <v/>
      </c>
      <c r="W680" s="4" t="str">
        <f t="shared" si="53"/>
        <v/>
      </c>
      <c r="X680" t="str">
        <f>IF(W680="","",LOOKUP(_xlfn.CONCAT(P680,", ",Q680),'[1]T+S Costs'!$F$2:$F$3138,'[1]T+S Costs'!$N$2:$N$3138))</f>
        <v/>
      </c>
      <c r="Y680" s="14" t="str">
        <f t="shared" si="54"/>
        <v/>
      </c>
      <c r="Z680" s="4" t="str">
        <f t="shared" si="55"/>
        <v/>
      </c>
    </row>
    <row r="681" spans="16:26" x14ac:dyDescent="0.25">
      <c r="P681" s="10" t="str">
        <f>IF('[1]All Data '!AZ686="","",'[1]All Data '!AZ686)</f>
        <v/>
      </c>
      <c r="Q681" s="10" t="str">
        <f>IF('[1]All Data '!BB686="","",'[1]All Data '!BB686)</f>
        <v/>
      </c>
      <c r="R681" s="10" t="str">
        <f>IF('[1]All Data '!BD686="","",'[1]All Data '!BD686)</f>
        <v/>
      </c>
      <c r="S681" s="11" t="str">
        <f>IF(R681="","",'[1]All Data '!BE686)</f>
        <v/>
      </c>
      <c r="T681" s="12" t="str">
        <f>IF(S681="","",[1]Inputs_Outputs!$B$8*(1-'LOCH Calc COE Calc'!S681))</f>
        <v/>
      </c>
      <c r="U681" s="13" t="str">
        <f t="shared" si="51"/>
        <v/>
      </c>
      <c r="V681" s="13" t="str">
        <f t="shared" si="52"/>
        <v/>
      </c>
      <c r="W681" s="4" t="str">
        <f t="shared" si="53"/>
        <v/>
      </c>
      <c r="X681" t="str">
        <f>IF(W681="","",LOOKUP(_xlfn.CONCAT(P681,", ",Q681),'[1]T+S Costs'!$F$2:$F$3138,'[1]T+S Costs'!$N$2:$N$3138))</f>
        <v/>
      </c>
      <c r="Y681" s="14" t="str">
        <f t="shared" si="54"/>
        <v/>
      </c>
      <c r="Z681" s="4" t="str">
        <f t="shared" si="55"/>
        <v/>
      </c>
    </row>
    <row r="682" spans="16:26" x14ac:dyDescent="0.25">
      <c r="P682" s="10" t="str">
        <f>IF('[1]All Data '!AZ687="","",'[1]All Data '!AZ687)</f>
        <v/>
      </c>
      <c r="Q682" s="10" t="str">
        <f>IF('[1]All Data '!BB687="","",'[1]All Data '!BB687)</f>
        <v/>
      </c>
      <c r="R682" s="10" t="str">
        <f>IF('[1]All Data '!BD687="","",'[1]All Data '!BD687)</f>
        <v/>
      </c>
      <c r="S682" s="11" t="str">
        <f>IF(R682="","",'[1]All Data '!BE687)</f>
        <v/>
      </c>
      <c r="T682" s="12" t="str">
        <f>IF(S682="","",[1]Inputs_Outputs!$B$8*(1-'LOCH Calc COE Calc'!S682))</f>
        <v/>
      </c>
      <c r="U682" s="13" t="str">
        <f t="shared" si="51"/>
        <v/>
      </c>
      <c r="V682" s="13" t="str">
        <f t="shared" si="52"/>
        <v/>
      </c>
      <c r="W682" s="4" t="str">
        <f t="shared" si="53"/>
        <v/>
      </c>
      <c r="X682" t="str">
        <f>IF(W682="","",LOOKUP(_xlfn.CONCAT(P682,", ",Q682),'[1]T+S Costs'!$F$2:$F$3138,'[1]T+S Costs'!$N$2:$N$3138))</f>
        <v/>
      </c>
      <c r="Y682" s="14" t="str">
        <f t="shared" si="54"/>
        <v/>
      </c>
      <c r="Z682" s="4" t="str">
        <f t="shared" si="55"/>
        <v/>
      </c>
    </row>
    <row r="683" spans="16:26" x14ac:dyDescent="0.25">
      <c r="P683" s="10" t="str">
        <f>IF('[1]All Data '!AZ688="","",'[1]All Data '!AZ688)</f>
        <v/>
      </c>
      <c r="Q683" s="10" t="str">
        <f>IF('[1]All Data '!BB688="","",'[1]All Data '!BB688)</f>
        <v/>
      </c>
      <c r="R683" s="10" t="str">
        <f>IF('[1]All Data '!BD688="","",'[1]All Data '!BD688)</f>
        <v/>
      </c>
      <c r="S683" s="11" t="str">
        <f>IF(R683="","",'[1]All Data '!BE688)</f>
        <v/>
      </c>
      <c r="T683" s="12" t="str">
        <f>IF(S683="","",[1]Inputs_Outputs!$B$8*(1-'LOCH Calc COE Calc'!S683))</f>
        <v/>
      </c>
      <c r="U683" s="13" t="str">
        <f t="shared" si="51"/>
        <v/>
      </c>
      <c r="V683" s="13" t="str">
        <f t="shared" si="52"/>
        <v/>
      </c>
      <c r="W683" s="4" t="str">
        <f t="shared" si="53"/>
        <v/>
      </c>
      <c r="X683" t="str">
        <f>IF(W683="","",LOOKUP(_xlfn.CONCAT(P683,", ",Q683),'[1]T+S Costs'!$F$2:$F$3138,'[1]T+S Costs'!$N$2:$N$3138))</f>
        <v/>
      </c>
      <c r="Y683" s="14" t="str">
        <f t="shared" si="54"/>
        <v/>
      </c>
      <c r="Z683" s="4" t="str">
        <f t="shared" si="55"/>
        <v/>
      </c>
    </row>
    <row r="684" spans="16:26" x14ac:dyDescent="0.25">
      <c r="P684" s="10" t="str">
        <f>IF('[1]All Data '!AZ689="","",'[1]All Data '!AZ689)</f>
        <v/>
      </c>
      <c r="Q684" s="10" t="str">
        <f>IF('[1]All Data '!BB689="","",'[1]All Data '!BB689)</f>
        <v/>
      </c>
      <c r="R684" s="10" t="str">
        <f>IF('[1]All Data '!BD689="","",'[1]All Data '!BD689)</f>
        <v/>
      </c>
      <c r="S684" s="11" t="str">
        <f>IF(R684="","",'[1]All Data '!BE689)</f>
        <v/>
      </c>
      <c r="T684" s="12" t="str">
        <f>IF(S684="","",[1]Inputs_Outputs!$B$8*(1-'LOCH Calc COE Calc'!S684))</f>
        <v/>
      </c>
      <c r="U684" s="13" t="str">
        <f t="shared" si="51"/>
        <v/>
      </c>
      <c r="V684" s="13" t="str">
        <f t="shared" si="52"/>
        <v/>
      </c>
      <c r="W684" s="4" t="str">
        <f t="shared" si="53"/>
        <v/>
      </c>
      <c r="X684" t="str">
        <f>IF(W684="","",LOOKUP(_xlfn.CONCAT(P684,", ",Q684),'[1]T+S Costs'!$F$2:$F$3138,'[1]T+S Costs'!$N$2:$N$3138))</f>
        <v/>
      </c>
      <c r="Y684" s="14" t="str">
        <f t="shared" si="54"/>
        <v/>
      </c>
      <c r="Z684" s="4" t="str">
        <f t="shared" si="55"/>
        <v/>
      </c>
    </row>
    <row r="685" spans="16:26" x14ac:dyDescent="0.25">
      <c r="P685" s="10" t="str">
        <f>IF('[1]All Data '!AZ690="","",'[1]All Data '!AZ690)</f>
        <v/>
      </c>
      <c r="Q685" s="10" t="str">
        <f>IF('[1]All Data '!BB690="","",'[1]All Data '!BB690)</f>
        <v/>
      </c>
      <c r="R685" s="10" t="str">
        <f>IF('[1]All Data '!BD690="","",'[1]All Data '!BD690)</f>
        <v/>
      </c>
      <c r="S685" s="11" t="str">
        <f>IF(R685="","",'[1]All Data '!BE690)</f>
        <v/>
      </c>
      <c r="T685" s="12" t="str">
        <f>IF(S685="","",[1]Inputs_Outputs!$B$8*(1-'LOCH Calc COE Calc'!S685))</f>
        <v/>
      </c>
      <c r="U685" s="13" t="str">
        <f t="shared" si="51"/>
        <v/>
      </c>
      <c r="V685" s="13" t="str">
        <f t="shared" si="52"/>
        <v/>
      </c>
      <c r="W685" s="4" t="str">
        <f t="shared" si="53"/>
        <v/>
      </c>
      <c r="X685" t="str">
        <f>IF(W685="","",LOOKUP(_xlfn.CONCAT(P685,", ",Q685),'[1]T+S Costs'!$F$2:$F$3138,'[1]T+S Costs'!$N$2:$N$3138))</f>
        <v/>
      </c>
      <c r="Y685" s="14" t="str">
        <f t="shared" si="54"/>
        <v/>
      </c>
      <c r="Z685" s="4" t="str">
        <f t="shared" si="55"/>
        <v/>
      </c>
    </row>
    <row r="686" spans="16:26" x14ac:dyDescent="0.25">
      <c r="P686" s="10" t="str">
        <f>IF('[1]All Data '!AZ691="","",'[1]All Data '!AZ691)</f>
        <v/>
      </c>
      <c r="Q686" s="10" t="str">
        <f>IF('[1]All Data '!BB691="","",'[1]All Data '!BB691)</f>
        <v/>
      </c>
      <c r="R686" s="10" t="str">
        <f>IF('[1]All Data '!BD691="","",'[1]All Data '!BD691)</f>
        <v/>
      </c>
      <c r="S686" s="11" t="str">
        <f>IF(R686="","",'[1]All Data '!BE691)</f>
        <v/>
      </c>
      <c r="T686" s="12" t="str">
        <f>IF(S686="","",[1]Inputs_Outputs!$B$8*(1-'LOCH Calc COE Calc'!S686))</f>
        <v/>
      </c>
      <c r="U686" s="13" t="str">
        <f t="shared" si="51"/>
        <v/>
      </c>
      <c r="V686" s="13" t="str">
        <f t="shared" si="52"/>
        <v/>
      </c>
      <c r="W686" s="4" t="str">
        <f t="shared" si="53"/>
        <v/>
      </c>
      <c r="X686" t="str">
        <f>IF(W686="","",LOOKUP(_xlfn.CONCAT(P686,", ",Q686),'[1]T+S Costs'!$F$2:$F$3138,'[1]T+S Costs'!$N$2:$N$3138))</f>
        <v/>
      </c>
      <c r="Y686" s="14" t="str">
        <f t="shared" si="54"/>
        <v/>
      </c>
      <c r="Z686" s="4" t="str">
        <f t="shared" si="55"/>
        <v/>
      </c>
    </row>
    <row r="687" spans="16:26" x14ac:dyDescent="0.25">
      <c r="P687" s="10" t="str">
        <f>IF('[1]All Data '!AZ692="","",'[1]All Data '!AZ692)</f>
        <v/>
      </c>
      <c r="Q687" s="10" t="str">
        <f>IF('[1]All Data '!BB692="","",'[1]All Data '!BB692)</f>
        <v/>
      </c>
      <c r="R687" s="10" t="str">
        <f>IF('[1]All Data '!BD692="","",'[1]All Data '!BD692)</f>
        <v/>
      </c>
      <c r="S687" s="11" t="str">
        <f>IF(R687="","",'[1]All Data '!BE692)</f>
        <v/>
      </c>
      <c r="T687" s="12" t="str">
        <f>IF(S687="","",[1]Inputs_Outputs!$B$8*(1-'LOCH Calc COE Calc'!S687))</f>
        <v/>
      </c>
      <c r="U687" s="13" t="str">
        <f t="shared" si="51"/>
        <v/>
      </c>
      <c r="V687" s="13" t="str">
        <f t="shared" si="52"/>
        <v/>
      </c>
      <c r="W687" s="4" t="str">
        <f t="shared" si="53"/>
        <v/>
      </c>
      <c r="X687" t="str">
        <f>IF(W687="","",LOOKUP(_xlfn.CONCAT(P687,", ",Q687),'[1]T+S Costs'!$F$2:$F$3138,'[1]T+S Costs'!$N$2:$N$3138))</f>
        <v/>
      </c>
      <c r="Y687" s="14" t="str">
        <f t="shared" si="54"/>
        <v/>
      </c>
      <c r="Z687" s="4" t="str">
        <f t="shared" si="55"/>
        <v/>
      </c>
    </row>
    <row r="688" spans="16:26" x14ac:dyDescent="0.25">
      <c r="P688" s="10" t="str">
        <f>IF('[1]All Data '!AZ693="","",'[1]All Data '!AZ693)</f>
        <v/>
      </c>
      <c r="Q688" s="10" t="str">
        <f>IF('[1]All Data '!BB693="","",'[1]All Data '!BB693)</f>
        <v/>
      </c>
      <c r="R688" s="10" t="str">
        <f>IF('[1]All Data '!BD693="","",'[1]All Data '!BD693)</f>
        <v/>
      </c>
      <c r="S688" s="11" t="str">
        <f>IF(R688="","",'[1]All Data '!BE693)</f>
        <v/>
      </c>
      <c r="T688" s="12" t="str">
        <f>IF(S688="","",[1]Inputs_Outputs!$B$8*(1-'LOCH Calc COE Calc'!S688))</f>
        <v/>
      </c>
      <c r="U688" s="13" t="str">
        <f t="shared" si="51"/>
        <v/>
      </c>
      <c r="V688" s="13" t="str">
        <f t="shared" si="52"/>
        <v/>
      </c>
      <c r="W688" s="4" t="str">
        <f t="shared" si="53"/>
        <v/>
      </c>
      <c r="X688" t="str">
        <f>IF(W688="","",LOOKUP(_xlfn.CONCAT(P688,", ",Q688),'[1]T+S Costs'!$F$2:$F$3138,'[1]T+S Costs'!$N$2:$N$3138))</f>
        <v/>
      </c>
      <c r="Y688" s="14" t="str">
        <f t="shared" si="54"/>
        <v/>
      </c>
      <c r="Z688" s="4" t="str">
        <f t="shared" si="55"/>
        <v/>
      </c>
    </row>
    <row r="689" spans="16:26" x14ac:dyDescent="0.25">
      <c r="P689" s="10" t="str">
        <f>IF('[1]All Data '!AZ694="","",'[1]All Data '!AZ694)</f>
        <v/>
      </c>
      <c r="Q689" s="10" t="str">
        <f>IF('[1]All Data '!BB694="","",'[1]All Data '!BB694)</f>
        <v/>
      </c>
      <c r="R689" s="10" t="str">
        <f>IF('[1]All Data '!BD694="","",'[1]All Data '!BD694)</f>
        <v/>
      </c>
      <c r="S689" s="11" t="str">
        <f>IF(R689="","",'[1]All Data '!BE694)</f>
        <v/>
      </c>
      <c r="T689" s="12" t="str">
        <f>IF(S689="","",[1]Inputs_Outputs!$B$8*(1-'LOCH Calc COE Calc'!S689))</f>
        <v/>
      </c>
      <c r="U689" s="13" t="str">
        <f t="shared" si="51"/>
        <v/>
      </c>
      <c r="V689" s="13" t="str">
        <f t="shared" si="52"/>
        <v/>
      </c>
      <c r="W689" s="4" t="str">
        <f t="shared" si="53"/>
        <v/>
      </c>
      <c r="X689" t="str">
        <f>IF(W689="","",LOOKUP(_xlfn.CONCAT(P689,", ",Q689),'[1]T+S Costs'!$F$2:$F$3138,'[1]T+S Costs'!$N$2:$N$3138))</f>
        <v/>
      </c>
      <c r="Y689" s="14" t="str">
        <f t="shared" si="54"/>
        <v/>
      </c>
      <c r="Z689" s="4" t="str">
        <f t="shared" si="55"/>
        <v/>
      </c>
    </row>
    <row r="690" spans="16:26" x14ac:dyDescent="0.25">
      <c r="P690" s="10" t="str">
        <f>IF('[1]All Data '!AZ695="","",'[1]All Data '!AZ695)</f>
        <v/>
      </c>
      <c r="Q690" s="10" t="str">
        <f>IF('[1]All Data '!BB695="","",'[1]All Data '!BB695)</f>
        <v/>
      </c>
      <c r="R690" s="10" t="str">
        <f>IF('[1]All Data '!BD695="","",'[1]All Data '!BD695)</f>
        <v/>
      </c>
      <c r="S690" s="11" t="str">
        <f>IF(R690="","",'[1]All Data '!BE695)</f>
        <v/>
      </c>
      <c r="T690" s="12" t="str">
        <f>IF(S690="","",[1]Inputs_Outputs!$B$8*(1-'LOCH Calc COE Calc'!S690))</f>
        <v/>
      </c>
      <c r="U690" s="13" t="str">
        <f t="shared" si="51"/>
        <v/>
      </c>
      <c r="V690" s="13" t="str">
        <f t="shared" si="52"/>
        <v/>
      </c>
      <c r="W690" s="4" t="str">
        <f t="shared" si="53"/>
        <v/>
      </c>
      <c r="X690" t="str">
        <f>IF(W690="","",LOOKUP(_xlfn.CONCAT(P690,", ",Q690),'[1]T+S Costs'!$F$2:$F$3138,'[1]T+S Costs'!$N$2:$N$3138))</f>
        <v/>
      </c>
      <c r="Y690" s="14" t="str">
        <f t="shared" si="54"/>
        <v/>
      </c>
      <c r="Z690" s="4" t="str">
        <f t="shared" si="55"/>
        <v/>
      </c>
    </row>
    <row r="691" spans="16:26" x14ac:dyDescent="0.25">
      <c r="P691" s="10" t="str">
        <f>IF('[1]All Data '!AZ696="","",'[1]All Data '!AZ696)</f>
        <v/>
      </c>
      <c r="Q691" s="10" t="str">
        <f>IF('[1]All Data '!BB696="","",'[1]All Data '!BB696)</f>
        <v/>
      </c>
      <c r="R691" s="10" t="str">
        <f>IF('[1]All Data '!BD696="","",'[1]All Data '!BD696)</f>
        <v/>
      </c>
      <c r="S691" s="11" t="str">
        <f>IF(R691="","",'[1]All Data '!BE696)</f>
        <v/>
      </c>
      <c r="T691" s="12" t="str">
        <f>IF(S691="","",[1]Inputs_Outputs!$B$8*(1-'LOCH Calc COE Calc'!S691))</f>
        <v/>
      </c>
      <c r="U691" s="13" t="str">
        <f t="shared" si="51"/>
        <v/>
      </c>
      <c r="V691" s="13" t="str">
        <f t="shared" si="52"/>
        <v/>
      </c>
      <c r="W691" s="4" t="str">
        <f t="shared" si="53"/>
        <v/>
      </c>
      <c r="X691" t="str">
        <f>IF(W691="","",LOOKUP(_xlfn.CONCAT(P691,", ",Q691),'[1]T+S Costs'!$F$2:$F$3138,'[1]T+S Costs'!$N$2:$N$3138))</f>
        <v/>
      </c>
      <c r="Y691" s="14" t="str">
        <f t="shared" si="54"/>
        <v/>
      </c>
      <c r="Z691" s="4" t="str">
        <f t="shared" si="55"/>
        <v/>
      </c>
    </row>
    <row r="692" spans="16:26" x14ac:dyDescent="0.25">
      <c r="P692" s="10" t="str">
        <f>IF('[1]All Data '!AZ697="","",'[1]All Data '!AZ697)</f>
        <v/>
      </c>
      <c r="Q692" s="10" t="str">
        <f>IF('[1]All Data '!BB697="","",'[1]All Data '!BB697)</f>
        <v/>
      </c>
      <c r="R692" s="10" t="str">
        <f>IF('[1]All Data '!BD697="","",'[1]All Data '!BD697)</f>
        <v/>
      </c>
      <c r="S692" s="11" t="str">
        <f>IF(R692="","",'[1]All Data '!BE697)</f>
        <v/>
      </c>
      <c r="T692" s="12" t="str">
        <f>IF(S692="","",[1]Inputs_Outputs!$B$8*(1-'LOCH Calc COE Calc'!S692))</f>
        <v/>
      </c>
      <c r="U692" s="13" t="str">
        <f t="shared" si="51"/>
        <v/>
      </c>
      <c r="V692" s="13" t="str">
        <f t="shared" si="52"/>
        <v/>
      </c>
      <c r="W692" s="4" t="str">
        <f t="shared" si="53"/>
        <v/>
      </c>
      <c r="X692" t="str">
        <f>IF(W692="","",LOOKUP(_xlfn.CONCAT(P692,", ",Q692),'[1]T+S Costs'!$F$2:$F$3138,'[1]T+S Costs'!$N$2:$N$3138))</f>
        <v/>
      </c>
      <c r="Y692" s="14" t="str">
        <f t="shared" si="54"/>
        <v/>
      </c>
      <c r="Z692" s="4" t="str">
        <f t="shared" si="55"/>
        <v/>
      </c>
    </row>
    <row r="693" spans="16:26" x14ac:dyDescent="0.25">
      <c r="P693" s="10" t="str">
        <f>IF('[1]All Data '!AZ698="","",'[1]All Data '!AZ698)</f>
        <v/>
      </c>
      <c r="Q693" s="10" t="str">
        <f>IF('[1]All Data '!BB698="","",'[1]All Data '!BB698)</f>
        <v/>
      </c>
      <c r="R693" s="10" t="str">
        <f>IF('[1]All Data '!BD698="","",'[1]All Data '!BD698)</f>
        <v/>
      </c>
      <c r="S693" s="11" t="str">
        <f>IF(R693="","",'[1]All Data '!BE698)</f>
        <v/>
      </c>
      <c r="T693" s="12" t="str">
        <f>IF(S693="","",[1]Inputs_Outputs!$B$8*(1-'LOCH Calc COE Calc'!S693))</f>
        <v/>
      </c>
      <c r="U693" s="13" t="str">
        <f t="shared" si="51"/>
        <v/>
      </c>
      <c r="V693" s="13" t="str">
        <f t="shared" si="52"/>
        <v/>
      </c>
      <c r="W693" s="4" t="str">
        <f t="shared" si="53"/>
        <v/>
      </c>
      <c r="X693" t="str">
        <f>IF(W693="","",LOOKUP(_xlfn.CONCAT(P693,", ",Q693),'[1]T+S Costs'!$F$2:$F$3138,'[1]T+S Costs'!$N$2:$N$3138))</f>
        <v/>
      </c>
      <c r="Y693" s="14" t="str">
        <f t="shared" si="54"/>
        <v/>
      </c>
      <c r="Z693" s="4" t="str">
        <f t="shared" si="55"/>
        <v/>
      </c>
    </row>
    <row r="694" spans="16:26" x14ac:dyDescent="0.25">
      <c r="P694" s="10" t="str">
        <f>IF('[1]All Data '!AZ699="","",'[1]All Data '!AZ699)</f>
        <v/>
      </c>
      <c r="Q694" s="10" t="str">
        <f>IF('[1]All Data '!BB699="","",'[1]All Data '!BB699)</f>
        <v/>
      </c>
      <c r="R694" s="10" t="str">
        <f>IF('[1]All Data '!BD699="","",'[1]All Data '!BD699)</f>
        <v/>
      </c>
      <c r="S694" s="11" t="str">
        <f>IF(R694="","",'[1]All Data '!BE699)</f>
        <v/>
      </c>
      <c r="T694" s="12" t="str">
        <f>IF(S694="","",[1]Inputs_Outputs!$B$8*(1-'LOCH Calc COE Calc'!S694))</f>
        <v/>
      </c>
      <c r="U694" s="13" t="str">
        <f t="shared" si="51"/>
        <v/>
      </c>
      <c r="V694" s="13" t="str">
        <f t="shared" si="52"/>
        <v/>
      </c>
      <c r="W694" s="4" t="str">
        <f t="shared" si="53"/>
        <v/>
      </c>
      <c r="X694" t="str">
        <f>IF(W694="","",LOOKUP(_xlfn.CONCAT(P694,", ",Q694),'[1]T+S Costs'!$F$2:$F$3138,'[1]T+S Costs'!$N$2:$N$3138))</f>
        <v/>
      </c>
      <c r="Y694" s="14" t="str">
        <f t="shared" si="54"/>
        <v/>
      </c>
      <c r="Z694" s="4" t="str">
        <f t="shared" si="55"/>
        <v/>
      </c>
    </row>
    <row r="695" spans="16:26" x14ac:dyDescent="0.25">
      <c r="P695" s="10" t="str">
        <f>IF('[1]All Data '!AZ700="","",'[1]All Data '!AZ700)</f>
        <v/>
      </c>
      <c r="Q695" s="10" t="str">
        <f>IF('[1]All Data '!BB700="","",'[1]All Data '!BB700)</f>
        <v/>
      </c>
      <c r="R695" s="10" t="str">
        <f>IF('[1]All Data '!BD700="","",'[1]All Data '!BD700)</f>
        <v/>
      </c>
      <c r="S695" s="11" t="str">
        <f>IF(R695="","",'[1]All Data '!BE700)</f>
        <v/>
      </c>
      <c r="T695" s="12" t="str">
        <f>IF(S695="","",[1]Inputs_Outputs!$B$8*(1-'LOCH Calc COE Calc'!S695))</f>
        <v/>
      </c>
      <c r="U695" s="13" t="str">
        <f t="shared" si="51"/>
        <v/>
      </c>
      <c r="V695" s="13" t="str">
        <f t="shared" si="52"/>
        <v/>
      </c>
      <c r="W695" s="4" t="str">
        <f t="shared" si="53"/>
        <v/>
      </c>
      <c r="X695" t="str">
        <f>IF(W695="","",LOOKUP(_xlfn.CONCAT(P695,", ",Q695),'[1]T+S Costs'!$F$2:$F$3138,'[1]T+S Costs'!$N$2:$N$3138))</f>
        <v/>
      </c>
      <c r="Y695" s="14" t="str">
        <f t="shared" si="54"/>
        <v/>
      </c>
      <c r="Z695" s="4" t="str">
        <f t="shared" si="55"/>
        <v/>
      </c>
    </row>
    <row r="696" spans="16:26" x14ac:dyDescent="0.25">
      <c r="P696" s="10" t="str">
        <f>IF('[1]All Data '!AZ701="","",'[1]All Data '!AZ701)</f>
        <v/>
      </c>
      <c r="Q696" s="10" t="str">
        <f>IF('[1]All Data '!BB701="","",'[1]All Data '!BB701)</f>
        <v/>
      </c>
      <c r="R696" s="10" t="str">
        <f>IF('[1]All Data '!BD701="","",'[1]All Data '!BD701)</f>
        <v/>
      </c>
      <c r="S696" s="11" t="str">
        <f>IF(R696="","",'[1]All Data '!BE701)</f>
        <v/>
      </c>
      <c r="T696" s="12" t="str">
        <f>IF(S696="","",[1]Inputs_Outputs!$B$8*(1-'LOCH Calc COE Calc'!S696))</f>
        <v/>
      </c>
      <c r="U696" s="13" t="str">
        <f t="shared" si="51"/>
        <v/>
      </c>
      <c r="V696" s="13" t="str">
        <f t="shared" si="52"/>
        <v/>
      </c>
      <c r="W696" s="4" t="str">
        <f t="shared" si="53"/>
        <v/>
      </c>
      <c r="X696" t="str">
        <f>IF(W696="","",LOOKUP(_xlfn.CONCAT(P696,", ",Q696),'[1]T+S Costs'!$F$2:$F$3138,'[1]T+S Costs'!$N$2:$N$3138))</f>
        <v/>
      </c>
      <c r="Y696" s="14" t="str">
        <f t="shared" si="54"/>
        <v/>
      </c>
      <c r="Z696" s="4" t="str">
        <f t="shared" si="55"/>
        <v/>
      </c>
    </row>
    <row r="697" spans="16:26" x14ac:dyDescent="0.25">
      <c r="P697" s="10" t="str">
        <f>IF('[1]All Data '!AZ702="","",'[1]All Data '!AZ702)</f>
        <v/>
      </c>
      <c r="Q697" s="10" t="str">
        <f>IF('[1]All Data '!BB702="","",'[1]All Data '!BB702)</f>
        <v/>
      </c>
      <c r="R697" s="10" t="str">
        <f>IF('[1]All Data '!BD702="","",'[1]All Data '!BD702)</f>
        <v/>
      </c>
      <c r="S697" s="11" t="str">
        <f>IF(R697="","",'[1]All Data '!BE702)</f>
        <v/>
      </c>
      <c r="T697" s="12" t="str">
        <f>IF(S697="","",[1]Inputs_Outputs!$B$8*(1-'LOCH Calc COE Calc'!S697))</f>
        <v/>
      </c>
      <c r="U697" s="13" t="str">
        <f t="shared" si="51"/>
        <v/>
      </c>
      <c r="V697" s="13" t="str">
        <f t="shared" si="52"/>
        <v/>
      </c>
      <c r="W697" s="4" t="str">
        <f t="shared" si="53"/>
        <v/>
      </c>
      <c r="X697" t="str">
        <f>IF(W697="","",LOOKUP(_xlfn.CONCAT(P697,", ",Q697),'[1]T+S Costs'!$F$2:$F$3138,'[1]T+S Costs'!$N$2:$N$3138))</f>
        <v/>
      </c>
      <c r="Y697" s="14" t="str">
        <f t="shared" si="54"/>
        <v/>
      </c>
      <c r="Z697" s="4" t="str">
        <f t="shared" si="55"/>
        <v/>
      </c>
    </row>
    <row r="698" spans="16:26" x14ac:dyDescent="0.25">
      <c r="P698" s="10" t="str">
        <f>IF('[1]All Data '!AZ703="","",'[1]All Data '!AZ703)</f>
        <v/>
      </c>
      <c r="Q698" s="10" t="str">
        <f>IF('[1]All Data '!BB703="","",'[1]All Data '!BB703)</f>
        <v/>
      </c>
      <c r="R698" s="10" t="str">
        <f>IF('[1]All Data '!BD703="","",'[1]All Data '!BD703)</f>
        <v/>
      </c>
      <c r="S698" s="11" t="str">
        <f>IF(R698="","",'[1]All Data '!BE703)</f>
        <v/>
      </c>
      <c r="T698" s="12" t="str">
        <f>IF(S698="","",[1]Inputs_Outputs!$B$8*(1-'LOCH Calc COE Calc'!S698))</f>
        <v/>
      </c>
      <c r="U698" s="13" t="str">
        <f t="shared" si="51"/>
        <v/>
      </c>
      <c r="V698" s="13" t="str">
        <f t="shared" si="52"/>
        <v/>
      </c>
      <c r="W698" s="4" t="str">
        <f t="shared" si="53"/>
        <v/>
      </c>
      <c r="X698" t="str">
        <f>IF(W698="","",LOOKUP(_xlfn.CONCAT(P698,", ",Q698),'[1]T+S Costs'!$F$2:$F$3138,'[1]T+S Costs'!$N$2:$N$3138))</f>
        <v/>
      </c>
      <c r="Y698" s="14" t="str">
        <f t="shared" si="54"/>
        <v/>
      </c>
      <c r="Z698" s="4" t="str">
        <f t="shared" si="55"/>
        <v/>
      </c>
    </row>
    <row r="699" spans="16:26" x14ac:dyDescent="0.25">
      <c r="P699" s="10" t="str">
        <f>IF('[1]All Data '!AZ704="","",'[1]All Data '!AZ704)</f>
        <v/>
      </c>
      <c r="Q699" s="10" t="str">
        <f>IF('[1]All Data '!BB704="","",'[1]All Data '!BB704)</f>
        <v/>
      </c>
      <c r="R699" s="10" t="str">
        <f>IF('[1]All Data '!BD704="","",'[1]All Data '!BD704)</f>
        <v/>
      </c>
      <c r="S699" s="11" t="str">
        <f>IF(R699="","",'[1]All Data '!BE704)</f>
        <v/>
      </c>
      <c r="T699" s="12" t="str">
        <f>IF(S699="","",[1]Inputs_Outputs!$B$8*(1-'LOCH Calc COE Calc'!S699))</f>
        <v/>
      </c>
      <c r="U699" s="13" t="str">
        <f t="shared" si="51"/>
        <v/>
      </c>
      <c r="V699" s="13" t="str">
        <f t="shared" si="52"/>
        <v/>
      </c>
      <c r="W699" s="4" t="str">
        <f t="shared" si="53"/>
        <v/>
      </c>
      <c r="X699" t="str">
        <f>IF(W699="","",LOOKUP(_xlfn.CONCAT(P699,", ",Q699),'[1]T+S Costs'!$F$2:$F$3138,'[1]T+S Costs'!$N$2:$N$3138))</f>
        <v/>
      </c>
      <c r="Y699" s="14" t="str">
        <f t="shared" si="54"/>
        <v/>
      </c>
      <c r="Z699" s="4" t="str">
        <f t="shared" si="55"/>
        <v/>
      </c>
    </row>
    <row r="700" spans="16:26" x14ac:dyDescent="0.25">
      <c r="P700" s="10" t="str">
        <f>IF('[1]All Data '!AZ705="","",'[1]All Data '!AZ705)</f>
        <v/>
      </c>
      <c r="Q700" s="10" t="str">
        <f>IF('[1]All Data '!BB705="","",'[1]All Data '!BB705)</f>
        <v/>
      </c>
      <c r="R700" s="10" t="str">
        <f>IF('[1]All Data '!BD705="","",'[1]All Data '!BD705)</f>
        <v/>
      </c>
      <c r="S700" s="11" t="str">
        <f>IF(R700="","",'[1]All Data '!BE705)</f>
        <v/>
      </c>
      <c r="T700" s="12" t="str">
        <f>IF(S700="","",[1]Inputs_Outputs!$B$8*(1-'LOCH Calc COE Calc'!S700))</f>
        <v/>
      </c>
      <c r="U700" s="13" t="str">
        <f t="shared" si="51"/>
        <v/>
      </c>
      <c r="V700" s="13" t="str">
        <f t="shared" si="52"/>
        <v/>
      </c>
      <c r="W700" s="4" t="str">
        <f t="shared" si="53"/>
        <v/>
      </c>
      <c r="X700" t="str">
        <f>IF(W700="","",LOOKUP(_xlfn.CONCAT(P700,", ",Q700),'[1]T+S Costs'!$F$2:$F$3138,'[1]T+S Costs'!$N$2:$N$3138))</f>
        <v/>
      </c>
      <c r="Y700" s="14" t="str">
        <f t="shared" si="54"/>
        <v/>
      </c>
      <c r="Z700" s="4" t="str">
        <f t="shared" si="55"/>
        <v/>
      </c>
    </row>
    <row r="701" spans="16:26" x14ac:dyDescent="0.25">
      <c r="P701" s="10" t="str">
        <f>IF('[1]All Data '!AZ706="","",'[1]All Data '!AZ706)</f>
        <v/>
      </c>
      <c r="Q701" s="10" t="str">
        <f>IF('[1]All Data '!BB706="","",'[1]All Data '!BB706)</f>
        <v/>
      </c>
      <c r="R701" s="10" t="str">
        <f>IF('[1]All Data '!BD706="","",'[1]All Data '!BD706)</f>
        <v/>
      </c>
      <c r="S701" s="11" t="str">
        <f>IF(R701="","",'[1]All Data '!BE706)</f>
        <v/>
      </c>
      <c r="T701" s="12" t="str">
        <f>IF(S701="","",[1]Inputs_Outputs!$B$8*(1-'LOCH Calc COE Calc'!S701))</f>
        <v/>
      </c>
      <c r="U701" s="13" t="str">
        <f t="shared" si="51"/>
        <v/>
      </c>
      <c r="V701" s="13" t="str">
        <f t="shared" si="52"/>
        <v/>
      </c>
      <c r="W701" s="4" t="str">
        <f t="shared" si="53"/>
        <v/>
      </c>
      <c r="X701" t="str">
        <f>IF(W701="","",LOOKUP(_xlfn.CONCAT(P701,", ",Q701),'[1]T+S Costs'!$F$2:$F$3138,'[1]T+S Costs'!$N$2:$N$3138))</f>
        <v/>
      </c>
      <c r="Y701" s="14" t="str">
        <f t="shared" si="54"/>
        <v/>
      </c>
      <c r="Z701" s="4" t="str">
        <f t="shared" si="55"/>
        <v/>
      </c>
    </row>
    <row r="702" spans="16:26" x14ac:dyDescent="0.25">
      <c r="P702" s="10" t="str">
        <f>IF('[1]All Data '!AZ707="","",'[1]All Data '!AZ707)</f>
        <v/>
      </c>
      <c r="Q702" s="10" t="str">
        <f>IF('[1]All Data '!BB707="","",'[1]All Data '!BB707)</f>
        <v/>
      </c>
      <c r="R702" s="10" t="str">
        <f>IF('[1]All Data '!BD707="","",'[1]All Data '!BD707)</f>
        <v/>
      </c>
      <c r="S702" s="11" t="str">
        <f>IF(R702="","",'[1]All Data '!BE707)</f>
        <v/>
      </c>
      <c r="T702" s="12" t="str">
        <f>IF(S702="","",[1]Inputs_Outputs!$B$8*(1-'LOCH Calc COE Calc'!S702))</f>
        <v/>
      </c>
      <c r="U702" s="13" t="str">
        <f t="shared" si="51"/>
        <v/>
      </c>
      <c r="V702" s="13" t="str">
        <f t="shared" si="52"/>
        <v/>
      </c>
      <c r="W702" s="4" t="str">
        <f t="shared" si="53"/>
        <v/>
      </c>
      <c r="X702" t="str">
        <f>IF(W702="","",LOOKUP(_xlfn.CONCAT(P702,", ",Q702),'[1]T+S Costs'!$F$2:$F$3138,'[1]T+S Costs'!$N$2:$N$3138))</f>
        <v/>
      </c>
      <c r="Y702" s="14" t="str">
        <f t="shared" si="54"/>
        <v/>
      </c>
      <c r="Z702" s="4" t="str">
        <f t="shared" si="55"/>
        <v/>
      </c>
    </row>
    <row r="703" spans="16:26" x14ac:dyDescent="0.25">
      <c r="P703" s="10" t="str">
        <f>IF('[1]All Data '!AZ708="","",'[1]All Data '!AZ708)</f>
        <v/>
      </c>
      <c r="Q703" s="10" t="str">
        <f>IF('[1]All Data '!BB708="","",'[1]All Data '!BB708)</f>
        <v/>
      </c>
      <c r="R703" s="10" t="str">
        <f>IF('[1]All Data '!BD708="","",'[1]All Data '!BD708)</f>
        <v/>
      </c>
      <c r="S703" s="11" t="str">
        <f>IF(R703="","",'[1]All Data '!BE708)</f>
        <v/>
      </c>
      <c r="T703" s="12" t="str">
        <f>IF(S703="","",[1]Inputs_Outputs!$B$8*(1-'LOCH Calc COE Calc'!S703))</f>
        <v/>
      </c>
      <c r="U703" s="13" t="str">
        <f t="shared" si="51"/>
        <v/>
      </c>
      <c r="V703" s="13" t="str">
        <f t="shared" si="52"/>
        <v/>
      </c>
      <c r="W703" s="4" t="str">
        <f t="shared" si="53"/>
        <v/>
      </c>
      <c r="X703" t="str">
        <f>IF(W703="","",LOOKUP(_xlfn.CONCAT(P703,", ",Q703),'[1]T+S Costs'!$F$2:$F$3138,'[1]T+S Costs'!$N$2:$N$3138))</f>
        <v/>
      </c>
      <c r="Y703" s="14" t="str">
        <f t="shared" si="54"/>
        <v/>
      </c>
      <c r="Z703" s="4" t="str">
        <f t="shared" si="55"/>
        <v/>
      </c>
    </row>
    <row r="704" spans="16:26" x14ac:dyDescent="0.25">
      <c r="P704" s="10" t="str">
        <f>IF('[1]All Data '!AZ709="","",'[1]All Data '!AZ709)</f>
        <v/>
      </c>
      <c r="Q704" s="10" t="str">
        <f>IF('[1]All Data '!BB709="","",'[1]All Data '!BB709)</f>
        <v/>
      </c>
      <c r="R704" s="10" t="str">
        <f>IF('[1]All Data '!BD709="","",'[1]All Data '!BD709)</f>
        <v/>
      </c>
      <c r="S704" s="11" t="str">
        <f>IF(R704="","",'[1]All Data '!BE709)</f>
        <v/>
      </c>
      <c r="T704" s="12" t="str">
        <f>IF(S704="","",[1]Inputs_Outputs!$B$8*(1-'LOCH Calc COE Calc'!S704))</f>
        <v/>
      </c>
      <c r="U704" s="13" t="str">
        <f t="shared" si="51"/>
        <v/>
      </c>
      <c r="V704" s="13" t="str">
        <f t="shared" si="52"/>
        <v/>
      </c>
      <c r="W704" s="4" t="str">
        <f t="shared" si="53"/>
        <v/>
      </c>
      <c r="X704" t="str">
        <f>IF(W704="","",LOOKUP(_xlfn.CONCAT(P704,", ",Q704),'[1]T+S Costs'!$F$2:$F$3138,'[1]T+S Costs'!$N$2:$N$3138))</f>
        <v/>
      </c>
      <c r="Y704" s="14" t="str">
        <f t="shared" si="54"/>
        <v/>
      </c>
      <c r="Z704" s="4" t="str">
        <f t="shared" si="55"/>
        <v/>
      </c>
    </row>
    <row r="705" spans="16:26" x14ac:dyDescent="0.25">
      <c r="P705" s="10" t="str">
        <f>IF('[1]All Data '!AZ710="","",'[1]All Data '!AZ710)</f>
        <v/>
      </c>
      <c r="Q705" s="10" t="str">
        <f>IF('[1]All Data '!BB710="","",'[1]All Data '!BB710)</f>
        <v/>
      </c>
      <c r="R705" s="10" t="str">
        <f>IF('[1]All Data '!BD710="","",'[1]All Data '!BD710)</f>
        <v/>
      </c>
      <c r="S705" s="11" t="str">
        <f>IF(R705="","",'[1]All Data '!BE710)</f>
        <v/>
      </c>
      <c r="T705" s="12" t="str">
        <f>IF(S705="","",[1]Inputs_Outputs!$B$8*(1-'LOCH Calc COE Calc'!S705))</f>
        <v/>
      </c>
      <c r="U705" s="13" t="str">
        <f t="shared" si="51"/>
        <v/>
      </c>
      <c r="V705" s="13" t="str">
        <f t="shared" si="52"/>
        <v/>
      </c>
      <c r="W705" s="4" t="str">
        <f t="shared" si="53"/>
        <v/>
      </c>
      <c r="X705" t="str">
        <f>IF(W705="","",LOOKUP(_xlfn.CONCAT(P705,", ",Q705),'[1]T+S Costs'!$F$2:$F$3138,'[1]T+S Costs'!$N$2:$N$3138))</f>
        <v/>
      </c>
      <c r="Y705" s="14" t="str">
        <f t="shared" si="54"/>
        <v/>
      </c>
      <c r="Z705" s="4" t="str">
        <f t="shared" si="55"/>
        <v/>
      </c>
    </row>
    <row r="706" spans="16:26" x14ac:dyDescent="0.25">
      <c r="P706" s="10" t="str">
        <f>IF('[1]All Data '!AZ711="","",'[1]All Data '!AZ711)</f>
        <v/>
      </c>
      <c r="Q706" s="10" t="str">
        <f>IF('[1]All Data '!BB711="","",'[1]All Data '!BB711)</f>
        <v/>
      </c>
      <c r="R706" s="10" t="str">
        <f>IF('[1]All Data '!BD711="","",'[1]All Data '!BD711)</f>
        <v/>
      </c>
      <c r="S706" s="11" t="str">
        <f>IF(R706="","",'[1]All Data '!BE711)</f>
        <v/>
      </c>
      <c r="T706" s="12" t="str">
        <f>IF(S706="","",[1]Inputs_Outputs!$B$8*(1-'LOCH Calc COE Calc'!S706))</f>
        <v/>
      </c>
      <c r="U706" s="13" t="str">
        <f t="shared" si="51"/>
        <v/>
      </c>
      <c r="V706" s="13" t="str">
        <f t="shared" si="52"/>
        <v/>
      </c>
      <c r="W706" s="4" t="str">
        <f t="shared" si="53"/>
        <v/>
      </c>
      <c r="X706" t="str">
        <f>IF(W706="","",LOOKUP(_xlfn.CONCAT(P706,", ",Q706),'[1]T+S Costs'!$F$2:$F$3138,'[1]T+S Costs'!$N$2:$N$3138))</f>
        <v/>
      </c>
      <c r="Y706" s="14" t="str">
        <f t="shared" si="54"/>
        <v/>
      </c>
      <c r="Z706" s="4" t="str">
        <f t="shared" si="55"/>
        <v/>
      </c>
    </row>
    <row r="707" spans="16:26" x14ac:dyDescent="0.25">
      <c r="P707" s="10" t="str">
        <f>IF('[1]All Data '!AZ712="","",'[1]All Data '!AZ712)</f>
        <v/>
      </c>
      <c r="Q707" s="10" t="str">
        <f>IF('[1]All Data '!BB712="","",'[1]All Data '!BB712)</f>
        <v/>
      </c>
      <c r="R707" s="10" t="str">
        <f>IF('[1]All Data '!BD712="","",'[1]All Data '!BD712)</f>
        <v/>
      </c>
      <c r="S707" s="11" t="str">
        <f>IF(R707="","",'[1]All Data '!BE712)</f>
        <v/>
      </c>
      <c r="T707" s="12" t="str">
        <f>IF(S707="","",[1]Inputs_Outputs!$B$8*(1-'LOCH Calc COE Calc'!S707))</f>
        <v/>
      </c>
      <c r="U707" s="13" t="str">
        <f t="shared" ref="U707:U770" si="56">IF(S707="","",R707*T707*365*$B$19/100)</f>
        <v/>
      </c>
      <c r="V707" s="13" t="str">
        <f t="shared" ref="V707:V770" si="57">IF(S707="","",(U707*$B$19)/(($B$28)*$B$19))</f>
        <v/>
      </c>
      <c r="W707" s="4" t="str">
        <f t="shared" ref="W707:W770" si="58">IF(S707="","",V707+$C$49+$C$50+$C$51)</f>
        <v/>
      </c>
      <c r="X707" t="str">
        <f>IF(W707="","",LOOKUP(_xlfn.CONCAT(P707,", ",Q707),'[1]T+S Costs'!$F$2:$F$3138,'[1]T+S Costs'!$N$2:$N$3138))</f>
        <v/>
      </c>
      <c r="Y707" s="14" t="str">
        <f t="shared" ref="Y707:Y770" si="59">IF(X707="","",((X707*$B$60/$B$59)*$C$44)/$C$28)</f>
        <v/>
      </c>
      <c r="Z707" s="4" t="str">
        <f t="shared" ref="Z707:Z770" si="60">IF(Y707="","",W707+Y707)</f>
        <v/>
      </c>
    </row>
    <row r="708" spans="16:26" x14ac:dyDescent="0.25">
      <c r="P708" s="10" t="str">
        <f>IF('[1]All Data '!AZ713="","",'[1]All Data '!AZ713)</f>
        <v/>
      </c>
      <c r="Q708" s="10" t="str">
        <f>IF('[1]All Data '!BB713="","",'[1]All Data '!BB713)</f>
        <v/>
      </c>
      <c r="R708" s="10" t="str">
        <f>IF('[1]All Data '!BD713="","",'[1]All Data '!BD713)</f>
        <v/>
      </c>
      <c r="S708" s="11" t="str">
        <f>IF(R708="","",'[1]All Data '!BE713)</f>
        <v/>
      </c>
      <c r="T708" s="12" t="str">
        <f>IF(S708="","",[1]Inputs_Outputs!$B$8*(1-'LOCH Calc COE Calc'!S708))</f>
        <v/>
      </c>
      <c r="U708" s="13" t="str">
        <f t="shared" si="56"/>
        <v/>
      </c>
      <c r="V708" s="13" t="str">
        <f t="shared" si="57"/>
        <v/>
      </c>
      <c r="W708" s="4" t="str">
        <f t="shared" si="58"/>
        <v/>
      </c>
      <c r="X708" t="str">
        <f>IF(W708="","",LOOKUP(_xlfn.CONCAT(P708,", ",Q708),'[1]T+S Costs'!$F$2:$F$3138,'[1]T+S Costs'!$N$2:$N$3138))</f>
        <v/>
      </c>
      <c r="Y708" s="14" t="str">
        <f t="shared" si="59"/>
        <v/>
      </c>
      <c r="Z708" s="4" t="str">
        <f t="shared" si="60"/>
        <v/>
      </c>
    </row>
    <row r="709" spans="16:26" x14ac:dyDescent="0.25">
      <c r="P709" s="10" t="str">
        <f>IF('[1]All Data '!AZ714="","",'[1]All Data '!AZ714)</f>
        <v/>
      </c>
      <c r="Q709" s="10" t="str">
        <f>IF('[1]All Data '!BB714="","",'[1]All Data '!BB714)</f>
        <v/>
      </c>
      <c r="R709" s="10" t="str">
        <f>IF('[1]All Data '!BD714="","",'[1]All Data '!BD714)</f>
        <v/>
      </c>
      <c r="S709" s="11" t="str">
        <f>IF(R709="","",'[1]All Data '!BE714)</f>
        <v/>
      </c>
      <c r="T709" s="12" t="str">
        <f>IF(S709="","",[1]Inputs_Outputs!$B$8*(1-'LOCH Calc COE Calc'!S709))</f>
        <v/>
      </c>
      <c r="U709" s="13" t="str">
        <f t="shared" si="56"/>
        <v/>
      </c>
      <c r="V709" s="13" t="str">
        <f t="shared" si="57"/>
        <v/>
      </c>
      <c r="W709" s="4" t="str">
        <f t="shared" si="58"/>
        <v/>
      </c>
      <c r="X709" t="str">
        <f>IF(W709="","",LOOKUP(_xlfn.CONCAT(P709,", ",Q709),'[1]T+S Costs'!$F$2:$F$3138,'[1]T+S Costs'!$N$2:$N$3138))</f>
        <v/>
      </c>
      <c r="Y709" s="14" t="str">
        <f t="shared" si="59"/>
        <v/>
      </c>
      <c r="Z709" s="4" t="str">
        <f t="shared" si="60"/>
        <v/>
      </c>
    </row>
    <row r="710" spans="16:26" x14ac:dyDescent="0.25">
      <c r="P710" s="10" t="str">
        <f>IF('[1]All Data '!AZ715="","",'[1]All Data '!AZ715)</f>
        <v/>
      </c>
      <c r="Q710" s="10" t="str">
        <f>IF('[1]All Data '!BB715="","",'[1]All Data '!BB715)</f>
        <v/>
      </c>
      <c r="R710" s="10" t="str">
        <f>IF('[1]All Data '!BD715="","",'[1]All Data '!BD715)</f>
        <v/>
      </c>
      <c r="S710" s="11" t="str">
        <f>IF(R710="","",'[1]All Data '!BE715)</f>
        <v/>
      </c>
      <c r="T710" s="12" t="str">
        <f>IF(S710="","",[1]Inputs_Outputs!$B$8*(1-'LOCH Calc COE Calc'!S710))</f>
        <v/>
      </c>
      <c r="U710" s="13" t="str">
        <f t="shared" si="56"/>
        <v/>
      </c>
      <c r="V710" s="13" t="str">
        <f t="shared" si="57"/>
        <v/>
      </c>
      <c r="W710" s="4" t="str">
        <f t="shared" si="58"/>
        <v/>
      </c>
      <c r="X710" t="str">
        <f>IF(W710="","",LOOKUP(_xlfn.CONCAT(P710,", ",Q710),'[1]T+S Costs'!$F$2:$F$3138,'[1]T+S Costs'!$N$2:$N$3138))</f>
        <v/>
      </c>
      <c r="Y710" s="14" t="str">
        <f t="shared" si="59"/>
        <v/>
      </c>
      <c r="Z710" s="4" t="str">
        <f t="shared" si="60"/>
        <v/>
      </c>
    </row>
    <row r="711" spans="16:26" x14ac:dyDescent="0.25">
      <c r="P711" s="10" t="str">
        <f>IF('[1]All Data '!AZ716="","",'[1]All Data '!AZ716)</f>
        <v/>
      </c>
      <c r="Q711" s="10" t="str">
        <f>IF('[1]All Data '!BB716="","",'[1]All Data '!BB716)</f>
        <v/>
      </c>
      <c r="R711" s="10" t="str">
        <f>IF('[1]All Data '!BD716="","",'[1]All Data '!BD716)</f>
        <v/>
      </c>
      <c r="S711" s="11" t="str">
        <f>IF(R711="","",'[1]All Data '!BE716)</f>
        <v/>
      </c>
      <c r="T711" s="12" t="str">
        <f>IF(S711="","",[1]Inputs_Outputs!$B$8*(1-'LOCH Calc COE Calc'!S711))</f>
        <v/>
      </c>
      <c r="U711" s="13" t="str">
        <f t="shared" si="56"/>
        <v/>
      </c>
      <c r="V711" s="13" t="str">
        <f t="shared" si="57"/>
        <v/>
      </c>
      <c r="W711" s="4" t="str">
        <f t="shared" si="58"/>
        <v/>
      </c>
      <c r="X711" t="str">
        <f>IF(W711="","",LOOKUP(_xlfn.CONCAT(P711,", ",Q711),'[1]T+S Costs'!$F$2:$F$3138,'[1]T+S Costs'!$N$2:$N$3138))</f>
        <v/>
      </c>
      <c r="Y711" s="14" t="str">
        <f t="shared" si="59"/>
        <v/>
      </c>
      <c r="Z711" s="4" t="str">
        <f t="shared" si="60"/>
        <v/>
      </c>
    </row>
    <row r="712" spans="16:26" x14ac:dyDescent="0.25">
      <c r="P712" s="10" t="str">
        <f>IF('[1]All Data '!AZ717="","",'[1]All Data '!AZ717)</f>
        <v/>
      </c>
      <c r="Q712" s="10" t="str">
        <f>IF('[1]All Data '!BB717="","",'[1]All Data '!BB717)</f>
        <v/>
      </c>
      <c r="R712" s="10" t="str">
        <f>IF('[1]All Data '!BD717="","",'[1]All Data '!BD717)</f>
        <v/>
      </c>
      <c r="S712" s="11" t="str">
        <f>IF(R712="","",'[1]All Data '!BE717)</f>
        <v/>
      </c>
      <c r="T712" s="12" t="str">
        <f>IF(S712="","",[1]Inputs_Outputs!$B$8*(1-'LOCH Calc COE Calc'!S712))</f>
        <v/>
      </c>
      <c r="U712" s="13" t="str">
        <f t="shared" si="56"/>
        <v/>
      </c>
      <c r="V712" s="13" t="str">
        <f t="shared" si="57"/>
        <v/>
      </c>
      <c r="W712" s="4" t="str">
        <f t="shared" si="58"/>
        <v/>
      </c>
      <c r="X712" t="str">
        <f>IF(W712="","",LOOKUP(_xlfn.CONCAT(P712,", ",Q712),'[1]T+S Costs'!$F$2:$F$3138,'[1]T+S Costs'!$N$2:$N$3138))</f>
        <v/>
      </c>
      <c r="Y712" s="14" t="str">
        <f t="shared" si="59"/>
        <v/>
      </c>
      <c r="Z712" s="4" t="str">
        <f t="shared" si="60"/>
        <v/>
      </c>
    </row>
    <row r="713" spans="16:26" x14ac:dyDescent="0.25">
      <c r="P713" s="10" t="str">
        <f>IF('[1]All Data '!AZ718="","",'[1]All Data '!AZ718)</f>
        <v/>
      </c>
      <c r="Q713" s="10" t="str">
        <f>IF('[1]All Data '!BB718="","",'[1]All Data '!BB718)</f>
        <v/>
      </c>
      <c r="R713" s="10" t="str">
        <f>IF('[1]All Data '!BD718="","",'[1]All Data '!BD718)</f>
        <v/>
      </c>
      <c r="S713" s="11" t="str">
        <f>IF(R713="","",'[1]All Data '!BE718)</f>
        <v/>
      </c>
      <c r="T713" s="12" t="str">
        <f>IF(S713="","",[1]Inputs_Outputs!$B$8*(1-'LOCH Calc COE Calc'!S713))</f>
        <v/>
      </c>
      <c r="U713" s="13" t="str">
        <f t="shared" si="56"/>
        <v/>
      </c>
      <c r="V713" s="13" t="str">
        <f t="shared" si="57"/>
        <v/>
      </c>
      <c r="W713" s="4" t="str">
        <f t="shared" si="58"/>
        <v/>
      </c>
      <c r="X713" t="str">
        <f>IF(W713="","",LOOKUP(_xlfn.CONCAT(P713,", ",Q713),'[1]T+S Costs'!$F$2:$F$3138,'[1]T+S Costs'!$N$2:$N$3138))</f>
        <v/>
      </c>
      <c r="Y713" s="14" t="str">
        <f t="shared" si="59"/>
        <v/>
      </c>
      <c r="Z713" s="4" t="str">
        <f t="shared" si="60"/>
        <v/>
      </c>
    </row>
    <row r="714" spans="16:26" x14ac:dyDescent="0.25">
      <c r="P714" s="10" t="str">
        <f>IF('[1]All Data '!AZ719="","",'[1]All Data '!AZ719)</f>
        <v/>
      </c>
      <c r="Q714" s="10" t="str">
        <f>IF('[1]All Data '!BB719="","",'[1]All Data '!BB719)</f>
        <v/>
      </c>
      <c r="R714" s="10" t="str">
        <f>IF('[1]All Data '!BD719="","",'[1]All Data '!BD719)</f>
        <v/>
      </c>
      <c r="S714" s="11" t="str">
        <f>IF(R714="","",'[1]All Data '!BE719)</f>
        <v/>
      </c>
      <c r="T714" s="12" t="str">
        <f>IF(S714="","",[1]Inputs_Outputs!$B$8*(1-'LOCH Calc COE Calc'!S714))</f>
        <v/>
      </c>
      <c r="U714" s="13" t="str">
        <f t="shared" si="56"/>
        <v/>
      </c>
      <c r="V714" s="13" t="str">
        <f t="shared" si="57"/>
        <v/>
      </c>
      <c r="W714" s="4" t="str">
        <f t="shared" si="58"/>
        <v/>
      </c>
      <c r="X714" t="str">
        <f>IF(W714="","",LOOKUP(_xlfn.CONCAT(P714,", ",Q714),'[1]T+S Costs'!$F$2:$F$3138,'[1]T+S Costs'!$N$2:$N$3138))</f>
        <v/>
      </c>
      <c r="Y714" s="14" t="str">
        <f t="shared" si="59"/>
        <v/>
      </c>
      <c r="Z714" s="4" t="str">
        <f t="shared" si="60"/>
        <v/>
      </c>
    </row>
    <row r="715" spans="16:26" x14ac:dyDescent="0.25">
      <c r="P715" s="10" t="str">
        <f>IF('[1]All Data '!AZ720="","",'[1]All Data '!AZ720)</f>
        <v/>
      </c>
      <c r="Q715" s="10" t="str">
        <f>IF('[1]All Data '!BB720="","",'[1]All Data '!BB720)</f>
        <v/>
      </c>
      <c r="R715" s="10" t="str">
        <f>IF('[1]All Data '!BD720="","",'[1]All Data '!BD720)</f>
        <v/>
      </c>
      <c r="S715" s="11" t="str">
        <f>IF(R715="","",'[1]All Data '!BE720)</f>
        <v/>
      </c>
      <c r="T715" s="12" t="str">
        <f>IF(S715="","",[1]Inputs_Outputs!$B$8*(1-'LOCH Calc COE Calc'!S715))</f>
        <v/>
      </c>
      <c r="U715" s="13" t="str">
        <f t="shared" si="56"/>
        <v/>
      </c>
      <c r="V715" s="13" t="str">
        <f t="shared" si="57"/>
        <v/>
      </c>
      <c r="W715" s="4" t="str">
        <f t="shared" si="58"/>
        <v/>
      </c>
      <c r="X715" t="str">
        <f>IF(W715="","",LOOKUP(_xlfn.CONCAT(P715,", ",Q715),'[1]T+S Costs'!$F$2:$F$3138,'[1]T+S Costs'!$N$2:$N$3138))</f>
        <v/>
      </c>
      <c r="Y715" s="14" t="str">
        <f t="shared" si="59"/>
        <v/>
      </c>
      <c r="Z715" s="4" t="str">
        <f t="shared" si="60"/>
        <v/>
      </c>
    </row>
    <row r="716" spans="16:26" x14ac:dyDescent="0.25">
      <c r="P716" s="10" t="str">
        <f>IF('[1]All Data '!AZ721="","",'[1]All Data '!AZ721)</f>
        <v/>
      </c>
      <c r="Q716" s="10" t="str">
        <f>IF('[1]All Data '!BB721="","",'[1]All Data '!BB721)</f>
        <v/>
      </c>
      <c r="R716" s="10" t="str">
        <f>IF('[1]All Data '!BD721="","",'[1]All Data '!BD721)</f>
        <v/>
      </c>
      <c r="S716" s="11" t="str">
        <f>IF(R716="","",'[1]All Data '!BE721)</f>
        <v/>
      </c>
      <c r="T716" s="12" t="str">
        <f>IF(S716="","",[1]Inputs_Outputs!$B$8*(1-'LOCH Calc COE Calc'!S716))</f>
        <v/>
      </c>
      <c r="U716" s="13" t="str">
        <f t="shared" si="56"/>
        <v/>
      </c>
      <c r="V716" s="13" t="str">
        <f t="shared" si="57"/>
        <v/>
      </c>
      <c r="W716" s="4" t="str">
        <f t="shared" si="58"/>
        <v/>
      </c>
      <c r="X716" t="str">
        <f>IF(W716="","",LOOKUP(_xlfn.CONCAT(P716,", ",Q716),'[1]T+S Costs'!$F$2:$F$3138,'[1]T+S Costs'!$N$2:$N$3138))</f>
        <v/>
      </c>
      <c r="Y716" s="14" t="str">
        <f t="shared" si="59"/>
        <v/>
      </c>
      <c r="Z716" s="4" t="str">
        <f t="shared" si="60"/>
        <v/>
      </c>
    </row>
    <row r="717" spans="16:26" x14ac:dyDescent="0.25">
      <c r="P717" s="10" t="str">
        <f>IF('[1]All Data '!AZ722="","",'[1]All Data '!AZ722)</f>
        <v/>
      </c>
      <c r="Q717" s="10" t="str">
        <f>IF('[1]All Data '!BB722="","",'[1]All Data '!BB722)</f>
        <v/>
      </c>
      <c r="R717" s="10" t="str">
        <f>IF('[1]All Data '!BD722="","",'[1]All Data '!BD722)</f>
        <v/>
      </c>
      <c r="S717" s="11" t="str">
        <f>IF(R717="","",'[1]All Data '!BE722)</f>
        <v/>
      </c>
      <c r="T717" s="12" t="str">
        <f>IF(S717="","",[1]Inputs_Outputs!$B$8*(1-'LOCH Calc COE Calc'!S717))</f>
        <v/>
      </c>
      <c r="U717" s="13" t="str">
        <f t="shared" si="56"/>
        <v/>
      </c>
      <c r="V717" s="13" t="str">
        <f t="shared" si="57"/>
        <v/>
      </c>
      <c r="W717" s="4" t="str">
        <f t="shared" si="58"/>
        <v/>
      </c>
      <c r="X717" t="str">
        <f>IF(W717="","",LOOKUP(_xlfn.CONCAT(P717,", ",Q717),'[1]T+S Costs'!$F$2:$F$3138,'[1]T+S Costs'!$N$2:$N$3138))</f>
        <v/>
      </c>
      <c r="Y717" s="14" t="str">
        <f t="shared" si="59"/>
        <v/>
      </c>
      <c r="Z717" s="4" t="str">
        <f t="shared" si="60"/>
        <v/>
      </c>
    </row>
    <row r="718" spans="16:26" x14ac:dyDescent="0.25">
      <c r="P718" s="10" t="str">
        <f>IF('[1]All Data '!AZ723="","",'[1]All Data '!AZ723)</f>
        <v/>
      </c>
      <c r="Q718" s="10" t="str">
        <f>IF('[1]All Data '!BB723="","",'[1]All Data '!BB723)</f>
        <v/>
      </c>
      <c r="R718" s="10" t="str">
        <f>IF('[1]All Data '!BD723="","",'[1]All Data '!BD723)</f>
        <v/>
      </c>
      <c r="S718" s="11" t="str">
        <f>IF(R718="","",'[1]All Data '!BE723)</f>
        <v/>
      </c>
      <c r="T718" s="12" t="str">
        <f>IF(S718="","",[1]Inputs_Outputs!$B$8*(1-'LOCH Calc COE Calc'!S718))</f>
        <v/>
      </c>
      <c r="U718" s="13" t="str">
        <f t="shared" si="56"/>
        <v/>
      </c>
      <c r="V718" s="13" t="str">
        <f t="shared" si="57"/>
        <v/>
      </c>
      <c r="W718" s="4" t="str">
        <f t="shared" si="58"/>
        <v/>
      </c>
      <c r="X718" t="str">
        <f>IF(W718="","",LOOKUP(_xlfn.CONCAT(P718,", ",Q718),'[1]T+S Costs'!$F$2:$F$3138,'[1]T+S Costs'!$N$2:$N$3138))</f>
        <v/>
      </c>
      <c r="Y718" s="14" t="str">
        <f t="shared" si="59"/>
        <v/>
      </c>
      <c r="Z718" s="4" t="str">
        <f t="shared" si="60"/>
        <v/>
      </c>
    </row>
    <row r="719" spans="16:26" x14ac:dyDescent="0.25">
      <c r="P719" s="10" t="str">
        <f>IF('[1]All Data '!AZ724="","",'[1]All Data '!AZ724)</f>
        <v/>
      </c>
      <c r="Q719" s="10" t="str">
        <f>IF('[1]All Data '!BB724="","",'[1]All Data '!BB724)</f>
        <v/>
      </c>
      <c r="R719" s="10" t="str">
        <f>IF('[1]All Data '!BD724="","",'[1]All Data '!BD724)</f>
        <v/>
      </c>
      <c r="S719" s="11" t="str">
        <f>IF(R719="","",'[1]All Data '!BE724)</f>
        <v/>
      </c>
      <c r="T719" s="12" t="str">
        <f>IF(S719="","",[1]Inputs_Outputs!$B$8*(1-'LOCH Calc COE Calc'!S719))</f>
        <v/>
      </c>
      <c r="U719" s="13" t="str">
        <f t="shared" si="56"/>
        <v/>
      </c>
      <c r="V719" s="13" t="str">
        <f t="shared" si="57"/>
        <v/>
      </c>
      <c r="W719" s="4" t="str">
        <f t="shared" si="58"/>
        <v/>
      </c>
      <c r="X719" t="str">
        <f>IF(W719="","",LOOKUP(_xlfn.CONCAT(P719,", ",Q719),'[1]T+S Costs'!$F$2:$F$3138,'[1]T+S Costs'!$N$2:$N$3138))</f>
        <v/>
      </c>
      <c r="Y719" s="14" t="str">
        <f t="shared" si="59"/>
        <v/>
      </c>
      <c r="Z719" s="4" t="str">
        <f t="shared" si="60"/>
        <v/>
      </c>
    </row>
    <row r="720" spans="16:26" x14ac:dyDescent="0.25">
      <c r="P720" s="10" t="str">
        <f>IF('[1]All Data '!AZ725="","",'[1]All Data '!AZ725)</f>
        <v/>
      </c>
      <c r="Q720" s="10" t="str">
        <f>IF('[1]All Data '!BB725="","",'[1]All Data '!BB725)</f>
        <v/>
      </c>
      <c r="R720" s="10" t="str">
        <f>IF('[1]All Data '!BD725="","",'[1]All Data '!BD725)</f>
        <v/>
      </c>
      <c r="S720" s="11" t="str">
        <f>IF(R720="","",'[1]All Data '!BE725)</f>
        <v/>
      </c>
      <c r="T720" s="12" t="str">
        <f>IF(S720="","",[1]Inputs_Outputs!$B$8*(1-'LOCH Calc COE Calc'!S720))</f>
        <v/>
      </c>
      <c r="U720" s="13" t="str">
        <f t="shared" si="56"/>
        <v/>
      </c>
      <c r="V720" s="13" t="str">
        <f t="shared" si="57"/>
        <v/>
      </c>
      <c r="W720" s="4" t="str">
        <f t="shared" si="58"/>
        <v/>
      </c>
      <c r="X720" t="str">
        <f>IF(W720="","",LOOKUP(_xlfn.CONCAT(P720,", ",Q720),'[1]T+S Costs'!$F$2:$F$3138,'[1]T+S Costs'!$N$2:$N$3138))</f>
        <v/>
      </c>
      <c r="Y720" s="14" t="str">
        <f t="shared" si="59"/>
        <v/>
      </c>
      <c r="Z720" s="4" t="str">
        <f t="shared" si="60"/>
        <v/>
      </c>
    </row>
    <row r="721" spans="16:26" x14ac:dyDescent="0.25">
      <c r="P721" s="10" t="str">
        <f>IF('[1]All Data '!AZ726="","",'[1]All Data '!AZ726)</f>
        <v/>
      </c>
      <c r="Q721" s="10" t="str">
        <f>IF('[1]All Data '!BB726="","",'[1]All Data '!BB726)</f>
        <v/>
      </c>
      <c r="R721" s="10" t="str">
        <f>IF('[1]All Data '!BD726="","",'[1]All Data '!BD726)</f>
        <v/>
      </c>
      <c r="S721" s="11" t="str">
        <f>IF(R721="","",'[1]All Data '!BE726)</f>
        <v/>
      </c>
      <c r="T721" s="12" t="str">
        <f>IF(S721="","",[1]Inputs_Outputs!$B$8*(1-'LOCH Calc COE Calc'!S721))</f>
        <v/>
      </c>
      <c r="U721" s="13" t="str">
        <f t="shared" si="56"/>
        <v/>
      </c>
      <c r="V721" s="13" t="str">
        <f t="shared" si="57"/>
        <v/>
      </c>
      <c r="W721" s="4" t="str">
        <f t="shared" si="58"/>
        <v/>
      </c>
      <c r="X721" t="str">
        <f>IF(W721="","",LOOKUP(_xlfn.CONCAT(P721,", ",Q721),'[1]T+S Costs'!$F$2:$F$3138,'[1]T+S Costs'!$N$2:$N$3138))</f>
        <v/>
      </c>
      <c r="Y721" s="14" t="str">
        <f t="shared" si="59"/>
        <v/>
      </c>
      <c r="Z721" s="4" t="str">
        <f t="shared" si="60"/>
        <v/>
      </c>
    </row>
    <row r="722" spans="16:26" x14ac:dyDescent="0.25">
      <c r="P722" s="10" t="str">
        <f>IF('[1]All Data '!AZ727="","",'[1]All Data '!AZ727)</f>
        <v/>
      </c>
      <c r="Q722" s="10" t="str">
        <f>IF('[1]All Data '!BB727="","",'[1]All Data '!BB727)</f>
        <v/>
      </c>
      <c r="R722" s="10" t="str">
        <f>IF('[1]All Data '!BD727="","",'[1]All Data '!BD727)</f>
        <v/>
      </c>
      <c r="S722" s="11" t="str">
        <f>IF(R722="","",'[1]All Data '!BE727)</f>
        <v/>
      </c>
      <c r="T722" s="12" t="str">
        <f>IF(S722="","",[1]Inputs_Outputs!$B$8*(1-'LOCH Calc COE Calc'!S722))</f>
        <v/>
      </c>
      <c r="U722" s="13" t="str">
        <f t="shared" si="56"/>
        <v/>
      </c>
      <c r="V722" s="13" t="str">
        <f t="shared" si="57"/>
        <v/>
      </c>
      <c r="W722" s="4" t="str">
        <f t="shared" si="58"/>
        <v/>
      </c>
      <c r="X722" t="str">
        <f>IF(W722="","",LOOKUP(_xlfn.CONCAT(P722,", ",Q722),'[1]T+S Costs'!$F$2:$F$3138,'[1]T+S Costs'!$N$2:$N$3138))</f>
        <v/>
      </c>
      <c r="Y722" s="14" t="str">
        <f t="shared" si="59"/>
        <v/>
      </c>
      <c r="Z722" s="4" t="str">
        <f t="shared" si="60"/>
        <v/>
      </c>
    </row>
    <row r="723" spans="16:26" x14ac:dyDescent="0.25">
      <c r="P723" s="10" t="str">
        <f>IF('[1]All Data '!AZ728="","",'[1]All Data '!AZ728)</f>
        <v/>
      </c>
      <c r="Q723" s="10" t="str">
        <f>IF('[1]All Data '!BB728="","",'[1]All Data '!BB728)</f>
        <v/>
      </c>
      <c r="R723" s="10" t="str">
        <f>IF('[1]All Data '!BD728="","",'[1]All Data '!BD728)</f>
        <v/>
      </c>
      <c r="S723" s="11" t="str">
        <f>IF(R723="","",'[1]All Data '!BE728)</f>
        <v/>
      </c>
      <c r="T723" s="12" t="str">
        <f>IF(S723="","",[1]Inputs_Outputs!$B$8*(1-'LOCH Calc COE Calc'!S723))</f>
        <v/>
      </c>
      <c r="U723" s="13" t="str">
        <f t="shared" si="56"/>
        <v/>
      </c>
      <c r="V723" s="13" t="str">
        <f t="shared" si="57"/>
        <v/>
      </c>
      <c r="W723" s="4" t="str">
        <f t="shared" si="58"/>
        <v/>
      </c>
      <c r="X723" t="str">
        <f>IF(W723="","",LOOKUP(_xlfn.CONCAT(P723,", ",Q723),'[1]T+S Costs'!$F$2:$F$3138,'[1]T+S Costs'!$N$2:$N$3138))</f>
        <v/>
      </c>
      <c r="Y723" s="14" t="str">
        <f t="shared" si="59"/>
        <v/>
      </c>
      <c r="Z723" s="4" t="str">
        <f t="shared" si="60"/>
        <v/>
      </c>
    </row>
    <row r="724" spans="16:26" x14ac:dyDescent="0.25">
      <c r="P724" s="10" t="str">
        <f>IF('[1]All Data '!AZ729="","",'[1]All Data '!AZ729)</f>
        <v/>
      </c>
      <c r="Q724" s="10" t="str">
        <f>IF('[1]All Data '!BB729="","",'[1]All Data '!BB729)</f>
        <v/>
      </c>
      <c r="R724" s="10" t="str">
        <f>IF('[1]All Data '!BD729="","",'[1]All Data '!BD729)</f>
        <v/>
      </c>
      <c r="S724" s="11" t="str">
        <f>IF(R724="","",'[1]All Data '!BE729)</f>
        <v/>
      </c>
      <c r="T724" s="12" t="str">
        <f>IF(S724="","",[1]Inputs_Outputs!$B$8*(1-'LOCH Calc COE Calc'!S724))</f>
        <v/>
      </c>
      <c r="U724" s="13" t="str">
        <f t="shared" si="56"/>
        <v/>
      </c>
      <c r="V724" s="13" t="str">
        <f t="shared" si="57"/>
        <v/>
      </c>
      <c r="W724" s="4" t="str">
        <f t="shared" si="58"/>
        <v/>
      </c>
      <c r="X724" t="str">
        <f>IF(W724="","",LOOKUP(_xlfn.CONCAT(P724,", ",Q724),'[1]T+S Costs'!$F$2:$F$3138,'[1]T+S Costs'!$N$2:$N$3138))</f>
        <v/>
      </c>
      <c r="Y724" s="14" t="str">
        <f t="shared" si="59"/>
        <v/>
      </c>
      <c r="Z724" s="4" t="str">
        <f t="shared" si="60"/>
        <v/>
      </c>
    </row>
    <row r="725" spans="16:26" x14ac:dyDescent="0.25">
      <c r="P725" s="10" t="str">
        <f>IF('[1]All Data '!AZ730="","",'[1]All Data '!AZ730)</f>
        <v/>
      </c>
      <c r="Q725" s="10" t="str">
        <f>IF('[1]All Data '!BB730="","",'[1]All Data '!BB730)</f>
        <v/>
      </c>
      <c r="R725" s="10" t="str">
        <f>IF('[1]All Data '!BD730="","",'[1]All Data '!BD730)</f>
        <v/>
      </c>
      <c r="S725" s="11" t="str">
        <f>IF(R725="","",'[1]All Data '!BE730)</f>
        <v/>
      </c>
      <c r="T725" s="12" t="str">
        <f>IF(S725="","",[1]Inputs_Outputs!$B$8*(1-'LOCH Calc COE Calc'!S725))</f>
        <v/>
      </c>
      <c r="U725" s="13" t="str">
        <f t="shared" si="56"/>
        <v/>
      </c>
      <c r="V725" s="13" t="str">
        <f t="shared" si="57"/>
        <v/>
      </c>
      <c r="W725" s="4" t="str">
        <f t="shared" si="58"/>
        <v/>
      </c>
      <c r="X725" t="str">
        <f>IF(W725="","",LOOKUP(_xlfn.CONCAT(P725,", ",Q725),'[1]T+S Costs'!$F$2:$F$3138,'[1]T+S Costs'!$N$2:$N$3138))</f>
        <v/>
      </c>
      <c r="Y725" s="14" t="str">
        <f t="shared" si="59"/>
        <v/>
      </c>
      <c r="Z725" s="4" t="str">
        <f t="shared" si="60"/>
        <v/>
      </c>
    </row>
    <row r="726" spans="16:26" x14ac:dyDescent="0.25">
      <c r="P726" s="10" t="str">
        <f>IF('[1]All Data '!AZ731="","",'[1]All Data '!AZ731)</f>
        <v/>
      </c>
      <c r="Q726" s="10" t="str">
        <f>IF('[1]All Data '!BB731="","",'[1]All Data '!BB731)</f>
        <v/>
      </c>
      <c r="R726" s="10" t="str">
        <f>IF('[1]All Data '!BD731="","",'[1]All Data '!BD731)</f>
        <v/>
      </c>
      <c r="S726" s="11" t="str">
        <f>IF(R726="","",'[1]All Data '!BE731)</f>
        <v/>
      </c>
      <c r="T726" s="12" t="str">
        <f>IF(S726="","",[1]Inputs_Outputs!$B$8*(1-'LOCH Calc COE Calc'!S726))</f>
        <v/>
      </c>
      <c r="U726" s="13" t="str">
        <f t="shared" si="56"/>
        <v/>
      </c>
      <c r="V726" s="13" t="str">
        <f t="shared" si="57"/>
        <v/>
      </c>
      <c r="W726" s="4" t="str">
        <f t="shared" si="58"/>
        <v/>
      </c>
      <c r="X726" t="str">
        <f>IF(W726="","",LOOKUP(_xlfn.CONCAT(P726,", ",Q726),'[1]T+S Costs'!$F$2:$F$3138,'[1]T+S Costs'!$N$2:$N$3138))</f>
        <v/>
      </c>
      <c r="Y726" s="14" t="str">
        <f t="shared" si="59"/>
        <v/>
      </c>
      <c r="Z726" s="4" t="str">
        <f t="shared" si="60"/>
        <v/>
      </c>
    </row>
    <row r="727" spans="16:26" x14ac:dyDescent="0.25">
      <c r="P727" s="10" t="str">
        <f>IF('[1]All Data '!AZ732="","",'[1]All Data '!AZ732)</f>
        <v/>
      </c>
      <c r="Q727" s="10" t="str">
        <f>IF('[1]All Data '!BB732="","",'[1]All Data '!BB732)</f>
        <v/>
      </c>
      <c r="R727" s="10" t="str">
        <f>IF('[1]All Data '!BD732="","",'[1]All Data '!BD732)</f>
        <v/>
      </c>
      <c r="S727" s="11" t="str">
        <f>IF(R727="","",'[1]All Data '!BE732)</f>
        <v/>
      </c>
      <c r="T727" s="12" t="str">
        <f>IF(S727="","",[1]Inputs_Outputs!$B$8*(1-'LOCH Calc COE Calc'!S727))</f>
        <v/>
      </c>
      <c r="U727" s="13" t="str">
        <f t="shared" si="56"/>
        <v/>
      </c>
      <c r="V727" s="13" t="str">
        <f t="shared" si="57"/>
        <v/>
      </c>
      <c r="W727" s="4" t="str">
        <f t="shared" si="58"/>
        <v/>
      </c>
      <c r="X727" t="str">
        <f>IF(W727="","",LOOKUP(_xlfn.CONCAT(P727,", ",Q727),'[1]T+S Costs'!$F$2:$F$3138,'[1]T+S Costs'!$N$2:$N$3138))</f>
        <v/>
      </c>
      <c r="Y727" s="14" t="str">
        <f t="shared" si="59"/>
        <v/>
      </c>
      <c r="Z727" s="4" t="str">
        <f t="shared" si="60"/>
        <v/>
      </c>
    </row>
    <row r="728" spans="16:26" x14ac:dyDescent="0.25">
      <c r="P728" s="10" t="str">
        <f>IF('[1]All Data '!AZ733="","",'[1]All Data '!AZ733)</f>
        <v/>
      </c>
      <c r="Q728" s="10" t="str">
        <f>IF('[1]All Data '!BB733="","",'[1]All Data '!BB733)</f>
        <v/>
      </c>
      <c r="R728" s="10" t="str">
        <f>IF('[1]All Data '!BD733="","",'[1]All Data '!BD733)</f>
        <v/>
      </c>
      <c r="S728" s="11" t="str">
        <f>IF(R728="","",'[1]All Data '!BE733)</f>
        <v/>
      </c>
      <c r="T728" s="12" t="str">
        <f>IF(S728="","",[1]Inputs_Outputs!$B$8*(1-'LOCH Calc COE Calc'!S728))</f>
        <v/>
      </c>
      <c r="U728" s="13" t="str">
        <f t="shared" si="56"/>
        <v/>
      </c>
      <c r="V728" s="13" t="str">
        <f t="shared" si="57"/>
        <v/>
      </c>
      <c r="W728" s="4" t="str">
        <f t="shared" si="58"/>
        <v/>
      </c>
      <c r="X728" t="str">
        <f>IF(W728="","",LOOKUP(_xlfn.CONCAT(P728,", ",Q728),'[1]T+S Costs'!$F$2:$F$3138,'[1]T+S Costs'!$N$2:$N$3138))</f>
        <v/>
      </c>
      <c r="Y728" s="14" t="str">
        <f t="shared" si="59"/>
        <v/>
      </c>
      <c r="Z728" s="4" t="str">
        <f t="shared" si="60"/>
        <v/>
      </c>
    </row>
    <row r="729" spans="16:26" x14ac:dyDescent="0.25">
      <c r="P729" s="10" t="str">
        <f>IF('[1]All Data '!AZ734="","",'[1]All Data '!AZ734)</f>
        <v/>
      </c>
      <c r="Q729" s="10" t="str">
        <f>IF('[1]All Data '!BB734="","",'[1]All Data '!BB734)</f>
        <v/>
      </c>
      <c r="R729" s="10" t="str">
        <f>IF('[1]All Data '!BD734="","",'[1]All Data '!BD734)</f>
        <v/>
      </c>
      <c r="S729" s="11" t="str">
        <f>IF(R729="","",'[1]All Data '!BE734)</f>
        <v/>
      </c>
      <c r="T729" s="12" t="str">
        <f>IF(S729="","",[1]Inputs_Outputs!$B$8*(1-'LOCH Calc COE Calc'!S729))</f>
        <v/>
      </c>
      <c r="U729" s="13" t="str">
        <f t="shared" si="56"/>
        <v/>
      </c>
      <c r="V729" s="13" t="str">
        <f t="shared" si="57"/>
        <v/>
      </c>
      <c r="W729" s="4" t="str">
        <f t="shared" si="58"/>
        <v/>
      </c>
      <c r="X729" t="str">
        <f>IF(W729="","",LOOKUP(_xlfn.CONCAT(P729,", ",Q729),'[1]T+S Costs'!$F$2:$F$3138,'[1]T+S Costs'!$N$2:$N$3138))</f>
        <v/>
      </c>
      <c r="Y729" s="14" t="str">
        <f t="shared" si="59"/>
        <v/>
      </c>
      <c r="Z729" s="4" t="str">
        <f t="shared" si="60"/>
        <v/>
      </c>
    </row>
    <row r="730" spans="16:26" x14ac:dyDescent="0.25">
      <c r="P730" s="10" t="str">
        <f>IF('[1]All Data '!AZ735="","",'[1]All Data '!AZ735)</f>
        <v/>
      </c>
      <c r="Q730" s="10" t="str">
        <f>IF('[1]All Data '!BB735="","",'[1]All Data '!BB735)</f>
        <v/>
      </c>
      <c r="R730" s="10" t="str">
        <f>IF('[1]All Data '!BD735="","",'[1]All Data '!BD735)</f>
        <v/>
      </c>
      <c r="S730" s="11" t="str">
        <f>IF(R730="","",'[1]All Data '!BE735)</f>
        <v/>
      </c>
      <c r="T730" s="12" t="str">
        <f>IF(S730="","",[1]Inputs_Outputs!$B$8*(1-'LOCH Calc COE Calc'!S730))</f>
        <v/>
      </c>
      <c r="U730" s="13" t="str">
        <f t="shared" si="56"/>
        <v/>
      </c>
      <c r="V730" s="13" t="str">
        <f t="shared" si="57"/>
        <v/>
      </c>
      <c r="W730" s="4" t="str">
        <f t="shared" si="58"/>
        <v/>
      </c>
      <c r="X730" t="str">
        <f>IF(W730="","",LOOKUP(_xlfn.CONCAT(P730,", ",Q730),'[1]T+S Costs'!$F$2:$F$3138,'[1]T+S Costs'!$N$2:$N$3138))</f>
        <v/>
      </c>
      <c r="Y730" s="14" t="str">
        <f t="shared" si="59"/>
        <v/>
      </c>
      <c r="Z730" s="4" t="str">
        <f t="shared" si="60"/>
        <v/>
      </c>
    </row>
    <row r="731" spans="16:26" x14ac:dyDescent="0.25">
      <c r="P731" s="10" t="str">
        <f>IF('[1]All Data '!AZ736="","",'[1]All Data '!AZ736)</f>
        <v/>
      </c>
      <c r="Q731" s="10" t="str">
        <f>IF('[1]All Data '!BB736="","",'[1]All Data '!BB736)</f>
        <v/>
      </c>
      <c r="R731" s="10" t="str">
        <f>IF('[1]All Data '!BD736="","",'[1]All Data '!BD736)</f>
        <v/>
      </c>
      <c r="S731" s="11" t="str">
        <f>IF(R731="","",'[1]All Data '!BE736)</f>
        <v/>
      </c>
      <c r="T731" s="12" t="str">
        <f>IF(S731="","",[1]Inputs_Outputs!$B$8*(1-'LOCH Calc COE Calc'!S731))</f>
        <v/>
      </c>
      <c r="U731" s="13" t="str">
        <f t="shared" si="56"/>
        <v/>
      </c>
      <c r="V731" s="13" t="str">
        <f t="shared" si="57"/>
        <v/>
      </c>
      <c r="W731" s="4" t="str">
        <f t="shared" si="58"/>
        <v/>
      </c>
      <c r="X731" t="str">
        <f>IF(W731="","",LOOKUP(_xlfn.CONCAT(P731,", ",Q731),'[1]T+S Costs'!$F$2:$F$3138,'[1]T+S Costs'!$N$2:$N$3138))</f>
        <v/>
      </c>
      <c r="Y731" s="14" t="str">
        <f t="shared" si="59"/>
        <v/>
      </c>
      <c r="Z731" s="4" t="str">
        <f t="shared" si="60"/>
        <v/>
      </c>
    </row>
    <row r="732" spans="16:26" x14ac:dyDescent="0.25">
      <c r="P732" s="10" t="str">
        <f>IF('[1]All Data '!AZ737="","",'[1]All Data '!AZ737)</f>
        <v/>
      </c>
      <c r="Q732" s="10" t="str">
        <f>IF('[1]All Data '!BB737="","",'[1]All Data '!BB737)</f>
        <v/>
      </c>
      <c r="R732" s="10" t="str">
        <f>IF('[1]All Data '!BD737="","",'[1]All Data '!BD737)</f>
        <v/>
      </c>
      <c r="S732" s="11" t="str">
        <f>IF(R732="","",'[1]All Data '!BE737)</f>
        <v/>
      </c>
      <c r="T732" s="12" t="str">
        <f>IF(S732="","",[1]Inputs_Outputs!$B$8*(1-'LOCH Calc COE Calc'!S732))</f>
        <v/>
      </c>
      <c r="U732" s="13" t="str">
        <f t="shared" si="56"/>
        <v/>
      </c>
      <c r="V732" s="13" t="str">
        <f t="shared" si="57"/>
        <v/>
      </c>
      <c r="W732" s="4" t="str">
        <f t="shared" si="58"/>
        <v/>
      </c>
      <c r="X732" t="str">
        <f>IF(W732="","",LOOKUP(_xlfn.CONCAT(P732,", ",Q732),'[1]T+S Costs'!$F$2:$F$3138,'[1]T+S Costs'!$N$2:$N$3138))</f>
        <v/>
      </c>
      <c r="Y732" s="14" t="str">
        <f t="shared" si="59"/>
        <v/>
      </c>
      <c r="Z732" s="4" t="str">
        <f t="shared" si="60"/>
        <v/>
      </c>
    </row>
    <row r="733" spans="16:26" x14ac:dyDescent="0.25">
      <c r="P733" s="10" t="str">
        <f>IF('[1]All Data '!AZ738="","",'[1]All Data '!AZ738)</f>
        <v/>
      </c>
      <c r="Q733" s="10" t="str">
        <f>IF('[1]All Data '!BB738="","",'[1]All Data '!BB738)</f>
        <v/>
      </c>
      <c r="R733" s="10" t="str">
        <f>IF('[1]All Data '!BD738="","",'[1]All Data '!BD738)</f>
        <v/>
      </c>
      <c r="S733" s="11" t="str">
        <f>IF(R733="","",'[1]All Data '!BE738)</f>
        <v/>
      </c>
      <c r="T733" s="12" t="str">
        <f>IF(S733="","",[1]Inputs_Outputs!$B$8*(1-'LOCH Calc COE Calc'!S733))</f>
        <v/>
      </c>
      <c r="U733" s="13" t="str">
        <f t="shared" si="56"/>
        <v/>
      </c>
      <c r="V733" s="13" t="str">
        <f t="shared" si="57"/>
        <v/>
      </c>
      <c r="W733" s="4" t="str">
        <f t="shared" si="58"/>
        <v/>
      </c>
      <c r="X733" t="str">
        <f>IF(W733="","",LOOKUP(_xlfn.CONCAT(P733,", ",Q733),'[1]T+S Costs'!$F$2:$F$3138,'[1]T+S Costs'!$N$2:$N$3138))</f>
        <v/>
      </c>
      <c r="Y733" s="14" t="str">
        <f t="shared" si="59"/>
        <v/>
      </c>
      <c r="Z733" s="4" t="str">
        <f t="shared" si="60"/>
        <v/>
      </c>
    </row>
    <row r="734" spans="16:26" x14ac:dyDescent="0.25">
      <c r="P734" s="10" t="str">
        <f>IF('[1]All Data '!AZ739="","",'[1]All Data '!AZ739)</f>
        <v/>
      </c>
      <c r="Q734" s="10" t="str">
        <f>IF('[1]All Data '!BB739="","",'[1]All Data '!BB739)</f>
        <v/>
      </c>
      <c r="R734" s="10" t="str">
        <f>IF('[1]All Data '!BD739="","",'[1]All Data '!BD739)</f>
        <v/>
      </c>
      <c r="S734" s="11" t="str">
        <f>IF(R734="","",'[1]All Data '!BE739)</f>
        <v/>
      </c>
      <c r="T734" s="12" t="str">
        <f>IF(S734="","",[1]Inputs_Outputs!$B$8*(1-'LOCH Calc COE Calc'!S734))</f>
        <v/>
      </c>
      <c r="U734" s="13" t="str">
        <f t="shared" si="56"/>
        <v/>
      </c>
      <c r="V734" s="13" t="str">
        <f t="shared" si="57"/>
        <v/>
      </c>
      <c r="W734" s="4" t="str">
        <f t="shared" si="58"/>
        <v/>
      </c>
      <c r="X734" t="str">
        <f>IF(W734="","",LOOKUP(_xlfn.CONCAT(P734,", ",Q734),'[1]T+S Costs'!$F$2:$F$3138,'[1]T+S Costs'!$N$2:$N$3138))</f>
        <v/>
      </c>
      <c r="Y734" s="14" t="str">
        <f t="shared" si="59"/>
        <v/>
      </c>
      <c r="Z734" s="4" t="str">
        <f t="shared" si="60"/>
        <v/>
      </c>
    </row>
    <row r="735" spans="16:26" x14ac:dyDescent="0.25">
      <c r="P735" s="10" t="str">
        <f>IF('[1]All Data '!AZ740="","",'[1]All Data '!AZ740)</f>
        <v/>
      </c>
      <c r="Q735" s="10" t="str">
        <f>IF('[1]All Data '!BB740="","",'[1]All Data '!BB740)</f>
        <v/>
      </c>
      <c r="R735" s="10" t="str">
        <f>IF('[1]All Data '!BD740="","",'[1]All Data '!BD740)</f>
        <v/>
      </c>
      <c r="S735" s="11" t="str">
        <f>IF(R735="","",'[1]All Data '!BE740)</f>
        <v/>
      </c>
      <c r="T735" s="12" t="str">
        <f>IF(S735="","",[1]Inputs_Outputs!$B$8*(1-'LOCH Calc COE Calc'!S735))</f>
        <v/>
      </c>
      <c r="U735" s="13" t="str">
        <f t="shared" si="56"/>
        <v/>
      </c>
      <c r="V735" s="13" t="str">
        <f t="shared" si="57"/>
        <v/>
      </c>
      <c r="W735" s="4" t="str">
        <f t="shared" si="58"/>
        <v/>
      </c>
      <c r="X735" t="str">
        <f>IF(W735="","",LOOKUP(_xlfn.CONCAT(P735,", ",Q735),'[1]T+S Costs'!$F$2:$F$3138,'[1]T+S Costs'!$N$2:$N$3138))</f>
        <v/>
      </c>
      <c r="Y735" s="14" t="str">
        <f t="shared" si="59"/>
        <v/>
      </c>
      <c r="Z735" s="4" t="str">
        <f t="shared" si="60"/>
        <v/>
      </c>
    </row>
    <row r="736" spans="16:26" x14ac:dyDescent="0.25">
      <c r="P736" s="10" t="str">
        <f>IF('[1]All Data '!AZ741="","",'[1]All Data '!AZ741)</f>
        <v/>
      </c>
      <c r="Q736" s="10" t="str">
        <f>IF('[1]All Data '!BB741="","",'[1]All Data '!BB741)</f>
        <v/>
      </c>
      <c r="R736" s="10" t="str">
        <f>IF('[1]All Data '!BD741="","",'[1]All Data '!BD741)</f>
        <v/>
      </c>
      <c r="S736" s="11" t="str">
        <f>IF(R736="","",'[1]All Data '!BE741)</f>
        <v/>
      </c>
      <c r="T736" s="12" t="str">
        <f>IF(S736="","",[1]Inputs_Outputs!$B$8*(1-'LOCH Calc COE Calc'!S736))</f>
        <v/>
      </c>
      <c r="U736" s="13" t="str">
        <f t="shared" si="56"/>
        <v/>
      </c>
      <c r="V736" s="13" t="str">
        <f t="shared" si="57"/>
        <v/>
      </c>
      <c r="W736" s="4" t="str">
        <f t="shared" si="58"/>
        <v/>
      </c>
      <c r="X736" t="str">
        <f>IF(W736="","",LOOKUP(_xlfn.CONCAT(P736,", ",Q736),'[1]T+S Costs'!$F$2:$F$3138,'[1]T+S Costs'!$N$2:$N$3138))</f>
        <v/>
      </c>
      <c r="Y736" s="14" t="str">
        <f t="shared" si="59"/>
        <v/>
      </c>
      <c r="Z736" s="4" t="str">
        <f t="shared" si="60"/>
        <v/>
      </c>
    </row>
    <row r="737" spans="16:26" x14ac:dyDescent="0.25">
      <c r="P737" s="10" t="str">
        <f>IF('[1]All Data '!AZ742="","",'[1]All Data '!AZ742)</f>
        <v/>
      </c>
      <c r="Q737" s="10" t="str">
        <f>IF('[1]All Data '!BB742="","",'[1]All Data '!BB742)</f>
        <v/>
      </c>
      <c r="R737" s="10" t="str">
        <f>IF('[1]All Data '!BD742="","",'[1]All Data '!BD742)</f>
        <v/>
      </c>
      <c r="S737" s="11" t="str">
        <f>IF(R737="","",'[1]All Data '!BE742)</f>
        <v/>
      </c>
      <c r="T737" s="12" t="str">
        <f>IF(S737="","",[1]Inputs_Outputs!$B$8*(1-'LOCH Calc COE Calc'!S737))</f>
        <v/>
      </c>
      <c r="U737" s="13" t="str">
        <f t="shared" si="56"/>
        <v/>
      </c>
      <c r="V737" s="13" t="str">
        <f t="shared" si="57"/>
        <v/>
      </c>
      <c r="W737" s="4" t="str">
        <f t="shared" si="58"/>
        <v/>
      </c>
      <c r="X737" t="str">
        <f>IF(W737="","",LOOKUP(_xlfn.CONCAT(P737,", ",Q737),'[1]T+S Costs'!$F$2:$F$3138,'[1]T+S Costs'!$N$2:$N$3138))</f>
        <v/>
      </c>
      <c r="Y737" s="14" t="str">
        <f t="shared" si="59"/>
        <v/>
      </c>
      <c r="Z737" s="4" t="str">
        <f t="shared" si="60"/>
        <v/>
      </c>
    </row>
    <row r="738" spans="16:26" x14ac:dyDescent="0.25">
      <c r="P738" s="10" t="str">
        <f>IF('[1]All Data '!AZ743="","",'[1]All Data '!AZ743)</f>
        <v/>
      </c>
      <c r="Q738" s="10" t="str">
        <f>IF('[1]All Data '!BB743="","",'[1]All Data '!BB743)</f>
        <v/>
      </c>
      <c r="R738" s="10" t="str">
        <f>IF('[1]All Data '!BD743="","",'[1]All Data '!BD743)</f>
        <v/>
      </c>
      <c r="S738" s="11" t="str">
        <f>IF(R738="","",'[1]All Data '!BE743)</f>
        <v/>
      </c>
      <c r="T738" s="12" t="str">
        <f>IF(S738="","",[1]Inputs_Outputs!$B$8*(1-'LOCH Calc COE Calc'!S738))</f>
        <v/>
      </c>
      <c r="U738" s="13" t="str">
        <f t="shared" si="56"/>
        <v/>
      </c>
      <c r="V738" s="13" t="str">
        <f t="shared" si="57"/>
        <v/>
      </c>
      <c r="W738" s="4" t="str">
        <f t="shared" si="58"/>
        <v/>
      </c>
      <c r="X738" t="str">
        <f>IF(W738="","",LOOKUP(_xlfn.CONCAT(P738,", ",Q738),'[1]T+S Costs'!$F$2:$F$3138,'[1]T+S Costs'!$N$2:$N$3138))</f>
        <v/>
      </c>
      <c r="Y738" s="14" t="str">
        <f t="shared" si="59"/>
        <v/>
      </c>
      <c r="Z738" s="4" t="str">
        <f t="shared" si="60"/>
        <v/>
      </c>
    </row>
    <row r="739" spans="16:26" x14ac:dyDescent="0.25">
      <c r="P739" s="10" t="str">
        <f>IF('[1]All Data '!AZ744="","",'[1]All Data '!AZ744)</f>
        <v/>
      </c>
      <c r="Q739" s="10" t="str">
        <f>IF('[1]All Data '!BB744="","",'[1]All Data '!BB744)</f>
        <v/>
      </c>
      <c r="R739" s="10" t="str">
        <f>IF('[1]All Data '!BD744="","",'[1]All Data '!BD744)</f>
        <v/>
      </c>
      <c r="S739" s="11" t="str">
        <f>IF(R739="","",'[1]All Data '!BE744)</f>
        <v/>
      </c>
      <c r="T739" s="12" t="str">
        <f>IF(S739="","",[1]Inputs_Outputs!$B$8*(1-'LOCH Calc COE Calc'!S739))</f>
        <v/>
      </c>
      <c r="U739" s="13" t="str">
        <f t="shared" si="56"/>
        <v/>
      </c>
      <c r="V739" s="13" t="str">
        <f t="shared" si="57"/>
        <v/>
      </c>
      <c r="W739" s="4" t="str">
        <f t="shared" si="58"/>
        <v/>
      </c>
      <c r="X739" t="str">
        <f>IF(W739="","",LOOKUP(_xlfn.CONCAT(P739,", ",Q739),'[1]T+S Costs'!$F$2:$F$3138,'[1]T+S Costs'!$N$2:$N$3138))</f>
        <v/>
      </c>
      <c r="Y739" s="14" t="str">
        <f t="shared" si="59"/>
        <v/>
      </c>
      <c r="Z739" s="4" t="str">
        <f t="shared" si="60"/>
        <v/>
      </c>
    </row>
    <row r="740" spans="16:26" x14ac:dyDescent="0.25">
      <c r="P740" s="10" t="str">
        <f>IF('[1]All Data '!AZ745="","",'[1]All Data '!AZ745)</f>
        <v/>
      </c>
      <c r="Q740" s="10" t="str">
        <f>IF('[1]All Data '!BB745="","",'[1]All Data '!BB745)</f>
        <v/>
      </c>
      <c r="R740" s="10" t="str">
        <f>IF('[1]All Data '!BD745="","",'[1]All Data '!BD745)</f>
        <v/>
      </c>
      <c r="S740" s="11" t="str">
        <f>IF(R740="","",'[1]All Data '!BE745)</f>
        <v/>
      </c>
      <c r="T740" s="12" t="str">
        <f>IF(S740="","",[1]Inputs_Outputs!$B$8*(1-'LOCH Calc COE Calc'!S740))</f>
        <v/>
      </c>
      <c r="U740" s="13" t="str">
        <f t="shared" si="56"/>
        <v/>
      </c>
      <c r="V740" s="13" t="str">
        <f t="shared" si="57"/>
        <v/>
      </c>
      <c r="W740" s="4" t="str">
        <f t="shared" si="58"/>
        <v/>
      </c>
      <c r="X740" t="str">
        <f>IF(W740="","",LOOKUP(_xlfn.CONCAT(P740,", ",Q740),'[1]T+S Costs'!$F$2:$F$3138,'[1]T+S Costs'!$N$2:$N$3138))</f>
        <v/>
      </c>
      <c r="Y740" s="14" t="str">
        <f t="shared" si="59"/>
        <v/>
      </c>
      <c r="Z740" s="4" t="str">
        <f t="shared" si="60"/>
        <v/>
      </c>
    </row>
    <row r="741" spans="16:26" x14ac:dyDescent="0.25">
      <c r="P741" s="10" t="str">
        <f>IF('[1]All Data '!AZ746="","",'[1]All Data '!AZ746)</f>
        <v/>
      </c>
      <c r="Q741" s="10" t="str">
        <f>IF('[1]All Data '!BB746="","",'[1]All Data '!BB746)</f>
        <v/>
      </c>
      <c r="R741" s="10" t="str">
        <f>IF('[1]All Data '!BD746="","",'[1]All Data '!BD746)</f>
        <v/>
      </c>
      <c r="S741" s="11" t="str">
        <f>IF(R741="","",'[1]All Data '!BE746)</f>
        <v/>
      </c>
      <c r="T741" s="12" t="str">
        <f>IF(S741="","",[1]Inputs_Outputs!$B$8*(1-'LOCH Calc COE Calc'!S741))</f>
        <v/>
      </c>
      <c r="U741" s="13" t="str">
        <f t="shared" si="56"/>
        <v/>
      </c>
      <c r="V741" s="13" t="str">
        <f t="shared" si="57"/>
        <v/>
      </c>
      <c r="W741" s="4" t="str">
        <f t="shared" si="58"/>
        <v/>
      </c>
      <c r="X741" t="str">
        <f>IF(W741="","",LOOKUP(_xlfn.CONCAT(P741,", ",Q741),'[1]T+S Costs'!$F$2:$F$3138,'[1]T+S Costs'!$N$2:$N$3138))</f>
        <v/>
      </c>
      <c r="Y741" s="14" t="str">
        <f t="shared" si="59"/>
        <v/>
      </c>
      <c r="Z741" s="4" t="str">
        <f t="shared" si="60"/>
        <v/>
      </c>
    </row>
    <row r="742" spans="16:26" x14ac:dyDescent="0.25">
      <c r="P742" s="10" t="str">
        <f>IF('[1]All Data '!AZ747="","",'[1]All Data '!AZ747)</f>
        <v/>
      </c>
      <c r="Q742" s="10" t="str">
        <f>IF('[1]All Data '!BB747="","",'[1]All Data '!BB747)</f>
        <v/>
      </c>
      <c r="R742" s="10" t="str">
        <f>IF('[1]All Data '!BD747="","",'[1]All Data '!BD747)</f>
        <v/>
      </c>
      <c r="S742" s="11" t="str">
        <f>IF(R742="","",'[1]All Data '!BE747)</f>
        <v/>
      </c>
      <c r="T742" s="12" t="str">
        <f>IF(S742="","",[1]Inputs_Outputs!$B$8*(1-'LOCH Calc COE Calc'!S742))</f>
        <v/>
      </c>
      <c r="U742" s="13" t="str">
        <f t="shared" si="56"/>
        <v/>
      </c>
      <c r="V742" s="13" t="str">
        <f t="shared" si="57"/>
        <v/>
      </c>
      <c r="W742" s="4" t="str">
        <f t="shared" si="58"/>
        <v/>
      </c>
      <c r="X742" t="str">
        <f>IF(W742="","",LOOKUP(_xlfn.CONCAT(P742,", ",Q742),'[1]T+S Costs'!$F$2:$F$3138,'[1]T+S Costs'!$N$2:$N$3138))</f>
        <v/>
      </c>
      <c r="Y742" s="14" t="str">
        <f t="shared" si="59"/>
        <v/>
      </c>
      <c r="Z742" s="4" t="str">
        <f t="shared" si="60"/>
        <v/>
      </c>
    </row>
    <row r="743" spans="16:26" x14ac:dyDescent="0.25">
      <c r="P743" s="10" t="str">
        <f>IF('[1]All Data '!AZ748="","",'[1]All Data '!AZ748)</f>
        <v/>
      </c>
      <c r="Q743" s="10" t="str">
        <f>IF('[1]All Data '!BB748="","",'[1]All Data '!BB748)</f>
        <v/>
      </c>
      <c r="R743" s="10" t="str">
        <f>IF('[1]All Data '!BD748="","",'[1]All Data '!BD748)</f>
        <v/>
      </c>
      <c r="S743" s="11" t="str">
        <f>IF(R743="","",'[1]All Data '!BE748)</f>
        <v/>
      </c>
      <c r="T743" s="12" t="str">
        <f>IF(S743="","",[1]Inputs_Outputs!$B$8*(1-'LOCH Calc COE Calc'!S743))</f>
        <v/>
      </c>
      <c r="U743" s="13" t="str">
        <f t="shared" si="56"/>
        <v/>
      </c>
      <c r="V743" s="13" t="str">
        <f t="shared" si="57"/>
        <v/>
      </c>
      <c r="W743" s="4" t="str">
        <f t="shared" si="58"/>
        <v/>
      </c>
      <c r="X743" t="str">
        <f>IF(W743="","",LOOKUP(_xlfn.CONCAT(P743,", ",Q743),'[1]T+S Costs'!$F$2:$F$3138,'[1]T+S Costs'!$N$2:$N$3138))</f>
        <v/>
      </c>
      <c r="Y743" s="14" t="str">
        <f t="shared" si="59"/>
        <v/>
      </c>
      <c r="Z743" s="4" t="str">
        <f t="shared" si="60"/>
        <v/>
      </c>
    </row>
    <row r="744" spans="16:26" x14ac:dyDescent="0.25">
      <c r="P744" s="10" t="str">
        <f>IF('[1]All Data '!AZ749="","",'[1]All Data '!AZ749)</f>
        <v/>
      </c>
      <c r="Q744" s="10" t="str">
        <f>IF('[1]All Data '!BB749="","",'[1]All Data '!BB749)</f>
        <v/>
      </c>
      <c r="R744" s="10" t="str">
        <f>IF('[1]All Data '!BD749="","",'[1]All Data '!BD749)</f>
        <v/>
      </c>
      <c r="S744" s="11" t="str">
        <f>IF(R744="","",'[1]All Data '!BE749)</f>
        <v/>
      </c>
      <c r="T744" s="12" t="str">
        <f>IF(S744="","",[1]Inputs_Outputs!$B$8*(1-'LOCH Calc COE Calc'!S744))</f>
        <v/>
      </c>
      <c r="U744" s="13" t="str">
        <f t="shared" si="56"/>
        <v/>
      </c>
      <c r="V744" s="13" t="str">
        <f t="shared" si="57"/>
        <v/>
      </c>
      <c r="W744" s="4" t="str">
        <f t="shared" si="58"/>
        <v/>
      </c>
      <c r="X744" t="str">
        <f>IF(W744="","",LOOKUP(_xlfn.CONCAT(P744,", ",Q744),'[1]T+S Costs'!$F$2:$F$3138,'[1]T+S Costs'!$N$2:$N$3138))</f>
        <v/>
      </c>
      <c r="Y744" s="14" t="str">
        <f t="shared" si="59"/>
        <v/>
      </c>
      <c r="Z744" s="4" t="str">
        <f t="shared" si="60"/>
        <v/>
      </c>
    </row>
    <row r="745" spans="16:26" x14ac:dyDescent="0.25">
      <c r="P745" s="10" t="str">
        <f>IF('[1]All Data '!AZ750="","",'[1]All Data '!AZ750)</f>
        <v/>
      </c>
      <c r="Q745" s="10" t="str">
        <f>IF('[1]All Data '!BB750="","",'[1]All Data '!BB750)</f>
        <v/>
      </c>
      <c r="R745" s="10" t="str">
        <f>IF('[1]All Data '!BD750="","",'[1]All Data '!BD750)</f>
        <v/>
      </c>
      <c r="S745" s="11" t="str">
        <f>IF(R745="","",'[1]All Data '!BE750)</f>
        <v/>
      </c>
      <c r="T745" s="12" t="str">
        <f>IF(S745="","",[1]Inputs_Outputs!$B$8*(1-'LOCH Calc COE Calc'!S745))</f>
        <v/>
      </c>
      <c r="U745" s="13" t="str">
        <f t="shared" si="56"/>
        <v/>
      </c>
      <c r="V745" s="13" t="str">
        <f t="shared" si="57"/>
        <v/>
      </c>
      <c r="W745" s="4" t="str">
        <f t="shared" si="58"/>
        <v/>
      </c>
      <c r="X745" t="str">
        <f>IF(W745="","",LOOKUP(_xlfn.CONCAT(P745,", ",Q745),'[1]T+S Costs'!$F$2:$F$3138,'[1]T+S Costs'!$N$2:$N$3138))</f>
        <v/>
      </c>
      <c r="Y745" s="14" t="str">
        <f t="shared" si="59"/>
        <v/>
      </c>
      <c r="Z745" s="4" t="str">
        <f t="shared" si="60"/>
        <v/>
      </c>
    </row>
    <row r="746" spans="16:26" x14ac:dyDescent="0.25">
      <c r="P746" s="10" t="str">
        <f>IF('[1]All Data '!AZ751="","",'[1]All Data '!AZ751)</f>
        <v/>
      </c>
      <c r="Q746" s="10" t="str">
        <f>IF('[1]All Data '!BB751="","",'[1]All Data '!BB751)</f>
        <v/>
      </c>
      <c r="R746" s="10" t="str">
        <f>IF('[1]All Data '!BD751="","",'[1]All Data '!BD751)</f>
        <v/>
      </c>
      <c r="S746" s="11" t="str">
        <f>IF(R746="","",'[1]All Data '!BE751)</f>
        <v/>
      </c>
      <c r="T746" s="12" t="str">
        <f>IF(S746="","",[1]Inputs_Outputs!$B$8*(1-'LOCH Calc COE Calc'!S746))</f>
        <v/>
      </c>
      <c r="U746" s="13" t="str">
        <f t="shared" si="56"/>
        <v/>
      </c>
      <c r="V746" s="13" t="str">
        <f t="shared" si="57"/>
        <v/>
      </c>
      <c r="W746" s="4" t="str">
        <f t="shared" si="58"/>
        <v/>
      </c>
      <c r="X746" t="str">
        <f>IF(W746="","",LOOKUP(_xlfn.CONCAT(P746,", ",Q746),'[1]T+S Costs'!$F$2:$F$3138,'[1]T+S Costs'!$N$2:$N$3138))</f>
        <v/>
      </c>
      <c r="Y746" s="14" t="str">
        <f t="shared" si="59"/>
        <v/>
      </c>
      <c r="Z746" s="4" t="str">
        <f t="shared" si="60"/>
        <v/>
      </c>
    </row>
    <row r="747" spans="16:26" x14ac:dyDescent="0.25">
      <c r="P747" s="10" t="str">
        <f>IF('[1]All Data '!AZ752="","",'[1]All Data '!AZ752)</f>
        <v/>
      </c>
      <c r="Q747" s="10" t="str">
        <f>IF('[1]All Data '!BB752="","",'[1]All Data '!BB752)</f>
        <v/>
      </c>
      <c r="R747" s="10" t="str">
        <f>IF('[1]All Data '!BD752="","",'[1]All Data '!BD752)</f>
        <v/>
      </c>
      <c r="S747" s="11" t="str">
        <f>IF(R747="","",'[1]All Data '!BE752)</f>
        <v/>
      </c>
      <c r="T747" s="12" t="str">
        <f>IF(S747="","",[1]Inputs_Outputs!$B$8*(1-'LOCH Calc COE Calc'!S747))</f>
        <v/>
      </c>
      <c r="U747" s="13" t="str">
        <f t="shared" si="56"/>
        <v/>
      </c>
      <c r="V747" s="13" t="str">
        <f t="shared" si="57"/>
        <v/>
      </c>
      <c r="W747" s="4" t="str">
        <f t="shared" si="58"/>
        <v/>
      </c>
      <c r="X747" t="str">
        <f>IF(W747="","",LOOKUP(_xlfn.CONCAT(P747,", ",Q747),'[1]T+S Costs'!$F$2:$F$3138,'[1]T+S Costs'!$N$2:$N$3138))</f>
        <v/>
      </c>
      <c r="Y747" s="14" t="str">
        <f t="shared" si="59"/>
        <v/>
      </c>
      <c r="Z747" s="4" t="str">
        <f t="shared" si="60"/>
        <v/>
      </c>
    </row>
    <row r="748" spans="16:26" x14ac:dyDescent="0.25">
      <c r="P748" s="10" t="str">
        <f>IF('[1]All Data '!AZ753="","",'[1]All Data '!AZ753)</f>
        <v/>
      </c>
      <c r="Q748" s="10" t="str">
        <f>IF('[1]All Data '!BB753="","",'[1]All Data '!BB753)</f>
        <v/>
      </c>
      <c r="R748" s="10" t="str">
        <f>IF('[1]All Data '!BD753="","",'[1]All Data '!BD753)</f>
        <v/>
      </c>
      <c r="S748" s="11" t="str">
        <f>IF(R748="","",'[1]All Data '!BE753)</f>
        <v/>
      </c>
      <c r="T748" s="12" t="str">
        <f>IF(S748="","",[1]Inputs_Outputs!$B$8*(1-'LOCH Calc COE Calc'!S748))</f>
        <v/>
      </c>
      <c r="U748" s="13" t="str">
        <f t="shared" si="56"/>
        <v/>
      </c>
      <c r="V748" s="13" t="str">
        <f t="shared" si="57"/>
        <v/>
      </c>
      <c r="W748" s="4" t="str">
        <f t="shared" si="58"/>
        <v/>
      </c>
      <c r="X748" t="str">
        <f>IF(W748="","",LOOKUP(_xlfn.CONCAT(P748,", ",Q748),'[1]T+S Costs'!$F$2:$F$3138,'[1]T+S Costs'!$N$2:$N$3138))</f>
        <v/>
      </c>
      <c r="Y748" s="14" t="str">
        <f t="shared" si="59"/>
        <v/>
      </c>
      <c r="Z748" s="4" t="str">
        <f t="shared" si="60"/>
        <v/>
      </c>
    </row>
    <row r="749" spans="16:26" x14ac:dyDescent="0.25">
      <c r="P749" s="10" t="str">
        <f>IF('[1]All Data '!AZ754="","",'[1]All Data '!AZ754)</f>
        <v/>
      </c>
      <c r="Q749" s="10" t="str">
        <f>IF('[1]All Data '!BB754="","",'[1]All Data '!BB754)</f>
        <v/>
      </c>
      <c r="R749" s="10" t="str">
        <f>IF('[1]All Data '!BD754="","",'[1]All Data '!BD754)</f>
        <v/>
      </c>
      <c r="S749" s="11" t="str">
        <f>IF(R749="","",'[1]All Data '!BE754)</f>
        <v/>
      </c>
      <c r="T749" s="12" t="str">
        <f>IF(S749="","",[1]Inputs_Outputs!$B$8*(1-'LOCH Calc COE Calc'!S749))</f>
        <v/>
      </c>
      <c r="U749" s="13" t="str">
        <f t="shared" si="56"/>
        <v/>
      </c>
      <c r="V749" s="13" t="str">
        <f t="shared" si="57"/>
        <v/>
      </c>
      <c r="W749" s="4" t="str">
        <f t="shared" si="58"/>
        <v/>
      </c>
      <c r="X749" t="str">
        <f>IF(W749="","",LOOKUP(_xlfn.CONCAT(P749,", ",Q749),'[1]T+S Costs'!$F$2:$F$3138,'[1]T+S Costs'!$N$2:$N$3138))</f>
        <v/>
      </c>
      <c r="Y749" s="14" t="str">
        <f t="shared" si="59"/>
        <v/>
      </c>
      <c r="Z749" s="4" t="str">
        <f t="shared" si="60"/>
        <v/>
      </c>
    </row>
    <row r="750" spans="16:26" x14ac:dyDescent="0.25">
      <c r="P750" s="10" t="str">
        <f>IF('[1]All Data '!AZ755="","",'[1]All Data '!AZ755)</f>
        <v/>
      </c>
      <c r="Q750" s="10" t="str">
        <f>IF('[1]All Data '!BB755="","",'[1]All Data '!BB755)</f>
        <v/>
      </c>
      <c r="R750" s="10" t="str">
        <f>IF('[1]All Data '!BD755="","",'[1]All Data '!BD755)</f>
        <v/>
      </c>
      <c r="S750" s="11" t="str">
        <f>IF(R750="","",'[1]All Data '!BE755)</f>
        <v/>
      </c>
      <c r="T750" s="12" t="str">
        <f>IF(S750="","",[1]Inputs_Outputs!$B$8*(1-'LOCH Calc COE Calc'!S750))</f>
        <v/>
      </c>
      <c r="U750" s="13" t="str">
        <f t="shared" si="56"/>
        <v/>
      </c>
      <c r="V750" s="13" t="str">
        <f t="shared" si="57"/>
        <v/>
      </c>
      <c r="W750" s="4" t="str">
        <f t="shared" si="58"/>
        <v/>
      </c>
      <c r="X750" t="str">
        <f>IF(W750="","",LOOKUP(_xlfn.CONCAT(P750,", ",Q750),'[1]T+S Costs'!$F$2:$F$3138,'[1]T+S Costs'!$N$2:$N$3138))</f>
        <v/>
      </c>
      <c r="Y750" s="14" t="str">
        <f t="shared" si="59"/>
        <v/>
      </c>
      <c r="Z750" s="4" t="str">
        <f t="shared" si="60"/>
        <v/>
      </c>
    </row>
    <row r="751" spans="16:26" x14ac:dyDescent="0.25">
      <c r="P751" s="10" t="str">
        <f>IF('[1]All Data '!AZ756="","",'[1]All Data '!AZ756)</f>
        <v/>
      </c>
      <c r="Q751" s="10" t="str">
        <f>IF('[1]All Data '!BB756="","",'[1]All Data '!BB756)</f>
        <v/>
      </c>
      <c r="R751" s="10" t="str">
        <f>IF('[1]All Data '!BD756="","",'[1]All Data '!BD756)</f>
        <v/>
      </c>
      <c r="S751" s="11" t="str">
        <f>IF(R751="","",'[1]All Data '!BE756)</f>
        <v/>
      </c>
      <c r="T751" s="12" t="str">
        <f>IF(S751="","",[1]Inputs_Outputs!$B$8*(1-'LOCH Calc COE Calc'!S751))</f>
        <v/>
      </c>
      <c r="U751" s="13" t="str">
        <f t="shared" si="56"/>
        <v/>
      </c>
      <c r="V751" s="13" t="str">
        <f t="shared" si="57"/>
        <v/>
      </c>
      <c r="W751" s="4" t="str">
        <f t="shared" si="58"/>
        <v/>
      </c>
      <c r="X751" t="str">
        <f>IF(W751="","",LOOKUP(_xlfn.CONCAT(P751,", ",Q751),'[1]T+S Costs'!$F$2:$F$3138,'[1]T+S Costs'!$N$2:$N$3138))</f>
        <v/>
      </c>
      <c r="Y751" s="14" t="str">
        <f t="shared" si="59"/>
        <v/>
      </c>
      <c r="Z751" s="4" t="str">
        <f t="shared" si="60"/>
        <v/>
      </c>
    </row>
    <row r="752" spans="16:26" x14ac:dyDescent="0.25">
      <c r="P752" s="10" t="str">
        <f>IF('[1]All Data '!AZ757="","",'[1]All Data '!AZ757)</f>
        <v/>
      </c>
      <c r="Q752" s="10" t="str">
        <f>IF('[1]All Data '!BB757="","",'[1]All Data '!BB757)</f>
        <v/>
      </c>
      <c r="R752" s="10" t="str">
        <f>IF('[1]All Data '!BD757="","",'[1]All Data '!BD757)</f>
        <v/>
      </c>
      <c r="S752" s="11" t="str">
        <f>IF(R752="","",'[1]All Data '!BE757)</f>
        <v/>
      </c>
      <c r="T752" s="12" t="str">
        <f>IF(S752="","",[1]Inputs_Outputs!$B$8*(1-'LOCH Calc COE Calc'!S752))</f>
        <v/>
      </c>
      <c r="U752" s="13" t="str">
        <f t="shared" si="56"/>
        <v/>
      </c>
      <c r="V752" s="13" t="str">
        <f t="shared" si="57"/>
        <v/>
      </c>
      <c r="W752" s="4" t="str">
        <f t="shared" si="58"/>
        <v/>
      </c>
      <c r="X752" t="str">
        <f>IF(W752="","",LOOKUP(_xlfn.CONCAT(P752,", ",Q752),'[1]T+S Costs'!$F$2:$F$3138,'[1]T+S Costs'!$N$2:$N$3138))</f>
        <v/>
      </c>
      <c r="Y752" s="14" t="str">
        <f t="shared" si="59"/>
        <v/>
      </c>
      <c r="Z752" s="4" t="str">
        <f t="shared" si="60"/>
        <v/>
      </c>
    </row>
    <row r="753" spans="16:26" x14ac:dyDescent="0.25">
      <c r="P753" s="10" t="str">
        <f>IF('[1]All Data '!AZ758="","",'[1]All Data '!AZ758)</f>
        <v/>
      </c>
      <c r="Q753" s="10" t="str">
        <f>IF('[1]All Data '!BB758="","",'[1]All Data '!BB758)</f>
        <v/>
      </c>
      <c r="R753" s="10" t="str">
        <f>IF('[1]All Data '!BD758="","",'[1]All Data '!BD758)</f>
        <v/>
      </c>
      <c r="S753" s="11" t="str">
        <f>IF(R753="","",'[1]All Data '!BE758)</f>
        <v/>
      </c>
      <c r="T753" s="12" t="str">
        <f>IF(S753="","",[1]Inputs_Outputs!$B$8*(1-'LOCH Calc COE Calc'!S753))</f>
        <v/>
      </c>
      <c r="U753" s="13" t="str">
        <f t="shared" si="56"/>
        <v/>
      </c>
      <c r="V753" s="13" t="str">
        <f t="shared" si="57"/>
        <v/>
      </c>
      <c r="W753" s="4" t="str">
        <f t="shared" si="58"/>
        <v/>
      </c>
      <c r="X753" t="str">
        <f>IF(W753="","",LOOKUP(_xlfn.CONCAT(P753,", ",Q753),'[1]T+S Costs'!$F$2:$F$3138,'[1]T+S Costs'!$N$2:$N$3138))</f>
        <v/>
      </c>
      <c r="Y753" s="14" t="str">
        <f t="shared" si="59"/>
        <v/>
      </c>
      <c r="Z753" s="4" t="str">
        <f t="shared" si="60"/>
        <v/>
      </c>
    </row>
    <row r="754" spans="16:26" x14ac:dyDescent="0.25">
      <c r="P754" s="10" t="str">
        <f>IF('[1]All Data '!AZ759="","",'[1]All Data '!AZ759)</f>
        <v/>
      </c>
      <c r="Q754" s="10" t="str">
        <f>IF('[1]All Data '!BB759="","",'[1]All Data '!BB759)</f>
        <v/>
      </c>
      <c r="R754" s="10" t="str">
        <f>IF('[1]All Data '!BD759="","",'[1]All Data '!BD759)</f>
        <v/>
      </c>
      <c r="S754" s="11" t="str">
        <f>IF(R754="","",'[1]All Data '!BE759)</f>
        <v/>
      </c>
      <c r="T754" s="12" t="str">
        <f>IF(S754="","",[1]Inputs_Outputs!$B$8*(1-'LOCH Calc COE Calc'!S754))</f>
        <v/>
      </c>
      <c r="U754" s="13" t="str">
        <f t="shared" si="56"/>
        <v/>
      </c>
      <c r="V754" s="13" t="str">
        <f t="shared" si="57"/>
        <v/>
      </c>
      <c r="W754" s="4" t="str">
        <f t="shared" si="58"/>
        <v/>
      </c>
      <c r="X754" t="str">
        <f>IF(W754="","",LOOKUP(_xlfn.CONCAT(P754,", ",Q754),'[1]T+S Costs'!$F$2:$F$3138,'[1]T+S Costs'!$N$2:$N$3138))</f>
        <v/>
      </c>
      <c r="Y754" s="14" t="str">
        <f t="shared" si="59"/>
        <v/>
      </c>
      <c r="Z754" s="4" t="str">
        <f t="shared" si="60"/>
        <v/>
      </c>
    </row>
    <row r="755" spans="16:26" x14ac:dyDescent="0.25">
      <c r="P755" s="10" t="str">
        <f>IF('[1]All Data '!AZ760="","",'[1]All Data '!AZ760)</f>
        <v/>
      </c>
      <c r="Q755" s="10" t="str">
        <f>IF('[1]All Data '!BB760="","",'[1]All Data '!BB760)</f>
        <v/>
      </c>
      <c r="R755" s="10" t="str">
        <f>IF('[1]All Data '!BD760="","",'[1]All Data '!BD760)</f>
        <v/>
      </c>
      <c r="S755" s="11" t="str">
        <f>IF(R755="","",'[1]All Data '!BE760)</f>
        <v/>
      </c>
      <c r="T755" s="12" t="str">
        <f>IF(S755="","",[1]Inputs_Outputs!$B$8*(1-'LOCH Calc COE Calc'!S755))</f>
        <v/>
      </c>
      <c r="U755" s="13" t="str">
        <f t="shared" si="56"/>
        <v/>
      </c>
      <c r="V755" s="13" t="str">
        <f t="shared" si="57"/>
        <v/>
      </c>
      <c r="W755" s="4" t="str">
        <f t="shared" si="58"/>
        <v/>
      </c>
      <c r="X755" t="str">
        <f>IF(W755="","",LOOKUP(_xlfn.CONCAT(P755,", ",Q755),'[1]T+S Costs'!$F$2:$F$3138,'[1]T+S Costs'!$N$2:$N$3138))</f>
        <v/>
      </c>
      <c r="Y755" s="14" t="str">
        <f t="shared" si="59"/>
        <v/>
      </c>
      <c r="Z755" s="4" t="str">
        <f t="shared" si="60"/>
        <v/>
      </c>
    </row>
    <row r="756" spans="16:26" x14ac:dyDescent="0.25">
      <c r="P756" s="10" t="str">
        <f>IF('[1]All Data '!AZ761="","",'[1]All Data '!AZ761)</f>
        <v/>
      </c>
      <c r="Q756" s="10" t="str">
        <f>IF('[1]All Data '!BB761="","",'[1]All Data '!BB761)</f>
        <v/>
      </c>
      <c r="R756" s="10" t="str">
        <f>IF('[1]All Data '!BD761="","",'[1]All Data '!BD761)</f>
        <v/>
      </c>
      <c r="S756" s="11" t="str">
        <f>IF(R756="","",'[1]All Data '!BE761)</f>
        <v/>
      </c>
      <c r="T756" s="12" t="str">
        <f>IF(S756="","",[1]Inputs_Outputs!$B$8*(1-'LOCH Calc COE Calc'!S756))</f>
        <v/>
      </c>
      <c r="U756" s="13" t="str">
        <f t="shared" si="56"/>
        <v/>
      </c>
      <c r="V756" s="13" t="str">
        <f t="shared" si="57"/>
        <v/>
      </c>
      <c r="W756" s="4" t="str">
        <f t="shared" si="58"/>
        <v/>
      </c>
      <c r="X756" t="str">
        <f>IF(W756="","",LOOKUP(_xlfn.CONCAT(P756,", ",Q756),'[1]T+S Costs'!$F$2:$F$3138,'[1]T+S Costs'!$N$2:$N$3138))</f>
        <v/>
      </c>
      <c r="Y756" s="14" t="str">
        <f t="shared" si="59"/>
        <v/>
      </c>
      <c r="Z756" s="4" t="str">
        <f t="shared" si="60"/>
        <v/>
      </c>
    </row>
    <row r="757" spans="16:26" x14ac:dyDescent="0.25">
      <c r="P757" s="10" t="str">
        <f>IF('[1]All Data '!AZ762="","",'[1]All Data '!AZ762)</f>
        <v/>
      </c>
      <c r="Q757" s="10" t="str">
        <f>IF('[1]All Data '!BB762="","",'[1]All Data '!BB762)</f>
        <v/>
      </c>
      <c r="R757" s="10" t="str">
        <f>IF('[1]All Data '!BD762="","",'[1]All Data '!BD762)</f>
        <v/>
      </c>
      <c r="S757" s="11" t="str">
        <f>IF(R757="","",'[1]All Data '!BE762)</f>
        <v/>
      </c>
      <c r="T757" s="12" t="str">
        <f>IF(S757="","",[1]Inputs_Outputs!$B$8*(1-'LOCH Calc COE Calc'!S757))</f>
        <v/>
      </c>
      <c r="U757" s="13" t="str">
        <f t="shared" si="56"/>
        <v/>
      </c>
      <c r="V757" s="13" t="str">
        <f t="shared" si="57"/>
        <v/>
      </c>
      <c r="W757" s="4" t="str">
        <f t="shared" si="58"/>
        <v/>
      </c>
      <c r="X757" t="str">
        <f>IF(W757="","",LOOKUP(_xlfn.CONCAT(P757,", ",Q757),'[1]T+S Costs'!$F$2:$F$3138,'[1]T+S Costs'!$N$2:$N$3138))</f>
        <v/>
      </c>
      <c r="Y757" s="14" t="str">
        <f t="shared" si="59"/>
        <v/>
      </c>
      <c r="Z757" s="4" t="str">
        <f t="shared" si="60"/>
        <v/>
      </c>
    </row>
    <row r="758" spans="16:26" x14ac:dyDescent="0.25">
      <c r="P758" s="10" t="str">
        <f>IF('[1]All Data '!AZ763="","",'[1]All Data '!AZ763)</f>
        <v/>
      </c>
      <c r="Q758" s="10" t="str">
        <f>IF('[1]All Data '!BB763="","",'[1]All Data '!BB763)</f>
        <v/>
      </c>
      <c r="R758" s="10" t="str">
        <f>IF('[1]All Data '!BD763="","",'[1]All Data '!BD763)</f>
        <v/>
      </c>
      <c r="S758" s="11" t="str">
        <f>IF(R758="","",'[1]All Data '!BE763)</f>
        <v/>
      </c>
      <c r="T758" s="12" t="str">
        <f>IF(S758="","",[1]Inputs_Outputs!$B$8*(1-'LOCH Calc COE Calc'!S758))</f>
        <v/>
      </c>
      <c r="U758" s="13" t="str">
        <f t="shared" si="56"/>
        <v/>
      </c>
      <c r="V758" s="13" t="str">
        <f t="shared" si="57"/>
        <v/>
      </c>
      <c r="W758" s="4" t="str">
        <f t="shared" si="58"/>
        <v/>
      </c>
      <c r="X758" t="str">
        <f>IF(W758="","",LOOKUP(_xlfn.CONCAT(P758,", ",Q758),'[1]T+S Costs'!$F$2:$F$3138,'[1]T+S Costs'!$N$2:$N$3138))</f>
        <v/>
      </c>
      <c r="Y758" s="14" t="str">
        <f t="shared" si="59"/>
        <v/>
      </c>
      <c r="Z758" s="4" t="str">
        <f t="shared" si="60"/>
        <v/>
      </c>
    </row>
    <row r="759" spans="16:26" x14ac:dyDescent="0.25">
      <c r="P759" s="10" t="str">
        <f>IF('[1]All Data '!AZ764="","",'[1]All Data '!AZ764)</f>
        <v/>
      </c>
      <c r="Q759" s="10" t="str">
        <f>IF('[1]All Data '!BB764="","",'[1]All Data '!BB764)</f>
        <v/>
      </c>
      <c r="R759" s="10" t="str">
        <f>IF('[1]All Data '!BD764="","",'[1]All Data '!BD764)</f>
        <v/>
      </c>
      <c r="S759" s="11" t="str">
        <f>IF(R759="","",'[1]All Data '!BE764)</f>
        <v/>
      </c>
      <c r="T759" s="12" t="str">
        <f>IF(S759="","",[1]Inputs_Outputs!$B$8*(1-'LOCH Calc COE Calc'!S759))</f>
        <v/>
      </c>
      <c r="U759" s="13" t="str">
        <f t="shared" si="56"/>
        <v/>
      </c>
      <c r="V759" s="13" t="str">
        <f t="shared" si="57"/>
        <v/>
      </c>
      <c r="W759" s="4" t="str">
        <f t="shared" si="58"/>
        <v/>
      </c>
      <c r="X759" t="str">
        <f>IF(W759="","",LOOKUP(_xlfn.CONCAT(P759,", ",Q759),'[1]T+S Costs'!$F$2:$F$3138,'[1]T+S Costs'!$N$2:$N$3138))</f>
        <v/>
      </c>
      <c r="Y759" s="14" t="str">
        <f t="shared" si="59"/>
        <v/>
      </c>
      <c r="Z759" s="4" t="str">
        <f t="shared" si="60"/>
        <v/>
      </c>
    </row>
    <row r="760" spans="16:26" x14ac:dyDescent="0.25">
      <c r="P760" s="10" t="str">
        <f>IF('[1]All Data '!AZ765="","",'[1]All Data '!AZ765)</f>
        <v/>
      </c>
      <c r="Q760" s="10" t="str">
        <f>IF('[1]All Data '!BB765="","",'[1]All Data '!BB765)</f>
        <v/>
      </c>
      <c r="R760" s="10" t="str">
        <f>IF('[1]All Data '!BD765="","",'[1]All Data '!BD765)</f>
        <v/>
      </c>
      <c r="S760" s="11" t="str">
        <f>IF(R760="","",'[1]All Data '!BE765)</f>
        <v/>
      </c>
      <c r="T760" s="12" t="str">
        <f>IF(S760="","",[1]Inputs_Outputs!$B$8*(1-'LOCH Calc COE Calc'!S760))</f>
        <v/>
      </c>
      <c r="U760" s="13" t="str">
        <f t="shared" si="56"/>
        <v/>
      </c>
      <c r="V760" s="13" t="str">
        <f t="shared" si="57"/>
        <v/>
      </c>
      <c r="W760" s="4" t="str">
        <f t="shared" si="58"/>
        <v/>
      </c>
      <c r="X760" t="str">
        <f>IF(W760="","",LOOKUP(_xlfn.CONCAT(P760,", ",Q760),'[1]T+S Costs'!$F$2:$F$3138,'[1]T+S Costs'!$N$2:$N$3138))</f>
        <v/>
      </c>
      <c r="Y760" s="14" t="str">
        <f t="shared" si="59"/>
        <v/>
      </c>
      <c r="Z760" s="4" t="str">
        <f t="shared" si="60"/>
        <v/>
      </c>
    </row>
    <row r="761" spans="16:26" x14ac:dyDescent="0.25">
      <c r="P761" s="10" t="str">
        <f>IF('[1]All Data '!AZ766="","",'[1]All Data '!AZ766)</f>
        <v/>
      </c>
      <c r="Q761" s="10" t="str">
        <f>IF('[1]All Data '!BB766="","",'[1]All Data '!BB766)</f>
        <v/>
      </c>
      <c r="R761" s="10" t="str">
        <f>IF('[1]All Data '!BD766="","",'[1]All Data '!BD766)</f>
        <v/>
      </c>
      <c r="S761" s="11" t="str">
        <f>IF(R761="","",'[1]All Data '!BE766)</f>
        <v/>
      </c>
      <c r="T761" s="12" t="str">
        <f>IF(S761="","",[1]Inputs_Outputs!$B$8*(1-'LOCH Calc COE Calc'!S761))</f>
        <v/>
      </c>
      <c r="U761" s="13" t="str">
        <f t="shared" si="56"/>
        <v/>
      </c>
      <c r="V761" s="13" t="str">
        <f t="shared" si="57"/>
        <v/>
      </c>
      <c r="W761" s="4" t="str">
        <f t="shared" si="58"/>
        <v/>
      </c>
      <c r="X761" t="str">
        <f>IF(W761="","",LOOKUP(_xlfn.CONCAT(P761,", ",Q761),'[1]T+S Costs'!$F$2:$F$3138,'[1]T+S Costs'!$N$2:$N$3138))</f>
        <v/>
      </c>
      <c r="Y761" s="14" t="str">
        <f t="shared" si="59"/>
        <v/>
      </c>
      <c r="Z761" s="4" t="str">
        <f t="shared" si="60"/>
        <v/>
      </c>
    </row>
    <row r="762" spans="16:26" x14ac:dyDescent="0.25">
      <c r="P762" s="10" t="str">
        <f>IF('[1]All Data '!AZ767="","",'[1]All Data '!AZ767)</f>
        <v/>
      </c>
      <c r="Q762" s="10" t="str">
        <f>IF('[1]All Data '!BB767="","",'[1]All Data '!BB767)</f>
        <v/>
      </c>
      <c r="R762" s="10" t="str">
        <f>IF('[1]All Data '!BD767="","",'[1]All Data '!BD767)</f>
        <v/>
      </c>
      <c r="S762" s="11" t="str">
        <f>IF(R762="","",'[1]All Data '!BE767)</f>
        <v/>
      </c>
      <c r="T762" s="12" t="str">
        <f>IF(S762="","",[1]Inputs_Outputs!$B$8*(1-'LOCH Calc COE Calc'!S762))</f>
        <v/>
      </c>
      <c r="U762" s="13" t="str">
        <f t="shared" si="56"/>
        <v/>
      </c>
      <c r="V762" s="13" t="str">
        <f t="shared" si="57"/>
        <v/>
      </c>
      <c r="W762" s="4" t="str">
        <f t="shared" si="58"/>
        <v/>
      </c>
      <c r="X762" t="str">
        <f>IF(W762="","",LOOKUP(_xlfn.CONCAT(P762,", ",Q762),'[1]T+S Costs'!$F$2:$F$3138,'[1]T+S Costs'!$N$2:$N$3138))</f>
        <v/>
      </c>
      <c r="Y762" s="14" t="str">
        <f t="shared" si="59"/>
        <v/>
      </c>
      <c r="Z762" s="4" t="str">
        <f t="shared" si="60"/>
        <v/>
      </c>
    </row>
    <row r="763" spans="16:26" x14ac:dyDescent="0.25">
      <c r="P763" s="10" t="str">
        <f>IF('[1]All Data '!AZ768="","",'[1]All Data '!AZ768)</f>
        <v/>
      </c>
      <c r="Q763" s="10" t="str">
        <f>IF('[1]All Data '!BB768="","",'[1]All Data '!BB768)</f>
        <v/>
      </c>
      <c r="R763" s="10" t="str">
        <f>IF('[1]All Data '!BD768="","",'[1]All Data '!BD768)</f>
        <v/>
      </c>
      <c r="S763" s="11" t="str">
        <f>IF(R763="","",'[1]All Data '!BE768)</f>
        <v/>
      </c>
      <c r="T763" s="12" t="str">
        <f>IF(S763="","",[1]Inputs_Outputs!$B$8*(1-'LOCH Calc COE Calc'!S763))</f>
        <v/>
      </c>
      <c r="U763" s="13" t="str">
        <f t="shared" si="56"/>
        <v/>
      </c>
      <c r="V763" s="13" t="str">
        <f t="shared" si="57"/>
        <v/>
      </c>
      <c r="W763" s="4" t="str">
        <f t="shared" si="58"/>
        <v/>
      </c>
      <c r="X763" t="str">
        <f>IF(W763="","",LOOKUP(_xlfn.CONCAT(P763,", ",Q763),'[1]T+S Costs'!$F$2:$F$3138,'[1]T+S Costs'!$N$2:$N$3138))</f>
        <v/>
      </c>
      <c r="Y763" s="14" t="str">
        <f t="shared" si="59"/>
        <v/>
      </c>
      <c r="Z763" s="4" t="str">
        <f t="shared" si="60"/>
        <v/>
      </c>
    </row>
    <row r="764" spans="16:26" x14ac:dyDescent="0.25">
      <c r="P764" s="10" t="str">
        <f>IF('[1]All Data '!AZ769="","",'[1]All Data '!AZ769)</f>
        <v/>
      </c>
      <c r="Q764" s="10" t="str">
        <f>IF('[1]All Data '!BB769="","",'[1]All Data '!BB769)</f>
        <v/>
      </c>
      <c r="R764" s="10" t="str">
        <f>IF('[1]All Data '!BD769="","",'[1]All Data '!BD769)</f>
        <v/>
      </c>
      <c r="S764" s="11" t="str">
        <f>IF(R764="","",'[1]All Data '!BE769)</f>
        <v/>
      </c>
      <c r="T764" s="12" t="str">
        <f>IF(S764="","",[1]Inputs_Outputs!$B$8*(1-'LOCH Calc COE Calc'!S764))</f>
        <v/>
      </c>
      <c r="U764" s="13" t="str">
        <f t="shared" si="56"/>
        <v/>
      </c>
      <c r="V764" s="13" t="str">
        <f t="shared" si="57"/>
        <v/>
      </c>
      <c r="W764" s="4" t="str">
        <f t="shared" si="58"/>
        <v/>
      </c>
      <c r="X764" t="str">
        <f>IF(W764="","",LOOKUP(_xlfn.CONCAT(P764,", ",Q764),'[1]T+S Costs'!$F$2:$F$3138,'[1]T+S Costs'!$N$2:$N$3138))</f>
        <v/>
      </c>
      <c r="Y764" s="14" t="str">
        <f t="shared" si="59"/>
        <v/>
      </c>
      <c r="Z764" s="4" t="str">
        <f t="shared" si="60"/>
        <v/>
      </c>
    </row>
    <row r="765" spans="16:26" x14ac:dyDescent="0.25">
      <c r="P765" s="10" t="str">
        <f>IF('[1]All Data '!AZ770="","",'[1]All Data '!AZ770)</f>
        <v/>
      </c>
      <c r="Q765" s="10" t="str">
        <f>IF('[1]All Data '!BB770="","",'[1]All Data '!BB770)</f>
        <v/>
      </c>
      <c r="R765" s="10" t="str">
        <f>IF('[1]All Data '!BD770="","",'[1]All Data '!BD770)</f>
        <v/>
      </c>
      <c r="S765" s="11" t="str">
        <f>IF(R765="","",'[1]All Data '!BE770)</f>
        <v/>
      </c>
      <c r="T765" s="12" t="str">
        <f>IF(S765="","",[1]Inputs_Outputs!$B$8*(1-'LOCH Calc COE Calc'!S765))</f>
        <v/>
      </c>
      <c r="U765" s="13" t="str">
        <f t="shared" si="56"/>
        <v/>
      </c>
      <c r="V765" s="13" t="str">
        <f t="shared" si="57"/>
        <v/>
      </c>
      <c r="W765" s="4" t="str">
        <f t="shared" si="58"/>
        <v/>
      </c>
      <c r="X765" t="str">
        <f>IF(W765="","",LOOKUP(_xlfn.CONCAT(P765,", ",Q765),'[1]T+S Costs'!$F$2:$F$3138,'[1]T+S Costs'!$N$2:$N$3138))</f>
        <v/>
      </c>
      <c r="Y765" s="14" t="str">
        <f t="shared" si="59"/>
        <v/>
      </c>
      <c r="Z765" s="4" t="str">
        <f t="shared" si="60"/>
        <v/>
      </c>
    </row>
    <row r="766" spans="16:26" x14ac:dyDescent="0.25">
      <c r="P766" s="10" t="str">
        <f>IF('[1]All Data '!AZ771="","",'[1]All Data '!AZ771)</f>
        <v/>
      </c>
      <c r="Q766" s="10" t="str">
        <f>IF('[1]All Data '!BB771="","",'[1]All Data '!BB771)</f>
        <v/>
      </c>
      <c r="R766" s="10" t="str">
        <f>IF('[1]All Data '!BD771="","",'[1]All Data '!BD771)</f>
        <v/>
      </c>
      <c r="S766" s="11" t="str">
        <f>IF(R766="","",'[1]All Data '!BE771)</f>
        <v/>
      </c>
      <c r="T766" s="12" t="str">
        <f>IF(S766="","",[1]Inputs_Outputs!$B$8*(1-'LOCH Calc COE Calc'!S766))</f>
        <v/>
      </c>
      <c r="U766" s="13" t="str">
        <f t="shared" si="56"/>
        <v/>
      </c>
      <c r="V766" s="13" t="str">
        <f t="shared" si="57"/>
        <v/>
      </c>
      <c r="W766" s="4" t="str">
        <f t="shared" si="58"/>
        <v/>
      </c>
      <c r="X766" t="str">
        <f>IF(W766="","",LOOKUP(_xlfn.CONCAT(P766,", ",Q766),'[1]T+S Costs'!$F$2:$F$3138,'[1]T+S Costs'!$N$2:$N$3138))</f>
        <v/>
      </c>
      <c r="Y766" s="14" t="str">
        <f t="shared" si="59"/>
        <v/>
      </c>
      <c r="Z766" s="4" t="str">
        <f t="shared" si="60"/>
        <v/>
      </c>
    </row>
    <row r="767" spans="16:26" x14ac:dyDescent="0.25">
      <c r="P767" s="10" t="str">
        <f>IF('[1]All Data '!AZ772="","",'[1]All Data '!AZ772)</f>
        <v/>
      </c>
      <c r="Q767" s="10" t="str">
        <f>IF('[1]All Data '!BB772="","",'[1]All Data '!BB772)</f>
        <v/>
      </c>
      <c r="R767" s="10" t="str">
        <f>IF('[1]All Data '!BD772="","",'[1]All Data '!BD772)</f>
        <v/>
      </c>
      <c r="S767" s="11" t="str">
        <f>IF(R767="","",'[1]All Data '!BE772)</f>
        <v/>
      </c>
      <c r="T767" s="12" t="str">
        <f>IF(S767="","",[1]Inputs_Outputs!$B$8*(1-'LOCH Calc COE Calc'!S767))</f>
        <v/>
      </c>
      <c r="U767" s="13" t="str">
        <f t="shared" si="56"/>
        <v/>
      </c>
      <c r="V767" s="13" t="str">
        <f t="shared" si="57"/>
        <v/>
      </c>
      <c r="W767" s="4" t="str">
        <f t="shared" si="58"/>
        <v/>
      </c>
      <c r="X767" t="str">
        <f>IF(W767="","",LOOKUP(_xlfn.CONCAT(P767,", ",Q767),'[1]T+S Costs'!$F$2:$F$3138,'[1]T+S Costs'!$N$2:$N$3138))</f>
        <v/>
      </c>
      <c r="Y767" s="14" t="str">
        <f t="shared" si="59"/>
        <v/>
      </c>
      <c r="Z767" s="4" t="str">
        <f t="shared" si="60"/>
        <v/>
      </c>
    </row>
    <row r="768" spans="16:26" x14ac:dyDescent="0.25">
      <c r="P768" s="10" t="str">
        <f>IF('[1]All Data '!AZ773="","",'[1]All Data '!AZ773)</f>
        <v/>
      </c>
      <c r="Q768" s="10" t="str">
        <f>IF('[1]All Data '!BB773="","",'[1]All Data '!BB773)</f>
        <v/>
      </c>
      <c r="R768" s="10" t="str">
        <f>IF('[1]All Data '!BD773="","",'[1]All Data '!BD773)</f>
        <v/>
      </c>
      <c r="S768" s="11" t="str">
        <f>IF(R768="","",'[1]All Data '!BE773)</f>
        <v/>
      </c>
      <c r="T768" s="12" t="str">
        <f>IF(S768="","",[1]Inputs_Outputs!$B$8*(1-'LOCH Calc COE Calc'!S768))</f>
        <v/>
      </c>
      <c r="U768" s="13" t="str">
        <f t="shared" si="56"/>
        <v/>
      </c>
      <c r="V768" s="13" t="str">
        <f t="shared" si="57"/>
        <v/>
      </c>
      <c r="W768" s="4" t="str">
        <f t="shared" si="58"/>
        <v/>
      </c>
      <c r="X768" t="str">
        <f>IF(W768="","",LOOKUP(_xlfn.CONCAT(P768,", ",Q768),'[1]T+S Costs'!$F$2:$F$3138,'[1]T+S Costs'!$N$2:$N$3138))</f>
        <v/>
      </c>
      <c r="Y768" s="14" t="str">
        <f t="shared" si="59"/>
        <v/>
      </c>
      <c r="Z768" s="4" t="str">
        <f t="shared" si="60"/>
        <v/>
      </c>
    </row>
    <row r="769" spans="16:26" x14ac:dyDescent="0.25">
      <c r="P769" s="10" t="str">
        <f>IF('[1]All Data '!AZ774="","",'[1]All Data '!AZ774)</f>
        <v/>
      </c>
      <c r="Q769" s="10" t="str">
        <f>IF('[1]All Data '!BB774="","",'[1]All Data '!BB774)</f>
        <v/>
      </c>
      <c r="R769" s="10" t="str">
        <f>IF('[1]All Data '!BD774="","",'[1]All Data '!BD774)</f>
        <v/>
      </c>
      <c r="S769" s="11" t="str">
        <f>IF(R769="","",'[1]All Data '!BE774)</f>
        <v/>
      </c>
      <c r="T769" s="12" t="str">
        <f>IF(S769="","",[1]Inputs_Outputs!$B$8*(1-'LOCH Calc COE Calc'!S769))</f>
        <v/>
      </c>
      <c r="U769" s="13" t="str">
        <f t="shared" si="56"/>
        <v/>
      </c>
      <c r="V769" s="13" t="str">
        <f t="shared" si="57"/>
        <v/>
      </c>
      <c r="W769" s="4" t="str">
        <f t="shared" si="58"/>
        <v/>
      </c>
      <c r="X769" t="str">
        <f>IF(W769="","",LOOKUP(_xlfn.CONCAT(P769,", ",Q769),'[1]T+S Costs'!$F$2:$F$3138,'[1]T+S Costs'!$N$2:$N$3138))</f>
        <v/>
      </c>
      <c r="Y769" s="14" t="str">
        <f t="shared" si="59"/>
        <v/>
      </c>
      <c r="Z769" s="4" t="str">
        <f t="shared" si="60"/>
        <v/>
      </c>
    </row>
    <row r="770" spans="16:26" x14ac:dyDescent="0.25">
      <c r="P770" s="10" t="str">
        <f>IF('[1]All Data '!AZ775="","",'[1]All Data '!AZ775)</f>
        <v/>
      </c>
      <c r="Q770" s="10" t="str">
        <f>IF('[1]All Data '!BB775="","",'[1]All Data '!BB775)</f>
        <v/>
      </c>
      <c r="R770" s="10" t="str">
        <f>IF('[1]All Data '!BD775="","",'[1]All Data '!BD775)</f>
        <v/>
      </c>
      <c r="S770" s="11" t="str">
        <f>IF(R770="","",'[1]All Data '!BE775)</f>
        <v/>
      </c>
      <c r="T770" s="12" t="str">
        <f>IF(S770="","",[1]Inputs_Outputs!$B$8*(1-'LOCH Calc COE Calc'!S770))</f>
        <v/>
      </c>
      <c r="U770" s="13" t="str">
        <f t="shared" si="56"/>
        <v/>
      </c>
      <c r="V770" s="13" t="str">
        <f t="shared" si="57"/>
        <v/>
      </c>
      <c r="W770" s="4" t="str">
        <f t="shared" si="58"/>
        <v/>
      </c>
      <c r="X770" t="str">
        <f>IF(W770="","",LOOKUP(_xlfn.CONCAT(P770,", ",Q770),'[1]T+S Costs'!$F$2:$F$3138,'[1]T+S Costs'!$N$2:$N$3138))</f>
        <v/>
      </c>
      <c r="Y770" s="14" t="str">
        <f t="shared" si="59"/>
        <v/>
      </c>
      <c r="Z770" s="4" t="str">
        <f t="shared" si="60"/>
        <v/>
      </c>
    </row>
    <row r="771" spans="16:26" x14ac:dyDescent="0.25">
      <c r="P771" s="10" t="str">
        <f>IF('[1]All Data '!AZ776="","",'[1]All Data '!AZ776)</f>
        <v/>
      </c>
      <c r="Q771" s="10" t="str">
        <f>IF('[1]All Data '!BB776="","",'[1]All Data '!BB776)</f>
        <v/>
      </c>
      <c r="R771" s="10" t="str">
        <f>IF('[1]All Data '!BD776="","",'[1]All Data '!BD776)</f>
        <v/>
      </c>
      <c r="S771" s="11" t="str">
        <f>IF(R771="","",'[1]All Data '!BE776)</f>
        <v/>
      </c>
      <c r="T771" s="12" t="str">
        <f>IF(S771="","",[1]Inputs_Outputs!$B$8*(1-'LOCH Calc COE Calc'!S771))</f>
        <v/>
      </c>
      <c r="U771" s="13" t="str">
        <f t="shared" ref="U771:U834" si="61">IF(S771="","",R771*T771*365*$B$19/100)</f>
        <v/>
      </c>
      <c r="V771" s="13" t="str">
        <f t="shared" ref="V771:V834" si="62">IF(S771="","",(U771*$B$19)/(($B$28)*$B$19))</f>
        <v/>
      </c>
      <c r="W771" s="4" t="str">
        <f t="shared" ref="W771:W834" si="63">IF(S771="","",V771+$C$49+$C$50+$C$51)</f>
        <v/>
      </c>
      <c r="X771" t="str">
        <f>IF(W771="","",LOOKUP(_xlfn.CONCAT(P771,", ",Q771),'[1]T+S Costs'!$F$2:$F$3138,'[1]T+S Costs'!$N$2:$N$3138))</f>
        <v/>
      </c>
      <c r="Y771" s="14" t="str">
        <f t="shared" ref="Y771:Y834" si="64">IF(X771="","",((X771*$B$60/$B$59)*$C$44)/$C$28)</f>
        <v/>
      </c>
      <c r="Z771" s="4" t="str">
        <f t="shared" ref="Z771:Z834" si="65">IF(Y771="","",W771+Y771)</f>
        <v/>
      </c>
    </row>
    <row r="772" spans="16:26" x14ac:dyDescent="0.25">
      <c r="P772" s="10" t="str">
        <f>IF('[1]All Data '!AZ777="","",'[1]All Data '!AZ777)</f>
        <v/>
      </c>
      <c r="Q772" s="10" t="str">
        <f>IF('[1]All Data '!BB777="","",'[1]All Data '!BB777)</f>
        <v/>
      </c>
      <c r="R772" s="10" t="str">
        <f>IF('[1]All Data '!BD777="","",'[1]All Data '!BD777)</f>
        <v/>
      </c>
      <c r="S772" s="11" t="str">
        <f>IF(R772="","",'[1]All Data '!BE777)</f>
        <v/>
      </c>
      <c r="T772" s="12" t="str">
        <f>IF(S772="","",[1]Inputs_Outputs!$B$8*(1-'LOCH Calc COE Calc'!S772))</f>
        <v/>
      </c>
      <c r="U772" s="13" t="str">
        <f t="shared" si="61"/>
        <v/>
      </c>
      <c r="V772" s="13" t="str">
        <f t="shared" si="62"/>
        <v/>
      </c>
      <c r="W772" s="4" t="str">
        <f t="shared" si="63"/>
        <v/>
      </c>
      <c r="X772" t="str">
        <f>IF(W772="","",LOOKUP(_xlfn.CONCAT(P772,", ",Q772),'[1]T+S Costs'!$F$2:$F$3138,'[1]T+S Costs'!$N$2:$N$3138))</f>
        <v/>
      </c>
      <c r="Y772" s="14" t="str">
        <f t="shared" si="64"/>
        <v/>
      </c>
      <c r="Z772" s="4" t="str">
        <f t="shared" si="65"/>
        <v/>
      </c>
    </row>
    <row r="773" spans="16:26" x14ac:dyDescent="0.25">
      <c r="P773" s="10" t="str">
        <f>IF('[1]All Data '!AZ778="","",'[1]All Data '!AZ778)</f>
        <v/>
      </c>
      <c r="Q773" s="10" t="str">
        <f>IF('[1]All Data '!BB778="","",'[1]All Data '!BB778)</f>
        <v/>
      </c>
      <c r="R773" s="10" t="str">
        <f>IF('[1]All Data '!BD778="","",'[1]All Data '!BD778)</f>
        <v/>
      </c>
      <c r="S773" s="11" t="str">
        <f>IF(R773="","",'[1]All Data '!BE778)</f>
        <v/>
      </c>
      <c r="T773" s="12" t="str">
        <f>IF(S773="","",[1]Inputs_Outputs!$B$8*(1-'LOCH Calc COE Calc'!S773))</f>
        <v/>
      </c>
      <c r="U773" s="13" t="str">
        <f t="shared" si="61"/>
        <v/>
      </c>
      <c r="V773" s="13" t="str">
        <f t="shared" si="62"/>
        <v/>
      </c>
      <c r="W773" s="4" t="str">
        <f t="shared" si="63"/>
        <v/>
      </c>
      <c r="X773" t="str">
        <f>IF(W773="","",LOOKUP(_xlfn.CONCAT(P773,", ",Q773),'[1]T+S Costs'!$F$2:$F$3138,'[1]T+S Costs'!$N$2:$N$3138))</f>
        <v/>
      </c>
      <c r="Y773" s="14" t="str">
        <f t="shared" si="64"/>
        <v/>
      </c>
      <c r="Z773" s="4" t="str">
        <f t="shared" si="65"/>
        <v/>
      </c>
    </row>
    <row r="774" spans="16:26" x14ac:dyDescent="0.25">
      <c r="P774" s="10" t="str">
        <f>IF('[1]All Data '!AZ779="","",'[1]All Data '!AZ779)</f>
        <v/>
      </c>
      <c r="Q774" s="10" t="str">
        <f>IF('[1]All Data '!BB779="","",'[1]All Data '!BB779)</f>
        <v/>
      </c>
      <c r="R774" s="10" t="str">
        <f>IF('[1]All Data '!BD779="","",'[1]All Data '!BD779)</f>
        <v/>
      </c>
      <c r="S774" s="11" t="str">
        <f>IF(R774="","",'[1]All Data '!BE779)</f>
        <v/>
      </c>
      <c r="T774" s="12" t="str">
        <f>IF(S774="","",[1]Inputs_Outputs!$B$8*(1-'LOCH Calc COE Calc'!S774))</f>
        <v/>
      </c>
      <c r="U774" s="13" t="str">
        <f t="shared" si="61"/>
        <v/>
      </c>
      <c r="V774" s="13" t="str">
        <f t="shared" si="62"/>
        <v/>
      </c>
      <c r="W774" s="4" t="str">
        <f t="shared" si="63"/>
        <v/>
      </c>
      <c r="X774" t="str">
        <f>IF(W774="","",LOOKUP(_xlfn.CONCAT(P774,", ",Q774),'[1]T+S Costs'!$F$2:$F$3138,'[1]T+S Costs'!$N$2:$N$3138))</f>
        <v/>
      </c>
      <c r="Y774" s="14" t="str">
        <f t="shared" si="64"/>
        <v/>
      </c>
      <c r="Z774" s="4" t="str">
        <f t="shared" si="65"/>
        <v/>
      </c>
    </row>
    <row r="775" spans="16:26" x14ac:dyDescent="0.25">
      <c r="P775" s="10" t="str">
        <f>IF('[1]All Data '!AZ780="","",'[1]All Data '!AZ780)</f>
        <v/>
      </c>
      <c r="Q775" s="10" t="str">
        <f>IF('[1]All Data '!BB780="","",'[1]All Data '!BB780)</f>
        <v/>
      </c>
      <c r="R775" s="10" t="str">
        <f>IF('[1]All Data '!BD780="","",'[1]All Data '!BD780)</f>
        <v/>
      </c>
      <c r="S775" s="11" t="str">
        <f>IF(R775="","",'[1]All Data '!BE780)</f>
        <v/>
      </c>
      <c r="T775" s="12" t="str">
        <f>IF(S775="","",[1]Inputs_Outputs!$B$8*(1-'LOCH Calc COE Calc'!S775))</f>
        <v/>
      </c>
      <c r="U775" s="13" t="str">
        <f t="shared" si="61"/>
        <v/>
      </c>
      <c r="V775" s="13" t="str">
        <f t="shared" si="62"/>
        <v/>
      </c>
      <c r="W775" s="4" t="str">
        <f t="shared" si="63"/>
        <v/>
      </c>
      <c r="X775" t="str">
        <f>IF(W775="","",LOOKUP(_xlfn.CONCAT(P775,", ",Q775),'[1]T+S Costs'!$F$2:$F$3138,'[1]T+S Costs'!$N$2:$N$3138))</f>
        <v/>
      </c>
      <c r="Y775" s="14" t="str">
        <f t="shared" si="64"/>
        <v/>
      </c>
      <c r="Z775" s="4" t="str">
        <f t="shared" si="65"/>
        <v/>
      </c>
    </row>
    <row r="776" spans="16:26" x14ac:dyDescent="0.25">
      <c r="P776" s="10" t="str">
        <f>IF('[1]All Data '!AZ781="","",'[1]All Data '!AZ781)</f>
        <v/>
      </c>
      <c r="Q776" s="10" t="str">
        <f>IF('[1]All Data '!BB781="","",'[1]All Data '!BB781)</f>
        <v/>
      </c>
      <c r="R776" s="10" t="str">
        <f>IF('[1]All Data '!BD781="","",'[1]All Data '!BD781)</f>
        <v/>
      </c>
      <c r="S776" s="11" t="str">
        <f>IF(R776="","",'[1]All Data '!BE781)</f>
        <v/>
      </c>
      <c r="T776" s="12" t="str">
        <f>IF(S776="","",[1]Inputs_Outputs!$B$8*(1-'LOCH Calc COE Calc'!S776))</f>
        <v/>
      </c>
      <c r="U776" s="13" t="str">
        <f t="shared" si="61"/>
        <v/>
      </c>
      <c r="V776" s="13" t="str">
        <f t="shared" si="62"/>
        <v/>
      </c>
      <c r="W776" s="4" t="str">
        <f t="shared" si="63"/>
        <v/>
      </c>
      <c r="X776" t="str">
        <f>IF(W776="","",LOOKUP(_xlfn.CONCAT(P776,", ",Q776),'[1]T+S Costs'!$F$2:$F$3138,'[1]T+S Costs'!$N$2:$N$3138))</f>
        <v/>
      </c>
      <c r="Y776" s="14" t="str">
        <f t="shared" si="64"/>
        <v/>
      </c>
      <c r="Z776" s="4" t="str">
        <f t="shared" si="65"/>
        <v/>
      </c>
    </row>
    <row r="777" spans="16:26" x14ac:dyDescent="0.25">
      <c r="P777" s="10" t="str">
        <f>IF('[1]All Data '!AZ782="","",'[1]All Data '!AZ782)</f>
        <v/>
      </c>
      <c r="Q777" s="10" t="str">
        <f>IF('[1]All Data '!BB782="","",'[1]All Data '!BB782)</f>
        <v/>
      </c>
      <c r="R777" s="10" t="str">
        <f>IF('[1]All Data '!BD782="","",'[1]All Data '!BD782)</f>
        <v/>
      </c>
      <c r="S777" s="11" t="str">
        <f>IF(R777="","",'[1]All Data '!BE782)</f>
        <v/>
      </c>
      <c r="T777" s="12" t="str">
        <f>IF(S777="","",[1]Inputs_Outputs!$B$8*(1-'LOCH Calc COE Calc'!S777))</f>
        <v/>
      </c>
      <c r="U777" s="13" t="str">
        <f t="shared" si="61"/>
        <v/>
      </c>
      <c r="V777" s="13" t="str">
        <f t="shared" si="62"/>
        <v/>
      </c>
      <c r="W777" s="4" t="str">
        <f t="shared" si="63"/>
        <v/>
      </c>
      <c r="X777" t="str">
        <f>IF(W777="","",LOOKUP(_xlfn.CONCAT(P777,", ",Q777),'[1]T+S Costs'!$F$2:$F$3138,'[1]T+S Costs'!$N$2:$N$3138))</f>
        <v/>
      </c>
      <c r="Y777" s="14" t="str">
        <f t="shared" si="64"/>
        <v/>
      </c>
      <c r="Z777" s="4" t="str">
        <f t="shared" si="65"/>
        <v/>
      </c>
    </row>
    <row r="778" spans="16:26" x14ac:dyDescent="0.25">
      <c r="P778" s="10" t="str">
        <f>IF('[1]All Data '!AZ783="","",'[1]All Data '!AZ783)</f>
        <v/>
      </c>
      <c r="Q778" s="10" t="str">
        <f>IF('[1]All Data '!BB783="","",'[1]All Data '!BB783)</f>
        <v/>
      </c>
      <c r="R778" s="10" t="str">
        <f>IF('[1]All Data '!BD783="","",'[1]All Data '!BD783)</f>
        <v/>
      </c>
      <c r="S778" s="11" t="str">
        <f>IF(R778="","",'[1]All Data '!BE783)</f>
        <v/>
      </c>
      <c r="T778" s="12" t="str">
        <f>IF(S778="","",[1]Inputs_Outputs!$B$8*(1-'LOCH Calc COE Calc'!S778))</f>
        <v/>
      </c>
      <c r="U778" s="13" t="str">
        <f t="shared" si="61"/>
        <v/>
      </c>
      <c r="V778" s="13" t="str">
        <f t="shared" si="62"/>
        <v/>
      </c>
      <c r="W778" s="4" t="str">
        <f t="shared" si="63"/>
        <v/>
      </c>
      <c r="X778" t="str">
        <f>IF(W778="","",LOOKUP(_xlfn.CONCAT(P778,", ",Q778),'[1]T+S Costs'!$F$2:$F$3138,'[1]T+S Costs'!$N$2:$N$3138))</f>
        <v/>
      </c>
      <c r="Y778" s="14" t="str">
        <f t="shared" si="64"/>
        <v/>
      </c>
      <c r="Z778" s="4" t="str">
        <f t="shared" si="65"/>
        <v/>
      </c>
    </row>
    <row r="779" spans="16:26" x14ac:dyDescent="0.25">
      <c r="P779" s="10" t="str">
        <f>IF('[1]All Data '!AZ784="","",'[1]All Data '!AZ784)</f>
        <v/>
      </c>
      <c r="Q779" s="10" t="str">
        <f>IF('[1]All Data '!BB784="","",'[1]All Data '!BB784)</f>
        <v/>
      </c>
      <c r="R779" s="10" t="str">
        <f>IF('[1]All Data '!BD784="","",'[1]All Data '!BD784)</f>
        <v/>
      </c>
      <c r="S779" s="11" t="str">
        <f>IF(R779="","",'[1]All Data '!BE784)</f>
        <v/>
      </c>
      <c r="T779" s="12" t="str">
        <f>IF(S779="","",[1]Inputs_Outputs!$B$8*(1-'LOCH Calc COE Calc'!S779))</f>
        <v/>
      </c>
      <c r="U779" s="13" t="str">
        <f t="shared" si="61"/>
        <v/>
      </c>
      <c r="V779" s="13" t="str">
        <f t="shared" si="62"/>
        <v/>
      </c>
      <c r="W779" s="4" t="str">
        <f t="shared" si="63"/>
        <v/>
      </c>
      <c r="X779" t="str">
        <f>IF(W779="","",LOOKUP(_xlfn.CONCAT(P779,", ",Q779),'[1]T+S Costs'!$F$2:$F$3138,'[1]T+S Costs'!$N$2:$N$3138))</f>
        <v/>
      </c>
      <c r="Y779" s="14" t="str">
        <f t="shared" si="64"/>
        <v/>
      </c>
      <c r="Z779" s="4" t="str">
        <f t="shared" si="65"/>
        <v/>
      </c>
    </row>
    <row r="780" spans="16:26" x14ac:dyDescent="0.25">
      <c r="P780" s="10" t="str">
        <f>IF('[1]All Data '!AZ785="","",'[1]All Data '!AZ785)</f>
        <v/>
      </c>
      <c r="Q780" s="10" t="str">
        <f>IF('[1]All Data '!BB785="","",'[1]All Data '!BB785)</f>
        <v/>
      </c>
      <c r="R780" s="10" t="str">
        <f>IF('[1]All Data '!BD785="","",'[1]All Data '!BD785)</f>
        <v/>
      </c>
      <c r="S780" s="11" t="str">
        <f>IF(R780="","",'[1]All Data '!BE785)</f>
        <v/>
      </c>
      <c r="T780" s="12" t="str">
        <f>IF(S780="","",[1]Inputs_Outputs!$B$8*(1-'LOCH Calc COE Calc'!S780))</f>
        <v/>
      </c>
      <c r="U780" s="13" t="str">
        <f t="shared" si="61"/>
        <v/>
      </c>
      <c r="V780" s="13" t="str">
        <f t="shared" si="62"/>
        <v/>
      </c>
      <c r="W780" s="4" t="str">
        <f t="shared" si="63"/>
        <v/>
      </c>
      <c r="X780" t="str">
        <f>IF(W780="","",LOOKUP(_xlfn.CONCAT(P780,", ",Q780),'[1]T+S Costs'!$F$2:$F$3138,'[1]T+S Costs'!$N$2:$N$3138))</f>
        <v/>
      </c>
      <c r="Y780" s="14" t="str">
        <f t="shared" si="64"/>
        <v/>
      </c>
      <c r="Z780" s="4" t="str">
        <f t="shared" si="65"/>
        <v/>
      </c>
    </row>
    <row r="781" spans="16:26" x14ac:dyDescent="0.25">
      <c r="P781" s="10" t="str">
        <f>IF('[1]All Data '!AZ786="","",'[1]All Data '!AZ786)</f>
        <v/>
      </c>
      <c r="Q781" s="10" t="str">
        <f>IF('[1]All Data '!BB786="","",'[1]All Data '!BB786)</f>
        <v/>
      </c>
      <c r="R781" s="10" t="str">
        <f>IF('[1]All Data '!BD786="","",'[1]All Data '!BD786)</f>
        <v/>
      </c>
      <c r="S781" s="11" t="str">
        <f>IF(R781="","",'[1]All Data '!BE786)</f>
        <v/>
      </c>
      <c r="T781" s="12" t="str">
        <f>IF(S781="","",[1]Inputs_Outputs!$B$8*(1-'LOCH Calc COE Calc'!S781))</f>
        <v/>
      </c>
      <c r="U781" s="13" t="str">
        <f t="shared" si="61"/>
        <v/>
      </c>
      <c r="V781" s="13" t="str">
        <f t="shared" si="62"/>
        <v/>
      </c>
      <c r="W781" s="4" t="str">
        <f t="shared" si="63"/>
        <v/>
      </c>
      <c r="X781" t="str">
        <f>IF(W781="","",LOOKUP(_xlfn.CONCAT(P781,", ",Q781),'[1]T+S Costs'!$F$2:$F$3138,'[1]T+S Costs'!$N$2:$N$3138))</f>
        <v/>
      </c>
      <c r="Y781" s="14" t="str">
        <f t="shared" si="64"/>
        <v/>
      </c>
      <c r="Z781" s="4" t="str">
        <f t="shared" si="65"/>
        <v/>
      </c>
    </row>
    <row r="782" spans="16:26" x14ac:dyDescent="0.25">
      <c r="P782" s="10" t="str">
        <f>IF('[1]All Data '!AZ787="","",'[1]All Data '!AZ787)</f>
        <v/>
      </c>
      <c r="Q782" s="10" t="str">
        <f>IF('[1]All Data '!BB787="","",'[1]All Data '!BB787)</f>
        <v/>
      </c>
      <c r="R782" s="10" t="str">
        <f>IF('[1]All Data '!BD787="","",'[1]All Data '!BD787)</f>
        <v/>
      </c>
      <c r="S782" s="11" t="str">
        <f>IF(R782="","",'[1]All Data '!BE787)</f>
        <v/>
      </c>
      <c r="T782" s="12" t="str">
        <f>IF(S782="","",[1]Inputs_Outputs!$B$8*(1-'LOCH Calc COE Calc'!S782))</f>
        <v/>
      </c>
      <c r="U782" s="13" t="str">
        <f t="shared" si="61"/>
        <v/>
      </c>
      <c r="V782" s="13" t="str">
        <f t="shared" si="62"/>
        <v/>
      </c>
      <c r="W782" s="4" t="str">
        <f t="shared" si="63"/>
        <v/>
      </c>
      <c r="X782" t="str">
        <f>IF(W782="","",LOOKUP(_xlfn.CONCAT(P782,", ",Q782),'[1]T+S Costs'!$F$2:$F$3138,'[1]T+S Costs'!$N$2:$N$3138))</f>
        <v/>
      </c>
      <c r="Y782" s="14" t="str">
        <f t="shared" si="64"/>
        <v/>
      </c>
      <c r="Z782" s="4" t="str">
        <f t="shared" si="65"/>
        <v/>
      </c>
    </row>
    <row r="783" spans="16:26" x14ac:dyDescent="0.25">
      <c r="P783" s="10" t="str">
        <f>IF('[1]All Data '!AZ788="","",'[1]All Data '!AZ788)</f>
        <v/>
      </c>
      <c r="Q783" s="10" t="str">
        <f>IF('[1]All Data '!BB788="","",'[1]All Data '!BB788)</f>
        <v/>
      </c>
      <c r="R783" s="10" t="str">
        <f>IF('[1]All Data '!BD788="","",'[1]All Data '!BD788)</f>
        <v/>
      </c>
      <c r="S783" s="11" t="str">
        <f>IF(R783="","",'[1]All Data '!BE788)</f>
        <v/>
      </c>
      <c r="T783" s="12" t="str">
        <f>IF(S783="","",[1]Inputs_Outputs!$B$8*(1-'LOCH Calc COE Calc'!S783))</f>
        <v/>
      </c>
      <c r="U783" s="13" t="str">
        <f t="shared" si="61"/>
        <v/>
      </c>
      <c r="V783" s="13" t="str">
        <f t="shared" si="62"/>
        <v/>
      </c>
      <c r="W783" s="4" t="str">
        <f t="shared" si="63"/>
        <v/>
      </c>
      <c r="X783" t="str">
        <f>IF(W783="","",LOOKUP(_xlfn.CONCAT(P783,", ",Q783),'[1]T+S Costs'!$F$2:$F$3138,'[1]T+S Costs'!$N$2:$N$3138))</f>
        <v/>
      </c>
      <c r="Y783" s="14" t="str">
        <f t="shared" si="64"/>
        <v/>
      </c>
      <c r="Z783" s="4" t="str">
        <f t="shared" si="65"/>
        <v/>
      </c>
    </row>
    <row r="784" spans="16:26" x14ac:dyDescent="0.25">
      <c r="P784" s="10" t="str">
        <f>IF('[1]All Data '!AZ789="","",'[1]All Data '!AZ789)</f>
        <v/>
      </c>
      <c r="Q784" s="10" t="str">
        <f>IF('[1]All Data '!BB789="","",'[1]All Data '!BB789)</f>
        <v/>
      </c>
      <c r="R784" s="10" t="str">
        <f>IF('[1]All Data '!BD789="","",'[1]All Data '!BD789)</f>
        <v/>
      </c>
      <c r="S784" s="11" t="str">
        <f>IF(R784="","",'[1]All Data '!BE789)</f>
        <v/>
      </c>
      <c r="T784" s="12" t="str">
        <f>IF(S784="","",[1]Inputs_Outputs!$B$8*(1-'LOCH Calc COE Calc'!S784))</f>
        <v/>
      </c>
      <c r="U784" s="13" t="str">
        <f t="shared" si="61"/>
        <v/>
      </c>
      <c r="V784" s="13" t="str">
        <f t="shared" si="62"/>
        <v/>
      </c>
      <c r="W784" s="4" t="str">
        <f t="shared" si="63"/>
        <v/>
      </c>
      <c r="X784" t="str">
        <f>IF(W784="","",LOOKUP(_xlfn.CONCAT(P784,", ",Q784),'[1]T+S Costs'!$F$2:$F$3138,'[1]T+S Costs'!$N$2:$N$3138))</f>
        <v/>
      </c>
      <c r="Y784" s="14" t="str">
        <f t="shared" si="64"/>
        <v/>
      </c>
      <c r="Z784" s="4" t="str">
        <f t="shared" si="65"/>
        <v/>
      </c>
    </row>
    <row r="785" spans="16:26" x14ac:dyDescent="0.25">
      <c r="P785" s="10" t="str">
        <f>IF('[1]All Data '!AZ790="","",'[1]All Data '!AZ790)</f>
        <v/>
      </c>
      <c r="Q785" s="10" t="str">
        <f>IF('[1]All Data '!BB790="","",'[1]All Data '!BB790)</f>
        <v/>
      </c>
      <c r="R785" s="10" t="str">
        <f>IF('[1]All Data '!BD790="","",'[1]All Data '!BD790)</f>
        <v/>
      </c>
      <c r="S785" s="11" t="str">
        <f>IF(R785="","",'[1]All Data '!BE790)</f>
        <v/>
      </c>
      <c r="T785" s="12" t="str">
        <f>IF(S785="","",[1]Inputs_Outputs!$B$8*(1-'LOCH Calc COE Calc'!S785))</f>
        <v/>
      </c>
      <c r="U785" s="13" t="str">
        <f t="shared" si="61"/>
        <v/>
      </c>
      <c r="V785" s="13" t="str">
        <f t="shared" si="62"/>
        <v/>
      </c>
      <c r="W785" s="4" t="str">
        <f t="shared" si="63"/>
        <v/>
      </c>
      <c r="X785" t="str">
        <f>IF(W785="","",LOOKUP(_xlfn.CONCAT(P785,", ",Q785),'[1]T+S Costs'!$F$2:$F$3138,'[1]T+S Costs'!$N$2:$N$3138))</f>
        <v/>
      </c>
      <c r="Y785" s="14" t="str">
        <f t="shared" si="64"/>
        <v/>
      </c>
      <c r="Z785" s="4" t="str">
        <f t="shared" si="65"/>
        <v/>
      </c>
    </row>
    <row r="786" spans="16:26" x14ac:dyDescent="0.25">
      <c r="P786" s="10" t="str">
        <f>IF('[1]All Data '!AZ791="","",'[1]All Data '!AZ791)</f>
        <v/>
      </c>
      <c r="Q786" s="10" t="str">
        <f>IF('[1]All Data '!BB791="","",'[1]All Data '!BB791)</f>
        <v/>
      </c>
      <c r="R786" s="10" t="str">
        <f>IF('[1]All Data '!BD791="","",'[1]All Data '!BD791)</f>
        <v/>
      </c>
      <c r="S786" s="11" t="str">
        <f>IF(R786="","",'[1]All Data '!BE791)</f>
        <v/>
      </c>
      <c r="T786" s="12" t="str">
        <f>IF(S786="","",[1]Inputs_Outputs!$B$8*(1-'LOCH Calc COE Calc'!S786))</f>
        <v/>
      </c>
      <c r="U786" s="13" t="str">
        <f t="shared" si="61"/>
        <v/>
      </c>
      <c r="V786" s="13" t="str">
        <f t="shared" si="62"/>
        <v/>
      </c>
      <c r="W786" s="4" t="str">
        <f t="shared" si="63"/>
        <v/>
      </c>
      <c r="X786" t="str">
        <f>IF(W786="","",LOOKUP(_xlfn.CONCAT(P786,", ",Q786),'[1]T+S Costs'!$F$2:$F$3138,'[1]T+S Costs'!$N$2:$N$3138))</f>
        <v/>
      </c>
      <c r="Y786" s="14" t="str">
        <f t="shared" si="64"/>
        <v/>
      </c>
      <c r="Z786" s="4" t="str">
        <f t="shared" si="65"/>
        <v/>
      </c>
    </row>
    <row r="787" spans="16:26" x14ac:dyDescent="0.25">
      <c r="P787" s="10" t="str">
        <f>IF('[1]All Data '!AZ792="","",'[1]All Data '!AZ792)</f>
        <v/>
      </c>
      <c r="Q787" s="10" t="str">
        <f>IF('[1]All Data '!BB792="","",'[1]All Data '!BB792)</f>
        <v/>
      </c>
      <c r="R787" s="10" t="str">
        <f>IF('[1]All Data '!BD792="","",'[1]All Data '!BD792)</f>
        <v/>
      </c>
      <c r="S787" s="11" t="str">
        <f>IF(R787="","",'[1]All Data '!BE792)</f>
        <v/>
      </c>
      <c r="T787" s="12" t="str">
        <f>IF(S787="","",[1]Inputs_Outputs!$B$8*(1-'LOCH Calc COE Calc'!S787))</f>
        <v/>
      </c>
      <c r="U787" s="13" t="str">
        <f t="shared" si="61"/>
        <v/>
      </c>
      <c r="V787" s="13" t="str">
        <f t="shared" si="62"/>
        <v/>
      </c>
      <c r="W787" s="4" t="str">
        <f t="shared" si="63"/>
        <v/>
      </c>
      <c r="X787" t="str">
        <f>IF(W787="","",LOOKUP(_xlfn.CONCAT(P787,", ",Q787),'[1]T+S Costs'!$F$2:$F$3138,'[1]T+S Costs'!$N$2:$N$3138))</f>
        <v/>
      </c>
      <c r="Y787" s="14" t="str">
        <f t="shared" si="64"/>
        <v/>
      </c>
      <c r="Z787" s="4" t="str">
        <f t="shared" si="65"/>
        <v/>
      </c>
    </row>
    <row r="788" spans="16:26" x14ac:dyDescent="0.25">
      <c r="P788" s="10" t="str">
        <f>IF('[1]All Data '!AZ793="","",'[1]All Data '!AZ793)</f>
        <v/>
      </c>
      <c r="Q788" s="10" t="str">
        <f>IF('[1]All Data '!BB793="","",'[1]All Data '!BB793)</f>
        <v/>
      </c>
      <c r="R788" s="10" t="str">
        <f>IF('[1]All Data '!BD793="","",'[1]All Data '!BD793)</f>
        <v/>
      </c>
      <c r="S788" s="11" t="str">
        <f>IF(R788="","",'[1]All Data '!BE793)</f>
        <v/>
      </c>
      <c r="T788" s="12" t="str">
        <f>IF(S788="","",[1]Inputs_Outputs!$B$8*(1-'LOCH Calc COE Calc'!S788))</f>
        <v/>
      </c>
      <c r="U788" s="13" t="str">
        <f t="shared" si="61"/>
        <v/>
      </c>
      <c r="V788" s="13" t="str">
        <f t="shared" si="62"/>
        <v/>
      </c>
      <c r="W788" s="4" t="str">
        <f t="shared" si="63"/>
        <v/>
      </c>
      <c r="X788" t="str">
        <f>IF(W788="","",LOOKUP(_xlfn.CONCAT(P788,", ",Q788),'[1]T+S Costs'!$F$2:$F$3138,'[1]T+S Costs'!$N$2:$N$3138))</f>
        <v/>
      </c>
      <c r="Y788" s="14" t="str">
        <f t="shared" si="64"/>
        <v/>
      </c>
      <c r="Z788" s="4" t="str">
        <f t="shared" si="65"/>
        <v/>
      </c>
    </row>
    <row r="789" spans="16:26" x14ac:dyDescent="0.25">
      <c r="P789" s="10" t="str">
        <f>IF('[1]All Data '!AZ794="","",'[1]All Data '!AZ794)</f>
        <v/>
      </c>
      <c r="Q789" s="10" t="str">
        <f>IF('[1]All Data '!BB794="","",'[1]All Data '!BB794)</f>
        <v/>
      </c>
      <c r="R789" s="10" t="str">
        <f>IF('[1]All Data '!BD794="","",'[1]All Data '!BD794)</f>
        <v/>
      </c>
      <c r="S789" s="11" t="str">
        <f>IF(R789="","",'[1]All Data '!BE794)</f>
        <v/>
      </c>
      <c r="T789" s="12" t="str">
        <f>IF(S789="","",[1]Inputs_Outputs!$B$8*(1-'LOCH Calc COE Calc'!S789))</f>
        <v/>
      </c>
      <c r="U789" s="13" t="str">
        <f t="shared" si="61"/>
        <v/>
      </c>
      <c r="V789" s="13" t="str">
        <f t="shared" si="62"/>
        <v/>
      </c>
      <c r="W789" s="4" t="str">
        <f t="shared" si="63"/>
        <v/>
      </c>
      <c r="X789" t="str">
        <f>IF(W789="","",LOOKUP(_xlfn.CONCAT(P789,", ",Q789),'[1]T+S Costs'!$F$2:$F$3138,'[1]T+S Costs'!$N$2:$N$3138))</f>
        <v/>
      </c>
      <c r="Y789" s="14" t="str">
        <f t="shared" si="64"/>
        <v/>
      </c>
      <c r="Z789" s="4" t="str">
        <f t="shared" si="65"/>
        <v/>
      </c>
    </row>
    <row r="790" spans="16:26" x14ac:dyDescent="0.25">
      <c r="P790" s="10" t="str">
        <f>IF('[1]All Data '!AZ795="","",'[1]All Data '!AZ795)</f>
        <v/>
      </c>
      <c r="Q790" s="10" t="str">
        <f>IF('[1]All Data '!BB795="","",'[1]All Data '!BB795)</f>
        <v/>
      </c>
      <c r="R790" s="10" t="str">
        <f>IF('[1]All Data '!BD795="","",'[1]All Data '!BD795)</f>
        <v/>
      </c>
      <c r="S790" s="11" t="str">
        <f>IF(R790="","",'[1]All Data '!BE795)</f>
        <v/>
      </c>
      <c r="T790" s="12" t="str">
        <f>IF(S790="","",[1]Inputs_Outputs!$B$8*(1-'LOCH Calc COE Calc'!S790))</f>
        <v/>
      </c>
      <c r="U790" s="13" t="str">
        <f t="shared" si="61"/>
        <v/>
      </c>
      <c r="V790" s="13" t="str">
        <f t="shared" si="62"/>
        <v/>
      </c>
      <c r="W790" s="4" t="str">
        <f t="shared" si="63"/>
        <v/>
      </c>
      <c r="X790" t="str">
        <f>IF(W790="","",LOOKUP(_xlfn.CONCAT(P790,", ",Q790),'[1]T+S Costs'!$F$2:$F$3138,'[1]T+S Costs'!$N$2:$N$3138))</f>
        <v/>
      </c>
      <c r="Y790" s="14" t="str">
        <f t="shared" si="64"/>
        <v/>
      </c>
      <c r="Z790" s="4" t="str">
        <f t="shared" si="65"/>
        <v/>
      </c>
    </row>
    <row r="791" spans="16:26" x14ac:dyDescent="0.25">
      <c r="P791" s="10" t="str">
        <f>IF('[1]All Data '!AZ796="","",'[1]All Data '!AZ796)</f>
        <v/>
      </c>
      <c r="Q791" s="10" t="str">
        <f>IF('[1]All Data '!BB796="","",'[1]All Data '!BB796)</f>
        <v/>
      </c>
      <c r="R791" s="10" t="str">
        <f>IF('[1]All Data '!BD796="","",'[1]All Data '!BD796)</f>
        <v/>
      </c>
      <c r="S791" s="11" t="str">
        <f>IF(R791="","",'[1]All Data '!BE796)</f>
        <v/>
      </c>
      <c r="T791" s="12" t="str">
        <f>IF(S791="","",[1]Inputs_Outputs!$B$8*(1-'LOCH Calc COE Calc'!S791))</f>
        <v/>
      </c>
      <c r="U791" s="13" t="str">
        <f t="shared" si="61"/>
        <v/>
      </c>
      <c r="V791" s="13" t="str">
        <f t="shared" si="62"/>
        <v/>
      </c>
      <c r="W791" s="4" t="str">
        <f t="shared" si="63"/>
        <v/>
      </c>
      <c r="X791" t="str">
        <f>IF(W791="","",LOOKUP(_xlfn.CONCAT(P791,", ",Q791),'[1]T+S Costs'!$F$2:$F$3138,'[1]T+S Costs'!$N$2:$N$3138))</f>
        <v/>
      </c>
      <c r="Y791" s="14" t="str">
        <f t="shared" si="64"/>
        <v/>
      </c>
      <c r="Z791" s="4" t="str">
        <f t="shared" si="65"/>
        <v/>
      </c>
    </row>
    <row r="792" spans="16:26" x14ac:dyDescent="0.25">
      <c r="P792" s="10" t="str">
        <f>IF('[1]All Data '!AZ797="","",'[1]All Data '!AZ797)</f>
        <v/>
      </c>
      <c r="Q792" s="10" t="str">
        <f>IF('[1]All Data '!BB797="","",'[1]All Data '!BB797)</f>
        <v/>
      </c>
      <c r="R792" s="10" t="str">
        <f>IF('[1]All Data '!BD797="","",'[1]All Data '!BD797)</f>
        <v/>
      </c>
      <c r="S792" s="11" t="str">
        <f>IF(R792="","",'[1]All Data '!BE797)</f>
        <v/>
      </c>
      <c r="T792" s="12" t="str">
        <f>IF(S792="","",[1]Inputs_Outputs!$B$8*(1-'LOCH Calc COE Calc'!S792))</f>
        <v/>
      </c>
      <c r="U792" s="13" t="str">
        <f t="shared" si="61"/>
        <v/>
      </c>
      <c r="V792" s="13" t="str">
        <f t="shared" si="62"/>
        <v/>
      </c>
      <c r="W792" s="4" t="str">
        <f t="shared" si="63"/>
        <v/>
      </c>
      <c r="X792" t="str">
        <f>IF(W792="","",LOOKUP(_xlfn.CONCAT(P792,", ",Q792),'[1]T+S Costs'!$F$2:$F$3138,'[1]T+S Costs'!$N$2:$N$3138))</f>
        <v/>
      </c>
      <c r="Y792" s="14" t="str">
        <f t="shared" si="64"/>
        <v/>
      </c>
      <c r="Z792" s="4" t="str">
        <f t="shared" si="65"/>
        <v/>
      </c>
    </row>
    <row r="793" spans="16:26" x14ac:dyDescent="0.25">
      <c r="P793" s="10" t="str">
        <f>IF('[1]All Data '!AZ798="","",'[1]All Data '!AZ798)</f>
        <v/>
      </c>
      <c r="Q793" s="10" t="str">
        <f>IF('[1]All Data '!BB798="","",'[1]All Data '!BB798)</f>
        <v/>
      </c>
      <c r="R793" s="10" t="str">
        <f>IF('[1]All Data '!BD798="","",'[1]All Data '!BD798)</f>
        <v/>
      </c>
      <c r="S793" s="11" t="str">
        <f>IF(R793="","",'[1]All Data '!BE798)</f>
        <v/>
      </c>
      <c r="T793" s="12" t="str">
        <f>IF(S793="","",[1]Inputs_Outputs!$B$8*(1-'LOCH Calc COE Calc'!S793))</f>
        <v/>
      </c>
      <c r="U793" s="13" t="str">
        <f t="shared" si="61"/>
        <v/>
      </c>
      <c r="V793" s="13" t="str">
        <f t="shared" si="62"/>
        <v/>
      </c>
      <c r="W793" s="4" t="str">
        <f t="shared" si="63"/>
        <v/>
      </c>
      <c r="X793" t="str">
        <f>IF(W793="","",LOOKUP(_xlfn.CONCAT(P793,", ",Q793),'[1]T+S Costs'!$F$2:$F$3138,'[1]T+S Costs'!$N$2:$N$3138))</f>
        <v/>
      </c>
      <c r="Y793" s="14" t="str">
        <f t="shared" si="64"/>
        <v/>
      </c>
      <c r="Z793" s="4" t="str">
        <f t="shared" si="65"/>
        <v/>
      </c>
    </row>
    <row r="794" spans="16:26" x14ac:dyDescent="0.25">
      <c r="P794" s="10" t="str">
        <f>IF('[1]All Data '!AZ799="","",'[1]All Data '!AZ799)</f>
        <v/>
      </c>
      <c r="Q794" s="10" t="str">
        <f>IF('[1]All Data '!BB799="","",'[1]All Data '!BB799)</f>
        <v/>
      </c>
      <c r="R794" s="10" t="str">
        <f>IF('[1]All Data '!BD799="","",'[1]All Data '!BD799)</f>
        <v/>
      </c>
      <c r="S794" s="11" t="str">
        <f>IF(R794="","",'[1]All Data '!BE799)</f>
        <v/>
      </c>
      <c r="T794" s="12" t="str">
        <f>IF(S794="","",[1]Inputs_Outputs!$B$8*(1-'LOCH Calc COE Calc'!S794))</f>
        <v/>
      </c>
      <c r="U794" s="13" t="str">
        <f t="shared" si="61"/>
        <v/>
      </c>
      <c r="V794" s="13" t="str">
        <f t="shared" si="62"/>
        <v/>
      </c>
      <c r="W794" s="4" t="str">
        <f t="shared" si="63"/>
        <v/>
      </c>
      <c r="X794" t="str">
        <f>IF(W794="","",LOOKUP(_xlfn.CONCAT(P794,", ",Q794),'[1]T+S Costs'!$F$2:$F$3138,'[1]T+S Costs'!$N$2:$N$3138))</f>
        <v/>
      </c>
      <c r="Y794" s="14" t="str">
        <f t="shared" si="64"/>
        <v/>
      </c>
      <c r="Z794" s="4" t="str">
        <f t="shared" si="65"/>
        <v/>
      </c>
    </row>
    <row r="795" spans="16:26" x14ac:dyDescent="0.25">
      <c r="P795" s="10" t="str">
        <f>IF('[1]All Data '!AZ800="","",'[1]All Data '!AZ800)</f>
        <v/>
      </c>
      <c r="Q795" s="10" t="str">
        <f>IF('[1]All Data '!BB800="","",'[1]All Data '!BB800)</f>
        <v/>
      </c>
      <c r="R795" s="10" t="str">
        <f>IF('[1]All Data '!BD800="","",'[1]All Data '!BD800)</f>
        <v/>
      </c>
      <c r="S795" s="11" t="str">
        <f>IF(R795="","",'[1]All Data '!BE800)</f>
        <v/>
      </c>
      <c r="T795" s="12" t="str">
        <f>IF(S795="","",[1]Inputs_Outputs!$B$8*(1-'LOCH Calc COE Calc'!S795))</f>
        <v/>
      </c>
      <c r="U795" s="13" t="str">
        <f t="shared" si="61"/>
        <v/>
      </c>
      <c r="V795" s="13" t="str">
        <f t="shared" si="62"/>
        <v/>
      </c>
      <c r="W795" s="4" t="str">
        <f t="shared" si="63"/>
        <v/>
      </c>
      <c r="X795" t="str">
        <f>IF(W795="","",LOOKUP(_xlfn.CONCAT(P795,", ",Q795),'[1]T+S Costs'!$F$2:$F$3138,'[1]T+S Costs'!$N$2:$N$3138))</f>
        <v/>
      </c>
      <c r="Y795" s="14" t="str">
        <f t="shared" si="64"/>
        <v/>
      </c>
      <c r="Z795" s="4" t="str">
        <f t="shared" si="65"/>
        <v/>
      </c>
    </row>
    <row r="796" spans="16:26" x14ac:dyDescent="0.25">
      <c r="P796" s="10" t="str">
        <f>IF('[1]All Data '!AZ801="","",'[1]All Data '!AZ801)</f>
        <v/>
      </c>
      <c r="Q796" s="10" t="str">
        <f>IF('[1]All Data '!BB801="","",'[1]All Data '!BB801)</f>
        <v/>
      </c>
      <c r="R796" s="10" t="str">
        <f>IF('[1]All Data '!BD801="","",'[1]All Data '!BD801)</f>
        <v/>
      </c>
      <c r="S796" s="11" t="str">
        <f>IF(R796="","",'[1]All Data '!BE801)</f>
        <v/>
      </c>
      <c r="T796" s="12" t="str">
        <f>IF(S796="","",[1]Inputs_Outputs!$B$8*(1-'LOCH Calc COE Calc'!S796))</f>
        <v/>
      </c>
      <c r="U796" s="13" t="str">
        <f t="shared" si="61"/>
        <v/>
      </c>
      <c r="V796" s="13" t="str">
        <f t="shared" si="62"/>
        <v/>
      </c>
      <c r="W796" s="4" t="str">
        <f t="shared" si="63"/>
        <v/>
      </c>
      <c r="X796" t="str">
        <f>IF(W796="","",LOOKUP(_xlfn.CONCAT(P796,", ",Q796),'[1]T+S Costs'!$F$2:$F$3138,'[1]T+S Costs'!$N$2:$N$3138))</f>
        <v/>
      </c>
      <c r="Y796" s="14" t="str">
        <f t="shared" si="64"/>
        <v/>
      </c>
      <c r="Z796" s="4" t="str">
        <f t="shared" si="65"/>
        <v/>
      </c>
    </row>
    <row r="797" spans="16:26" x14ac:dyDescent="0.25">
      <c r="P797" s="10" t="str">
        <f>IF('[1]All Data '!AZ802="","",'[1]All Data '!AZ802)</f>
        <v/>
      </c>
      <c r="Q797" s="10" t="str">
        <f>IF('[1]All Data '!BB802="","",'[1]All Data '!BB802)</f>
        <v/>
      </c>
      <c r="R797" s="10" t="str">
        <f>IF('[1]All Data '!BD802="","",'[1]All Data '!BD802)</f>
        <v/>
      </c>
      <c r="S797" s="11" t="str">
        <f>IF(R797="","",'[1]All Data '!BE802)</f>
        <v/>
      </c>
      <c r="T797" s="12" t="str">
        <f>IF(S797="","",[1]Inputs_Outputs!$B$8*(1-'LOCH Calc COE Calc'!S797))</f>
        <v/>
      </c>
      <c r="U797" s="13" t="str">
        <f t="shared" si="61"/>
        <v/>
      </c>
      <c r="V797" s="13" t="str">
        <f t="shared" si="62"/>
        <v/>
      </c>
      <c r="W797" s="4" t="str">
        <f t="shared" si="63"/>
        <v/>
      </c>
      <c r="X797" t="str">
        <f>IF(W797="","",LOOKUP(_xlfn.CONCAT(P797,", ",Q797),'[1]T+S Costs'!$F$2:$F$3138,'[1]T+S Costs'!$N$2:$N$3138))</f>
        <v/>
      </c>
      <c r="Y797" s="14" t="str">
        <f t="shared" si="64"/>
        <v/>
      </c>
      <c r="Z797" s="4" t="str">
        <f t="shared" si="65"/>
        <v/>
      </c>
    </row>
    <row r="798" spans="16:26" x14ac:dyDescent="0.25">
      <c r="P798" s="10" t="str">
        <f>IF('[1]All Data '!AZ803="","",'[1]All Data '!AZ803)</f>
        <v/>
      </c>
      <c r="Q798" s="10" t="str">
        <f>IF('[1]All Data '!BB803="","",'[1]All Data '!BB803)</f>
        <v/>
      </c>
      <c r="R798" s="10" t="str">
        <f>IF('[1]All Data '!BD803="","",'[1]All Data '!BD803)</f>
        <v/>
      </c>
      <c r="S798" s="11" t="str">
        <f>IF(R798="","",'[1]All Data '!BE803)</f>
        <v/>
      </c>
      <c r="T798" s="12" t="str">
        <f>IF(S798="","",[1]Inputs_Outputs!$B$8*(1-'LOCH Calc COE Calc'!S798))</f>
        <v/>
      </c>
      <c r="U798" s="13" t="str">
        <f t="shared" si="61"/>
        <v/>
      </c>
      <c r="V798" s="13" t="str">
        <f t="shared" si="62"/>
        <v/>
      </c>
      <c r="W798" s="4" t="str">
        <f t="shared" si="63"/>
        <v/>
      </c>
      <c r="X798" t="str">
        <f>IF(W798="","",LOOKUP(_xlfn.CONCAT(P798,", ",Q798),'[1]T+S Costs'!$F$2:$F$3138,'[1]T+S Costs'!$N$2:$N$3138))</f>
        <v/>
      </c>
      <c r="Y798" s="14" t="str">
        <f t="shared" si="64"/>
        <v/>
      </c>
      <c r="Z798" s="4" t="str">
        <f t="shared" si="65"/>
        <v/>
      </c>
    </row>
    <row r="799" spans="16:26" x14ac:dyDescent="0.25">
      <c r="P799" s="10" t="str">
        <f>IF('[1]All Data '!AZ804="","",'[1]All Data '!AZ804)</f>
        <v/>
      </c>
      <c r="Q799" s="10" t="str">
        <f>IF('[1]All Data '!BB804="","",'[1]All Data '!BB804)</f>
        <v/>
      </c>
      <c r="R799" s="10" t="str">
        <f>IF('[1]All Data '!BD804="","",'[1]All Data '!BD804)</f>
        <v/>
      </c>
      <c r="S799" s="11" t="str">
        <f>IF(R799="","",'[1]All Data '!BE804)</f>
        <v/>
      </c>
      <c r="T799" s="12" t="str">
        <f>IF(S799="","",[1]Inputs_Outputs!$B$8*(1-'LOCH Calc COE Calc'!S799))</f>
        <v/>
      </c>
      <c r="U799" s="13" t="str">
        <f t="shared" si="61"/>
        <v/>
      </c>
      <c r="V799" s="13" t="str">
        <f t="shared" si="62"/>
        <v/>
      </c>
      <c r="W799" s="4" t="str">
        <f t="shared" si="63"/>
        <v/>
      </c>
      <c r="X799" t="str">
        <f>IF(W799="","",LOOKUP(_xlfn.CONCAT(P799,", ",Q799),'[1]T+S Costs'!$F$2:$F$3138,'[1]T+S Costs'!$N$2:$N$3138))</f>
        <v/>
      </c>
      <c r="Y799" s="14" t="str">
        <f t="shared" si="64"/>
        <v/>
      </c>
      <c r="Z799" s="4" t="str">
        <f t="shared" si="65"/>
        <v/>
      </c>
    </row>
    <row r="800" spans="16:26" x14ac:dyDescent="0.25">
      <c r="P800" s="10" t="str">
        <f>IF('[1]All Data '!AZ805="","",'[1]All Data '!AZ805)</f>
        <v/>
      </c>
      <c r="Q800" s="10" t="str">
        <f>IF('[1]All Data '!BB805="","",'[1]All Data '!BB805)</f>
        <v/>
      </c>
      <c r="R800" s="10" t="str">
        <f>IF('[1]All Data '!BD805="","",'[1]All Data '!BD805)</f>
        <v/>
      </c>
      <c r="S800" s="11" t="str">
        <f>IF(R800="","",'[1]All Data '!BE805)</f>
        <v/>
      </c>
      <c r="T800" s="12" t="str">
        <f>IF(S800="","",[1]Inputs_Outputs!$B$8*(1-'LOCH Calc COE Calc'!S800))</f>
        <v/>
      </c>
      <c r="U800" s="13" t="str">
        <f t="shared" si="61"/>
        <v/>
      </c>
      <c r="V800" s="13" t="str">
        <f t="shared" si="62"/>
        <v/>
      </c>
      <c r="W800" s="4" t="str">
        <f t="shared" si="63"/>
        <v/>
      </c>
      <c r="X800" t="str">
        <f>IF(W800="","",LOOKUP(_xlfn.CONCAT(P800,", ",Q800),'[1]T+S Costs'!$F$2:$F$3138,'[1]T+S Costs'!$N$2:$N$3138))</f>
        <v/>
      </c>
      <c r="Y800" s="14" t="str">
        <f t="shared" si="64"/>
        <v/>
      </c>
      <c r="Z800" s="4" t="str">
        <f t="shared" si="65"/>
        <v/>
      </c>
    </row>
    <row r="801" spans="16:26" x14ac:dyDescent="0.25">
      <c r="P801" s="10" t="str">
        <f>IF('[1]All Data '!AZ806="","",'[1]All Data '!AZ806)</f>
        <v/>
      </c>
      <c r="Q801" s="10" t="str">
        <f>IF('[1]All Data '!BB806="","",'[1]All Data '!BB806)</f>
        <v/>
      </c>
      <c r="R801" s="10" t="str">
        <f>IF('[1]All Data '!BD806="","",'[1]All Data '!BD806)</f>
        <v/>
      </c>
      <c r="S801" s="11" t="str">
        <f>IF(R801="","",'[1]All Data '!BE806)</f>
        <v/>
      </c>
      <c r="T801" s="12" t="str">
        <f>IF(S801="","",[1]Inputs_Outputs!$B$8*(1-'LOCH Calc COE Calc'!S801))</f>
        <v/>
      </c>
      <c r="U801" s="13" t="str">
        <f t="shared" si="61"/>
        <v/>
      </c>
      <c r="V801" s="13" t="str">
        <f t="shared" si="62"/>
        <v/>
      </c>
      <c r="W801" s="4" t="str">
        <f t="shared" si="63"/>
        <v/>
      </c>
      <c r="X801" t="str">
        <f>IF(W801="","",LOOKUP(_xlfn.CONCAT(P801,", ",Q801),'[1]T+S Costs'!$F$2:$F$3138,'[1]T+S Costs'!$N$2:$N$3138))</f>
        <v/>
      </c>
      <c r="Y801" s="14" t="str">
        <f t="shared" si="64"/>
        <v/>
      </c>
      <c r="Z801" s="4" t="str">
        <f t="shared" si="65"/>
        <v/>
      </c>
    </row>
    <row r="802" spans="16:26" x14ac:dyDescent="0.25">
      <c r="P802" s="10" t="str">
        <f>IF('[1]All Data '!AZ807="","",'[1]All Data '!AZ807)</f>
        <v/>
      </c>
      <c r="Q802" s="10" t="str">
        <f>IF('[1]All Data '!BB807="","",'[1]All Data '!BB807)</f>
        <v/>
      </c>
      <c r="R802" s="10" t="str">
        <f>IF('[1]All Data '!BD807="","",'[1]All Data '!BD807)</f>
        <v/>
      </c>
      <c r="S802" s="11" t="str">
        <f>IF(R802="","",'[1]All Data '!BE807)</f>
        <v/>
      </c>
      <c r="T802" s="12" t="str">
        <f>IF(S802="","",[1]Inputs_Outputs!$B$8*(1-'LOCH Calc COE Calc'!S802))</f>
        <v/>
      </c>
      <c r="U802" s="13" t="str">
        <f t="shared" si="61"/>
        <v/>
      </c>
      <c r="V802" s="13" t="str">
        <f t="shared" si="62"/>
        <v/>
      </c>
      <c r="W802" s="4" t="str">
        <f t="shared" si="63"/>
        <v/>
      </c>
      <c r="X802" t="str">
        <f>IF(W802="","",LOOKUP(_xlfn.CONCAT(P802,", ",Q802),'[1]T+S Costs'!$F$2:$F$3138,'[1]T+S Costs'!$N$2:$N$3138))</f>
        <v/>
      </c>
      <c r="Y802" s="14" t="str">
        <f t="shared" si="64"/>
        <v/>
      </c>
      <c r="Z802" s="4" t="str">
        <f t="shared" si="65"/>
        <v/>
      </c>
    </row>
    <row r="803" spans="16:26" x14ac:dyDescent="0.25">
      <c r="P803" s="10" t="str">
        <f>IF('[1]All Data '!AZ808="","",'[1]All Data '!AZ808)</f>
        <v/>
      </c>
      <c r="Q803" s="10" t="str">
        <f>IF('[1]All Data '!BB808="","",'[1]All Data '!BB808)</f>
        <v/>
      </c>
      <c r="R803" s="10" t="str">
        <f>IF('[1]All Data '!BD808="","",'[1]All Data '!BD808)</f>
        <v/>
      </c>
      <c r="S803" s="11" t="str">
        <f>IF(R803="","",'[1]All Data '!BE808)</f>
        <v/>
      </c>
      <c r="T803" s="12" t="str">
        <f>IF(S803="","",[1]Inputs_Outputs!$B$8*(1-'LOCH Calc COE Calc'!S803))</f>
        <v/>
      </c>
      <c r="U803" s="13" t="str">
        <f t="shared" si="61"/>
        <v/>
      </c>
      <c r="V803" s="13" t="str">
        <f t="shared" si="62"/>
        <v/>
      </c>
      <c r="W803" s="4" t="str">
        <f t="shared" si="63"/>
        <v/>
      </c>
      <c r="X803" t="str">
        <f>IF(W803="","",LOOKUP(_xlfn.CONCAT(P803,", ",Q803),'[1]T+S Costs'!$F$2:$F$3138,'[1]T+S Costs'!$N$2:$N$3138))</f>
        <v/>
      </c>
      <c r="Y803" s="14" t="str">
        <f t="shared" si="64"/>
        <v/>
      </c>
      <c r="Z803" s="4" t="str">
        <f t="shared" si="65"/>
        <v/>
      </c>
    </row>
    <row r="804" spans="16:26" x14ac:dyDescent="0.25">
      <c r="P804" s="10" t="str">
        <f>IF('[1]All Data '!AZ809="","",'[1]All Data '!AZ809)</f>
        <v/>
      </c>
      <c r="Q804" s="10" t="str">
        <f>IF('[1]All Data '!BB809="","",'[1]All Data '!BB809)</f>
        <v/>
      </c>
      <c r="R804" s="10" t="str">
        <f>IF('[1]All Data '!BD809="","",'[1]All Data '!BD809)</f>
        <v/>
      </c>
      <c r="S804" s="11" t="str">
        <f>IF(R804="","",'[1]All Data '!BE809)</f>
        <v/>
      </c>
      <c r="T804" s="12" t="str">
        <f>IF(S804="","",[1]Inputs_Outputs!$B$8*(1-'LOCH Calc COE Calc'!S804))</f>
        <v/>
      </c>
      <c r="U804" s="13" t="str">
        <f t="shared" si="61"/>
        <v/>
      </c>
      <c r="V804" s="13" t="str">
        <f t="shared" si="62"/>
        <v/>
      </c>
      <c r="W804" s="4" t="str">
        <f t="shared" si="63"/>
        <v/>
      </c>
      <c r="X804" t="str">
        <f>IF(W804="","",LOOKUP(_xlfn.CONCAT(P804,", ",Q804),'[1]T+S Costs'!$F$2:$F$3138,'[1]T+S Costs'!$N$2:$N$3138))</f>
        <v/>
      </c>
      <c r="Y804" s="14" t="str">
        <f t="shared" si="64"/>
        <v/>
      </c>
      <c r="Z804" s="4" t="str">
        <f t="shared" si="65"/>
        <v/>
      </c>
    </row>
    <row r="805" spans="16:26" x14ac:dyDescent="0.25">
      <c r="P805" s="10" t="str">
        <f>IF('[1]All Data '!AZ810="","",'[1]All Data '!AZ810)</f>
        <v/>
      </c>
      <c r="Q805" s="10" t="str">
        <f>IF('[1]All Data '!BB810="","",'[1]All Data '!BB810)</f>
        <v/>
      </c>
      <c r="R805" s="10" t="str">
        <f>IF('[1]All Data '!BD810="","",'[1]All Data '!BD810)</f>
        <v/>
      </c>
      <c r="S805" s="11" t="str">
        <f>IF(R805="","",'[1]All Data '!BE810)</f>
        <v/>
      </c>
      <c r="T805" s="12" t="str">
        <f>IF(S805="","",[1]Inputs_Outputs!$B$8*(1-'LOCH Calc COE Calc'!S805))</f>
        <v/>
      </c>
      <c r="U805" s="13" t="str">
        <f t="shared" si="61"/>
        <v/>
      </c>
      <c r="V805" s="13" t="str">
        <f t="shared" si="62"/>
        <v/>
      </c>
      <c r="W805" s="4" t="str">
        <f t="shared" si="63"/>
        <v/>
      </c>
      <c r="X805" t="str">
        <f>IF(W805="","",LOOKUP(_xlfn.CONCAT(P805,", ",Q805),'[1]T+S Costs'!$F$2:$F$3138,'[1]T+S Costs'!$N$2:$N$3138))</f>
        <v/>
      </c>
      <c r="Y805" s="14" t="str">
        <f t="shared" si="64"/>
        <v/>
      </c>
      <c r="Z805" s="4" t="str">
        <f t="shared" si="65"/>
        <v/>
      </c>
    </row>
    <row r="806" spans="16:26" x14ac:dyDescent="0.25">
      <c r="P806" s="10" t="str">
        <f>IF('[1]All Data '!AZ811="","",'[1]All Data '!AZ811)</f>
        <v/>
      </c>
      <c r="Q806" s="10" t="str">
        <f>IF('[1]All Data '!BB811="","",'[1]All Data '!BB811)</f>
        <v/>
      </c>
      <c r="R806" s="10" t="str">
        <f>IF('[1]All Data '!BD811="","",'[1]All Data '!BD811)</f>
        <v/>
      </c>
      <c r="S806" s="11" t="str">
        <f>IF(R806="","",'[1]All Data '!BE811)</f>
        <v/>
      </c>
      <c r="T806" s="12" t="str">
        <f>IF(S806="","",[1]Inputs_Outputs!$B$8*(1-'LOCH Calc COE Calc'!S806))</f>
        <v/>
      </c>
      <c r="U806" s="13" t="str">
        <f t="shared" si="61"/>
        <v/>
      </c>
      <c r="V806" s="13" t="str">
        <f t="shared" si="62"/>
        <v/>
      </c>
      <c r="W806" s="4" t="str">
        <f t="shared" si="63"/>
        <v/>
      </c>
      <c r="X806" t="str">
        <f>IF(W806="","",LOOKUP(_xlfn.CONCAT(P806,", ",Q806),'[1]T+S Costs'!$F$2:$F$3138,'[1]T+S Costs'!$N$2:$N$3138))</f>
        <v/>
      </c>
      <c r="Y806" s="14" t="str">
        <f t="shared" si="64"/>
        <v/>
      </c>
      <c r="Z806" s="4" t="str">
        <f t="shared" si="65"/>
        <v/>
      </c>
    </row>
    <row r="807" spans="16:26" x14ac:dyDescent="0.25">
      <c r="P807" s="10" t="str">
        <f>IF('[1]All Data '!AZ812="","",'[1]All Data '!AZ812)</f>
        <v/>
      </c>
      <c r="Q807" s="10" t="str">
        <f>IF('[1]All Data '!BB812="","",'[1]All Data '!BB812)</f>
        <v/>
      </c>
      <c r="R807" s="10" t="str">
        <f>IF('[1]All Data '!BD812="","",'[1]All Data '!BD812)</f>
        <v/>
      </c>
      <c r="S807" s="11" t="str">
        <f>IF(R807="","",'[1]All Data '!BE812)</f>
        <v/>
      </c>
      <c r="T807" s="12" t="str">
        <f>IF(S807="","",[1]Inputs_Outputs!$B$8*(1-'LOCH Calc COE Calc'!S807))</f>
        <v/>
      </c>
      <c r="U807" s="13" t="str">
        <f t="shared" si="61"/>
        <v/>
      </c>
      <c r="V807" s="13" t="str">
        <f t="shared" si="62"/>
        <v/>
      </c>
      <c r="W807" s="4" t="str">
        <f t="shared" si="63"/>
        <v/>
      </c>
      <c r="X807" t="str">
        <f>IF(W807="","",LOOKUP(_xlfn.CONCAT(P807,", ",Q807),'[1]T+S Costs'!$F$2:$F$3138,'[1]T+S Costs'!$N$2:$N$3138))</f>
        <v/>
      </c>
      <c r="Y807" s="14" t="str">
        <f t="shared" si="64"/>
        <v/>
      </c>
      <c r="Z807" s="4" t="str">
        <f t="shared" si="65"/>
        <v/>
      </c>
    </row>
    <row r="808" spans="16:26" x14ac:dyDescent="0.25">
      <c r="P808" s="10" t="str">
        <f>IF('[1]All Data '!AZ813="","",'[1]All Data '!AZ813)</f>
        <v/>
      </c>
      <c r="Q808" s="10" t="str">
        <f>IF('[1]All Data '!BB813="","",'[1]All Data '!BB813)</f>
        <v/>
      </c>
      <c r="R808" s="10" t="str">
        <f>IF('[1]All Data '!BD813="","",'[1]All Data '!BD813)</f>
        <v/>
      </c>
      <c r="S808" s="11" t="str">
        <f>IF(R808="","",'[1]All Data '!BE813)</f>
        <v/>
      </c>
      <c r="T808" s="12" t="str">
        <f>IF(S808="","",[1]Inputs_Outputs!$B$8*(1-'LOCH Calc COE Calc'!S808))</f>
        <v/>
      </c>
      <c r="U808" s="13" t="str">
        <f t="shared" si="61"/>
        <v/>
      </c>
      <c r="V808" s="13" t="str">
        <f t="shared" si="62"/>
        <v/>
      </c>
      <c r="W808" s="4" t="str">
        <f t="shared" si="63"/>
        <v/>
      </c>
      <c r="X808" t="str">
        <f>IF(W808="","",LOOKUP(_xlfn.CONCAT(P808,", ",Q808),'[1]T+S Costs'!$F$2:$F$3138,'[1]T+S Costs'!$N$2:$N$3138))</f>
        <v/>
      </c>
      <c r="Y808" s="14" t="str">
        <f t="shared" si="64"/>
        <v/>
      </c>
      <c r="Z808" s="4" t="str">
        <f t="shared" si="65"/>
        <v/>
      </c>
    </row>
    <row r="809" spans="16:26" x14ac:dyDescent="0.25">
      <c r="P809" s="10" t="str">
        <f>IF('[1]All Data '!AZ814="","",'[1]All Data '!AZ814)</f>
        <v/>
      </c>
      <c r="Q809" s="10" t="str">
        <f>IF('[1]All Data '!BB814="","",'[1]All Data '!BB814)</f>
        <v/>
      </c>
      <c r="R809" s="10" t="str">
        <f>IF('[1]All Data '!BD814="","",'[1]All Data '!BD814)</f>
        <v/>
      </c>
      <c r="S809" s="11" t="str">
        <f>IF(R809="","",'[1]All Data '!BE814)</f>
        <v/>
      </c>
      <c r="T809" s="12" t="str">
        <f>IF(S809="","",[1]Inputs_Outputs!$B$8*(1-'LOCH Calc COE Calc'!S809))</f>
        <v/>
      </c>
      <c r="U809" s="13" t="str">
        <f t="shared" si="61"/>
        <v/>
      </c>
      <c r="V809" s="13" t="str">
        <f t="shared" si="62"/>
        <v/>
      </c>
      <c r="W809" s="4" t="str">
        <f t="shared" si="63"/>
        <v/>
      </c>
      <c r="X809" t="str">
        <f>IF(W809="","",LOOKUP(_xlfn.CONCAT(P809,", ",Q809),'[1]T+S Costs'!$F$2:$F$3138,'[1]T+S Costs'!$N$2:$N$3138))</f>
        <v/>
      </c>
      <c r="Y809" s="14" t="str">
        <f t="shared" si="64"/>
        <v/>
      </c>
      <c r="Z809" s="4" t="str">
        <f t="shared" si="65"/>
        <v/>
      </c>
    </row>
    <row r="810" spans="16:26" x14ac:dyDescent="0.25">
      <c r="P810" s="10" t="str">
        <f>IF('[1]All Data '!AZ815="","",'[1]All Data '!AZ815)</f>
        <v/>
      </c>
      <c r="Q810" s="10" t="str">
        <f>IF('[1]All Data '!BB815="","",'[1]All Data '!BB815)</f>
        <v/>
      </c>
      <c r="R810" s="10" t="str">
        <f>IF('[1]All Data '!BD815="","",'[1]All Data '!BD815)</f>
        <v/>
      </c>
      <c r="S810" s="11" t="str">
        <f>IF(R810="","",'[1]All Data '!BE815)</f>
        <v/>
      </c>
      <c r="T810" s="12" t="str">
        <f>IF(S810="","",[1]Inputs_Outputs!$B$8*(1-'LOCH Calc COE Calc'!S810))</f>
        <v/>
      </c>
      <c r="U810" s="13" t="str">
        <f t="shared" si="61"/>
        <v/>
      </c>
      <c r="V810" s="13" t="str">
        <f t="shared" si="62"/>
        <v/>
      </c>
      <c r="W810" s="4" t="str">
        <f t="shared" si="63"/>
        <v/>
      </c>
      <c r="X810" t="str">
        <f>IF(W810="","",LOOKUP(_xlfn.CONCAT(P810,", ",Q810),'[1]T+S Costs'!$F$2:$F$3138,'[1]T+S Costs'!$N$2:$N$3138))</f>
        <v/>
      </c>
      <c r="Y810" s="14" t="str">
        <f t="shared" si="64"/>
        <v/>
      </c>
      <c r="Z810" s="4" t="str">
        <f t="shared" si="65"/>
        <v/>
      </c>
    </row>
    <row r="811" spans="16:26" x14ac:dyDescent="0.25">
      <c r="P811" s="10" t="str">
        <f>IF('[1]All Data '!AZ816="","",'[1]All Data '!AZ816)</f>
        <v/>
      </c>
      <c r="Q811" s="10" t="str">
        <f>IF('[1]All Data '!BB816="","",'[1]All Data '!BB816)</f>
        <v/>
      </c>
      <c r="R811" s="10" t="str">
        <f>IF('[1]All Data '!BD816="","",'[1]All Data '!BD816)</f>
        <v/>
      </c>
      <c r="S811" s="11" t="str">
        <f>IF(R811="","",'[1]All Data '!BE816)</f>
        <v/>
      </c>
      <c r="T811" s="12" t="str">
        <f>IF(S811="","",[1]Inputs_Outputs!$B$8*(1-'LOCH Calc COE Calc'!S811))</f>
        <v/>
      </c>
      <c r="U811" s="13" t="str">
        <f t="shared" si="61"/>
        <v/>
      </c>
      <c r="V811" s="13" t="str">
        <f t="shared" si="62"/>
        <v/>
      </c>
      <c r="W811" s="4" t="str">
        <f t="shared" si="63"/>
        <v/>
      </c>
      <c r="X811" t="str">
        <f>IF(W811="","",LOOKUP(_xlfn.CONCAT(P811,", ",Q811),'[1]T+S Costs'!$F$2:$F$3138,'[1]T+S Costs'!$N$2:$N$3138))</f>
        <v/>
      </c>
      <c r="Y811" s="14" t="str">
        <f t="shared" si="64"/>
        <v/>
      </c>
      <c r="Z811" s="4" t="str">
        <f t="shared" si="65"/>
        <v/>
      </c>
    </row>
    <row r="812" spans="16:26" x14ac:dyDescent="0.25">
      <c r="P812" s="10" t="str">
        <f>IF('[1]All Data '!AZ817="","",'[1]All Data '!AZ817)</f>
        <v/>
      </c>
      <c r="Q812" s="10" t="str">
        <f>IF('[1]All Data '!BB817="","",'[1]All Data '!BB817)</f>
        <v/>
      </c>
      <c r="R812" s="10" t="str">
        <f>IF('[1]All Data '!BD817="","",'[1]All Data '!BD817)</f>
        <v/>
      </c>
      <c r="S812" s="11" t="str">
        <f>IF(R812="","",'[1]All Data '!BE817)</f>
        <v/>
      </c>
      <c r="T812" s="12" t="str">
        <f>IF(S812="","",[1]Inputs_Outputs!$B$8*(1-'LOCH Calc COE Calc'!S812))</f>
        <v/>
      </c>
      <c r="U812" s="13" t="str">
        <f t="shared" si="61"/>
        <v/>
      </c>
      <c r="V812" s="13" t="str">
        <f t="shared" si="62"/>
        <v/>
      </c>
      <c r="W812" s="4" t="str">
        <f t="shared" si="63"/>
        <v/>
      </c>
      <c r="X812" t="str">
        <f>IF(W812="","",LOOKUP(_xlfn.CONCAT(P812,", ",Q812),'[1]T+S Costs'!$F$2:$F$3138,'[1]T+S Costs'!$N$2:$N$3138))</f>
        <v/>
      </c>
      <c r="Y812" s="14" t="str">
        <f t="shared" si="64"/>
        <v/>
      </c>
      <c r="Z812" s="4" t="str">
        <f t="shared" si="65"/>
        <v/>
      </c>
    </row>
    <row r="813" spans="16:26" x14ac:dyDescent="0.25">
      <c r="P813" s="10" t="str">
        <f>IF('[1]All Data '!AZ818="","",'[1]All Data '!AZ818)</f>
        <v/>
      </c>
      <c r="Q813" s="10" t="str">
        <f>IF('[1]All Data '!BB818="","",'[1]All Data '!BB818)</f>
        <v/>
      </c>
      <c r="R813" s="10" t="str">
        <f>IF('[1]All Data '!BD818="","",'[1]All Data '!BD818)</f>
        <v/>
      </c>
      <c r="S813" s="11" t="str">
        <f>IF(R813="","",'[1]All Data '!BE818)</f>
        <v/>
      </c>
      <c r="T813" s="12" t="str">
        <f>IF(S813="","",[1]Inputs_Outputs!$B$8*(1-'LOCH Calc COE Calc'!S813))</f>
        <v/>
      </c>
      <c r="U813" s="13" t="str">
        <f t="shared" si="61"/>
        <v/>
      </c>
      <c r="V813" s="13" t="str">
        <f t="shared" si="62"/>
        <v/>
      </c>
      <c r="W813" s="4" t="str">
        <f t="shared" si="63"/>
        <v/>
      </c>
      <c r="X813" t="str">
        <f>IF(W813="","",LOOKUP(_xlfn.CONCAT(P813,", ",Q813),'[1]T+S Costs'!$F$2:$F$3138,'[1]T+S Costs'!$N$2:$N$3138))</f>
        <v/>
      </c>
      <c r="Y813" s="14" t="str">
        <f t="shared" si="64"/>
        <v/>
      </c>
      <c r="Z813" s="4" t="str">
        <f t="shared" si="65"/>
        <v/>
      </c>
    </row>
    <row r="814" spans="16:26" x14ac:dyDescent="0.25">
      <c r="P814" s="10" t="str">
        <f>IF('[1]All Data '!AZ819="","",'[1]All Data '!AZ819)</f>
        <v/>
      </c>
      <c r="Q814" s="10" t="str">
        <f>IF('[1]All Data '!BB819="","",'[1]All Data '!BB819)</f>
        <v/>
      </c>
      <c r="R814" s="10" t="str">
        <f>IF('[1]All Data '!BD819="","",'[1]All Data '!BD819)</f>
        <v/>
      </c>
      <c r="S814" s="11" t="str">
        <f>IF(R814="","",'[1]All Data '!BE819)</f>
        <v/>
      </c>
      <c r="T814" s="12" t="str">
        <f>IF(S814="","",[1]Inputs_Outputs!$B$8*(1-'LOCH Calc COE Calc'!S814))</f>
        <v/>
      </c>
      <c r="U814" s="13" t="str">
        <f t="shared" si="61"/>
        <v/>
      </c>
      <c r="V814" s="13" t="str">
        <f t="shared" si="62"/>
        <v/>
      </c>
      <c r="W814" s="4" t="str">
        <f t="shared" si="63"/>
        <v/>
      </c>
      <c r="X814" t="str">
        <f>IF(W814="","",LOOKUP(_xlfn.CONCAT(P814,", ",Q814),'[1]T+S Costs'!$F$2:$F$3138,'[1]T+S Costs'!$N$2:$N$3138))</f>
        <v/>
      </c>
      <c r="Y814" s="14" t="str">
        <f t="shared" si="64"/>
        <v/>
      </c>
      <c r="Z814" s="4" t="str">
        <f t="shared" si="65"/>
        <v/>
      </c>
    </row>
    <row r="815" spans="16:26" x14ac:dyDescent="0.25">
      <c r="P815" s="10" t="str">
        <f>IF('[1]All Data '!AZ820="","",'[1]All Data '!AZ820)</f>
        <v/>
      </c>
      <c r="Q815" s="10" t="str">
        <f>IF('[1]All Data '!BB820="","",'[1]All Data '!BB820)</f>
        <v/>
      </c>
      <c r="R815" s="10" t="str">
        <f>IF('[1]All Data '!BD820="","",'[1]All Data '!BD820)</f>
        <v/>
      </c>
      <c r="S815" s="11" t="str">
        <f>IF(R815="","",'[1]All Data '!BE820)</f>
        <v/>
      </c>
      <c r="T815" s="12" t="str">
        <f>IF(S815="","",[1]Inputs_Outputs!$B$8*(1-'LOCH Calc COE Calc'!S815))</f>
        <v/>
      </c>
      <c r="U815" s="13" t="str">
        <f t="shared" si="61"/>
        <v/>
      </c>
      <c r="V815" s="13" t="str">
        <f t="shared" si="62"/>
        <v/>
      </c>
      <c r="W815" s="4" t="str">
        <f t="shared" si="63"/>
        <v/>
      </c>
      <c r="X815" t="str">
        <f>IF(W815="","",LOOKUP(_xlfn.CONCAT(P815,", ",Q815),'[1]T+S Costs'!$F$2:$F$3138,'[1]T+S Costs'!$N$2:$N$3138))</f>
        <v/>
      </c>
      <c r="Y815" s="14" t="str">
        <f t="shared" si="64"/>
        <v/>
      </c>
      <c r="Z815" s="4" t="str">
        <f t="shared" si="65"/>
        <v/>
      </c>
    </row>
    <row r="816" spans="16:26" x14ac:dyDescent="0.25">
      <c r="P816" s="10" t="str">
        <f>IF('[1]All Data '!AZ821="","",'[1]All Data '!AZ821)</f>
        <v/>
      </c>
      <c r="Q816" s="10" t="str">
        <f>IF('[1]All Data '!BB821="","",'[1]All Data '!BB821)</f>
        <v/>
      </c>
      <c r="R816" s="10" t="str">
        <f>IF('[1]All Data '!BD821="","",'[1]All Data '!BD821)</f>
        <v/>
      </c>
      <c r="S816" s="11" t="str">
        <f>IF(R816="","",'[1]All Data '!BE821)</f>
        <v/>
      </c>
      <c r="T816" s="12" t="str">
        <f>IF(S816="","",[1]Inputs_Outputs!$B$8*(1-'LOCH Calc COE Calc'!S816))</f>
        <v/>
      </c>
      <c r="U816" s="13" t="str">
        <f t="shared" si="61"/>
        <v/>
      </c>
      <c r="V816" s="13" t="str">
        <f t="shared" si="62"/>
        <v/>
      </c>
      <c r="W816" s="4" t="str">
        <f t="shared" si="63"/>
        <v/>
      </c>
      <c r="X816" t="str">
        <f>IF(W816="","",LOOKUP(_xlfn.CONCAT(P816,", ",Q816),'[1]T+S Costs'!$F$2:$F$3138,'[1]T+S Costs'!$N$2:$N$3138))</f>
        <v/>
      </c>
      <c r="Y816" s="14" t="str">
        <f t="shared" si="64"/>
        <v/>
      </c>
      <c r="Z816" s="4" t="str">
        <f t="shared" si="65"/>
        <v/>
      </c>
    </row>
    <row r="817" spans="16:26" x14ac:dyDescent="0.25">
      <c r="P817" s="10" t="str">
        <f>IF('[1]All Data '!AZ822="","",'[1]All Data '!AZ822)</f>
        <v/>
      </c>
      <c r="Q817" s="10" t="str">
        <f>IF('[1]All Data '!BB822="","",'[1]All Data '!BB822)</f>
        <v/>
      </c>
      <c r="R817" s="10" t="str">
        <f>IF('[1]All Data '!BD822="","",'[1]All Data '!BD822)</f>
        <v/>
      </c>
      <c r="S817" s="11" t="str">
        <f>IF(R817="","",'[1]All Data '!BE822)</f>
        <v/>
      </c>
      <c r="T817" s="12" t="str">
        <f>IF(S817="","",[1]Inputs_Outputs!$B$8*(1-'LOCH Calc COE Calc'!S817))</f>
        <v/>
      </c>
      <c r="U817" s="13" t="str">
        <f t="shared" si="61"/>
        <v/>
      </c>
      <c r="V817" s="13" t="str">
        <f t="shared" si="62"/>
        <v/>
      </c>
      <c r="W817" s="4" t="str">
        <f t="shared" si="63"/>
        <v/>
      </c>
      <c r="X817" t="str">
        <f>IF(W817="","",LOOKUP(_xlfn.CONCAT(P817,", ",Q817),'[1]T+S Costs'!$F$2:$F$3138,'[1]T+S Costs'!$N$2:$N$3138))</f>
        <v/>
      </c>
      <c r="Y817" s="14" t="str">
        <f t="shared" si="64"/>
        <v/>
      </c>
      <c r="Z817" s="4" t="str">
        <f t="shared" si="65"/>
        <v/>
      </c>
    </row>
    <row r="818" spans="16:26" x14ac:dyDescent="0.25">
      <c r="P818" s="10" t="str">
        <f>IF('[1]All Data '!AZ823="","",'[1]All Data '!AZ823)</f>
        <v/>
      </c>
      <c r="Q818" s="10" t="str">
        <f>IF('[1]All Data '!BB823="","",'[1]All Data '!BB823)</f>
        <v/>
      </c>
      <c r="R818" s="10" t="str">
        <f>IF('[1]All Data '!BD823="","",'[1]All Data '!BD823)</f>
        <v/>
      </c>
      <c r="S818" s="11" t="str">
        <f>IF(R818="","",'[1]All Data '!BE823)</f>
        <v/>
      </c>
      <c r="T818" s="12" t="str">
        <f>IF(S818="","",[1]Inputs_Outputs!$B$8*(1-'LOCH Calc COE Calc'!S818))</f>
        <v/>
      </c>
      <c r="U818" s="13" t="str">
        <f t="shared" si="61"/>
        <v/>
      </c>
      <c r="V818" s="13" t="str">
        <f t="shared" si="62"/>
        <v/>
      </c>
      <c r="W818" s="4" t="str">
        <f t="shared" si="63"/>
        <v/>
      </c>
      <c r="X818" t="str">
        <f>IF(W818="","",LOOKUP(_xlfn.CONCAT(P818,", ",Q818),'[1]T+S Costs'!$F$2:$F$3138,'[1]T+S Costs'!$N$2:$N$3138))</f>
        <v/>
      </c>
      <c r="Y818" s="14" t="str">
        <f t="shared" si="64"/>
        <v/>
      </c>
      <c r="Z818" s="4" t="str">
        <f t="shared" si="65"/>
        <v/>
      </c>
    </row>
    <row r="819" spans="16:26" x14ac:dyDescent="0.25">
      <c r="P819" s="10" t="str">
        <f>IF('[1]All Data '!AZ824="","",'[1]All Data '!AZ824)</f>
        <v/>
      </c>
      <c r="Q819" s="10" t="str">
        <f>IF('[1]All Data '!BB824="","",'[1]All Data '!BB824)</f>
        <v/>
      </c>
      <c r="R819" s="10" t="str">
        <f>IF('[1]All Data '!BD824="","",'[1]All Data '!BD824)</f>
        <v/>
      </c>
      <c r="S819" s="11" t="str">
        <f>IF(R819="","",'[1]All Data '!BE824)</f>
        <v/>
      </c>
      <c r="T819" s="12" t="str">
        <f>IF(S819="","",[1]Inputs_Outputs!$B$8*(1-'LOCH Calc COE Calc'!S819))</f>
        <v/>
      </c>
      <c r="U819" s="13" t="str">
        <f t="shared" si="61"/>
        <v/>
      </c>
      <c r="V819" s="13" t="str">
        <f t="shared" si="62"/>
        <v/>
      </c>
      <c r="W819" s="4" t="str">
        <f t="shared" si="63"/>
        <v/>
      </c>
      <c r="X819" t="str">
        <f>IF(W819="","",LOOKUP(_xlfn.CONCAT(P819,", ",Q819),'[1]T+S Costs'!$F$2:$F$3138,'[1]T+S Costs'!$N$2:$N$3138))</f>
        <v/>
      </c>
      <c r="Y819" s="14" t="str">
        <f t="shared" si="64"/>
        <v/>
      </c>
      <c r="Z819" s="4" t="str">
        <f t="shared" si="65"/>
        <v/>
      </c>
    </row>
    <row r="820" spans="16:26" x14ac:dyDescent="0.25">
      <c r="P820" s="10" t="str">
        <f>IF('[1]All Data '!AZ825="","",'[1]All Data '!AZ825)</f>
        <v/>
      </c>
      <c r="Q820" s="10" t="str">
        <f>IF('[1]All Data '!BB825="","",'[1]All Data '!BB825)</f>
        <v/>
      </c>
      <c r="R820" s="10" t="str">
        <f>IF('[1]All Data '!BD825="","",'[1]All Data '!BD825)</f>
        <v/>
      </c>
      <c r="S820" s="11" t="str">
        <f>IF(R820="","",'[1]All Data '!BE825)</f>
        <v/>
      </c>
      <c r="T820" s="12" t="str">
        <f>IF(S820="","",[1]Inputs_Outputs!$B$8*(1-'LOCH Calc COE Calc'!S820))</f>
        <v/>
      </c>
      <c r="U820" s="13" t="str">
        <f t="shared" si="61"/>
        <v/>
      </c>
      <c r="V820" s="13" t="str">
        <f t="shared" si="62"/>
        <v/>
      </c>
      <c r="W820" s="4" t="str">
        <f t="shared" si="63"/>
        <v/>
      </c>
      <c r="X820" t="str">
        <f>IF(W820="","",LOOKUP(_xlfn.CONCAT(P820,", ",Q820),'[1]T+S Costs'!$F$2:$F$3138,'[1]T+S Costs'!$N$2:$N$3138))</f>
        <v/>
      </c>
      <c r="Y820" s="14" t="str">
        <f t="shared" si="64"/>
        <v/>
      </c>
      <c r="Z820" s="4" t="str">
        <f t="shared" si="65"/>
        <v/>
      </c>
    </row>
    <row r="821" spans="16:26" x14ac:dyDescent="0.25">
      <c r="P821" s="10" t="str">
        <f>IF('[1]All Data '!AZ826="","",'[1]All Data '!AZ826)</f>
        <v/>
      </c>
      <c r="Q821" s="10" t="str">
        <f>IF('[1]All Data '!BB826="","",'[1]All Data '!BB826)</f>
        <v/>
      </c>
      <c r="R821" s="10" t="str">
        <f>IF('[1]All Data '!BD826="","",'[1]All Data '!BD826)</f>
        <v/>
      </c>
      <c r="S821" s="11" t="str">
        <f>IF(R821="","",'[1]All Data '!BE826)</f>
        <v/>
      </c>
      <c r="T821" s="12" t="str">
        <f>IF(S821="","",[1]Inputs_Outputs!$B$8*(1-'LOCH Calc COE Calc'!S821))</f>
        <v/>
      </c>
      <c r="U821" s="13" t="str">
        <f t="shared" si="61"/>
        <v/>
      </c>
      <c r="V821" s="13" t="str">
        <f t="shared" si="62"/>
        <v/>
      </c>
      <c r="W821" s="4" t="str">
        <f t="shared" si="63"/>
        <v/>
      </c>
      <c r="X821" t="str">
        <f>IF(W821="","",LOOKUP(_xlfn.CONCAT(P821,", ",Q821),'[1]T+S Costs'!$F$2:$F$3138,'[1]T+S Costs'!$N$2:$N$3138))</f>
        <v/>
      </c>
      <c r="Y821" s="14" t="str">
        <f t="shared" si="64"/>
        <v/>
      </c>
      <c r="Z821" s="4" t="str">
        <f t="shared" si="65"/>
        <v/>
      </c>
    </row>
    <row r="822" spans="16:26" x14ac:dyDescent="0.25">
      <c r="P822" s="10" t="str">
        <f>IF('[1]All Data '!AZ827="","",'[1]All Data '!AZ827)</f>
        <v/>
      </c>
      <c r="Q822" s="10" t="str">
        <f>IF('[1]All Data '!BB827="","",'[1]All Data '!BB827)</f>
        <v/>
      </c>
      <c r="R822" s="10" t="str">
        <f>IF('[1]All Data '!BD827="","",'[1]All Data '!BD827)</f>
        <v/>
      </c>
      <c r="S822" s="11" t="str">
        <f>IF(R822="","",'[1]All Data '!BE827)</f>
        <v/>
      </c>
      <c r="T822" s="12" t="str">
        <f>IF(S822="","",[1]Inputs_Outputs!$B$8*(1-'LOCH Calc COE Calc'!S822))</f>
        <v/>
      </c>
      <c r="U822" s="13" t="str">
        <f t="shared" si="61"/>
        <v/>
      </c>
      <c r="V822" s="13" t="str">
        <f t="shared" si="62"/>
        <v/>
      </c>
      <c r="W822" s="4" t="str">
        <f t="shared" si="63"/>
        <v/>
      </c>
      <c r="X822" t="str">
        <f>IF(W822="","",LOOKUP(_xlfn.CONCAT(P822,", ",Q822),'[1]T+S Costs'!$F$2:$F$3138,'[1]T+S Costs'!$N$2:$N$3138))</f>
        <v/>
      </c>
      <c r="Y822" s="14" t="str">
        <f t="shared" si="64"/>
        <v/>
      </c>
      <c r="Z822" s="4" t="str">
        <f t="shared" si="65"/>
        <v/>
      </c>
    </row>
    <row r="823" spans="16:26" x14ac:dyDescent="0.25">
      <c r="P823" s="10" t="str">
        <f>IF('[1]All Data '!AZ828="","",'[1]All Data '!AZ828)</f>
        <v/>
      </c>
      <c r="Q823" s="10" t="str">
        <f>IF('[1]All Data '!BB828="","",'[1]All Data '!BB828)</f>
        <v/>
      </c>
      <c r="R823" s="10" t="str">
        <f>IF('[1]All Data '!BD828="","",'[1]All Data '!BD828)</f>
        <v/>
      </c>
      <c r="S823" s="11" t="str">
        <f>IF(R823="","",'[1]All Data '!BE828)</f>
        <v/>
      </c>
      <c r="T823" s="12" t="str">
        <f>IF(S823="","",[1]Inputs_Outputs!$B$8*(1-'LOCH Calc COE Calc'!S823))</f>
        <v/>
      </c>
      <c r="U823" s="13" t="str">
        <f t="shared" si="61"/>
        <v/>
      </c>
      <c r="V823" s="13" t="str">
        <f t="shared" si="62"/>
        <v/>
      </c>
      <c r="W823" s="4" t="str">
        <f t="shared" si="63"/>
        <v/>
      </c>
      <c r="X823" t="str">
        <f>IF(W823="","",LOOKUP(_xlfn.CONCAT(P823,", ",Q823),'[1]T+S Costs'!$F$2:$F$3138,'[1]T+S Costs'!$N$2:$N$3138))</f>
        <v/>
      </c>
      <c r="Y823" s="14" t="str">
        <f t="shared" si="64"/>
        <v/>
      </c>
      <c r="Z823" s="4" t="str">
        <f t="shared" si="65"/>
        <v/>
      </c>
    </row>
    <row r="824" spans="16:26" x14ac:dyDescent="0.25">
      <c r="P824" s="10" t="str">
        <f>IF('[1]All Data '!AZ829="","",'[1]All Data '!AZ829)</f>
        <v/>
      </c>
      <c r="Q824" s="10" t="str">
        <f>IF('[1]All Data '!BB829="","",'[1]All Data '!BB829)</f>
        <v/>
      </c>
      <c r="R824" s="10" t="str">
        <f>IF('[1]All Data '!BD829="","",'[1]All Data '!BD829)</f>
        <v/>
      </c>
      <c r="S824" s="11" t="str">
        <f>IF(R824="","",'[1]All Data '!BE829)</f>
        <v/>
      </c>
      <c r="T824" s="12" t="str">
        <f>IF(S824="","",[1]Inputs_Outputs!$B$8*(1-'LOCH Calc COE Calc'!S824))</f>
        <v/>
      </c>
      <c r="U824" s="13" t="str">
        <f t="shared" si="61"/>
        <v/>
      </c>
      <c r="V824" s="13" t="str">
        <f t="shared" si="62"/>
        <v/>
      </c>
      <c r="W824" s="4" t="str">
        <f t="shared" si="63"/>
        <v/>
      </c>
      <c r="X824" t="str">
        <f>IF(W824="","",LOOKUP(_xlfn.CONCAT(P824,", ",Q824),'[1]T+S Costs'!$F$2:$F$3138,'[1]T+S Costs'!$N$2:$N$3138))</f>
        <v/>
      </c>
      <c r="Y824" s="14" t="str">
        <f t="shared" si="64"/>
        <v/>
      </c>
      <c r="Z824" s="4" t="str">
        <f t="shared" si="65"/>
        <v/>
      </c>
    </row>
    <row r="825" spans="16:26" x14ac:dyDescent="0.25">
      <c r="P825" s="10" t="str">
        <f>IF('[1]All Data '!AZ830="","",'[1]All Data '!AZ830)</f>
        <v/>
      </c>
      <c r="Q825" s="10" t="str">
        <f>IF('[1]All Data '!BB830="","",'[1]All Data '!BB830)</f>
        <v/>
      </c>
      <c r="R825" s="10" t="str">
        <f>IF('[1]All Data '!BD830="","",'[1]All Data '!BD830)</f>
        <v/>
      </c>
      <c r="S825" s="11" t="str">
        <f>IF(R825="","",'[1]All Data '!BE830)</f>
        <v/>
      </c>
      <c r="T825" s="12" t="str">
        <f>IF(S825="","",[1]Inputs_Outputs!$B$8*(1-'LOCH Calc COE Calc'!S825))</f>
        <v/>
      </c>
      <c r="U825" s="13" t="str">
        <f t="shared" si="61"/>
        <v/>
      </c>
      <c r="V825" s="13" t="str">
        <f t="shared" si="62"/>
        <v/>
      </c>
      <c r="W825" s="4" t="str">
        <f t="shared" si="63"/>
        <v/>
      </c>
      <c r="X825" t="str">
        <f>IF(W825="","",LOOKUP(_xlfn.CONCAT(P825,", ",Q825),'[1]T+S Costs'!$F$2:$F$3138,'[1]T+S Costs'!$N$2:$N$3138))</f>
        <v/>
      </c>
      <c r="Y825" s="14" t="str">
        <f t="shared" si="64"/>
        <v/>
      </c>
      <c r="Z825" s="4" t="str">
        <f t="shared" si="65"/>
        <v/>
      </c>
    </row>
    <row r="826" spans="16:26" x14ac:dyDescent="0.25">
      <c r="P826" s="10" t="str">
        <f>IF('[1]All Data '!AZ831="","",'[1]All Data '!AZ831)</f>
        <v/>
      </c>
      <c r="Q826" s="10" t="str">
        <f>IF('[1]All Data '!BB831="","",'[1]All Data '!BB831)</f>
        <v/>
      </c>
      <c r="R826" s="10" t="str">
        <f>IF('[1]All Data '!BD831="","",'[1]All Data '!BD831)</f>
        <v/>
      </c>
      <c r="S826" s="11" t="str">
        <f>IF(R826="","",'[1]All Data '!BE831)</f>
        <v/>
      </c>
      <c r="T826" s="12" t="str">
        <f>IF(S826="","",[1]Inputs_Outputs!$B$8*(1-'LOCH Calc COE Calc'!S826))</f>
        <v/>
      </c>
      <c r="U826" s="13" t="str">
        <f t="shared" si="61"/>
        <v/>
      </c>
      <c r="V826" s="13" t="str">
        <f t="shared" si="62"/>
        <v/>
      </c>
      <c r="W826" s="4" t="str">
        <f t="shared" si="63"/>
        <v/>
      </c>
      <c r="X826" t="str">
        <f>IF(W826="","",LOOKUP(_xlfn.CONCAT(P826,", ",Q826),'[1]T+S Costs'!$F$2:$F$3138,'[1]T+S Costs'!$N$2:$N$3138))</f>
        <v/>
      </c>
      <c r="Y826" s="14" t="str">
        <f t="shared" si="64"/>
        <v/>
      </c>
      <c r="Z826" s="4" t="str">
        <f t="shared" si="65"/>
        <v/>
      </c>
    </row>
    <row r="827" spans="16:26" x14ac:dyDescent="0.25">
      <c r="P827" s="10" t="str">
        <f>IF('[1]All Data '!AZ832="","",'[1]All Data '!AZ832)</f>
        <v/>
      </c>
      <c r="Q827" s="10" t="str">
        <f>IF('[1]All Data '!BB832="","",'[1]All Data '!BB832)</f>
        <v/>
      </c>
      <c r="R827" s="10" t="str">
        <f>IF('[1]All Data '!BD832="","",'[1]All Data '!BD832)</f>
        <v/>
      </c>
      <c r="S827" s="11" t="str">
        <f>IF(R827="","",'[1]All Data '!BE832)</f>
        <v/>
      </c>
      <c r="T827" s="12" t="str">
        <f>IF(S827="","",[1]Inputs_Outputs!$B$8*(1-'LOCH Calc COE Calc'!S827))</f>
        <v/>
      </c>
      <c r="U827" s="13" t="str">
        <f t="shared" si="61"/>
        <v/>
      </c>
      <c r="V827" s="13" t="str">
        <f t="shared" si="62"/>
        <v/>
      </c>
      <c r="W827" s="4" t="str">
        <f t="shared" si="63"/>
        <v/>
      </c>
      <c r="X827" t="str">
        <f>IF(W827="","",LOOKUP(_xlfn.CONCAT(P827,", ",Q827),'[1]T+S Costs'!$F$2:$F$3138,'[1]T+S Costs'!$N$2:$N$3138))</f>
        <v/>
      </c>
      <c r="Y827" s="14" t="str">
        <f t="shared" si="64"/>
        <v/>
      </c>
      <c r="Z827" s="4" t="str">
        <f t="shared" si="65"/>
        <v/>
      </c>
    </row>
    <row r="828" spans="16:26" x14ac:dyDescent="0.25">
      <c r="P828" s="10" t="str">
        <f>IF('[1]All Data '!AZ833="","",'[1]All Data '!AZ833)</f>
        <v/>
      </c>
      <c r="Q828" s="10" t="str">
        <f>IF('[1]All Data '!BB833="","",'[1]All Data '!BB833)</f>
        <v/>
      </c>
      <c r="R828" s="10" t="str">
        <f>IF('[1]All Data '!BD833="","",'[1]All Data '!BD833)</f>
        <v/>
      </c>
      <c r="S828" s="11" t="str">
        <f>IF(R828="","",'[1]All Data '!BE833)</f>
        <v/>
      </c>
      <c r="T828" s="12" t="str">
        <f>IF(S828="","",[1]Inputs_Outputs!$B$8*(1-'LOCH Calc COE Calc'!S828))</f>
        <v/>
      </c>
      <c r="U828" s="13" t="str">
        <f t="shared" si="61"/>
        <v/>
      </c>
      <c r="V828" s="13" t="str">
        <f t="shared" si="62"/>
        <v/>
      </c>
      <c r="W828" s="4" t="str">
        <f t="shared" si="63"/>
        <v/>
      </c>
      <c r="X828" t="str">
        <f>IF(W828="","",LOOKUP(_xlfn.CONCAT(P828,", ",Q828),'[1]T+S Costs'!$F$2:$F$3138,'[1]T+S Costs'!$N$2:$N$3138))</f>
        <v/>
      </c>
      <c r="Y828" s="14" t="str">
        <f t="shared" si="64"/>
        <v/>
      </c>
      <c r="Z828" s="4" t="str">
        <f t="shared" si="65"/>
        <v/>
      </c>
    </row>
    <row r="829" spans="16:26" x14ac:dyDescent="0.25">
      <c r="P829" s="10" t="str">
        <f>IF('[1]All Data '!AZ834="","",'[1]All Data '!AZ834)</f>
        <v/>
      </c>
      <c r="Q829" s="10" t="str">
        <f>IF('[1]All Data '!BB834="","",'[1]All Data '!BB834)</f>
        <v/>
      </c>
      <c r="R829" s="10" t="str">
        <f>IF('[1]All Data '!BD834="","",'[1]All Data '!BD834)</f>
        <v/>
      </c>
      <c r="S829" s="11" t="str">
        <f>IF(R829="","",'[1]All Data '!BE834)</f>
        <v/>
      </c>
      <c r="T829" s="12" t="str">
        <f>IF(S829="","",[1]Inputs_Outputs!$B$8*(1-'LOCH Calc COE Calc'!S829))</f>
        <v/>
      </c>
      <c r="U829" s="13" t="str">
        <f t="shared" si="61"/>
        <v/>
      </c>
      <c r="V829" s="13" t="str">
        <f t="shared" si="62"/>
        <v/>
      </c>
      <c r="W829" s="4" t="str">
        <f t="shared" si="63"/>
        <v/>
      </c>
      <c r="X829" t="str">
        <f>IF(W829="","",LOOKUP(_xlfn.CONCAT(P829,", ",Q829),'[1]T+S Costs'!$F$2:$F$3138,'[1]T+S Costs'!$N$2:$N$3138))</f>
        <v/>
      </c>
      <c r="Y829" s="14" t="str">
        <f t="shared" si="64"/>
        <v/>
      </c>
      <c r="Z829" s="4" t="str">
        <f t="shared" si="65"/>
        <v/>
      </c>
    </row>
    <row r="830" spans="16:26" x14ac:dyDescent="0.25">
      <c r="P830" s="10" t="str">
        <f>IF('[1]All Data '!AZ835="","",'[1]All Data '!AZ835)</f>
        <v/>
      </c>
      <c r="Q830" s="10" t="str">
        <f>IF('[1]All Data '!BB835="","",'[1]All Data '!BB835)</f>
        <v/>
      </c>
      <c r="R830" s="10" t="str">
        <f>IF('[1]All Data '!BD835="","",'[1]All Data '!BD835)</f>
        <v/>
      </c>
      <c r="S830" s="11" t="str">
        <f>IF(R830="","",'[1]All Data '!BE835)</f>
        <v/>
      </c>
      <c r="T830" s="12" t="str">
        <f>IF(S830="","",[1]Inputs_Outputs!$B$8*(1-'LOCH Calc COE Calc'!S830))</f>
        <v/>
      </c>
      <c r="U830" s="13" t="str">
        <f t="shared" si="61"/>
        <v/>
      </c>
      <c r="V830" s="13" t="str">
        <f t="shared" si="62"/>
        <v/>
      </c>
      <c r="W830" s="4" t="str">
        <f t="shared" si="63"/>
        <v/>
      </c>
      <c r="X830" t="str">
        <f>IF(W830="","",LOOKUP(_xlfn.CONCAT(P830,", ",Q830),'[1]T+S Costs'!$F$2:$F$3138,'[1]T+S Costs'!$N$2:$N$3138))</f>
        <v/>
      </c>
      <c r="Y830" s="14" t="str">
        <f t="shared" si="64"/>
        <v/>
      </c>
      <c r="Z830" s="4" t="str">
        <f t="shared" si="65"/>
        <v/>
      </c>
    </row>
    <row r="831" spans="16:26" x14ac:dyDescent="0.25">
      <c r="P831" s="10" t="str">
        <f>IF('[1]All Data '!AZ836="","",'[1]All Data '!AZ836)</f>
        <v/>
      </c>
      <c r="Q831" s="10" t="str">
        <f>IF('[1]All Data '!BB836="","",'[1]All Data '!BB836)</f>
        <v/>
      </c>
      <c r="R831" s="10" t="str">
        <f>IF('[1]All Data '!BD836="","",'[1]All Data '!BD836)</f>
        <v/>
      </c>
      <c r="S831" s="11" t="str">
        <f>IF(R831="","",'[1]All Data '!BE836)</f>
        <v/>
      </c>
      <c r="T831" s="12" t="str">
        <f>IF(S831="","",[1]Inputs_Outputs!$B$8*(1-'LOCH Calc COE Calc'!S831))</f>
        <v/>
      </c>
      <c r="U831" s="13" t="str">
        <f t="shared" si="61"/>
        <v/>
      </c>
      <c r="V831" s="13" t="str">
        <f t="shared" si="62"/>
        <v/>
      </c>
      <c r="W831" s="4" t="str">
        <f t="shared" si="63"/>
        <v/>
      </c>
      <c r="X831" t="str">
        <f>IF(W831="","",LOOKUP(_xlfn.CONCAT(P831,", ",Q831),'[1]T+S Costs'!$F$2:$F$3138,'[1]T+S Costs'!$N$2:$N$3138))</f>
        <v/>
      </c>
      <c r="Y831" s="14" t="str">
        <f t="shared" si="64"/>
        <v/>
      </c>
      <c r="Z831" s="4" t="str">
        <f t="shared" si="65"/>
        <v/>
      </c>
    </row>
    <row r="832" spans="16:26" x14ac:dyDescent="0.25">
      <c r="P832" s="10" t="str">
        <f>IF('[1]All Data '!AZ837="","",'[1]All Data '!AZ837)</f>
        <v/>
      </c>
      <c r="Q832" s="10" t="str">
        <f>IF('[1]All Data '!BB837="","",'[1]All Data '!BB837)</f>
        <v/>
      </c>
      <c r="R832" s="10" t="str">
        <f>IF('[1]All Data '!BD837="","",'[1]All Data '!BD837)</f>
        <v/>
      </c>
      <c r="S832" s="11" t="str">
        <f>IF(R832="","",'[1]All Data '!BE837)</f>
        <v/>
      </c>
      <c r="T832" s="12" t="str">
        <f>IF(S832="","",[1]Inputs_Outputs!$B$8*(1-'LOCH Calc COE Calc'!S832))</f>
        <v/>
      </c>
      <c r="U832" s="13" t="str">
        <f t="shared" si="61"/>
        <v/>
      </c>
      <c r="V832" s="13" t="str">
        <f t="shared" si="62"/>
        <v/>
      </c>
      <c r="W832" s="4" t="str">
        <f t="shared" si="63"/>
        <v/>
      </c>
      <c r="X832" t="str">
        <f>IF(W832="","",LOOKUP(_xlfn.CONCAT(P832,", ",Q832),'[1]T+S Costs'!$F$2:$F$3138,'[1]T+S Costs'!$N$2:$N$3138))</f>
        <v/>
      </c>
      <c r="Y832" s="14" t="str">
        <f t="shared" si="64"/>
        <v/>
      </c>
      <c r="Z832" s="4" t="str">
        <f t="shared" si="65"/>
        <v/>
      </c>
    </row>
    <row r="833" spans="16:26" x14ac:dyDescent="0.25">
      <c r="P833" s="10" t="str">
        <f>IF('[1]All Data '!AZ838="","",'[1]All Data '!AZ838)</f>
        <v/>
      </c>
      <c r="Q833" s="10" t="str">
        <f>IF('[1]All Data '!BB838="","",'[1]All Data '!BB838)</f>
        <v/>
      </c>
      <c r="R833" s="10" t="str">
        <f>IF('[1]All Data '!BD838="","",'[1]All Data '!BD838)</f>
        <v/>
      </c>
      <c r="S833" s="11" t="str">
        <f>IF(R833="","",'[1]All Data '!BE838)</f>
        <v/>
      </c>
      <c r="T833" s="12" t="str">
        <f>IF(S833="","",[1]Inputs_Outputs!$B$8*(1-'LOCH Calc COE Calc'!S833))</f>
        <v/>
      </c>
      <c r="U833" s="13" t="str">
        <f t="shared" si="61"/>
        <v/>
      </c>
      <c r="V833" s="13" t="str">
        <f t="shared" si="62"/>
        <v/>
      </c>
      <c r="W833" s="4" t="str">
        <f t="shared" si="63"/>
        <v/>
      </c>
      <c r="X833" t="str">
        <f>IF(W833="","",LOOKUP(_xlfn.CONCAT(P833,", ",Q833),'[1]T+S Costs'!$F$2:$F$3138,'[1]T+S Costs'!$N$2:$N$3138))</f>
        <v/>
      </c>
      <c r="Y833" s="14" t="str">
        <f t="shared" si="64"/>
        <v/>
      </c>
      <c r="Z833" s="4" t="str">
        <f t="shared" si="65"/>
        <v/>
      </c>
    </row>
    <row r="834" spans="16:26" x14ac:dyDescent="0.25">
      <c r="P834" s="10" t="str">
        <f>IF('[1]All Data '!AZ839="","",'[1]All Data '!AZ839)</f>
        <v/>
      </c>
      <c r="Q834" s="10" t="str">
        <f>IF('[1]All Data '!BB839="","",'[1]All Data '!BB839)</f>
        <v/>
      </c>
      <c r="R834" s="10" t="str">
        <f>IF('[1]All Data '!BD839="","",'[1]All Data '!BD839)</f>
        <v/>
      </c>
      <c r="S834" s="11" t="str">
        <f>IF(R834="","",'[1]All Data '!BE839)</f>
        <v/>
      </c>
      <c r="T834" s="12" t="str">
        <f>IF(S834="","",[1]Inputs_Outputs!$B$8*(1-'LOCH Calc COE Calc'!S834))</f>
        <v/>
      </c>
      <c r="U834" s="13" t="str">
        <f t="shared" si="61"/>
        <v/>
      </c>
      <c r="V834" s="13" t="str">
        <f t="shared" si="62"/>
        <v/>
      </c>
      <c r="W834" s="4" t="str">
        <f t="shared" si="63"/>
        <v/>
      </c>
      <c r="X834" t="str">
        <f>IF(W834="","",LOOKUP(_xlfn.CONCAT(P834,", ",Q834),'[1]T+S Costs'!$F$2:$F$3138,'[1]T+S Costs'!$N$2:$N$3138))</f>
        <v/>
      </c>
      <c r="Y834" s="14" t="str">
        <f t="shared" si="64"/>
        <v/>
      </c>
      <c r="Z834" s="4" t="str">
        <f t="shared" si="65"/>
        <v/>
      </c>
    </row>
    <row r="835" spans="16:26" x14ac:dyDescent="0.25">
      <c r="P835" s="10" t="str">
        <f>IF('[1]All Data '!AZ840="","",'[1]All Data '!AZ840)</f>
        <v/>
      </c>
      <c r="Q835" s="10" t="str">
        <f>IF('[1]All Data '!BB840="","",'[1]All Data '!BB840)</f>
        <v/>
      </c>
      <c r="R835" s="10" t="str">
        <f>IF('[1]All Data '!BD840="","",'[1]All Data '!BD840)</f>
        <v/>
      </c>
      <c r="S835" s="11" t="str">
        <f>IF(R835="","",'[1]All Data '!BE840)</f>
        <v/>
      </c>
      <c r="T835" s="12" t="str">
        <f>IF(S835="","",[1]Inputs_Outputs!$B$8*(1-'LOCH Calc COE Calc'!S835))</f>
        <v/>
      </c>
      <c r="U835" s="13" t="str">
        <f t="shared" ref="U835:U898" si="66">IF(S835="","",R835*T835*365*$B$19/100)</f>
        <v/>
      </c>
      <c r="V835" s="13" t="str">
        <f t="shared" ref="V835:V898" si="67">IF(S835="","",(U835*$B$19)/(($B$28)*$B$19))</f>
        <v/>
      </c>
      <c r="W835" s="4" t="str">
        <f t="shared" ref="W835:W898" si="68">IF(S835="","",V835+$C$49+$C$50+$C$51)</f>
        <v/>
      </c>
      <c r="X835" t="str">
        <f>IF(W835="","",LOOKUP(_xlfn.CONCAT(P835,", ",Q835),'[1]T+S Costs'!$F$2:$F$3138,'[1]T+S Costs'!$N$2:$N$3138))</f>
        <v/>
      </c>
      <c r="Y835" s="14" t="str">
        <f t="shared" ref="Y835:Y898" si="69">IF(X835="","",((X835*$B$60/$B$59)*$C$44)/$C$28)</f>
        <v/>
      </c>
      <c r="Z835" s="4" t="str">
        <f t="shared" ref="Z835:Z898" si="70">IF(Y835="","",W835+Y835)</f>
        <v/>
      </c>
    </row>
    <row r="836" spans="16:26" x14ac:dyDescent="0.25">
      <c r="P836" s="10" t="str">
        <f>IF('[1]All Data '!AZ841="","",'[1]All Data '!AZ841)</f>
        <v/>
      </c>
      <c r="Q836" s="10" t="str">
        <f>IF('[1]All Data '!BB841="","",'[1]All Data '!BB841)</f>
        <v/>
      </c>
      <c r="R836" s="10" t="str">
        <f>IF('[1]All Data '!BD841="","",'[1]All Data '!BD841)</f>
        <v/>
      </c>
      <c r="S836" s="11" t="str">
        <f>IF(R836="","",'[1]All Data '!BE841)</f>
        <v/>
      </c>
      <c r="T836" s="12" t="str">
        <f>IF(S836="","",[1]Inputs_Outputs!$B$8*(1-'LOCH Calc COE Calc'!S836))</f>
        <v/>
      </c>
      <c r="U836" s="13" t="str">
        <f t="shared" si="66"/>
        <v/>
      </c>
      <c r="V836" s="13" t="str">
        <f t="shared" si="67"/>
        <v/>
      </c>
      <c r="W836" s="4" t="str">
        <f t="shared" si="68"/>
        <v/>
      </c>
      <c r="X836" t="str">
        <f>IF(W836="","",LOOKUP(_xlfn.CONCAT(P836,", ",Q836),'[1]T+S Costs'!$F$2:$F$3138,'[1]T+S Costs'!$N$2:$N$3138))</f>
        <v/>
      </c>
      <c r="Y836" s="14" t="str">
        <f t="shared" si="69"/>
        <v/>
      </c>
      <c r="Z836" s="4" t="str">
        <f t="shared" si="70"/>
        <v/>
      </c>
    </row>
    <row r="837" spans="16:26" x14ac:dyDescent="0.25">
      <c r="P837" s="10" t="str">
        <f>IF('[1]All Data '!AZ842="","",'[1]All Data '!AZ842)</f>
        <v/>
      </c>
      <c r="Q837" s="10" t="str">
        <f>IF('[1]All Data '!BB842="","",'[1]All Data '!BB842)</f>
        <v/>
      </c>
      <c r="R837" s="10" t="str">
        <f>IF('[1]All Data '!BD842="","",'[1]All Data '!BD842)</f>
        <v/>
      </c>
      <c r="S837" s="11" t="str">
        <f>IF(R837="","",'[1]All Data '!BE842)</f>
        <v/>
      </c>
      <c r="T837" s="12" t="str">
        <f>IF(S837="","",[1]Inputs_Outputs!$B$8*(1-'LOCH Calc COE Calc'!S837))</f>
        <v/>
      </c>
      <c r="U837" s="13" t="str">
        <f t="shared" si="66"/>
        <v/>
      </c>
      <c r="V837" s="13" t="str">
        <f t="shared" si="67"/>
        <v/>
      </c>
      <c r="W837" s="4" t="str">
        <f t="shared" si="68"/>
        <v/>
      </c>
      <c r="X837" t="str">
        <f>IF(W837="","",LOOKUP(_xlfn.CONCAT(P837,", ",Q837),'[1]T+S Costs'!$F$2:$F$3138,'[1]T+S Costs'!$N$2:$N$3138))</f>
        <v/>
      </c>
      <c r="Y837" s="14" t="str">
        <f t="shared" si="69"/>
        <v/>
      </c>
      <c r="Z837" s="4" t="str">
        <f t="shared" si="70"/>
        <v/>
      </c>
    </row>
    <row r="838" spans="16:26" x14ac:dyDescent="0.25">
      <c r="P838" s="10" t="str">
        <f>IF('[1]All Data '!AZ843="","",'[1]All Data '!AZ843)</f>
        <v/>
      </c>
      <c r="Q838" s="10" t="str">
        <f>IF('[1]All Data '!BB843="","",'[1]All Data '!BB843)</f>
        <v/>
      </c>
      <c r="R838" s="10" t="str">
        <f>IF('[1]All Data '!BD843="","",'[1]All Data '!BD843)</f>
        <v/>
      </c>
      <c r="S838" s="11" t="str">
        <f>IF(R838="","",'[1]All Data '!BE843)</f>
        <v/>
      </c>
      <c r="T838" s="12" t="str">
        <f>IF(S838="","",[1]Inputs_Outputs!$B$8*(1-'LOCH Calc COE Calc'!S838))</f>
        <v/>
      </c>
      <c r="U838" s="13" t="str">
        <f t="shared" si="66"/>
        <v/>
      </c>
      <c r="V838" s="13" t="str">
        <f t="shared" si="67"/>
        <v/>
      </c>
      <c r="W838" s="4" t="str">
        <f t="shared" si="68"/>
        <v/>
      </c>
      <c r="X838" t="str">
        <f>IF(W838="","",LOOKUP(_xlfn.CONCAT(P838,", ",Q838),'[1]T+S Costs'!$F$2:$F$3138,'[1]T+S Costs'!$N$2:$N$3138))</f>
        <v/>
      </c>
      <c r="Y838" s="14" t="str">
        <f t="shared" si="69"/>
        <v/>
      </c>
      <c r="Z838" s="4" t="str">
        <f t="shared" si="70"/>
        <v/>
      </c>
    </row>
    <row r="839" spans="16:26" x14ac:dyDescent="0.25">
      <c r="P839" s="10" t="str">
        <f>IF('[1]All Data '!AZ844="","",'[1]All Data '!AZ844)</f>
        <v/>
      </c>
      <c r="Q839" s="10" t="str">
        <f>IF('[1]All Data '!BB844="","",'[1]All Data '!BB844)</f>
        <v/>
      </c>
      <c r="R839" s="10" t="str">
        <f>IF('[1]All Data '!BD844="","",'[1]All Data '!BD844)</f>
        <v/>
      </c>
      <c r="S839" s="11" t="str">
        <f>IF(R839="","",'[1]All Data '!BE844)</f>
        <v/>
      </c>
      <c r="T839" s="12" t="str">
        <f>IF(S839="","",[1]Inputs_Outputs!$B$8*(1-'LOCH Calc COE Calc'!S839))</f>
        <v/>
      </c>
      <c r="U839" s="13" t="str">
        <f t="shared" si="66"/>
        <v/>
      </c>
      <c r="V839" s="13" t="str">
        <f t="shared" si="67"/>
        <v/>
      </c>
      <c r="W839" s="4" t="str">
        <f t="shared" si="68"/>
        <v/>
      </c>
      <c r="X839" t="str">
        <f>IF(W839="","",LOOKUP(_xlfn.CONCAT(P839,", ",Q839),'[1]T+S Costs'!$F$2:$F$3138,'[1]T+S Costs'!$N$2:$N$3138))</f>
        <v/>
      </c>
      <c r="Y839" s="14" t="str">
        <f t="shared" si="69"/>
        <v/>
      </c>
      <c r="Z839" s="4" t="str">
        <f t="shared" si="70"/>
        <v/>
      </c>
    </row>
    <row r="840" spans="16:26" x14ac:dyDescent="0.25">
      <c r="P840" s="10" t="str">
        <f>IF('[1]All Data '!AZ845="","",'[1]All Data '!AZ845)</f>
        <v/>
      </c>
      <c r="Q840" s="10" t="str">
        <f>IF('[1]All Data '!BB845="","",'[1]All Data '!BB845)</f>
        <v/>
      </c>
      <c r="R840" s="10" t="str">
        <f>IF('[1]All Data '!BD845="","",'[1]All Data '!BD845)</f>
        <v/>
      </c>
      <c r="S840" s="11" t="str">
        <f>IF(R840="","",'[1]All Data '!BE845)</f>
        <v/>
      </c>
      <c r="T840" s="12" t="str">
        <f>IF(S840="","",[1]Inputs_Outputs!$B$8*(1-'LOCH Calc COE Calc'!S840))</f>
        <v/>
      </c>
      <c r="U840" s="13" t="str">
        <f t="shared" si="66"/>
        <v/>
      </c>
      <c r="V840" s="13" t="str">
        <f t="shared" si="67"/>
        <v/>
      </c>
      <c r="W840" s="4" t="str">
        <f t="shared" si="68"/>
        <v/>
      </c>
      <c r="X840" t="str">
        <f>IF(W840="","",LOOKUP(_xlfn.CONCAT(P840,", ",Q840),'[1]T+S Costs'!$F$2:$F$3138,'[1]T+S Costs'!$N$2:$N$3138))</f>
        <v/>
      </c>
      <c r="Y840" s="14" t="str">
        <f t="shared" si="69"/>
        <v/>
      </c>
      <c r="Z840" s="4" t="str">
        <f t="shared" si="70"/>
        <v/>
      </c>
    </row>
    <row r="841" spans="16:26" x14ac:dyDescent="0.25">
      <c r="P841" s="10" t="str">
        <f>IF('[1]All Data '!AZ846="","",'[1]All Data '!AZ846)</f>
        <v/>
      </c>
      <c r="Q841" s="10" t="str">
        <f>IF('[1]All Data '!BB846="","",'[1]All Data '!BB846)</f>
        <v/>
      </c>
      <c r="R841" s="10" t="str">
        <f>IF('[1]All Data '!BD846="","",'[1]All Data '!BD846)</f>
        <v/>
      </c>
      <c r="S841" s="11" t="str">
        <f>IF(R841="","",'[1]All Data '!BE846)</f>
        <v/>
      </c>
      <c r="T841" s="12" t="str">
        <f>IF(S841="","",[1]Inputs_Outputs!$B$8*(1-'LOCH Calc COE Calc'!S841))</f>
        <v/>
      </c>
      <c r="U841" s="13" t="str">
        <f t="shared" si="66"/>
        <v/>
      </c>
      <c r="V841" s="13" t="str">
        <f t="shared" si="67"/>
        <v/>
      </c>
      <c r="W841" s="4" t="str">
        <f t="shared" si="68"/>
        <v/>
      </c>
      <c r="X841" t="str">
        <f>IF(W841="","",LOOKUP(_xlfn.CONCAT(P841,", ",Q841),'[1]T+S Costs'!$F$2:$F$3138,'[1]T+S Costs'!$N$2:$N$3138))</f>
        <v/>
      </c>
      <c r="Y841" s="14" t="str">
        <f t="shared" si="69"/>
        <v/>
      </c>
      <c r="Z841" s="4" t="str">
        <f t="shared" si="70"/>
        <v/>
      </c>
    </row>
    <row r="842" spans="16:26" x14ac:dyDescent="0.25">
      <c r="P842" s="10" t="str">
        <f>IF('[1]All Data '!AZ847="","",'[1]All Data '!AZ847)</f>
        <v/>
      </c>
      <c r="Q842" s="10" t="str">
        <f>IF('[1]All Data '!BB847="","",'[1]All Data '!BB847)</f>
        <v/>
      </c>
      <c r="R842" s="10" t="str">
        <f>IF('[1]All Data '!BD847="","",'[1]All Data '!BD847)</f>
        <v/>
      </c>
      <c r="S842" s="11" t="str">
        <f>IF(R842="","",'[1]All Data '!BE847)</f>
        <v/>
      </c>
      <c r="T842" s="12" t="str">
        <f>IF(S842="","",[1]Inputs_Outputs!$B$8*(1-'LOCH Calc COE Calc'!S842))</f>
        <v/>
      </c>
      <c r="U842" s="13" t="str">
        <f t="shared" si="66"/>
        <v/>
      </c>
      <c r="V842" s="13" t="str">
        <f t="shared" si="67"/>
        <v/>
      </c>
      <c r="W842" s="4" t="str">
        <f t="shared" si="68"/>
        <v/>
      </c>
      <c r="X842" t="str">
        <f>IF(W842="","",LOOKUP(_xlfn.CONCAT(P842,", ",Q842),'[1]T+S Costs'!$F$2:$F$3138,'[1]T+S Costs'!$N$2:$N$3138))</f>
        <v/>
      </c>
      <c r="Y842" s="14" t="str">
        <f t="shared" si="69"/>
        <v/>
      </c>
      <c r="Z842" s="4" t="str">
        <f t="shared" si="70"/>
        <v/>
      </c>
    </row>
    <row r="843" spans="16:26" x14ac:dyDescent="0.25">
      <c r="P843" s="10" t="str">
        <f>IF('[1]All Data '!AZ848="","",'[1]All Data '!AZ848)</f>
        <v/>
      </c>
      <c r="Q843" s="10" t="str">
        <f>IF('[1]All Data '!BB848="","",'[1]All Data '!BB848)</f>
        <v/>
      </c>
      <c r="R843" s="10" t="str">
        <f>IF('[1]All Data '!BD848="","",'[1]All Data '!BD848)</f>
        <v/>
      </c>
      <c r="S843" s="11" t="str">
        <f>IF(R843="","",'[1]All Data '!BE848)</f>
        <v/>
      </c>
      <c r="T843" s="12" t="str">
        <f>IF(S843="","",[1]Inputs_Outputs!$B$8*(1-'LOCH Calc COE Calc'!S843))</f>
        <v/>
      </c>
      <c r="U843" s="13" t="str">
        <f t="shared" si="66"/>
        <v/>
      </c>
      <c r="V843" s="13" t="str">
        <f t="shared" si="67"/>
        <v/>
      </c>
      <c r="W843" s="4" t="str">
        <f t="shared" si="68"/>
        <v/>
      </c>
      <c r="X843" t="str">
        <f>IF(W843="","",LOOKUP(_xlfn.CONCAT(P843,", ",Q843),'[1]T+S Costs'!$F$2:$F$3138,'[1]T+S Costs'!$N$2:$N$3138))</f>
        <v/>
      </c>
      <c r="Y843" s="14" t="str">
        <f t="shared" si="69"/>
        <v/>
      </c>
      <c r="Z843" s="4" t="str">
        <f t="shared" si="70"/>
        <v/>
      </c>
    </row>
    <row r="844" spans="16:26" x14ac:dyDescent="0.25">
      <c r="P844" s="10" t="str">
        <f>IF('[1]All Data '!AZ849="","",'[1]All Data '!AZ849)</f>
        <v/>
      </c>
      <c r="Q844" s="10" t="str">
        <f>IF('[1]All Data '!BB849="","",'[1]All Data '!BB849)</f>
        <v/>
      </c>
      <c r="R844" s="10" t="str">
        <f>IF('[1]All Data '!BD849="","",'[1]All Data '!BD849)</f>
        <v/>
      </c>
      <c r="S844" s="11" t="str">
        <f>IF(R844="","",'[1]All Data '!BE849)</f>
        <v/>
      </c>
      <c r="T844" s="12" t="str">
        <f>IF(S844="","",[1]Inputs_Outputs!$B$8*(1-'LOCH Calc COE Calc'!S844))</f>
        <v/>
      </c>
      <c r="U844" s="13" t="str">
        <f t="shared" si="66"/>
        <v/>
      </c>
      <c r="V844" s="13" t="str">
        <f t="shared" si="67"/>
        <v/>
      </c>
      <c r="W844" s="4" t="str">
        <f t="shared" si="68"/>
        <v/>
      </c>
      <c r="X844" t="str">
        <f>IF(W844="","",LOOKUP(_xlfn.CONCAT(P844,", ",Q844),'[1]T+S Costs'!$F$2:$F$3138,'[1]T+S Costs'!$N$2:$N$3138))</f>
        <v/>
      </c>
      <c r="Y844" s="14" t="str">
        <f t="shared" si="69"/>
        <v/>
      </c>
      <c r="Z844" s="4" t="str">
        <f t="shared" si="70"/>
        <v/>
      </c>
    </row>
    <row r="845" spans="16:26" x14ac:dyDescent="0.25">
      <c r="P845" s="10" t="str">
        <f>IF('[1]All Data '!AZ850="","",'[1]All Data '!AZ850)</f>
        <v/>
      </c>
      <c r="Q845" s="10" t="str">
        <f>IF('[1]All Data '!BB850="","",'[1]All Data '!BB850)</f>
        <v/>
      </c>
      <c r="R845" s="10" t="str">
        <f>IF('[1]All Data '!BD850="","",'[1]All Data '!BD850)</f>
        <v/>
      </c>
      <c r="S845" s="11" t="str">
        <f>IF(R845="","",'[1]All Data '!BE850)</f>
        <v/>
      </c>
      <c r="T845" s="12" t="str">
        <f>IF(S845="","",[1]Inputs_Outputs!$B$8*(1-'LOCH Calc COE Calc'!S845))</f>
        <v/>
      </c>
      <c r="U845" s="13" t="str">
        <f t="shared" si="66"/>
        <v/>
      </c>
      <c r="V845" s="13" t="str">
        <f t="shared" si="67"/>
        <v/>
      </c>
      <c r="W845" s="4" t="str">
        <f t="shared" si="68"/>
        <v/>
      </c>
      <c r="X845" t="str">
        <f>IF(W845="","",LOOKUP(_xlfn.CONCAT(P845,", ",Q845),'[1]T+S Costs'!$F$2:$F$3138,'[1]T+S Costs'!$N$2:$N$3138))</f>
        <v/>
      </c>
      <c r="Y845" s="14" t="str">
        <f t="shared" si="69"/>
        <v/>
      </c>
      <c r="Z845" s="4" t="str">
        <f t="shared" si="70"/>
        <v/>
      </c>
    </row>
    <row r="846" spans="16:26" x14ac:dyDescent="0.25">
      <c r="P846" s="10" t="str">
        <f>IF('[1]All Data '!AZ851="","",'[1]All Data '!AZ851)</f>
        <v/>
      </c>
      <c r="Q846" s="10" t="str">
        <f>IF('[1]All Data '!BB851="","",'[1]All Data '!BB851)</f>
        <v/>
      </c>
      <c r="R846" s="10" t="str">
        <f>IF('[1]All Data '!BD851="","",'[1]All Data '!BD851)</f>
        <v/>
      </c>
      <c r="S846" s="11" t="str">
        <f>IF(R846="","",'[1]All Data '!BE851)</f>
        <v/>
      </c>
      <c r="T846" s="12" t="str">
        <f>IF(S846="","",[1]Inputs_Outputs!$B$8*(1-'LOCH Calc COE Calc'!S846))</f>
        <v/>
      </c>
      <c r="U846" s="13" t="str">
        <f t="shared" si="66"/>
        <v/>
      </c>
      <c r="V846" s="13" t="str">
        <f t="shared" si="67"/>
        <v/>
      </c>
      <c r="W846" s="4" t="str">
        <f t="shared" si="68"/>
        <v/>
      </c>
      <c r="X846" t="str">
        <f>IF(W846="","",LOOKUP(_xlfn.CONCAT(P846,", ",Q846),'[1]T+S Costs'!$F$2:$F$3138,'[1]T+S Costs'!$N$2:$N$3138))</f>
        <v/>
      </c>
      <c r="Y846" s="14" t="str">
        <f t="shared" si="69"/>
        <v/>
      </c>
      <c r="Z846" s="4" t="str">
        <f t="shared" si="70"/>
        <v/>
      </c>
    </row>
    <row r="847" spans="16:26" x14ac:dyDescent="0.25">
      <c r="P847" s="10" t="str">
        <f>IF('[1]All Data '!AZ852="","",'[1]All Data '!AZ852)</f>
        <v/>
      </c>
      <c r="Q847" s="10" t="str">
        <f>IF('[1]All Data '!BB852="","",'[1]All Data '!BB852)</f>
        <v/>
      </c>
      <c r="R847" s="10" t="str">
        <f>IF('[1]All Data '!BD852="","",'[1]All Data '!BD852)</f>
        <v/>
      </c>
      <c r="S847" s="11" t="str">
        <f>IF(R847="","",'[1]All Data '!BE852)</f>
        <v/>
      </c>
      <c r="T847" s="12" t="str">
        <f>IF(S847="","",[1]Inputs_Outputs!$B$8*(1-'LOCH Calc COE Calc'!S847))</f>
        <v/>
      </c>
      <c r="U847" s="13" t="str">
        <f t="shared" si="66"/>
        <v/>
      </c>
      <c r="V847" s="13" t="str">
        <f t="shared" si="67"/>
        <v/>
      </c>
      <c r="W847" s="4" t="str">
        <f t="shared" si="68"/>
        <v/>
      </c>
      <c r="X847" t="str">
        <f>IF(W847="","",LOOKUP(_xlfn.CONCAT(P847,", ",Q847),'[1]T+S Costs'!$F$2:$F$3138,'[1]T+S Costs'!$N$2:$N$3138))</f>
        <v/>
      </c>
      <c r="Y847" s="14" t="str">
        <f t="shared" si="69"/>
        <v/>
      </c>
      <c r="Z847" s="4" t="str">
        <f t="shared" si="70"/>
        <v/>
      </c>
    </row>
    <row r="848" spans="16:26" x14ac:dyDescent="0.25">
      <c r="P848" s="10" t="str">
        <f>IF('[1]All Data '!AZ853="","",'[1]All Data '!AZ853)</f>
        <v/>
      </c>
      <c r="Q848" s="10" t="str">
        <f>IF('[1]All Data '!BB853="","",'[1]All Data '!BB853)</f>
        <v/>
      </c>
      <c r="R848" s="10" t="str">
        <f>IF('[1]All Data '!BD853="","",'[1]All Data '!BD853)</f>
        <v/>
      </c>
      <c r="S848" s="11" t="str">
        <f>IF(R848="","",'[1]All Data '!BE853)</f>
        <v/>
      </c>
      <c r="T848" s="12" t="str">
        <f>IF(S848="","",[1]Inputs_Outputs!$B$8*(1-'LOCH Calc COE Calc'!S848))</f>
        <v/>
      </c>
      <c r="U848" s="13" t="str">
        <f t="shared" si="66"/>
        <v/>
      </c>
      <c r="V848" s="13" t="str">
        <f t="shared" si="67"/>
        <v/>
      </c>
      <c r="W848" s="4" t="str">
        <f t="shared" si="68"/>
        <v/>
      </c>
      <c r="X848" t="str">
        <f>IF(W848="","",LOOKUP(_xlfn.CONCAT(P848,", ",Q848),'[1]T+S Costs'!$F$2:$F$3138,'[1]T+S Costs'!$N$2:$N$3138))</f>
        <v/>
      </c>
      <c r="Y848" s="14" t="str">
        <f t="shared" si="69"/>
        <v/>
      </c>
      <c r="Z848" s="4" t="str">
        <f t="shared" si="70"/>
        <v/>
      </c>
    </row>
    <row r="849" spans="16:26" x14ac:dyDescent="0.25">
      <c r="P849" s="10" t="str">
        <f>IF('[1]All Data '!AZ854="","",'[1]All Data '!AZ854)</f>
        <v/>
      </c>
      <c r="Q849" s="10" t="str">
        <f>IF('[1]All Data '!BB854="","",'[1]All Data '!BB854)</f>
        <v/>
      </c>
      <c r="R849" s="10" t="str">
        <f>IF('[1]All Data '!BD854="","",'[1]All Data '!BD854)</f>
        <v/>
      </c>
      <c r="S849" s="11" t="str">
        <f>IF(R849="","",'[1]All Data '!BE854)</f>
        <v/>
      </c>
      <c r="T849" s="12" t="str">
        <f>IF(S849="","",[1]Inputs_Outputs!$B$8*(1-'LOCH Calc COE Calc'!S849))</f>
        <v/>
      </c>
      <c r="U849" s="13" t="str">
        <f t="shared" si="66"/>
        <v/>
      </c>
      <c r="V849" s="13" t="str">
        <f t="shared" si="67"/>
        <v/>
      </c>
      <c r="W849" s="4" t="str">
        <f t="shared" si="68"/>
        <v/>
      </c>
      <c r="X849" t="str">
        <f>IF(W849="","",LOOKUP(_xlfn.CONCAT(P849,", ",Q849),'[1]T+S Costs'!$F$2:$F$3138,'[1]T+S Costs'!$N$2:$N$3138))</f>
        <v/>
      </c>
      <c r="Y849" s="14" t="str">
        <f t="shared" si="69"/>
        <v/>
      </c>
      <c r="Z849" s="4" t="str">
        <f t="shared" si="70"/>
        <v/>
      </c>
    </row>
    <row r="850" spans="16:26" x14ac:dyDescent="0.25">
      <c r="P850" s="10" t="str">
        <f>IF('[1]All Data '!AZ855="","",'[1]All Data '!AZ855)</f>
        <v/>
      </c>
      <c r="Q850" s="10" t="str">
        <f>IF('[1]All Data '!BB855="","",'[1]All Data '!BB855)</f>
        <v/>
      </c>
      <c r="R850" s="10" t="str">
        <f>IF('[1]All Data '!BD855="","",'[1]All Data '!BD855)</f>
        <v/>
      </c>
      <c r="S850" s="11" t="str">
        <f>IF(R850="","",'[1]All Data '!BE855)</f>
        <v/>
      </c>
      <c r="T850" s="12" t="str">
        <f>IF(S850="","",[1]Inputs_Outputs!$B$8*(1-'LOCH Calc COE Calc'!S850))</f>
        <v/>
      </c>
      <c r="U850" s="13" t="str">
        <f t="shared" si="66"/>
        <v/>
      </c>
      <c r="V850" s="13" t="str">
        <f t="shared" si="67"/>
        <v/>
      </c>
      <c r="W850" s="4" t="str">
        <f t="shared" si="68"/>
        <v/>
      </c>
      <c r="X850" t="str">
        <f>IF(W850="","",LOOKUP(_xlfn.CONCAT(P850,", ",Q850),'[1]T+S Costs'!$F$2:$F$3138,'[1]T+S Costs'!$N$2:$N$3138))</f>
        <v/>
      </c>
      <c r="Y850" s="14" t="str">
        <f t="shared" si="69"/>
        <v/>
      </c>
      <c r="Z850" s="4" t="str">
        <f t="shared" si="70"/>
        <v/>
      </c>
    </row>
    <row r="851" spans="16:26" x14ac:dyDescent="0.25">
      <c r="P851" s="10" t="str">
        <f>IF('[1]All Data '!AZ856="","",'[1]All Data '!AZ856)</f>
        <v/>
      </c>
      <c r="Q851" s="10" t="str">
        <f>IF('[1]All Data '!BB856="","",'[1]All Data '!BB856)</f>
        <v/>
      </c>
      <c r="R851" s="10" t="str">
        <f>IF('[1]All Data '!BD856="","",'[1]All Data '!BD856)</f>
        <v/>
      </c>
      <c r="S851" s="11" t="str">
        <f>IF(R851="","",'[1]All Data '!BE856)</f>
        <v/>
      </c>
      <c r="T851" s="12" t="str">
        <f>IF(S851="","",[1]Inputs_Outputs!$B$8*(1-'LOCH Calc COE Calc'!S851))</f>
        <v/>
      </c>
      <c r="U851" s="13" t="str">
        <f t="shared" si="66"/>
        <v/>
      </c>
      <c r="V851" s="13" t="str">
        <f t="shared" si="67"/>
        <v/>
      </c>
      <c r="W851" s="4" t="str">
        <f t="shared" si="68"/>
        <v/>
      </c>
      <c r="X851" t="str">
        <f>IF(W851="","",LOOKUP(_xlfn.CONCAT(P851,", ",Q851),'[1]T+S Costs'!$F$2:$F$3138,'[1]T+S Costs'!$N$2:$N$3138))</f>
        <v/>
      </c>
      <c r="Y851" s="14" t="str">
        <f t="shared" si="69"/>
        <v/>
      </c>
      <c r="Z851" s="4" t="str">
        <f t="shared" si="70"/>
        <v/>
      </c>
    </row>
    <row r="852" spans="16:26" x14ac:dyDescent="0.25">
      <c r="P852" s="10" t="str">
        <f>IF('[1]All Data '!AZ857="","",'[1]All Data '!AZ857)</f>
        <v/>
      </c>
      <c r="Q852" s="10" t="str">
        <f>IF('[1]All Data '!BB857="","",'[1]All Data '!BB857)</f>
        <v/>
      </c>
      <c r="R852" s="10" t="str">
        <f>IF('[1]All Data '!BD857="","",'[1]All Data '!BD857)</f>
        <v/>
      </c>
      <c r="S852" s="11" t="str">
        <f>IF(R852="","",'[1]All Data '!BE857)</f>
        <v/>
      </c>
      <c r="T852" s="12" t="str">
        <f>IF(S852="","",[1]Inputs_Outputs!$B$8*(1-'LOCH Calc COE Calc'!S852))</f>
        <v/>
      </c>
      <c r="U852" s="13" t="str">
        <f t="shared" si="66"/>
        <v/>
      </c>
      <c r="V852" s="13" t="str">
        <f t="shared" si="67"/>
        <v/>
      </c>
      <c r="W852" s="4" t="str">
        <f t="shared" si="68"/>
        <v/>
      </c>
      <c r="X852" t="str">
        <f>IF(W852="","",LOOKUP(_xlfn.CONCAT(P852,", ",Q852),'[1]T+S Costs'!$F$2:$F$3138,'[1]T+S Costs'!$N$2:$N$3138))</f>
        <v/>
      </c>
      <c r="Y852" s="14" t="str">
        <f t="shared" si="69"/>
        <v/>
      </c>
      <c r="Z852" s="4" t="str">
        <f t="shared" si="70"/>
        <v/>
      </c>
    </row>
    <row r="853" spans="16:26" x14ac:dyDescent="0.25">
      <c r="P853" s="10" t="str">
        <f>IF('[1]All Data '!AZ858="","",'[1]All Data '!AZ858)</f>
        <v/>
      </c>
      <c r="Q853" s="10" t="str">
        <f>IF('[1]All Data '!BB858="","",'[1]All Data '!BB858)</f>
        <v/>
      </c>
      <c r="R853" s="10" t="str">
        <f>IF('[1]All Data '!BD858="","",'[1]All Data '!BD858)</f>
        <v/>
      </c>
      <c r="S853" s="11" t="str">
        <f>IF(R853="","",'[1]All Data '!BE858)</f>
        <v/>
      </c>
      <c r="T853" s="12" t="str">
        <f>IF(S853="","",[1]Inputs_Outputs!$B$8*(1-'LOCH Calc COE Calc'!S853))</f>
        <v/>
      </c>
      <c r="U853" s="13" t="str">
        <f t="shared" si="66"/>
        <v/>
      </c>
      <c r="V853" s="13" t="str">
        <f t="shared" si="67"/>
        <v/>
      </c>
      <c r="W853" s="4" t="str">
        <f t="shared" si="68"/>
        <v/>
      </c>
      <c r="X853" t="str">
        <f>IF(W853="","",LOOKUP(_xlfn.CONCAT(P853,", ",Q853),'[1]T+S Costs'!$F$2:$F$3138,'[1]T+S Costs'!$N$2:$N$3138))</f>
        <v/>
      </c>
      <c r="Y853" s="14" t="str">
        <f t="shared" si="69"/>
        <v/>
      </c>
      <c r="Z853" s="4" t="str">
        <f t="shared" si="70"/>
        <v/>
      </c>
    </row>
    <row r="854" spans="16:26" x14ac:dyDescent="0.25">
      <c r="P854" s="10" t="str">
        <f>IF('[1]All Data '!AZ859="","",'[1]All Data '!AZ859)</f>
        <v/>
      </c>
      <c r="Q854" s="10" t="str">
        <f>IF('[1]All Data '!BB859="","",'[1]All Data '!BB859)</f>
        <v/>
      </c>
      <c r="R854" s="10" t="str">
        <f>IF('[1]All Data '!BD859="","",'[1]All Data '!BD859)</f>
        <v/>
      </c>
      <c r="S854" s="11" t="str">
        <f>IF(R854="","",'[1]All Data '!BE859)</f>
        <v/>
      </c>
      <c r="T854" s="12" t="str">
        <f>IF(S854="","",[1]Inputs_Outputs!$B$8*(1-'LOCH Calc COE Calc'!S854))</f>
        <v/>
      </c>
      <c r="U854" s="13" t="str">
        <f t="shared" si="66"/>
        <v/>
      </c>
      <c r="V854" s="13" t="str">
        <f t="shared" si="67"/>
        <v/>
      </c>
      <c r="W854" s="4" t="str">
        <f t="shared" si="68"/>
        <v/>
      </c>
      <c r="X854" t="str">
        <f>IF(W854="","",LOOKUP(_xlfn.CONCAT(P854,", ",Q854),'[1]T+S Costs'!$F$2:$F$3138,'[1]T+S Costs'!$N$2:$N$3138))</f>
        <v/>
      </c>
      <c r="Y854" s="14" t="str">
        <f t="shared" si="69"/>
        <v/>
      </c>
      <c r="Z854" s="4" t="str">
        <f t="shared" si="70"/>
        <v/>
      </c>
    </row>
    <row r="855" spans="16:26" x14ac:dyDescent="0.25">
      <c r="P855" s="10" t="str">
        <f>IF('[1]All Data '!AZ860="","",'[1]All Data '!AZ860)</f>
        <v/>
      </c>
      <c r="Q855" s="10" t="str">
        <f>IF('[1]All Data '!BB860="","",'[1]All Data '!BB860)</f>
        <v/>
      </c>
      <c r="R855" s="10" t="str">
        <f>IF('[1]All Data '!BD860="","",'[1]All Data '!BD860)</f>
        <v/>
      </c>
      <c r="S855" s="11" t="str">
        <f>IF(R855="","",'[1]All Data '!BE860)</f>
        <v/>
      </c>
      <c r="T855" s="12" t="str">
        <f>IF(S855="","",[1]Inputs_Outputs!$B$8*(1-'LOCH Calc COE Calc'!S855))</f>
        <v/>
      </c>
      <c r="U855" s="13" t="str">
        <f t="shared" si="66"/>
        <v/>
      </c>
      <c r="V855" s="13" t="str">
        <f t="shared" si="67"/>
        <v/>
      </c>
      <c r="W855" s="4" t="str">
        <f t="shared" si="68"/>
        <v/>
      </c>
      <c r="X855" t="str">
        <f>IF(W855="","",LOOKUP(_xlfn.CONCAT(P855,", ",Q855),'[1]T+S Costs'!$F$2:$F$3138,'[1]T+S Costs'!$N$2:$N$3138))</f>
        <v/>
      </c>
      <c r="Y855" s="14" t="str">
        <f t="shared" si="69"/>
        <v/>
      </c>
      <c r="Z855" s="4" t="str">
        <f t="shared" si="70"/>
        <v/>
      </c>
    </row>
    <row r="856" spans="16:26" x14ac:dyDescent="0.25">
      <c r="P856" s="10" t="str">
        <f>IF('[1]All Data '!AZ861="","",'[1]All Data '!AZ861)</f>
        <v/>
      </c>
      <c r="Q856" s="10" t="str">
        <f>IF('[1]All Data '!BB861="","",'[1]All Data '!BB861)</f>
        <v/>
      </c>
      <c r="R856" s="10" t="str">
        <f>IF('[1]All Data '!BD861="","",'[1]All Data '!BD861)</f>
        <v/>
      </c>
      <c r="S856" s="11" t="str">
        <f>IF(R856="","",'[1]All Data '!BE861)</f>
        <v/>
      </c>
      <c r="T856" s="12" t="str">
        <f>IF(S856="","",[1]Inputs_Outputs!$B$8*(1-'LOCH Calc COE Calc'!S856))</f>
        <v/>
      </c>
      <c r="U856" s="13" t="str">
        <f t="shared" si="66"/>
        <v/>
      </c>
      <c r="V856" s="13" t="str">
        <f t="shared" si="67"/>
        <v/>
      </c>
      <c r="W856" s="4" t="str">
        <f t="shared" si="68"/>
        <v/>
      </c>
      <c r="X856" t="str">
        <f>IF(W856="","",LOOKUP(_xlfn.CONCAT(P856,", ",Q856),'[1]T+S Costs'!$F$2:$F$3138,'[1]T+S Costs'!$N$2:$N$3138))</f>
        <v/>
      </c>
      <c r="Y856" s="14" t="str">
        <f t="shared" si="69"/>
        <v/>
      </c>
      <c r="Z856" s="4" t="str">
        <f t="shared" si="70"/>
        <v/>
      </c>
    </row>
    <row r="857" spans="16:26" x14ac:dyDescent="0.25">
      <c r="P857" s="10" t="str">
        <f>IF('[1]All Data '!AZ862="","",'[1]All Data '!AZ862)</f>
        <v/>
      </c>
      <c r="Q857" s="10" t="str">
        <f>IF('[1]All Data '!BB862="","",'[1]All Data '!BB862)</f>
        <v/>
      </c>
      <c r="R857" s="10" t="str">
        <f>IF('[1]All Data '!BD862="","",'[1]All Data '!BD862)</f>
        <v/>
      </c>
      <c r="S857" s="11" t="str">
        <f>IF(R857="","",'[1]All Data '!BE862)</f>
        <v/>
      </c>
      <c r="T857" s="12" t="str">
        <f>IF(S857="","",[1]Inputs_Outputs!$B$8*(1-'LOCH Calc COE Calc'!S857))</f>
        <v/>
      </c>
      <c r="U857" s="13" t="str">
        <f t="shared" si="66"/>
        <v/>
      </c>
      <c r="V857" s="13" t="str">
        <f t="shared" si="67"/>
        <v/>
      </c>
      <c r="W857" s="4" t="str">
        <f t="shared" si="68"/>
        <v/>
      </c>
      <c r="X857" t="str">
        <f>IF(W857="","",LOOKUP(_xlfn.CONCAT(P857,", ",Q857),'[1]T+S Costs'!$F$2:$F$3138,'[1]T+S Costs'!$N$2:$N$3138))</f>
        <v/>
      </c>
      <c r="Y857" s="14" t="str">
        <f t="shared" si="69"/>
        <v/>
      </c>
      <c r="Z857" s="4" t="str">
        <f t="shared" si="70"/>
        <v/>
      </c>
    </row>
    <row r="858" spans="16:26" x14ac:dyDescent="0.25">
      <c r="P858" s="10" t="str">
        <f>IF('[1]All Data '!AZ863="","",'[1]All Data '!AZ863)</f>
        <v/>
      </c>
      <c r="Q858" s="10" t="str">
        <f>IF('[1]All Data '!BB863="","",'[1]All Data '!BB863)</f>
        <v/>
      </c>
      <c r="R858" s="10" t="str">
        <f>IF('[1]All Data '!BD863="","",'[1]All Data '!BD863)</f>
        <v/>
      </c>
      <c r="S858" s="11" t="str">
        <f>IF(R858="","",'[1]All Data '!BE863)</f>
        <v/>
      </c>
      <c r="T858" s="12" t="str">
        <f>IF(S858="","",[1]Inputs_Outputs!$B$8*(1-'LOCH Calc COE Calc'!S858))</f>
        <v/>
      </c>
      <c r="U858" s="13" t="str">
        <f t="shared" si="66"/>
        <v/>
      </c>
      <c r="V858" s="13" t="str">
        <f t="shared" si="67"/>
        <v/>
      </c>
      <c r="W858" s="4" t="str">
        <f t="shared" si="68"/>
        <v/>
      </c>
      <c r="X858" t="str">
        <f>IF(W858="","",LOOKUP(_xlfn.CONCAT(P858,", ",Q858),'[1]T+S Costs'!$F$2:$F$3138,'[1]T+S Costs'!$N$2:$N$3138))</f>
        <v/>
      </c>
      <c r="Y858" s="14" t="str">
        <f t="shared" si="69"/>
        <v/>
      </c>
      <c r="Z858" s="4" t="str">
        <f t="shared" si="70"/>
        <v/>
      </c>
    </row>
    <row r="859" spans="16:26" x14ac:dyDescent="0.25">
      <c r="P859" s="10" t="str">
        <f>IF('[1]All Data '!AZ864="","",'[1]All Data '!AZ864)</f>
        <v/>
      </c>
      <c r="Q859" s="10" t="str">
        <f>IF('[1]All Data '!BB864="","",'[1]All Data '!BB864)</f>
        <v/>
      </c>
      <c r="R859" s="10" t="str">
        <f>IF('[1]All Data '!BD864="","",'[1]All Data '!BD864)</f>
        <v/>
      </c>
      <c r="S859" s="11" t="str">
        <f>IF(R859="","",'[1]All Data '!BE864)</f>
        <v/>
      </c>
      <c r="T859" s="12" t="str">
        <f>IF(S859="","",[1]Inputs_Outputs!$B$8*(1-'LOCH Calc COE Calc'!S859))</f>
        <v/>
      </c>
      <c r="U859" s="13" t="str">
        <f t="shared" si="66"/>
        <v/>
      </c>
      <c r="V859" s="13" t="str">
        <f t="shared" si="67"/>
        <v/>
      </c>
      <c r="W859" s="4" t="str">
        <f t="shared" si="68"/>
        <v/>
      </c>
      <c r="X859" t="str">
        <f>IF(W859="","",LOOKUP(_xlfn.CONCAT(P859,", ",Q859),'[1]T+S Costs'!$F$2:$F$3138,'[1]T+S Costs'!$N$2:$N$3138))</f>
        <v/>
      </c>
      <c r="Y859" s="14" t="str">
        <f t="shared" si="69"/>
        <v/>
      </c>
      <c r="Z859" s="4" t="str">
        <f t="shared" si="70"/>
        <v/>
      </c>
    </row>
    <row r="860" spans="16:26" x14ac:dyDescent="0.25">
      <c r="P860" s="10" t="str">
        <f>IF('[1]All Data '!AZ865="","",'[1]All Data '!AZ865)</f>
        <v/>
      </c>
      <c r="Q860" s="10" t="str">
        <f>IF('[1]All Data '!BB865="","",'[1]All Data '!BB865)</f>
        <v/>
      </c>
      <c r="R860" s="10" t="str">
        <f>IF('[1]All Data '!BD865="","",'[1]All Data '!BD865)</f>
        <v/>
      </c>
      <c r="S860" s="11" t="str">
        <f>IF(R860="","",'[1]All Data '!BE865)</f>
        <v/>
      </c>
      <c r="T860" s="12" t="str">
        <f>IF(S860="","",[1]Inputs_Outputs!$B$8*(1-'LOCH Calc COE Calc'!S860))</f>
        <v/>
      </c>
      <c r="U860" s="13" t="str">
        <f t="shared" si="66"/>
        <v/>
      </c>
      <c r="V860" s="13" t="str">
        <f t="shared" si="67"/>
        <v/>
      </c>
      <c r="W860" s="4" t="str">
        <f t="shared" si="68"/>
        <v/>
      </c>
      <c r="X860" t="str">
        <f>IF(W860="","",LOOKUP(_xlfn.CONCAT(P860,", ",Q860),'[1]T+S Costs'!$F$2:$F$3138,'[1]T+S Costs'!$N$2:$N$3138))</f>
        <v/>
      </c>
      <c r="Y860" s="14" t="str">
        <f t="shared" si="69"/>
        <v/>
      </c>
      <c r="Z860" s="4" t="str">
        <f t="shared" si="70"/>
        <v/>
      </c>
    </row>
    <row r="861" spans="16:26" x14ac:dyDescent="0.25">
      <c r="P861" s="10" t="str">
        <f>IF('[1]All Data '!AZ866="","",'[1]All Data '!AZ866)</f>
        <v/>
      </c>
      <c r="Q861" s="10" t="str">
        <f>IF('[1]All Data '!BB866="","",'[1]All Data '!BB866)</f>
        <v/>
      </c>
      <c r="R861" s="10" t="str">
        <f>IF('[1]All Data '!BD866="","",'[1]All Data '!BD866)</f>
        <v/>
      </c>
      <c r="S861" s="11" t="str">
        <f>IF(R861="","",'[1]All Data '!BE866)</f>
        <v/>
      </c>
      <c r="T861" s="12" t="str">
        <f>IF(S861="","",[1]Inputs_Outputs!$B$8*(1-'LOCH Calc COE Calc'!S861))</f>
        <v/>
      </c>
      <c r="U861" s="13" t="str">
        <f t="shared" si="66"/>
        <v/>
      </c>
      <c r="V861" s="13" t="str">
        <f t="shared" si="67"/>
        <v/>
      </c>
      <c r="W861" s="4" t="str">
        <f t="shared" si="68"/>
        <v/>
      </c>
      <c r="X861" t="str">
        <f>IF(W861="","",LOOKUP(_xlfn.CONCAT(P861,", ",Q861),'[1]T+S Costs'!$F$2:$F$3138,'[1]T+S Costs'!$N$2:$N$3138))</f>
        <v/>
      </c>
      <c r="Y861" s="14" t="str">
        <f t="shared" si="69"/>
        <v/>
      </c>
      <c r="Z861" s="4" t="str">
        <f t="shared" si="70"/>
        <v/>
      </c>
    </row>
    <row r="862" spans="16:26" x14ac:dyDescent="0.25">
      <c r="P862" s="10" t="str">
        <f>IF('[1]All Data '!AZ867="","",'[1]All Data '!AZ867)</f>
        <v/>
      </c>
      <c r="Q862" s="10" t="str">
        <f>IF('[1]All Data '!BB867="","",'[1]All Data '!BB867)</f>
        <v/>
      </c>
      <c r="R862" s="10" t="str">
        <f>IF('[1]All Data '!BD867="","",'[1]All Data '!BD867)</f>
        <v/>
      </c>
      <c r="S862" s="11" t="str">
        <f>IF(R862="","",'[1]All Data '!BE867)</f>
        <v/>
      </c>
      <c r="T862" s="12" t="str">
        <f>IF(S862="","",[1]Inputs_Outputs!$B$8*(1-'LOCH Calc COE Calc'!S862))</f>
        <v/>
      </c>
      <c r="U862" s="13" t="str">
        <f t="shared" si="66"/>
        <v/>
      </c>
      <c r="V862" s="13" t="str">
        <f t="shared" si="67"/>
        <v/>
      </c>
      <c r="W862" s="4" t="str">
        <f t="shared" si="68"/>
        <v/>
      </c>
      <c r="X862" t="str">
        <f>IF(W862="","",LOOKUP(_xlfn.CONCAT(P862,", ",Q862),'[1]T+S Costs'!$F$2:$F$3138,'[1]T+S Costs'!$N$2:$N$3138))</f>
        <v/>
      </c>
      <c r="Y862" s="14" t="str">
        <f t="shared" si="69"/>
        <v/>
      </c>
      <c r="Z862" s="4" t="str">
        <f t="shared" si="70"/>
        <v/>
      </c>
    </row>
    <row r="863" spans="16:26" x14ac:dyDescent="0.25">
      <c r="P863" s="10" t="str">
        <f>IF('[1]All Data '!AZ868="","",'[1]All Data '!AZ868)</f>
        <v/>
      </c>
      <c r="Q863" s="10" t="str">
        <f>IF('[1]All Data '!BB868="","",'[1]All Data '!BB868)</f>
        <v/>
      </c>
      <c r="R863" s="10" t="str">
        <f>IF('[1]All Data '!BD868="","",'[1]All Data '!BD868)</f>
        <v/>
      </c>
      <c r="S863" s="11" t="str">
        <f>IF(R863="","",'[1]All Data '!BE868)</f>
        <v/>
      </c>
      <c r="T863" s="12" t="str">
        <f>IF(S863="","",[1]Inputs_Outputs!$B$8*(1-'LOCH Calc COE Calc'!S863))</f>
        <v/>
      </c>
      <c r="U863" s="13" t="str">
        <f t="shared" si="66"/>
        <v/>
      </c>
      <c r="V863" s="13" t="str">
        <f t="shared" si="67"/>
        <v/>
      </c>
      <c r="W863" s="4" t="str">
        <f t="shared" si="68"/>
        <v/>
      </c>
      <c r="X863" t="str">
        <f>IF(W863="","",LOOKUP(_xlfn.CONCAT(P863,", ",Q863),'[1]T+S Costs'!$F$2:$F$3138,'[1]T+S Costs'!$N$2:$N$3138))</f>
        <v/>
      </c>
      <c r="Y863" s="14" t="str">
        <f t="shared" si="69"/>
        <v/>
      </c>
      <c r="Z863" s="4" t="str">
        <f t="shared" si="70"/>
        <v/>
      </c>
    </row>
    <row r="864" spans="16:26" x14ac:dyDescent="0.25">
      <c r="P864" s="10" t="str">
        <f>IF('[1]All Data '!AZ869="","",'[1]All Data '!AZ869)</f>
        <v/>
      </c>
      <c r="Q864" s="10" t="str">
        <f>IF('[1]All Data '!BB869="","",'[1]All Data '!BB869)</f>
        <v/>
      </c>
      <c r="R864" s="10" t="str">
        <f>IF('[1]All Data '!BD869="","",'[1]All Data '!BD869)</f>
        <v/>
      </c>
      <c r="S864" s="11" t="str">
        <f>IF(R864="","",'[1]All Data '!BE869)</f>
        <v/>
      </c>
      <c r="T864" s="12" t="str">
        <f>IF(S864="","",[1]Inputs_Outputs!$B$8*(1-'LOCH Calc COE Calc'!S864))</f>
        <v/>
      </c>
      <c r="U864" s="13" t="str">
        <f t="shared" si="66"/>
        <v/>
      </c>
      <c r="V864" s="13" t="str">
        <f t="shared" si="67"/>
        <v/>
      </c>
      <c r="W864" s="4" t="str">
        <f t="shared" si="68"/>
        <v/>
      </c>
      <c r="X864" t="str">
        <f>IF(W864="","",LOOKUP(_xlfn.CONCAT(P864,", ",Q864),'[1]T+S Costs'!$F$2:$F$3138,'[1]T+S Costs'!$N$2:$N$3138))</f>
        <v/>
      </c>
      <c r="Y864" s="14" t="str">
        <f t="shared" si="69"/>
        <v/>
      </c>
      <c r="Z864" s="4" t="str">
        <f t="shared" si="70"/>
        <v/>
      </c>
    </row>
    <row r="865" spans="16:26" x14ac:dyDescent="0.25">
      <c r="P865" s="10" t="str">
        <f>IF('[1]All Data '!AZ870="","",'[1]All Data '!AZ870)</f>
        <v/>
      </c>
      <c r="Q865" s="10" t="str">
        <f>IF('[1]All Data '!BB870="","",'[1]All Data '!BB870)</f>
        <v/>
      </c>
      <c r="R865" s="10" t="str">
        <f>IF('[1]All Data '!BD870="","",'[1]All Data '!BD870)</f>
        <v/>
      </c>
      <c r="S865" s="11" t="str">
        <f>IF(R865="","",'[1]All Data '!BE870)</f>
        <v/>
      </c>
      <c r="T865" s="12" t="str">
        <f>IF(S865="","",[1]Inputs_Outputs!$B$8*(1-'LOCH Calc COE Calc'!S865))</f>
        <v/>
      </c>
      <c r="U865" s="13" t="str">
        <f t="shared" si="66"/>
        <v/>
      </c>
      <c r="V865" s="13" t="str">
        <f t="shared" si="67"/>
        <v/>
      </c>
      <c r="W865" s="4" t="str">
        <f t="shared" si="68"/>
        <v/>
      </c>
      <c r="X865" t="str">
        <f>IF(W865="","",LOOKUP(_xlfn.CONCAT(P865,", ",Q865),'[1]T+S Costs'!$F$2:$F$3138,'[1]T+S Costs'!$N$2:$N$3138))</f>
        <v/>
      </c>
      <c r="Y865" s="14" t="str">
        <f t="shared" si="69"/>
        <v/>
      </c>
      <c r="Z865" s="4" t="str">
        <f t="shared" si="70"/>
        <v/>
      </c>
    </row>
    <row r="866" spans="16:26" x14ac:dyDescent="0.25">
      <c r="P866" s="10" t="str">
        <f>IF('[1]All Data '!AZ871="","",'[1]All Data '!AZ871)</f>
        <v/>
      </c>
      <c r="Q866" s="10" t="str">
        <f>IF('[1]All Data '!BB871="","",'[1]All Data '!BB871)</f>
        <v/>
      </c>
      <c r="R866" s="10" t="str">
        <f>IF('[1]All Data '!BD871="","",'[1]All Data '!BD871)</f>
        <v/>
      </c>
      <c r="S866" s="11" t="str">
        <f>IF(R866="","",'[1]All Data '!BE871)</f>
        <v/>
      </c>
      <c r="T866" s="12" t="str">
        <f>IF(S866="","",[1]Inputs_Outputs!$B$8*(1-'LOCH Calc COE Calc'!S866))</f>
        <v/>
      </c>
      <c r="U866" s="13" t="str">
        <f t="shared" si="66"/>
        <v/>
      </c>
      <c r="V866" s="13" t="str">
        <f t="shared" si="67"/>
        <v/>
      </c>
      <c r="W866" s="4" t="str">
        <f t="shared" si="68"/>
        <v/>
      </c>
      <c r="X866" t="str">
        <f>IF(W866="","",LOOKUP(_xlfn.CONCAT(P866,", ",Q866),'[1]T+S Costs'!$F$2:$F$3138,'[1]T+S Costs'!$N$2:$N$3138))</f>
        <v/>
      </c>
      <c r="Y866" s="14" t="str">
        <f t="shared" si="69"/>
        <v/>
      </c>
      <c r="Z866" s="4" t="str">
        <f t="shared" si="70"/>
        <v/>
      </c>
    </row>
    <row r="867" spans="16:26" x14ac:dyDescent="0.25">
      <c r="P867" s="10" t="str">
        <f>IF('[1]All Data '!AZ872="","",'[1]All Data '!AZ872)</f>
        <v/>
      </c>
      <c r="Q867" s="10" t="str">
        <f>IF('[1]All Data '!BB872="","",'[1]All Data '!BB872)</f>
        <v/>
      </c>
      <c r="R867" s="10" t="str">
        <f>IF('[1]All Data '!BD872="","",'[1]All Data '!BD872)</f>
        <v/>
      </c>
      <c r="S867" s="11" t="str">
        <f>IF(R867="","",'[1]All Data '!BE872)</f>
        <v/>
      </c>
      <c r="T867" s="12" t="str">
        <f>IF(S867="","",[1]Inputs_Outputs!$B$8*(1-'LOCH Calc COE Calc'!S867))</f>
        <v/>
      </c>
      <c r="U867" s="13" t="str">
        <f t="shared" si="66"/>
        <v/>
      </c>
      <c r="V867" s="13" t="str">
        <f t="shared" si="67"/>
        <v/>
      </c>
      <c r="W867" s="4" t="str">
        <f t="shared" si="68"/>
        <v/>
      </c>
      <c r="X867" t="str">
        <f>IF(W867="","",LOOKUP(_xlfn.CONCAT(P867,", ",Q867),'[1]T+S Costs'!$F$2:$F$3138,'[1]T+S Costs'!$N$2:$N$3138))</f>
        <v/>
      </c>
      <c r="Y867" s="14" t="str">
        <f t="shared" si="69"/>
        <v/>
      </c>
      <c r="Z867" s="4" t="str">
        <f t="shared" si="70"/>
        <v/>
      </c>
    </row>
    <row r="868" spans="16:26" x14ac:dyDescent="0.25">
      <c r="P868" s="10" t="str">
        <f>IF('[1]All Data '!AZ873="","",'[1]All Data '!AZ873)</f>
        <v/>
      </c>
      <c r="Q868" s="10" t="str">
        <f>IF('[1]All Data '!BB873="","",'[1]All Data '!BB873)</f>
        <v/>
      </c>
      <c r="R868" s="10" t="str">
        <f>IF('[1]All Data '!BD873="","",'[1]All Data '!BD873)</f>
        <v/>
      </c>
      <c r="S868" s="11" t="str">
        <f>IF(R868="","",'[1]All Data '!BE873)</f>
        <v/>
      </c>
      <c r="T868" s="12" t="str">
        <f>IF(S868="","",[1]Inputs_Outputs!$B$8*(1-'LOCH Calc COE Calc'!S868))</f>
        <v/>
      </c>
      <c r="U868" s="13" t="str">
        <f t="shared" si="66"/>
        <v/>
      </c>
      <c r="V868" s="13" t="str">
        <f t="shared" si="67"/>
        <v/>
      </c>
      <c r="W868" s="4" t="str">
        <f t="shared" si="68"/>
        <v/>
      </c>
      <c r="X868" t="str">
        <f>IF(W868="","",LOOKUP(_xlfn.CONCAT(P868,", ",Q868),'[1]T+S Costs'!$F$2:$F$3138,'[1]T+S Costs'!$N$2:$N$3138))</f>
        <v/>
      </c>
      <c r="Y868" s="14" t="str">
        <f t="shared" si="69"/>
        <v/>
      </c>
      <c r="Z868" s="4" t="str">
        <f t="shared" si="70"/>
        <v/>
      </c>
    </row>
    <row r="869" spans="16:26" x14ac:dyDescent="0.25">
      <c r="P869" s="10" t="str">
        <f>IF('[1]All Data '!AZ874="","",'[1]All Data '!AZ874)</f>
        <v/>
      </c>
      <c r="Q869" s="10" t="str">
        <f>IF('[1]All Data '!BB874="","",'[1]All Data '!BB874)</f>
        <v/>
      </c>
      <c r="R869" s="10" t="str">
        <f>IF('[1]All Data '!BD874="","",'[1]All Data '!BD874)</f>
        <v/>
      </c>
      <c r="S869" s="11" t="str">
        <f>IF(R869="","",'[1]All Data '!BE874)</f>
        <v/>
      </c>
      <c r="T869" s="12" t="str">
        <f>IF(S869="","",[1]Inputs_Outputs!$B$8*(1-'LOCH Calc COE Calc'!S869))</f>
        <v/>
      </c>
      <c r="U869" s="13" t="str">
        <f t="shared" si="66"/>
        <v/>
      </c>
      <c r="V869" s="13" t="str">
        <f t="shared" si="67"/>
        <v/>
      </c>
      <c r="W869" s="4" t="str">
        <f t="shared" si="68"/>
        <v/>
      </c>
      <c r="X869" t="str">
        <f>IF(W869="","",LOOKUP(_xlfn.CONCAT(P869,", ",Q869),'[1]T+S Costs'!$F$2:$F$3138,'[1]T+S Costs'!$N$2:$N$3138))</f>
        <v/>
      </c>
      <c r="Y869" s="14" t="str">
        <f t="shared" si="69"/>
        <v/>
      </c>
      <c r="Z869" s="4" t="str">
        <f t="shared" si="70"/>
        <v/>
      </c>
    </row>
    <row r="870" spans="16:26" x14ac:dyDescent="0.25">
      <c r="P870" s="10" t="str">
        <f>IF('[1]All Data '!AZ875="","",'[1]All Data '!AZ875)</f>
        <v/>
      </c>
      <c r="Q870" s="10" t="str">
        <f>IF('[1]All Data '!BB875="","",'[1]All Data '!BB875)</f>
        <v/>
      </c>
      <c r="R870" s="10" t="str">
        <f>IF('[1]All Data '!BD875="","",'[1]All Data '!BD875)</f>
        <v/>
      </c>
      <c r="S870" s="11" t="str">
        <f>IF(R870="","",'[1]All Data '!BE875)</f>
        <v/>
      </c>
      <c r="T870" s="12" t="str">
        <f>IF(S870="","",[1]Inputs_Outputs!$B$8*(1-'LOCH Calc COE Calc'!S870))</f>
        <v/>
      </c>
      <c r="U870" s="13" t="str">
        <f t="shared" si="66"/>
        <v/>
      </c>
      <c r="V870" s="13" t="str">
        <f t="shared" si="67"/>
        <v/>
      </c>
      <c r="W870" s="4" t="str">
        <f t="shared" si="68"/>
        <v/>
      </c>
      <c r="X870" t="str">
        <f>IF(W870="","",LOOKUP(_xlfn.CONCAT(P870,", ",Q870),'[1]T+S Costs'!$F$2:$F$3138,'[1]T+S Costs'!$N$2:$N$3138))</f>
        <v/>
      </c>
      <c r="Y870" s="14" t="str">
        <f t="shared" si="69"/>
        <v/>
      </c>
      <c r="Z870" s="4" t="str">
        <f t="shared" si="70"/>
        <v/>
      </c>
    </row>
    <row r="871" spans="16:26" x14ac:dyDescent="0.25">
      <c r="P871" s="10" t="str">
        <f>IF('[1]All Data '!AZ876="","",'[1]All Data '!AZ876)</f>
        <v/>
      </c>
      <c r="Q871" s="10" t="str">
        <f>IF('[1]All Data '!BB876="","",'[1]All Data '!BB876)</f>
        <v/>
      </c>
      <c r="R871" s="10" t="str">
        <f>IF('[1]All Data '!BD876="","",'[1]All Data '!BD876)</f>
        <v/>
      </c>
      <c r="S871" s="11" t="str">
        <f>IF(R871="","",'[1]All Data '!BE876)</f>
        <v/>
      </c>
      <c r="T871" s="12" t="str">
        <f>IF(S871="","",[1]Inputs_Outputs!$B$8*(1-'LOCH Calc COE Calc'!S871))</f>
        <v/>
      </c>
      <c r="U871" s="13" t="str">
        <f t="shared" si="66"/>
        <v/>
      </c>
      <c r="V871" s="13" t="str">
        <f t="shared" si="67"/>
        <v/>
      </c>
      <c r="W871" s="4" t="str">
        <f t="shared" si="68"/>
        <v/>
      </c>
      <c r="X871" t="str">
        <f>IF(W871="","",LOOKUP(_xlfn.CONCAT(P871,", ",Q871),'[1]T+S Costs'!$F$2:$F$3138,'[1]T+S Costs'!$N$2:$N$3138))</f>
        <v/>
      </c>
      <c r="Y871" s="14" t="str">
        <f t="shared" si="69"/>
        <v/>
      </c>
      <c r="Z871" s="4" t="str">
        <f t="shared" si="70"/>
        <v/>
      </c>
    </row>
    <row r="872" spans="16:26" x14ac:dyDescent="0.25">
      <c r="P872" s="10" t="str">
        <f>IF('[1]All Data '!AZ877="","",'[1]All Data '!AZ877)</f>
        <v/>
      </c>
      <c r="Q872" s="10" t="str">
        <f>IF('[1]All Data '!BB877="","",'[1]All Data '!BB877)</f>
        <v/>
      </c>
      <c r="R872" s="10" t="str">
        <f>IF('[1]All Data '!BD877="","",'[1]All Data '!BD877)</f>
        <v/>
      </c>
      <c r="S872" s="11" t="str">
        <f>IF(R872="","",'[1]All Data '!BE877)</f>
        <v/>
      </c>
      <c r="T872" s="12" t="str">
        <f>IF(S872="","",[1]Inputs_Outputs!$B$8*(1-'LOCH Calc COE Calc'!S872))</f>
        <v/>
      </c>
      <c r="U872" s="13" t="str">
        <f t="shared" si="66"/>
        <v/>
      </c>
      <c r="V872" s="13" t="str">
        <f t="shared" si="67"/>
        <v/>
      </c>
      <c r="W872" s="4" t="str">
        <f t="shared" si="68"/>
        <v/>
      </c>
      <c r="X872" t="str">
        <f>IF(W872="","",LOOKUP(_xlfn.CONCAT(P872,", ",Q872),'[1]T+S Costs'!$F$2:$F$3138,'[1]T+S Costs'!$N$2:$N$3138))</f>
        <v/>
      </c>
      <c r="Y872" s="14" t="str">
        <f t="shared" si="69"/>
        <v/>
      </c>
      <c r="Z872" s="4" t="str">
        <f t="shared" si="70"/>
        <v/>
      </c>
    </row>
    <row r="873" spans="16:26" x14ac:dyDescent="0.25">
      <c r="P873" s="10" t="str">
        <f>IF('[1]All Data '!AZ878="","",'[1]All Data '!AZ878)</f>
        <v/>
      </c>
      <c r="Q873" s="10" t="str">
        <f>IF('[1]All Data '!BB878="","",'[1]All Data '!BB878)</f>
        <v/>
      </c>
      <c r="R873" s="10" t="str">
        <f>IF('[1]All Data '!BD878="","",'[1]All Data '!BD878)</f>
        <v/>
      </c>
      <c r="S873" s="11" t="str">
        <f>IF(R873="","",'[1]All Data '!BE878)</f>
        <v/>
      </c>
      <c r="T873" s="12" t="str">
        <f>IF(S873="","",[1]Inputs_Outputs!$B$8*(1-'LOCH Calc COE Calc'!S873))</f>
        <v/>
      </c>
      <c r="U873" s="13" t="str">
        <f t="shared" si="66"/>
        <v/>
      </c>
      <c r="V873" s="13" t="str">
        <f t="shared" si="67"/>
        <v/>
      </c>
      <c r="W873" s="4" t="str">
        <f t="shared" si="68"/>
        <v/>
      </c>
      <c r="X873" t="str">
        <f>IF(W873="","",LOOKUP(_xlfn.CONCAT(P873,", ",Q873),'[1]T+S Costs'!$F$2:$F$3138,'[1]T+S Costs'!$N$2:$N$3138))</f>
        <v/>
      </c>
      <c r="Y873" s="14" t="str">
        <f t="shared" si="69"/>
        <v/>
      </c>
      <c r="Z873" s="4" t="str">
        <f t="shared" si="70"/>
        <v/>
      </c>
    </row>
    <row r="874" spans="16:26" x14ac:dyDescent="0.25">
      <c r="P874" s="10" t="str">
        <f>IF('[1]All Data '!AZ879="","",'[1]All Data '!AZ879)</f>
        <v/>
      </c>
      <c r="Q874" s="10" t="str">
        <f>IF('[1]All Data '!BB879="","",'[1]All Data '!BB879)</f>
        <v/>
      </c>
      <c r="R874" s="10" t="str">
        <f>IF('[1]All Data '!BD879="","",'[1]All Data '!BD879)</f>
        <v/>
      </c>
      <c r="S874" s="11" t="str">
        <f>IF(R874="","",'[1]All Data '!BE879)</f>
        <v/>
      </c>
      <c r="T874" s="12" t="str">
        <f>IF(S874="","",[1]Inputs_Outputs!$B$8*(1-'LOCH Calc COE Calc'!S874))</f>
        <v/>
      </c>
      <c r="U874" s="13" t="str">
        <f t="shared" si="66"/>
        <v/>
      </c>
      <c r="V874" s="13" t="str">
        <f t="shared" si="67"/>
        <v/>
      </c>
      <c r="W874" s="4" t="str">
        <f t="shared" si="68"/>
        <v/>
      </c>
      <c r="X874" t="str">
        <f>IF(W874="","",LOOKUP(_xlfn.CONCAT(P874,", ",Q874),'[1]T+S Costs'!$F$2:$F$3138,'[1]T+S Costs'!$N$2:$N$3138))</f>
        <v/>
      </c>
      <c r="Y874" s="14" t="str">
        <f t="shared" si="69"/>
        <v/>
      </c>
      <c r="Z874" s="4" t="str">
        <f t="shared" si="70"/>
        <v/>
      </c>
    </row>
    <row r="875" spans="16:26" x14ac:dyDescent="0.25">
      <c r="P875" s="10" t="str">
        <f>IF('[1]All Data '!AZ880="","",'[1]All Data '!AZ880)</f>
        <v/>
      </c>
      <c r="Q875" s="10" t="str">
        <f>IF('[1]All Data '!BB880="","",'[1]All Data '!BB880)</f>
        <v/>
      </c>
      <c r="R875" s="10" t="str">
        <f>IF('[1]All Data '!BD880="","",'[1]All Data '!BD880)</f>
        <v/>
      </c>
      <c r="S875" s="11" t="str">
        <f>IF(R875="","",'[1]All Data '!BE880)</f>
        <v/>
      </c>
      <c r="T875" s="12" t="str">
        <f>IF(S875="","",[1]Inputs_Outputs!$B$8*(1-'LOCH Calc COE Calc'!S875))</f>
        <v/>
      </c>
      <c r="U875" s="13" t="str">
        <f t="shared" si="66"/>
        <v/>
      </c>
      <c r="V875" s="13" t="str">
        <f t="shared" si="67"/>
        <v/>
      </c>
      <c r="W875" s="4" t="str">
        <f t="shared" si="68"/>
        <v/>
      </c>
      <c r="X875" t="str">
        <f>IF(W875="","",LOOKUP(_xlfn.CONCAT(P875,", ",Q875),'[1]T+S Costs'!$F$2:$F$3138,'[1]T+S Costs'!$N$2:$N$3138))</f>
        <v/>
      </c>
      <c r="Y875" s="14" t="str">
        <f t="shared" si="69"/>
        <v/>
      </c>
      <c r="Z875" s="4" t="str">
        <f t="shared" si="70"/>
        <v/>
      </c>
    </row>
    <row r="876" spans="16:26" x14ac:dyDescent="0.25">
      <c r="P876" s="10" t="str">
        <f>IF('[1]All Data '!AZ881="","",'[1]All Data '!AZ881)</f>
        <v/>
      </c>
      <c r="Q876" s="10" t="str">
        <f>IF('[1]All Data '!BB881="","",'[1]All Data '!BB881)</f>
        <v/>
      </c>
      <c r="R876" s="10" t="str">
        <f>IF('[1]All Data '!BD881="","",'[1]All Data '!BD881)</f>
        <v/>
      </c>
      <c r="S876" s="11" t="str">
        <f>IF(R876="","",'[1]All Data '!BE881)</f>
        <v/>
      </c>
      <c r="T876" s="12" t="str">
        <f>IF(S876="","",[1]Inputs_Outputs!$B$8*(1-'LOCH Calc COE Calc'!S876))</f>
        <v/>
      </c>
      <c r="U876" s="13" t="str">
        <f t="shared" si="66"/>
        <v/>
      </c>
      <c r="V876" s="13" t="str">
        <f t="shared" si="67"/>
        <v/>
      </c>
      <c r="W876" s="4" t="str">
        <f t="shared" si="68"/>
        <v/>
      </c>
      <c r="X876" t="str">
        <f>IF(W876="","",LOOKUP(_xlfn.CONCAT(P876,", ",Q876),'[1]T+S Costs'!$F$2:$F$3138,'[1]T+S Costs'!$N$2:$N$3138))</f>
        <v/>
      </c>
      <c r="Y876" s="14" t="str">
        <f t="shared" si="69"/>
        <v/>
      </c>
      <c r="Z876" s="4" t="str">
        <f t="shared" si="70"/>
        <v/>
      </c>
    </row>
    <row r="877" spans="16:26" x14ac:dyDescent="0.25">
      <c r="P877" s="10" t="str">
        <f>IF('[1]All Data '!AZ882="","",'[1]All Data '!AZ882)</f>
        <v/>
      </c>
      <c r="Q877" s="10" t="str">
        <f>IF('[1]All Data '!BB882="","",'[1]All Data '!BB882)</f>
        <v/>
      </c>
      <c r="R877" s="10" t="str">
        <f>IF('[1]All Data '!BD882="","",'[1]All Data '!BD882)</f>
        <v/>
      </c>
      <c r="S877" s="11" t="str">
        <f>IF(R877="","",'[1]All Data '!BE882)</f>
        <v/>
      </c>
      <c r="T877" s="12" t="str">
        <f>IF(S877="","",[1]Inputs_Outputs!$B$8*(1-'LOCH Calc COE Calc'!S877))</f>
        <v/>
      </c>
      <c r="U877" s="13" t="str">
        <f t="shared" si="66"/>
        <v/>
      </c>
      <c r="V877" s="13" t="str">
        <f t="shared" si="67"/>
        <v/>
      </c>
      <c r="W877" s="4" t="str">
        <f t="shared" si="68"/>
        <v/>
      </c>
      <c r="X877" t="str">
        <f>IF(W877="","",LOOKUP(_xlfn.CONCAT(P877,", ",Q877),'[1]T+S Costs'!$F$2:$F$3138,'[1]T+S Costs'!$N$2:$N$3138))</f>
        <v/>
      </c>
      <c r="Y877" s="14" t="str">
        <f t="shared" si="69"/>
        <v/>
      </c>
      <c r="Z877" s="4" t="str">
        <f t="shared" si="70"/>
        <v/>
      </c>
    </row>
    <row r="878" spans="16:26" x14ac:dyDescent="0.25">
      <c r="P878" s="10" t="str">
        <f>IF('[1]All Data '!AZ883="","",'[1]All Data '!AZ883)</f>
        <v/>
      </c>
      <c r="Q878" s="10" t="str">
        <f>IF('[1]All Data '!BB883="","",'[1]All Data '!BB883)</f>
        <v/>
      </c>
      <c r="R878" s="10" t="str">
        <f>IF('[1]All Data '!BD883="","",'[1]All Data '!BD883)</f>
        <v/>
      </c>
      <c r="S878" s="11" t="str">
        <f>IF(R878="","",'[1]All Data '!BE883)</f>
        <v/>
      </c>
      <c r="T878" s="12" t="str">
        <f>IF(S878="","",[1]Inputs_Outputs!$B$8*(1-'LOCH Calc COE Calc'!S878))</f>
        <v/>
      </c>
      <c r="U878" s="13" t="str">
        <f t="shared" si="66"/>
        <v/>
      </c>
      <c r="V878" s="13" t="str">
        <f t="shared" si="67"/>
        <v/>
      </c>
      <c r="W878" s="4" t="str">
        <f t="shared" si="68"/>
        <v/>
      </c>
      <c r="X878" t="str">
        <f>IF(W878="","",LOOKUP(_xlfn.CONCAT(P878,", ",Q878),'[1]T+S Costs'!$F$2:$F$3138,'[1]T+S Costs'!$N$2:$N$3138))</f>
        <v/>
      </c>
      <c r="Y878" s="14" t="str">
        <f t="shared" si="69"/>
        <v/>
      </c>
      <c r="Z878" s="4" t="str">
        <f t="shared" si="70"/>
        <v/>
      </c>
    </row>
    <row r="879" spans="16:26" x14ac:dyDescent="0.25">
      <c r="P879" s="10" t="str">
        <f>IF('[1]All Data '!AZ884="","",'[1]All Data '!AZ884)</f>
        <v/>
      </c>
      <c r="Q879" s="10" t="str">
        <f>IF('[1]All Data '!BB884="","",'[1]All Data '!BB884)</f>
        <v/>
      </c>
      <c r="R879" s="10" t="str">
        <f>IF('[1]All Data '!BD884="","",'[1]All Data '!BD884)</f>
        <v/>
      </c>
      <c r="S879" s="11" t="str">
        <f>IF(R879="","",'[1]All Data '!BE884)</f>
        <v/>
      </c>
      <c r="T879" s="12" t="str">
        <f>IF(S879="","",[1]Inputs_Outputs!$B$8*(1-'LOCH Calc COE Calc'!S879))</f>
        <v/>
      </c>
      <c r="U879" s="13" t="str">
        <f t="shared" si="66"/>
        <v/>
      </c>
      <c r="V879" s="13" t="str">
        <f t="shared" si="67"/>
        <v/>
      </c>
      <c r="W879" s="4" t="str">
        <f t="shared" si="68"/>
        <v/>
      </c>
      <c r="X879" t="str">
        <f>IF(W879="","",LOOKUP(_xlfn.CONCAT(P879,", ",Q879),'[1]T+S Costs'!$F$2:$F$3138,'[1]T+S Costs'!$N$2:$N$3138))</f>
        <v/>
      </c>
      <c r="Y879" s="14" t="str">
        <f t="shared" si="69"/>
        <v/>
      </c>
      <c r="Z879" s="4" t="str">
        <f t="shared" si="70"/>
        <v/>
      </c>
    </row>
    <row r="880" spans="16:26" x14ac:dyDescent="0.25">
      <c r="P880" s="10" t="str">
        <f>IF('[1]All Data '!AZ885="","",'[1]All Data '!AZ885)</f>
        <v/>
      </c>
      <c r="Q880" s="10" t="str">
        <f>IF('[1]All Data '!BB885="","",'[1]All Data '!BB885)</f>
        <v/>
      </c>
      <c r="R880" s="10" t="str">
        <f>IF('[1]All Data '!BD885="","",'[1]All Data '!BD885)</f>
        <v/>
      </c>
      <c r="S880" s="11" t="str">
        <f>IF(R880="","",'[1]All Data '!BE885)</f>
        <v/>
      </c>
      <c r="T880" s="12" t="str">
        <f>IF(S880="","",[1]Inputs_Outputs!$B$8*(1-'LOCH Calc COE Calc'!S880))</f>
        <v/>
      </c>
      <c r="U880" s="13" t="str">
        <f t="shared" si="66"/>
        <v/>
      </c>
      <c r="V880" s="13" t="str">
        <f t="shared" si="67"/>
        <v/>
      </c>
      <c r="W880" s="4" t="str">
        <f t="shared" si="68"/>
        <v/>
      </c>
      <c r="X880" t="str">
        <f>IF(W880="","",LOOKUP(_xlfn.CONCAT(P880,", ",Q880),'[1]T+S Costs'!$F$2:$F$3138,'[1]T+S Costs'!$N$2:$N$3138))</f>
        <v/>
      </c>
      <c r="Y880" s="14" t="str">
        <f t="shared" si="69"/>
        <v/>
      </c>
      <c r="Z880" s="4" t="str">
        <f t="shared" si="70"/>
        <v/>
      </c>
    </row>
    <row r="881" spans="16:26" x14ac:dyDescent="0.25">
      <c r="P881" s="10" t="str">
        <f>IF('[1]All Data '!AZ886="","",'[1]All Data '!AZ886)</f>
        <v/>
      </c>
      <c r="Q881" s="10" t="str">
        <f>IF('[1]All Data '!BB886="","",'[1]All Data '!BB886)</f>
        <v/>
      </c>
      <c r="R881" s="10" t="str">
        <f>IF('[1]All Data '!BD886="","",'[1]All Data '!BD886)</f>
        <v/>
      </c>
      <c r="S881" s="11" t="str">
        <f>IF(R881="","",'[1]All Data '!BE886)</f>
        <v/>
      </c>
      <c r="T881" s="12" t="str">
        <f>IF(S881="","",[1]Inputs_Outputs!$B$8*(1-'LOCH Calc COE Calc'!S881))</f>
        <v/>
      </c>
      <c r="U881" s="13" t="str">
        <f t="shared" si="66"/>
        <v/>
      </c>
      <c r="V881" s="13" t="str">
        <f t="shared" si="67"/>
        <v/>
      </c>
      <c r="W881" s="4" t="str">
        <f t="shared" si="68"/>
        <v/>
      </c>
      <c r="X881" t="str">
        <f>IF(W881="","",LOOKUP(_xlfn.CONCAT(P881,", ",Q881),'[1]T+S Costs'!$F$2:$F$3138,'[1]T+S Costs'!$N$2:$N$3138))</f>
        <v/>
      </c>
      <c r="Y881" s="14" t="str">
        <f t="shared" si="69"/>
        <v/>
      </c>
      <c r="Z881" s="4" t="str">
        <f t="shared" si="70"/>
        <v/>
      </c>
    </row>
    <row r="882" spans="16:26" x14ac:dyDescent="0.25">
      <c r="P882" s="10" t="str">
        <f>IF('[1]All Data '!AZ887="","",'[1]All Data '!AZ887)</f>
        <v/>
      </c>
      <c r="Q882" s="10" t="str">
        <f>IF('[1]All Data '!BB887="","",'[1]All Data '!BB887)</f>
        <v/>
      </c>
      <c r="R882" s="10" t="str">
        <f>IF('[1]All Data '!BD887="","",'[1]All Data '!BD887)</f>
        <v/>
      </c>
      <c r="S882" s="11" t="str">
        <f>IF(R882="","",'[1]All Data '!BE887)</f>
        <v/>
      </c>
      <c r="T882" s="12" t="str">
        <f>IF(S882="","",[1]Inputs_Outputs!$B$8*(1-'LOCH Calc COE Calc'!S882))</f>
        <v/>
      </c>
      <c r="U882" s="13" t="str">
        <f t="shared" si="66"/>
        <v/>
      </c>
      <c r="V882" s="13" t="str">
        <f t="shared" si="67"/>
        <v/>
      </c>
      <c r="W882" s="4" t="str">
        <f t="shared" si="68"/>
        <v/>
      </c>
      <c r="X882" t="str">
        <f>IF(W882="","",LOOKUP(_xlfn.CONCAT(P882,", ",Q882),'[1]T+S Costs'!$F$2:$F$3138,'[1]T+S Costs'!$N$2:$N$3138))</f>
        <v/>
      </c>
      <c r="Y882" s="14" t="str">
        <f t="shared" si="69"/>
        <v/>
      </c>
      <c r="Z882" s="4" t="str">
        <f t="shared" si="70"/>
        <v/>
      </c>
    </row>
    <row r="883" spans="16:26" x14ac:dyDescent="0.25">
      <c r="P883" s="10" t="str">
        <f>IF('[1]All Data '!AZ888="","",'[1]All Data '!AZ888)</f>
        <v/>
      </c>
      <c r="Q883" s="10" t="str">
        <f>IF('[1]All Data '!BB888="","",'[1]All Data '!BB888)</f>
        <v/>
      </c>
      <c r="R883" s="10" t="str">
        <f>IF('[1]All Data '!BD888="","",'[1]All Data '!BD888)</f>
        <v/>
      </c>
      <c r="S883" s="11" t="str">
        <f>IF(R883="","",'[1]All Data '!BE888)</f>
        <v/>
      </c>
      <c r="T883" s="12" t="str">
        <f>IF(S883="","",[1]Inputs_Outputs!$B$8*(1-'LOCH Calc COE Calc'!S883))</f>
        <v/>
      </c>
      <c r="U883" s="13" t="str">
        <f t="shared" si="66"/>
        <v/>
      </c>
      <c r="V883" s="13" t="str">
        <f t="shared" si="67"/>
        <v/>
      </c>
      <c r="W883" s="4" t="str">
        <f t="shared" si="68"/>
        <v/>
      </c>
      <c r="X883" t="str">
        <f>IF(W883="","",LOOKUP(_xlfn.CONCAT(P883,", ",Q883),'[1]T+S Costs'!$F$2:$F$3138,'[1]T+S Costs'!$N$2:$N$3138))</f>
        <v/>
      </c>
      <c r="Y883" s="14" t="str">
        <f t="shared" si="69"/>
        <v/>
      </c>
      <c r="Z883" s="4" t="str">
        <f t="shared" si="70"/>
        <v/>
      </c>
    </row>
    <row r="884" spans="16:26" x14ac:dyDescent="0.25">
      <c r="P884" s="10" t="str">
        <f>IF('[1]All Data '!AZ889="","",'[1]All Data '!AZ889)</f>
        <v/>
      </c>
      <c r="Q884" s="10" t="str">
        <f>IF('[1]All Data '!BB889="","",'[1]All Data '!BB889)</f>
        <v/>
      </c>
      <c r="R884" s="10" t="str">
        <f>IF('[1]All Data '!BD889="","",'[1]All Data '!BD889)</f>
        <v/>
      </c>
      <c r="S884" s="11" t="str">
        <f>IF(R884="","",'[1]All Data '!BE889)</f>
        <v/>
      </c>
      <c r="T884" s="12" t="str">
        <f>IF(S884="","",[1]Inputs_Outputs!$B$8*(1-'LOCH Calc COE Calc'!S884))</f>
        <v/>
      </c>
      <c r="U884" s="13" t="str">
        <f t="shared" si="66"/>
        <v/>
      </c>
      <c r="V884" s="13" t="str">
        <f t="shared" si="67"/>
        <v/>
      </c>
      <c r="W884" s="4" t="str">
        <f t="shared" si="68"/>
        <v/>
      </c>
      <c r="X884" t="str">
        <f>IF(W884="","",LOOKUP(_xlfn.CONCAT(P884,", ",Q884),'[1]T+S Costs'!$F$2:$F$3138,'[1]T+S Costs'!$N$2:$N$3138))</f>
        <v/>
      </c>
      <c r="Y884" s="14" t="str">
        <f t="shared" si="69"/>
        <v/>
      </c>
      <c r="Z884" s="4" t="str">
        <f t="shared" si="70"/>
        <v/>
      </c>
    </row>
    <row r="885" spans="16:26" x14ac:dyDescent="0.25">
      <c r="P885" s="10" t="str">
        <f>IF('[1]All Data '!AZ890="","",'[1]All Data '!AZ890)</f>
        <v/>
      </c>
      <c r="Q885" s="10" t="str">
        <f>IF('[1]All Data '!BB890="","",'[1]All Data '!BB890)</f>
        <v/>
      </c>
      <c r="R885" s="10" t="str">
        <f>IF('[1]All Data '!BD890="","",'[1]All Data '!BD890)</f>
        <v/>
      </c>
      <c r="S885" s="11" t="str">
        <f>IF(R885="","",'[1]All Data '!BE890)</f>
        <v/>
      </c>
      <c r="T885" s="12" t="str">
        <f>IF(S885="","",[1]Inputs_Outputs!$B$8*(1-'LOCH Calc COE Calc'!S885))</f>
        <v/>
      </c>
      <c r="U885" s="13" t="str">
        <f t="shared" si="66"/>
        <v/>
      </c>
      <c r="V885" s="13" t="str">
        <f t="shared" si="67"/>
        <v/>
      </c>
      <c r="W885" s="4" t="str">
        <f t="shared" si="68"/>
        <v/>
      </c>
      <c r="X885" t="str">
        <f>IF(W885="","",LOOKUP(_xlfn.CONCAT(P885,", ",Q885),'[1]T+S Costs'!$F$2:$F$3138,'[1]T+S Costs'!$N$2:$N$3138))</f>
        <v/>
      </c>
      <c r="Y885" s="14" t="str">
        <f t="shared" si="69"/>
        <v/>
      </c>
      <c r="Z885" s="4" t="str">
        <f t="shared" si="70"/>
        <v/>
      </c>
    </row>
    <row r="886" spans="16:26" x14ac:dyDescent="0.25">
      <c r="P886" s="10" t="str">
        <f>IF('[1]All Data '!AZ891="","",'[1]All Data '!AZ891)</f>
        <v/>
      </c>
      <c r="Q886" s="10" t="str">
        <f>IF('[1]All Data '!BB891="","",'[1]All Data '!BB891)</f>
        <v/>
      </c>
      <c r="R886" s="10" t="str">
        <f>IF('[1]All Data '!BD891="","",'[1]All Data '!BD891)</f>
        <v/>
      </c>
      <c r="S886" s="11" t="str">
        <f>IF(R886="","",'[1]All Data '!BE891)</f>
        <v/>
      </c>
      <c r="T886" s="12" t="str">
        <f>IF(S886="","",[1]Inputs_Outputs!$B$8*(1-'LOCH Calc COE Calc'!S886))</f>
        <v/>
      </c>
      <c r="U886" s="13" t="str">
        <f t="shared" si="66"/>
        <v/>
      </c>
      <c r="V886" s="13" t="str">
        <f t="shared" si="67"/>
        <v/>
      </c>
      <c r="W886" s="4" t="str">
        <f t="shared" si="68"/>
        <v/>
      </c>
      <c r="X886" t="str">
        <f>IF(W886="","",LOOKUP(_xlfn.CONCAT(P886,", ",Q886),'[1]T+S Costs'!$F$2:$F$3138,'[1]T+S Costs'!$N$2:$N$3138))</f>
        <v/>
      </c>
      <c r="Y886" s="14" t="str">
        <f t="shared" si="69"/>
        <v/>
      </c>
      <c r="Z886" s="4" t="str">
        <f t="shared" si="70"/>
        <v/>
      </c>
    </row>
    <row r="887" spans="16:26" x14ac:dyDescent="0.25">
      <c r="P887" s="10" t="str">
        <f>IF('[1]All Data '!AZ892="","",'[1]All Data '!AZ892)</f>
        <v/>
      </c>
      <c r="Q887" s="10" t="str">
        <f>IF('[1]All Data '!BB892="","",'[1]All Data '!BB892)</f>
        <v/>
      </c>
      <c r="R887" s="10" t="str">
        <f>IF('[1]All Data '!BD892="","",'[1]All Data '!BD892)</f>
        <v/>
      </c>
      <c r="S887" s="11" t="str">
        <f>IF(R887="","",'[1]All Data '!BE892)</f>
        <v/>
      </c>
      <c r="T887" s="12" t="str">
        <f>IF(S887="","",[1]Inputs_Outputs!$B$8*(1-'LOCH Calc COE Calc'!S887))</f>
        <v/>
      </c>
      <c r="U887" s="13" t="str">
        <f t="shared" si="66"/>
        <v/>
      </c>
      <c r="V887" s="13" t="str">
        <f t="shared" si="67"/>
        <v/>
      </c>
      <c r="W887" s="4" t="str">
        <f t="shared" si="68"/>
        <v/>
      </c>
      <c r="X887" t="str">
        <f>IF(W887="","",LOOKUP(_xlfn.CONCAT(P887,", ",Q887),'[1]T+S Costs'!$F$2:$F$3138,'[1]T+S Costs'!$N$2:$N$3138))</f>
        <v/>
      </c>
      <c r="Y887" s="14" t="str">
        <f t="shared" si="69"/>
        <v/>
      </c>
      <c r="Z887" s="4" t="str">
        <f t="shared" si="70"/>
        <v/>
      </c>
    </row>
    <row r="888" spans="16:26" x14ac:dyDescent="0.25">
      <c r="P888" s="10" t="str">
        <f>IF('[1]All Data '!AZ893="","",'[1]All Data '!AZ893)</f>
        <v/>
      </c>
      <c r="Q888" s="10" t="str">
        <f>IF('[1]All Data '!BB893="","",'[1]All Data '!BB893)</f>
        <v/>
      </c>
      <c r="R888" s="10" t="str">
        <f>IF('[1]All Data '!BD893="","",'[1]All Data '!BD893)</f>
        <v/>
      </c>
      <c r="S888" s="11" t="str">
        <f>IF(R888="","",'[1]All Data '!BE893)</f>
        <v/>
      </c>
      <c r="T888" s="12" t="str">
        <f>IF(S888="","",[1]Inputs_Outputs!$B$8*(1-'LOCH Calc COE Calc'!S888))</f>
        <v/>
      </c>
      <c r="U888" s="13" t="str">
        <f t="shared" si="66"/>
        <v/>
      </c>
      <c r="V888" s="13" t="str">
        <f t="shared" si="67"/>
        <v/>
      </c>
      <c r="W888" s="4" t="str">
        <f t="shared" si="68"/>
        <v/>
      </c>
      <c r="X888" t="str">
        <f>IF(W888="","",LOOKUP(_xlfn.CONCAT(P888,", ",Q888),'[1]T+S Costs'!$F$2:$F$3138,'[1]T+S Costs'!$N$2:$N$3138))</f>
        <v/>
      </c>
      <c r="Y888" s="14" t="str">
        <f t="shared" si="69"/>
        <v/>
      </c>
      <c r="Z888" s="4" t="str">
        <f t="shared" si="70"/>
        <v/>
      </c>
    </row>
    <row r="889" spans="16:26" x14ac:dyDescent="0.25">
      <c r="P889" s="10" t="str">
        <f>IF('[1]All Data '!AZ894="","",'[1]All Data '!AZ894)</f>
        <v/>
      </c>
      <c r="Q889" s="10" t="str">
        <f>IF('[1]All Data '!BB894="","",'[1]All Data '!BB894)</f>
        <v/>
      </c>
      <c r="R889" s="10" t="str">
        <f>IF('[1]All Data '!BD894="","",'[1]All Data '!BD894)</f>
        <v/>
      </c>
      <c r="S889" s="11" t="str">
        <f>IF(R889="","",'[1]All Data '!BE894)</f>
        <v/>
      </c>
      <c r="T889" s="12" t="str">
        <f>IF(S889="","",[1]Inputs_Outputs!$B$8*(1-'LOCH Calc COE Calc'!S889))</f>
        <v/>
      </c>
      <c r="U889" s="13" t="str">
        <f t="shared" si="66"/>
        <v/>
      </c>
      <c r="V889" s="13" t="str">
        <f t="shared" si="67"/>
        <v/>
      </c>
      <c r="W889" s="4" t="str">
        <f t="shared" si="68"/>
        <v/>
      </c>
      <c r="X889" t="str">
        <f>IF(W889="","",LOOKUP(_xlfn.CONCAT(P889,", ",Q889),'[1]T+S Costs'!$F$2:$F$3138,'[1]T+S Costs'!$N$2:$N$3138))</f>
        <v/>
      </c>
      <c r="Y889" s="14" t="str">
        <f t="shared" si="69"/>
        <v/>
      </c>
      <c r="Z889" s="4" t="str">
        <f t="shared" si="70"/>
        <v/>
      </c>
    </row>
    <row r="890" spans="16:26" x14ac:dyDescent="0.25">
      <c r="P890" s="10" t="str">
        <f>IF('[1]All Data '!AZ895="","",'[1]All Data '!AZ895)</f>
        <v/>
      </c>
      <c r="Q890" s="10" t="str">
        <f>IF('[1]All Data '!BB895="","",'[1]All Data '!BB895)</f>
        <v/>
      </c>
      <c r="R890" s="10" t="str">
        <f>IF('[1]All Data '!BD895="","",'[1]All Data '!BD895)</f>
        <v/>
      </c>
      <c r="S890" s="11" t="str">
        <f>IF(R890="","",'[1]All Data '!BE895)</f>
        <v/>
      </c>
      <c r="T890" s="12" t="str">
        <f>IF(S890="","",[1]Inputs_Outputs!$B$8*(1-'LOCH Calc COE Calc'!S890))</f>
        <v/>
      </c>
      <c r="U890" s="13" t="str">
        <f t="shared" si="66"/>
        <v/>
      </c>
      <c r="V890" s="13" t="str">
        <f t="shared" si="67"/>
        <v/>
      </c>
      <c r="W890" s="4" t="str">
        <f t="shared" si="68"/>
        <v/>
      </c>
      <c r="X890" t="str">
        <f>IF(W890="","",LOOKUP(_xlfn.CONCAT(P890,", ",Q890),'[1]T+S Costs'!$F$2:$F$3138,'[1]T+S Costs'!$N$2:$N$3138))</f>
        <v/>
      </c>
      <c r="Y890" s="14" t="str">
        <f t="shared" si="69"/>
        <v/>
      </c>
      <c r="Z890" s="4" t="str">
        <f t="shared" si="70"/>
        <v/>
      </c>
    </row>
    <row r="891" spans="16:26" x14ac:dyDescent="0.25">
      <c r="P891" s="10" t="str">
        <f>IF('[1]All Data '!AZ896="","",'[1]All Data '!AZ896)</f>
        <v/>
      </c>
      <c r="Q891" s="10" t="str">
        <f>IF('[1]All Data '!BB896="","",'[1]All Data '!BB896)</f>
        <v/>
      </c>
      <c r="R891" s="10" t="str">
        <f>IF('[1]All Data '!BD896="","",'[1]All Data '!BD896)</f>
        <v/>
      </c>
      <c r="S891" s="11" t="str">
        <f>IF(R891="","",'[1]All Data '!BE896)</f>
        <v/>
      </c>
      <c r="T891" s="12" t="str">
        <f>IF(S891="","",[1]Inputs_Outputs!$B$8*(1-'LOCH Calc COE Calc'!S891))</f>
        <v/>
      </c>
      <c r="U891" s="13" t="str">
        <f t="shared" si="66"/>
        <v/>
      </c>
      <c r="V891" s="13" t="str">
        <f t="shared" si="67"/>
        <v/>
      </c>
      <c r="W891" s="4" t="str">
        <f t="shared" si="68"/>
        <v/>
      </c>
      <c r="X891" t="str">
        <f>IF(W891="","",LOOKUP(_xlfn.CONCAT(P891,", ",Q891),'[1]T+S Costs'!$F$2:$F$3138,'[1]T+S Costs'!$N$2:$N$3138))</f>
        <v/>
      </c>
      <c r="Y891" s="14" t="str">
        <f t="shared" si="69"/>
        <v/>
      </c>
      <c r="Z891" s="4" t="str">
        <f t="shared" si="70"/>
        <v/>
      </c>
    </row>
    <row r="892" spans="16:26" x14ac:dyDescent="0.25">
      <c r="P892" s="10" t="str">
        <f>IF('[1]All Data '!AZ897="","",'[1]All Data '!AZ897)</f>
        <v/>
      </c>
      <c r="Q892" s="10" t="str">
        <f>IF('[1]All Data '!BB897="","",'[1]All Data '!BB897)</f>
        <v/>
      </c>
      <c r="R892" s="10" t="str">
        <f>IF('[1]All Data '!BD897="","",'[1]All Data '!BD897)</f>
        <v/>
      </c>
      <c r="S892" s="11" t="str">
        <f>IF(R892="","",'[1]All Data '!BE897)</f>
        <v/>
      </c>
      <c r="T892" s="12" t="str">
        <f>IF(S892="","",[1]Inputs_Outputs!$B$8*(1-'LOCH Calc COE Calc'!S892))</f>
        <v/>
      </c>
      <c r="U892" s="13" t="str">
        <f t="shared" si="66"/>
        <v/>
      </c>
      <c r="V892" s="13" t="str">
        <f t="shared" si="67"/>
        <v/>
      </c>
      <c r="W892" s="4" t="str">
        <f t="shared" si="68"/>
        <v/>
      </c>
      <c r="X892" t="str">
        <f>IF(W892="","",LOOKUP(_xlfn.CONCAT(P892,", ",Q892),'[1]T+S Costs'!$F$2:$F$3138,'[1]T+S Costs'!$N$2:$N$3138))</f>
        <v/>
      </c>
      <c r="Y892" s="14" t="str">
        <f t="shared" si="69"/>
        <v/>
      </c>
      <c r="Z892" s="4" t="str">
        <f t="shared" si="70"/>
        <v/>
      </c>
    </row>
    <row r="893" spans="16:26" x14ac:dyDescent="0.25">
      <c r="P893" s="10" t="str">
        <f>IF('[1]All Data '!AZ898="","",'[1]All Data '!AZ898)</f>
        <v/>
      </c>
      <c r="Q893" s="10" t="str">
        <f>IF('[1]All Data '!BB898="","",'[1]All Data '!BB898)</f>
        <v/>
      </c>
      <c r="R893" s="10" t="str">
        <f>IF('[1]All Data '!BD898="","",'[1]All Data '!BD898)</f>
        <v/>
      </c>
      <c r="S893" s="11" t="str">
        <f>IF(R893="","",'[1]All Data '!BE898)</f>
        <v/>
      </c>
      <c r="T893" s="12" t="str">
        <f>IF(S893="","",[1]Inputs_Outputs!$B$8*(1-'LOCH Calc COE Calc'!S893))</f>
        <v/>
      </c>
      <c r="U893" s="13" t="str">
        <f t="shared" si="66"/>
        <v/>
      </c>
      <c r="V893" s="13" t="str">
        <f t="shared" si="67"/>
        <v/>
      </c>
      <c r="W893" s="4" t="str">
        <f t="shared" si="68"/>
        <v/>
      </c>
      <c r="X893" t="str">
        <f>IF(W893="","",LOOKUP(_xlfn.CONCAT(P893,", ",Q893),'[1]T+S Costs'!$F$2:$F$3138,'[1]T+S Costs'!$N$2:$N$3138))</f>
        <v/>
      </c>
      <c r="Y893" s="14" t="str">
        <f t="shared" si="69"/>
        <v/>
      </c>
      <c r="Z893" s="4" t="str">
        <f t="shared" si="70"/>
        <v/>
      </c>
    </row>
    <row r="894" spans="16:26" x14ac:dyDescent="0.25">
      <c r="P894" s="10" t="str">
        <f>IF('[1]All Data '!AZ899="","",'[1]All Data '!AZ899)</f>
        <v/>
      </c>
      <c r="Q894" s="10" t="str">
        <f>IF('[1]All Data '!BB899="","",'[1]All Data '!BB899)</f>
        <v/>
      </c>
      <c r="R894" s="10" t="str">
        <f>IF('[1]All Data '!BD899="","",'[1]All Data '!BD899)</f>
        <v/>
      </c>
      <c r="S894" s="11" t="str">
        <f>IF(R894="","",'[1]All Data '!BE899)</f>
        <v/>
      </c>
      <c r="T894" s="12" t="str">
        <f>IF(S894="","",[1]Inputs_Outputs!$B$8*(1-'LOCH Calc COE Calc'!S894))</f>
        <v/>
      </c>
      <c r="U894" s="13" t="str">
        <f t="shared" si="66"/>
        <v/>
      </c>
      <c r="V894" s="13" t="str">
        <f t="shared" si="67"/>
        <v/>
      </c>
      <c r="W894" s="4" t="str">
        <f t="shared" si="68"/>
        <v/>
      </c>
      <c r="X894" t="str">
        <f>IF(W894="","",LOOKUP(_xlfn.CONCAT(P894,", ",Q894),'[1]T+S Costs'!$F$2:$F$3138,'[1]T+S Costs'!$N$2:$N$3138))</f>
        <v/>
      </c>
      <c r="Y894" s="14" t="str">
        <f t="shared" si="69"/>
        <v/>
      </c>
      <c r="Z894" s="4" t="str">
        <f t="shared" si="70"/>
        <v/>
      </c>
    </row>
    <row r="895" spans="16:26" x14ac:dyDescent="0.25">
      <c r="P895" s="10" t="str">
        <f>IF('[1]All Data '!AZ900="","",'[1]All Data '!AZ900)</f>
        <v/>
      </c>
      <c r="Q895" s="10" t="str">
        <f>IF('[1]All Data '!BB900="","",'[1]All Data '!BB900)</f>
        <v/>
      </c>
      <c r="R895" s="10" t="str">
        <f>IF('[1]All Data '!BD900="","",'[1]All Data '!BD900)</f>
        <v/>
      </c>
      <c r="S895" s="11" t="str">
        <f>IF(R895="","",'[1]All Data '!BE900)</f>
        <v/>
      </c>
      <c r="T895" s="12" t="str">
        <f>IF(S895="","",[1]Inputs_Outputs!$B$8*(1-'LOCH Calc COE Calc'!S895))</f>
        <v/>
      </c>
      <c r="U895" s="13" t="str">
        <f t="shared" si="66"/>
        <v/>
      </c>
      <c r="V895" s="13" t="str">
        <f t="shared" si="67"/>
        <v/>
      </c>
      <c r="W895" s="4" t="str">
        <f t="shared" si="68"/>
        <v/>
      </c>
      <c r="X895" t="str">
        <f>IF(W895="","",LOOKUP(_xlfn.CONCAT(P895,", ",Q895),'[1]T+S Costs'!$F$2:$F$3138,'[1]T+S Costs'!$N$2:$N$3138))</f>
        <v/>
      </c>
      <c r="Y895" s="14" t="str">
        <f t="shared" si="69"/>
        <v/>
      </c>
      <c r="Z895" s="4" t="str">
        <f t="shared" si="70"/>
        <v/>
      </c>
    </row>
    <row r="896" spans="16:26" x14ac:dyDescent="0.25">
      <c r="P896" s="10" t="str">
        <f>IF('[1]All Data '!AZ901="","",'[1]All Data '!AZ901)</f>
        <v/>
      </c>
      <c r="Q896" s="10" t="str">
        <f>IF('[1]All Data '!BB901="","",'[1]All Data '!BB901)</f>
        <v/>
      </c>
      <c r="R896" s="10" t="str">
        <f>IF('[1]All Data '!BD901="","",'[1]All Data '!BD901)</f>
        <v/>
      </c>
      <c r="S896" s="11" t="str">
        <f>IF(R896="","",'[1]All Data '!BE901)</f>
        <v/>
      </c>
      <c r="T896" s="12" t="str">
        <f>IF(S896="","",[1]Inputs_Outputs!$B$8*(1-'LOCH Calc COE Calc'!S896))</f>
        <v/>
      </c>
      <c r="U896" s="13" t="str">
        <f t="shared" si="66"/>
        <v/>
      </c>
      <c r="V896" s="13" t="str">
        <f t="shared" si="67"/>
        <v/>
      </c>
      <c r="W896" s="4" t="str">
        <f t="shared" si="68"/>
        <v/>
      </c>
      <c r="X896" t="str">
        <f>IF(W896="","",LOOKUP(_xlfn.CONCAT(P896,", ",Q896),'[1]T+S Costs'!$F$2:$F$3138,'[1]T+S Costs'!$N$2:$N$3138))</f>
        <v/>
      </c>
      <c r="Y896" s="14" t="str">
        <f t="shared" si="69"/>
        <v/>
      </c>
      <c r="Z896" s="4" t="str">
        <f t="shared" si="70"/>
        <v/>
      </c>
    </row>
    <row r="897" spans="16:26" x14ac:dyDescent="0.25">
      <c r="P897" s="10" t="str">
        <f>IF('[1]All Data '!AZ902="","",'[1]All Data '!AZ902)</f>
        <v/>
      </c>
      <c r="Q897" s="10" t="str">
        <f>IF('[1]All Data '!BB902="","",'[1]All Data '!BB902)</f>
        <v/>
      </c>
      <c r="R897" s="10" t="str">
        <f>IF('[1]All Data '!BD902="","",'[1]All Data '!BD902)</f>
        <v/>
      </c>
      <c r="S897" s="11" t="str">
        <f>IF(R897="","",'[1]All Data '!BE902)</f>
        <v/>
      </c>
      <c r="T897" s="12" t="str">
        <f>IF(S897="","",[1]Inputs_Outputs!$B$8*(1-'LOCH Calc COE Calc'!S897))</f>
        <v/>
      </c>
      <c r="U897" s="13" t="str">
        <f t="shared" si="66"/>
        <v/>
      </c>
      <c r="V897" s="13" t="str">
        <f t="shared" si="67"/>
        <v/>
      </c>
      <c r="W897" s="4" t="str">
        <f t="shared" si="68"/>
        <v/>
      </c>
      <c r="X897" t="str">
        <f>IF(W897="","",LOOKUP(_xlfn.CONCAT(P897,", ",Q897),'[1]T+S Costs'!$F$2:$F$3138,'[1]T+S Costs'!$N$2:$N$3138))</f>
        <v/>
      </c>
      <c r="Y897" s="14" t="str">
        <f t="shared" si="69"/>
        <v/>
      </c>
      <c r="Z897" s="4" t="str">
        <f t="shared" si="70"/>
        <v/>
      </c>
    </row>
    <row r="898" spans="16:26" x14ac:dyDescent="0.25">
      <c r="P898" s="10" t="str">
        <f>IF('[1]All Data '!AZ903="","",'[1]All Data '!AZ903)</f>
        <v/>
      </c>
      <c r="Q898" s="10" t="str">
        <f>IF('[1]All Data '!BB903="","",'[1]All Data '!BB903)</f>
        <v/>
      </c>
      <c r="R898" s="10" t="str">
        <f>IF('[1]All Data '!BD903="","",'[1]All Data '!BD903)</f>
        <v/>
      </c>
      <c r="S898" s="11" t="str">
        <f>IF(R898="","",'[1]All Data '!BE903)</f>
        <v/>
      </c>
      <c r="T898" s="12" t="str">
        <f>IF(S898="","",[1]Inputs_Outputs!$B$8*(1-'LOCH Calc COE Calc'!S898))</f>
        <v/>
      </c>
      <c r="U898" s="13" t="str">
        <f t="shared" si="66"/>
        <v/>
      </c>
      <c r="V898" s="13" t="str">
        <f t="shared" si="67"/>
        <v/>
      </c>
      <c r="W898" s="4" t="str">
        <f t="shared" si="68"/>
        <v/>
      </c>
      <c r="X898" t="str">
        <f>IF(W898="","",LOOKUP(_xlfn.CONCAT(P898,", ",Q898),'[1]T+S Costs'!$F$2:$F$3138,'[1]T+S Costs'!$N$2:$N$3138))</f>
        <v/>
      </c>
      <c r="Y898" s="14" t="str">
        <f t="shared" si="69"/>
        <v/>
      </c>
      <c r="Z898" s="4" t="str">
        <f t="shared" si="70"/>
        <v/>
      </c>
    </row>
    <row r="899" spans="16:26" x14ac:dyDescent="0.25">
      <c r="P899" s="10" t="str">
        <f>IF('[1]All Data '!AZ904="","",'[1]All Data '!AZ904)</f>
        <v/>
      </c>
      <c r="Q899" s="10" t="str">
        <f>IF('[1]All Data '!BB904="","",'[1]All Data '!BB904)</f>
        <v/>
      </c>
      <c r="R899" s="10" t="str">
        <f>IF('[1]All Data '!BD904="","",'[1]All Data '!BD904)</f>
        <v/>
      </c>
      <c r="S899" s="11" t="str">
        <f>IF(R899="","",'[1]All Data '!BE904)</f>
        <v/>
      </c>
      <c r="T899" s="12" t="str">
        <f>IF(S899="","",[1]Inputs_Outputs!$B$8*(1-'LOCH Calc COE Calc'!S899))</f>
        <v/>
      </c>
      <c r="U899" s="13" t="str">
        <f t="shared" ref="U899:U962" si="71">IF(S899="","",R899*T899*365*$B$19/100)</f>
        <v/>
      </c>
      <c r="V899" s="13" t="str">
        <f t="shared" ref="V899:V962" si="72">IF(S899="","",(U899*$B$19)/(($B$28)*$B$19))</f>
        <v/>
      </c>
      <c r="W899" s="4" t="str">
        <f t="shared" ref="W899:W962" si="73">IF(S899="","",V899+$C$49+$C$50+$C$51)</f>
        <v/>
      </c>
      <c r="X899" t="str">
        <f>IF(W899="","",LOOKUP(_xlfn.CONCAT(P899,", ",Q899),'[1]T+S Costs'!$F$2:$F$3138,'[1]T+S Costs'!$N$2:$N$3138))</f>
        <v/>
      </c>
      <c r="Y899" s="14" t="str">
        <f t="shared" ref="Y899:Y962" si="74">IF(X899="","",((X899*$B$60/$B$59)*$C$44)/$C$28)</f>
        <v/>
      </c>
      <c r="Z899" s="4" t="str">
        <f t="shared" ref="Z899:Z962" si="75">IF(Y899="","",W899+Y899)</f>
        <v/>
      </c>
    </row>
    <row r="900" spans="16:26" x14ac:dyDescent="0.25">
      <c r="P900" s="10" t="str">
        <f>IF('[1]All Data '!AZ905="","",'[1]All Data '!AZ905)</f>
        <v/>
      </c>
      <c r="Q900" s="10" t="str">
        <f>IF('[1]All Data '!BB905="","",'[1]All Data '!BB905)</f>
        <v/>
      </c>
      <c r="R900" s="10" t="str">
        <f>IF('[1]All Data '!BD905="","",'[1]All Data '!BD905)</f>
        <v/>
      </c>
      <c r="S900" s="11" t="str">
        <f>IF(R900="","",'[1]All Data '!BE905)</f>
        <v/>
      </c>
      <c r="T900" s="12" t="str">
        <f>IF(S900="","",[1]Inputs_Outputs!$B$8*(1-'LOCH Calc COE Calc'!S900))</f>
        <v/>
      </c>
      <c r="U900" s="13" t="str">
        <f t="shared" si="71"/>
        <v/>
      </c>
      <c r="V900" s="13" t="str">
        <f t="shared" si="72"/>
        <v/>
      </c>
      <c r="W900" s="4" t="str">
        <f t="shared" si="73"/>
        <v/>
      </c>
      <c r="X900" t="str">
        <f>IF(W900="","",LOOKUP(_xlfn.CONCAT(P900,", ",Q900),'[1]T+S Costs'!$F$2:$F$3138,'[1]T+S Costs'!$N$2:$N$3138))</f>
        <v/>
      </c>
      <c r="Y900" s="14" t="str">
        <f t="shared" si="74"/>
        <v/>
      </c>
      <c r="Z900" s="4" t="str">
        <f t="shared" si="75"/>
        <v/>
      </c>
    </row>
    <row r="901" spans="16:26" x14ac:dyDescent="0.25">
      <c r="P901" s="10" t="str">
        <f>IF('[1]All Data '!AZ906="","",'[1]All Data '!AZ906)</f>
        <v/>
      </c>
      <c r="Q901" s="10" t="str">
        <f>IF('[1]All Data '!BB906="","",'[1]All Data '!BB906)</f>
        <v/>
      </c>
      <c r="R901" s="10" t="str">
        <f>IF('[1]All Data '!BD906="","",'[1]All Data '!BD906)</f>
        <v/>
      </c>
      <c r="S901" s="11" t="str">
        <f>IF(R901="","",'[1]All Data '!BE906)</f>
        <v/>
      </c>
      <c r="T901" s="12" t="str">
        <f>IF(S901="","",[1]Inputs_Outputs!$B$8*(1-'LOCH Calc COE Calc'!S901))</f>
        <v/>
      </c>
      <c r="U901" s="13" t="str">
        <f t="shared" si="71"/>
        <v/>
      </c>
      <c r="V901" s="13" t="str">
        <f t="shared" si="72"/>
        <v/>
      </c>
      <c r="W901" s="4" t="str">
        <f t="shared" si="73"/>
        <v/>
      </c>
      <c r="X901" t="str">
        <f>IF(W901="","",LOOKUP(_xlfn.CONCAT(P901,", ",Q901),'[1]T+S Costs'!$F$2:$F$3138,'[1]T+S Costs'!$N$2:$N$3138))</f>
        <v/>
      </c>
      <c r="Y901" s="14" t="str">
        <f t="shared" si="74"/>
        <v/>
      </c>
      <c r="Z901" s="4" t="str">
        <f t="shared" si="75"/>
        <v/>
      </c>
    </row>
    <row r="902" spans="16:26" x14ac:dyDescent="0.25">
      <c r="P902" s="10" t="str">
        <f>IF('[1]All Data '!AZ907="","",'[1]All Data '!AZ907)</f>
        <v/>
      </c>
      <c r="Q902" s="10" t="str">
        <f>IF('[1]All Data '!BB907="","",'[1]All Data '!BB907)</f>
        <v/>
      </c>
      <c r="R902" s="10" t="str">
        <f>IF('[1]All Data '!BD907="","",'[1]All Data '!BD907)</f>
        <v/>
      </c>
      <c r="S902" s="11" t="str">
        <f>IF(R902="","",'[1]All Data '!BE907)</f>
        <v/>
      </c>
      <c r="T902" s="12" t="str">
        <f>IF(S902="","",[1]Inputs_Outputs!$B$8*(1-'LOCH Calc COE Calc'!S902))</f>
        <v/>
      </c>
      <c r="U902" s="13" t="str">
        <f t="shared" si="71"/>
        <v/>
      </c>
      <c r="V902" s="13" t="str">
        <f t="shared" si="72"/>
        <v/>
      </c>
      <c r="W902" s="4" t="str">
        <f t="shared" si="73"/>
        <v/>
      </c>
      <c r="X902" t="str">
        <f>IF(W902="","",LOOKUP(_xlfn.CONCAT(P902,", ",Q902),'[1]T+S Costs'!$F$2:$F$3138,'[1]T+S Costs'!$N$2:$N$3138))</f>
        <v/>
      </c>
      <c r="Y902" s="14" t="str">
        <f t="shared" si="74"/>
        <v/>
      </c>
      <c r="Z902" s="4" t="str">
        <f t="shared" si="75"/>
        <v/>
      </c>
    </row>
    <row r="903" spans="16:26" x14ac:dyDescent="0.25">
      <c r="P903" s="10" t="str">
        <f>IF('[1]All Data '!AZ908="","",'[1]All Data '!AZ908)</f>
        <v/>
      </c>
      <c r="Q903" s="10" t="str">
        <f>IF('[1]All Data '!BB908="","",'[1]All Data '!BB908)</f>
        <v/>
      </c>
      <c r="R903" s="10" t="str">
        <f>IF('[1]All Data '!BD908="","",'[1]All Data '!BD908)</f>
        <v/>
      </c>
      <c r="S903" s="11" t="str">
        <f>IF(R903="","",'[1]All Data '!BE908)</f>
        <v/>
      </c>
      <c r="T903" s="12" t="str">
        <f>IF(S903="","",[1]Inputs_Outputs!$B$8*(1-'LOCH Calc COE Calc'!S903))</f>
        <v/>
      </c>
      <c r="U903" s="13" t="str">
        <f t="shared" si="71"/>
        <v/>
      </c>
      <c r="V903" s="13" t="str">
        <f t="shared" si="72"/>
        <v/>
      </c>
      <c r="W903" s="4" t="str">
        <f t="shared" si="73"/>
        <v/>
      </c>
      <c r="X903" t="str">
        <f>IF(W903="","",LOOKUP(_xlfn.CONCAT(P903,", ",Q903),'[1]T+S Costs'!$F$2:$F$3138,'[1]T+S Costs'!$N$2:$N$3138))</f>
        <v/>
      </c>
      <c r="Y903" s="14" t="str">
        <f t="shared" si="74"/>
        <v/>
      </c>
      <c r="Z903" s="4" t="str">
        <f t="shared" si="75"/>
        <v/>
      </c>
    </row>
    <row r="904" spans="16:26" x14ac:dyDescent="0.25">
      <c r="P904" s="10" t="str">
        <f>IF('[1]All Data '!AZ909="","",'[1]All Data '!AZ909)</f>
        <v/>
      </c>
      <c r="Q904" s="10" t="str">
        <f>IF('[1]All Data '!BB909="","",'[1]All Data '!BB909)</f>
        <v/>
      </c>
      <c r="R904" s="10" t="str">
        <f>IF('[1]All Data '!BD909="","",'[1]All Data '!BD909)</f>
        <v/>
      </c>
      <c r="S904" s="11" t="str">
        <f>IF(R904="","",'[1]All Data '!BE909)</f>
        <v/>
      </c>
      <c r="T904" s="12" t="str">
        <f>IF(S904="","",[1]Inputs_Outputs!$B$8*(1-'LOCH Calc COE Calc'!S904))</f>
        <v/>
      </c>
      <c r="U904" s="13" t="str">
        <f t="shared" si="71"/>
        <v/>
      </c>
      <c r="V904" s="13" t="str">
        <f t="shared" si="72"/>
        <v/>
      </c>
      <c r="W904" s="4" t="str">
        <f t="shared" si="73"/>
        <v/>
      </c>
      <c r="X904" t="str">
        <f>IF(W904="","",LOOKUP(_xlfn.CONCAT(P904,", ",Q904),'[1]T+S Costs'!$F$2:$F$3138,'[1]T+S Costs'!$N$2:$N$3138))</f>
        <v/>
      </c>
      <c r="Y904" s="14" t="str">
        <f t="shared" si="74"/>
        <v/>
      </c>
      <c r="Z904" s="4" t="str">
        <f t="shared" si="75"/>
        <v/>
      </c>
    </row>
    <row r="905" spans="16:26" x14ac:dyDescent="0.25">
      <c r="P905" s="10" t="str">
        <f>IF('[1]All Data '!AZ910="","",'[1]All Data '!AZ910)</f>
        <v/>
      </c>
      <c r="Q905" s="10" t="str">
        <f>IF('[1]All Data '!BB910="","",'[1]All Data '!BB910)</f>
        <v/>
      </c>
      <c r="R905" s="10" t="str">
        <f>IF('[1]All Data '!BD910="","",'[1]All Data '!BD910)</f>
        <v/>
      </c>
      <c r="S905" s="11" t="str">
        <f>IF(R905="","",'[1]All Data '!BE910)</f>
        <v/>
      </c>
      <c r="T905" s="12" t="str">
        <f>IF(S905="","",[1]Inputs_Outputs!$B$8*(1-'LOCH Calc COE Calc'!S905))</f>
        <v/>
      </c>
      <c r="U905" s="13" t="str">
        <f t="shared" si="71"/>
        <v/>
      </c>
      <c r="V905" s="13" t="str">
        <f t="shared" si="72"/>
        <v/>
      </c>
      <c r="W905" s="4" t="str">
        <f t="shared" si="73"/>
        <v/>
      </c>
      <c r="X905" t="str">
        <f>IF(W905="","",LOOKUP(_xlfn.CONCAT(P905,", ",Q905),'[1]T+S Costs'!$F$2:$F$3138,'[1]T+S Costs'!$N$2:$N$3138))</f>
        <v/>
      </c>
      <c r="Y905" s="14" t="str">
        <f t="shared" si="74"/>
        <v/>
      </c>
      <c r="Z905" s="4" t="str">
        <f t="shared" si="75"/>
        <v/>
      </c>
    </row>
    <row r="906" spans="16:26" x14ac:dyDescent="0.25">
      <c r="P906" s="10" t="str">
        <f>IF('[1]All Data '!AZ911="","",'[1]All Data '!AZ911)</f>
        <v/>
      </c>
      <c r="Q906" s="10" t="str">
        <f>IF('[1]All Data '!BB911="","",'[1]All Data '!BB911)</f>
        <v/>
      </c>
      <c r="R906" s="10" t="str">
        <f>IF('[1]All Data '!BD911="","",'[1]All Data '!BD911)</f>
        <v/>
      </c>
      <c r="S906" s="11" t="str">
        <f>IF(R906="","",'[1]All Data '!BE911)</f>
        <v/>
      </c>
      <c r="T906" s="12" t="str">
        <f>IF(S906="","",[1]Inputs_Outputs!$B$8*(1-'LOCH Calc COE Calc'!S906))</f>
        <v/>
      </c>
      <c r="U906" s="13" t="str">
        <f t="shared" si="71"/>
        <v/>
      </c>
      <c r="V906" s="13" t="str">
        <f t="shared" si="72"/>
        <v/>
      </c>
      <c r="W906" s="4" t="str">
        <f t="shared" si="73"/>
        <v/>
      </c>
      <c r="X906" t="str">
        <f>IF(W906="","",LOOKUP(_xlfn.CONCAT(P906,", ",Q906),'[1]T+S Costs'!$F$2:$F$3138,'[1]T+S Costs'!$N$2:$N$3138))</f>
        <v/>
      </c>
      <c r="Y906" s="14" t="str">
        <f t="shared" si="74"/>
        <v/>
      </c>
      <c r="Z906" s="4" t="str">
        <f t="shared" si="75"/>
        <v/>
      </c>
    </row>
    <row r="907" spans="16:26" x14ac:dyDescent="0.25">
      <c r="P907" s="10" t="str">
        <f>IF('[1]All Data '!AZ912="","",'[1]All Data '!AZ912)</f>
        <v/>
      </c>
      <c r="Q907" s="10" t="str">
        <f>IF('[1]All Data '!BB912="","",'[1]All Data '!BB912)</f>
        <v/>
      </c>
      <c r="R907" s="10" t="str">
        <f>IF('[1]All Data '!BD912="","",'[1]All Data '!BD912)</f>
        <v/>
      </c>
      <c r="S907" s="11" t="str">
        <f>IF(R907="","",'[1]All Data '!BE912)</f>
        <v/>
      </c>
      <c r="T907" s="12" t="str">
        <f>IF(S907="","",[1]Inputs_Outputs!$B$8*(1-'LOCH Calc COE Calc'!S907))</f>
        <v/>
      </c>
      <c r="U907" s="13" t="str">
        <f t="shared" si="71"/>
        <v/>
      </c>
      <c r="V907" s="13" t="str">
        <f t="shared" si="72"/>
        <v/>
      </c>
      <c r="W907" s="4" t="str">
        <f t="shared" si="73"/>
        <v/>
      </c>
      <c r="X907" t="str">
        <f>IF(W907="","",LOOKUP(_xlfn.CONCAT(P907,", ",Q907),'[1]T+S Costs'!$F$2:$F$3138,'[1]T+S Costs'!$N$2:$N$3138))</f>
        <v/>
      </c>
      <c r="Y907" s="14" t="str">
        <f t="shared" si="74"/>
        <v/>
      </c>
      <c r="Z907" s="4" t="str">
        <f t="shared" si="75"/>
        <v/>
      </c>
    </row>
    <row r="908" spans="16:26" x14ac:dyDescent="0.25">
      <c r="P908" s="10" t="str">
        <f>IF('[1]All Data '!AZ913="","",'[1]All Data '!AZ913)</f>
        <v/>
      </c>
      <c r="Q908" s="10" t="str">
        <f>IF('[1]All Data '!BB913="","",'[1]All Data '!BB913)</f>
        <v/>
      </c>
      <c r="R908" s="10" t="str">
        <f>IF('[1]All Data '!BD913="","",'[1]All Data '!BD913)</f>
        <v/>
      </c>
      <c r="S908" s="11" t="str">
        <f>IF(R908="","",'[1]All Data '!BE913)</f>
        <v/>
      </c>
      <c r="T908" s="12" t="str">
        <f>IF(S908="","",[1]Inputs_Outputs!$B$8*(1-'LOCH Calc COE Calc'!S908))</f>
        <v/>
      </c>
      <c r="U908" s="13" t="str">
        <f t="shared" si="71"/>
        <v/>
      </c>
      <c r="V908" s="13" t="str">
        <f t="shared" si="72"/>
        <v/>
      </c>
      <c r="W908" s="4" t="str">
        <f t="shared" si="73"/>
        <v/>
      </c>
      <c r="X908" t="str">
        <f>IF(W908="","",LOOKUP(_xlfn.CONCAT(P908,", ",Q908),'[1]T+S Costs'!$F$2:$F$3138,'[1]T+S Costs'!$N$2:$N$3138))</f>
        <v/>
      </c>
      <c r="Y908" s="14" t="str">
        <f t="shared" si="74"/>
        <v/>
      </c>
      <c r="Z908" s="4" t="str">
        <f t="shared" si="75"/>
        <v/>
      </c>
    </row>
    <row r="909" spans="16:26" x14ac:dyDescent="0.25">
      <c r="P909" s="10" t="str">
        <f>IF('[1]All Data '!AZ914="","",'[1]All Data '!AZ914)</f>
        <v/>
      </c>
      <c r="Q909" s="10" t="str">
        <f>IF('[1]All Data '!BB914="","",'[1]All Data '!BB914)</f>
        <v/>
      </c>
      <c r="R909" s="10" t="str">
        <f>IF('[1]All Data '!BD914="","",'[1]All Data '!BD914)</f>
        <v/>
      </c>
      <c r="S909" s="11" t="str">
        <f>IF(R909="","",'[1]All Data '!BE914)</f>
        <v/>
      </c>
      <c r="T909" s="12" t="str">
        <f>IF(S909="","",[1]Inputs_Outputs!$B$8*(1-'LOCH Calc COE Calc'!S909))</f>
        <v/>
      </c>
      <c r="U909" s="13" t="str">
        <f t="shared" si="71"/>
        <v/>
      </c>
      <c r="V909" s="13" t="str">
        <f t="shared" si="72"/>
        <v/>
      </c>
      <c r="W909" s="4" t="str">
        <f t="shared" si="73"/>
        <v/>
      </c>
      <c r="X909" t="str">
        <f>IF(W909="","",LOOKUP(_xlfn.CONCAT(P909,", ",Q909),'[1]T+S Costs'!$F$2:$F$3138,'[1]T+S Costs'!$N$2:$N$3138))</f>
        <v/>
      </c>
      <c r="Y909" s="14" t="str">
        <f t="shared" si="74"/>
        <v/>
      </c>
      <c r="Z909" s="4" t="str">
        <f t="shared" si="75"/>
        <v/>
      </c>
    </row>
    <row r="910" spans="16:26" x14ac:dyDescent="0.25">
      <c r="P910" s="10" t="str">
        <f>IF('[1]All Data '!AZ915="","",'[1]All Data '!AZ915)</f>
        <v/>
      </c>
      <c r="Q910" s="10" t="str">
        <f>IF('[1]All Data '!BB915="","",'[1]All Data '!BB915)</f>
        <v/>
      </c>
      <c r="R910" s="10" t="str">
        <f>IF('[1]All Data '!BD915="","",'[1]All Data '!BD915)</f>
        <v/>
      </c>
      <c r="S910" s="11" t="str">
        <f>IF(R910="","",'[1]All Data '!BE915)</f>
        <v/>
      </c>
      <c r="T910" s="12" t="str">
        <f>IF(S910="","",[1]Inputs_Outputs!$B$8*(1-'LOCH Calc COE Calc'!S910))</f>
        <v/>
      </c>
      <c r="U910" s="13" t="str">
        <f t="shared" si="71"/>
        <v/>
      </c>
      <c r="V910" s="13" t="str">
        <f t="shared" si="72"/>
        <v/>
      </c>
      <c r="W910" s="4" t="str">
        <f t="shared" si="73"/>
        <v/>
      </c>
      <c r="X910" t="str">
        <f>IF(W910="","",LOOKUP(_xlfn.CONCAT(P910,", ",Q910),'[1]T+S Costs'!$F$2:$F$3138,'[1]T+S Costs'!$N$2:$N$3138))</f>
        <v/>
      </c>
      <c r="Y910" s="14" t="str">
        <f t="shared" si="74"/>
        <v/>
      </c>
      <c r="Z910" s="4" t="str">
        <f t="shared" si="75"/>
        <v/>
      </c>
    </row>
    <row r="911" spans="16:26" x14ac:dyDescent="0.25">
      <c r="P911" s="10" t="str">
        <f>IF('[1]All Data '!AZ916="","",'[1]All Data '!AZ916)</f>
        <v/>
      </c>
      <c r="Q911" s="10" t="str">
        <f>IF('[1]All Data '!BB916="","",'[1]All Data '!BB916)</f>
        <v/>
      </c>
      <c r="R911" s="10" t="str">
        <f>IF('[1]All Data '!BD916="","",'[1]All Data '!BD916)</f>
        <v/>
      </c>
      <c r="S911" s="11" t="str">
        <f>IF(R911="","",'[1]All Data '!BE916)</f>
        <v/>
      </c>
      <c r="T911" s="12" t="str">
        <f>IF(S911="","",[1]Inputs_Outputs!$B$8*(1-'LOCH Calc COE Calc'!S911))</f>
        <v/>
      </c>
      <c r="U911" s="13" t="str">
        <f t="shared" si="71"/>
        <v/>
      </c>
      <c r="V911" s="13" t="str">
        <f t="shared" si="72"/>
        <v/>
      </c>
      <c r="W911" s="4" t="str">
        <f t="shared" si="73"/>
        <v/>
      </c>
      <c r="X911" t="str">
        <f>IF(W911="","",LOOKUP(_xlfn.CONCAT(P911,", ",Q911),'[1]T+S Costs'!$F$2:$F$3138,'[1]T+S Costs'!$N$2:$N$3138))</f>
        <v/>
      </c>
      <c r="Y911" s="14" t="str">
        <f t="shared" si="74"/>
        <v/>
      </c>
      <c r="Z911" s="4" t="str">
        <f t="shared" si="75"/>
        <v/>
      </c>
    </row>
    <row r="912" spans="16:26" x14ac:dyDescent="0.25">
      <c r="P912" s="10" t="str">
        <f>IF('[1]All Data '!AZ917="","",'[1]All Data '!AZ917)</f>
        <v/>
      </c>
      <c r="Q912" s="10" t="str">
        <f>IF('[1]All Data '!BB917="","",'[1]All Data '!BB917)</f>
        <v/>
      </c>
      <c r="R912" s="10" t="str">
        <f>IF('[1]All Data '!BD917="","",'[1]All Data '!BD917)</f>
        <v/>
      </c>
      <c r="S912" s="11" t="str">
        <f>IF(R912="","",'[1]All Data '!BE917)</f>
        <v/>
      </c>
      <c r="T912" s="12" t="str">
        <f>IF(S912="","",[1]Inputs_Outputs!$B$8*(1-'LOCH Calc COE Calc'!S912))</f>
        <v/>
      </c>
      <c r="U912" s="13" t="str">
        <f t="shared" si="71"/>
        <v/>
      </c>
      <c r="V912" s="13" t="str">
        <f t="shared" si="72"/>
        <v/>
      </c>
      <c r="W912" s="4" t="str">
        <f t="shared" si="73"/>
        <v/>
      </c>
      <c r="X912" t="str">
        <f>IF(W912="","",LOOKUP(_xlfn.CONCAT(P912,", ",Q912),'[1]T+S Costs'!$F$2:$F$3138,'[1]T+S Costs'!$N$2:$N$3138))</f>
        <v/>
      </c>
      <c r="Y912" s="14" t="str">
        <f t="shared" si="74"/>
        <v/>
      </c>
      <c r="Z912" s="4" t="str">
        <f t="shared" si="75"/>
        <v/>
      </c>
    </row>
    <row r="913" spans="16:26" x14ac:dyDescent="0.25">
      <c r="P913" s="10" t="str">
        <f>IF('[1]All Data '!AZ918="","",'[1]All Data '!AZ918)</f>
        <v/>
      </c>
      <c r="Q913" s="10" t="str">
        <f>IF('[1]All Data '!BB918="","",'[1]All Data '!BB918)</f>
        <v/>
      </c>
      <c r="R913" s="10" t="str">
        <f>IF('[1]All Data '!BD918="","",'[1]All Data '!BD918)</f>
        <v/>
      </c>
      <c r="S913" s="11" t="str">
        <f>IF(R913="","",'[1]All Data '!BE918)</f>
        <v/>
      </c>
      <c r="T913" s="12" t="str">
        <f>IF(S913="","",[1]Inputs_Outputs!$B$8*(1-'LOCH Calc COE Calc'!S913))</f>
        <v/>
      </c>
      <c r="U913" s="13" t="str">
        <f t="shared" si="71"/>
        <v/>
      </c>
      <c r="V913" s="13" t="str">
        <f t="shared" si="72"/>
        <v/>
      </c>
      <c r="W913" s="4" t="str">
        <f t="shared" si="73"/>
        <v/>
      </c>
      <c r="X913" t="str">
        <f>IF(W913="","",LOOKUP(_xlfn.CONCAT(P913,", ",Q913),'[1]T+S Costs'!$F$2:$F$3138,'[1]T+S Costs'!$N$2:$N$3138))</f>
        <v/>
      </c>
      <c r="Y913" s="14" t="str">
        <f t="shared" si="74"/>
        <v/>
      </c>
      <c r="Z913" s="4" t="str">
        <f t="shared" si="75"/>
        <v/>
      </c>
    </row>
    <row r="914" spans="16:26" x14ac:dyDescent="0.25">
      <c r="P914" s="10" t="str">
        <f>IF('[1]All Data '!AZ919="","",'[1]All Data '!AZ919)</f>
        <v/>
      </c>
      <c r="Q914" s="10" t="str">
        <f>IF('[1]All Data '!BB919="","",'[1]All Data '!BB919)</f>
        <v/>
      </c>
      <c r="R914" s="10" t="str">
        <f>IF('[1]All Data '!BD919="","",'[1]All Data '!BD919)</f>
        <v/>
      </c>
      <c r="S914" s="11" t="str">
        <f>IF(R914="","",'[1]All Data '!BE919)</f>
        <v/>
      </c>
      <c r="T914" s="12" t="str">
        <f>IF(S914="","",[1]Inputs_Outputs!$B$8*(1-'LOCH Calc COE Calc'!S914))</f>
        <v/>
      </c>
      <c r="U914" s="13" t="str">
        <f t="shared" si="71"/>
        <v/>
      </c>
      <c r="V914" s="13" t="str">
        <f t="shared" si="72"/>
        <v/>
      </c>
      <c r="W914" s="4" t="str">
        <f t="shared" si="73"/>
        <v/>
      </c>
      <c r="X914" t="str">
        <f>IF(W914="","",LOOKUP(_xlfn.CONCAT(P914,", ",Q914),'[1]T+S Costs'!$F$2:$F$3138,'[1]T+S Costs'!$N$2:$N$3138))</f>
        <v/>
      </c>
      <c r="Y914" s="14" t="str">
        <f t="shared" si="74"/>
        <v/>
      </c>
      <c r="Z914" s="4" t="str">
        <f t="shared" si="75"/>
        <v/>
      </c>
    </row>
    <row r="915" spans="16:26" x14ac:dyDescent="0.25">
      <c r="P915" s="10" t="str">
        <f>IF('[1]All Data '!AZ920="","",'[1]All Data '!AZ920)</f>
        <v/>
      </c>
      <c r="Q915" s="10" t="str">
        <f>IF('[1]All Data '!BB920="","",'[1]All Data '!BB920)</f>
        <v/>
      </c>
      <c r="R915" s="10" t="str">
        <f>IF('[1]All Data '!BD920="","",'[1]All Data '!BD920)</f>
        <v/>
      </c>
      <c r="S915" s="11" t="str">
        <f>IF(R915="","",'[1]All Data '!BE920)</f>
        <v/>
      </c>
      <c r="T915" s="12" t="str">
        <f>IF(S915="","",[1]Inputs_Outputs!$B$8*(1-'LOCH Calc COE Calc'!S915))</f>
        <v/>
      </c>
      <c r="U915" s="13" t="str">
        <f t="shared" si="71"/>
        <v/>
      </c>
      <c r="V915" s="13" t="str">
        <f t="shared" si="72"/>
        <v/>
      </c>
      <c r="W915" s="4" t="str">
        <f t="shared" si="73"/>
        <v/>
      </c>
      <c r="X915" t="str">
        <f>IF(W915="","",LOOKUP(_xlfn.CONCAT(P915,", ",Q915),'[1]T+S Costs'!$F$2:$F$3138,'[1]T+S Costs'!$N$2:$N$3138))</f>
        <v/>
      </c>
      <c r="Y915" s="14" t="str">
        <f t="shared" si="74"/>
        <v/>
      </c>
      <c r="Z915" s="4" t="str">
        <f t="shared" si="75"/>
        <v/>
      </c>
    </row>
    <row r="916" spans="16:26" x14ac:dyDescent="0.25">
      <c r="P916" s="10" t="str">
        <f>IF('[1]All Data '!AZ921="","",'[1]All Data '!AZ921)</f>
        <v/>
      </c>
      <c r="Q916" s="10" t="str">
        <f>IF('[1]All Data '!BB921="","",'[1]All Data '!BB921)</f>
        <v/>
      </c>
      <c r="R916" s="10" t="str">
        <f>IF('[1]All Data '!BD921="","",'[1]All Data '!BD921)</f>
        <v/>
      </c>
      <c r="S916" s="11" t="str">
        <f>IF(R916="","",'[1]All Data '!BE921)</f>
        <v/>
      </c>
      <c r="T916" s="12" t="str">
        <f>IF(S916="","",[1]Inputs_Outputs!$B$8*(1-'LOCH Calc COE Calc'!S916))</f>
        <v/>
      </c>
      <c r="U916" s="13" t="str">
        <f t="shared" si="71"/>
        <v/>
      </c>
      <c r="V916" s="13" t="str">
        <f t="shared" si="72"/>
        <v/>
      </c>
      <c r="W916" s="4" t="str">
        <f t="shared" si="73"/>
        <v/>
      </c>
      <c r="X916" t="str">
        <f>IF(W916="","",LOOKUP(_xlfn.CONCAT(P916,", ",Q916),'[1]T+S Costs'!$F$2:$F$3138,'[1]T+S Costs'!$N$2:$N$3138))</f>
        <v/>
      </c>
      <c r="Y916" s="14" t="str">
        <f t="shared" si="74"/>
        <v/>
      </c>
      <c r="Z916" s="4" t="str">
        <f t="shared" si="75"/>
        <v/>
      </c>
    </row>
    <row r="917" spans="16:26" x14ac:dyDescent="0.25">
      <c r="P917" s="10" t="str">
        <f>IF('[1]All Data '!AZ922="","",'[1]All Data '!AZ922)</f>
        <v/>
      </c>
      <c r="Q917" s="10" t="str">
        <f>IF('[1]All Data '!BB922="","",'[1]All Data '!BB922)</f>
        <v/>
      </c>
      <c r="R917" s="10" t="str">
        <f>IF('[1]All Data '!BD922="","",'[1]All Data '!BD922)</f>
        <v/>
      </c>
      <c r="S917" s="11" t="str">
        <f>IF(R917="","",'[1]All Data '!BE922)</f>
        <v/>
      </c>
      <c r="T917" s="12" t="str">
        <f>IF(S917="","",[1]Inputs_Outputs!$B$8*(1-'LOCH Calc COE Calc'!S917))</f>
        <v/>
      </c>
      <c r="U917" s="13" t="str">
        <f t="shared" si="71"/>
        <v/>
      </c>
      <c r="V917" s="13" t="str">
        <f t="shared" si="72"/>
        <v/>
      </c>
      <c r="W917" s="4" t="str">
        <f t="shared" si="73"/>
        <v/>
      </c>
      <c r="X917" t="str">
        <f>IF(W917="","",LOOKUP(_xlfn.CONCAT(P917,", ",Q917),'[1]T+S Costs'!$F$2:$F$3138,'[1]T+S Costs'!$N$2:$N$3138))</f>
        <v/>
      </c>
      <c r="Y917" s="14" t="str">
        <f t="shared" si="74"/>
        <v/>
      </c>
      <c r="Z917" s="4" t="str">
        <f t="shared" si="75"/>
        <v/>
      </c>
    </row>
    <row r="918" spans="16:26" x14ac:dyDescent="0.25">
      <c r="P918" s="10" t="str">
        <f>IF('[1]All Data '!AZ923="","",'[1]All Data '!AZ923)</f>
        <v/>
      </c>
      <c r="Q918" s="10" t="str">
        <f>IF('[1]All Data '!BB923="","",'[1]All Data '!BB923)</f>
        <v/>
      </c>
      <c r="R918" s="10" t="str">
        <f>IF('[1]All Data '!BD923="","",'[1]All Data '!BD923)</f>
        <v/>
      </c>
      <c r="S918" s="11" t="str">
        <f>IF(R918="","",'[1]All Data '!BE923)</f>
        <v/>
      </c>
      <c r="T918" s="12" t="str">
        <f>IF(S918="","",[1]Inputs_Outputs!$B$8*(1-'LOCH Calc COE Calc'!S918))</f>
        <v/>
      </c>
      <c r="U918" s="13" t="str">
        <f t="shared" si="71"/>
        <v/>
      </c>
      <c r="V918" s="13" t="str">
        <f t="shared" si="72"/>
        <v/>
      </c>
      <c r="W918" s="4" t="str">
        <f t="shared" si="73"/>
        <v/>
      </c>
      <c r="X918" t="str">
        <f>IF(W918="","",LOOKUP(_xlfn.CONCAT(P918,", ",Q918),'[1]T+S Costs'!$F$2:$F$3138,'[1]T+S Costs'!$N$2:$N$3138))</f>
        <v/>
      </c>
      <c r="Y918" s="14" t="str">
        <f t="shared" si="74"/>
        <v/>
      </c>
      <c r="Z918" s="4" t="str">
        <f t="shared" si="75"/>
        <v/>
      </c>
    </row>
    <row r="919" spans="16:26" x14ac:dyDescent="0.25">
      <c r="P919" s="10" t="str">
        <f>IF('[1]All Data '!AZ924="","",'[1]All Data '!AZ924)</f>
        <v/>
      </c>
      <c r="Q919" s="10" t="str">
        <f>IF('[1]All Data '!BB924="","",'[1]All Data '!BB924)</f>
        <v/>
      </c>
      <c r="R919" s="10" t="str">
        <f>IF('[1]All Data '!BD924="","",'[1]All Data '!BD924)</f>
        <v/>
      </c>
      <c r="S919" s="11" t="str">
        <f>IF(R919="","",'[1]All Data '!BE924)</f>
        <v/>
      </c>
      <c r="T919" s="12" t="str">
        <f>IF(S919="","",[1]Inputs_Outputs!$B$8*(1-'LOCH Calc COE Calc'!S919))</f>
        <v/>
      </c>
      <c r="U919" s="13" t="str">
        <f t="shared" si="71"/>
        <v/>
      </c>
      <c r="V919" s="13" t="str">
        <f t="shared" si="72"/>
        <v/>
      </c>
      <c r="W919" s="4" t="str">
        <f t="shared" si="73"/>
        <v/>
      </c>
      <c r="X919" t="str">
        <f>IF(W919="","",LOOKUP(_xlfn.CONCAT(P919,", ",Q919),'[1]T+S Costs'!$F$2:$F$3138,'[1]T+S Costs'!$N$2:$N$3138))</f>
        <v/>
      </c>
      <c r="Y919" s="14" t="str">
        <f t="shared" si="74"/>
        <v/>
      </c>
      <c r="Z919" s="4" t="str">
        <f t="shared" si="75"/>
        <v/>
      </c>
    </row>
    <row r="920" spans="16:26" x14ac:dyDescent="0.25">
      <c r="P920" s="10" t="str">
        <f>IF('[1]All Data '!AZ925="","",'[1]All Data '!AZ925)</f>
        <v/>
      </c>
      <c r="Q920" s="10" t="str">
        <f>IF('[1]All Data '!BB925="","",'[1]All Data '!BB925)</f>
        <v/>
      </c>
      <c r="R920" s="10" t="str">
        <f>IF('[1]All Data '!BD925="","",'[1]All Data '!BD925)</f>
        <v/>
      </c>
      <c r="S920" s="11" t="str">
        <f>IF(R920="","",'[1]All Data '!BE925)</f>
        <v/>
      </c>
      <c r="T920" s="12" t="str">
        <f>IF(S920="","",[1]Inputs_Outputs!$B$8*(1-'LOCH Calc COE Calc'!S920))</f>
        <v/>
      </c>
      <c r="U920" s="13" t="str">
        <f t="shared" si="71"/>
        <v/>
      </c>
      <c r="V920" s="13" t="str">
        <f t="shared" si="72"/>
        <v/>
      </c>
      <c r="W920" s="4" t="str">
        <f t="shared" si="73"/>
        <v/>
      </c>
      <c r="X920" t="str">
        <f>IF(W920="","",LOOKUP(_xlfn.CONCAT(P920,", ",Q920),'[1]T+S Costs'!$F$2:$F$3138,'[1]T+S Costs'!$N$2:$N$3138))</f>
        <v/>
      </c>
      <c r="Y920" s="14" t="str">
        <f t="shared" si="74"/>
        <v/>
      </c>
      <c r="Z920" s="4" t="str">
        <f t="shared" si="75"/>
        <v/>
      </c>
    </row>
    <row r="921" spans="16:26" x14ac:dyDescent="0.25">
      <c r="P921" s="10" t="str">
        <f>IF('[1]All Data '!AZ926="","",'[1]All Data '!AZ926)</f>
        <v/>
      </c>
      <c r="Q921" s="10" t="str">
        <f>IF('[1]All Data '!BB926="","",'[1]All Data '!BB926)</f>
        <v/>
      </c>
      <c r="R921" s="10" t="str">
        <f>IF('[1]All Data '!BD926="","",'[1]All Data '!BD926)</f>
        <v/>
      </c>
      <c r="S921" s="11" t="str">
        <f>IF(R921="","",'[1]All Data '!BE926)</f>
        <v/>
      </c>
      <c r="T921" s="12" t="str">
        <f>IF(S921="","",[1]Inputs_Outputs!$B$8*(1-'LOCH Calc COE Calc'!S921))</f>
        <v/>
      </c>
      <c r="U921" s="13" t="str">
        <f t="shared" si="71"/>
        <v/>
      </c>
      <c r="V921" s="13" t="str">
        <f t="shared" si="72"/>
        <v/>
      </c>
      <c r="W921" s="4" t="str">
        <f t="shared" si="73"/>
        <v/>
      </c>
      <c r="X921" t="str">
        <f>IF(W921="","",LOOKUP(_xlfn.CONCAT(P921,", ",Q921),'[1]T+S Costs'!$F$2:$F$3138,'[1]T+S Costs'!$N$2:$N$3138))</f>
        <v/>
      </c>
      <c r="Y921" s="14" t="str">
        <f t="shared" si="74"/>
        <v/>
      </c>
      <c r="Z921" s="4" t="str">
        <f t="shared" si="75"/>
        <v/>
      </c>
    </row>
    <row r="922" spans="16:26" x14ac:dyDescent="0.25">
      <c r="P922" s="10" t="str">
        <f>IF('[1]All Data '!AZ927="","",'[1]All Data '!AZ927)</f>
        <v/>
      </c>
      <c r="Q922" s="10" t="str">
        <f>IF('[1]All Data '!BB927="","",'[1]All Data '!BB927)</f>
        <v/>
      </c>
      <c r="R922" s="10" t="str">
        <f>IF('[1]All Data '!BD927="","",'[1]All Data '!BD927)</f>
        <v/>
      </c>
      <c r="S922" s="11" t="str">
        <f>IF(R922="","",'[1]All Data '!BE927)</f>
        <v/>
      </c>
      <c r="T922" s="12" t="str">
        <f>IF(S922="","",[1]Inputs_Outputs!$B$8*(1-'LOCH Calc COE Calc'!S922))</f>
        <v/>
      </c>
      <c r="U922" s="13" t="str">
        <f t="shared" si="71"/>
        <v/>
      </c>
      <c r="V922" s="13" t="str">
        <f t="shared" si="72"/>
        <v/>
      </c>
      <c r="W922" s="4" t="str">
        <f t="shared" si="73"/>
        <v/>
      </c>
      <c r="X922" t="str">
        <f>IF(W922="","",LOOKUP(_xlfn.CONCAT(P922,", ",Q922),'[1]T+S Costs'!$F$2:$F$3138,'[1]T+S Costs'!$N$2:$N$3138))</f>
        <v/>
      </c>
      <c r="Y922" s="14" t="str">
        <f t="shared" si="74"/>
        <v/>
      </c>
      <c r="Z922" s="4" t="str">
        <f t="shared" si="75"/>
        <v/>
      </c>
    </row>
    <row r="923" spans="16:26" x14ac:dyDescent="0.25">
      <c r="P923" s="10" t="str">
        <f>IF('[1]All Data '!AZ928="","",'[1]All Data '!AZ928)</f>
        <v/>
      </c>
      <c r="Q923" s="10" t="str">
        <f>IF('[1]All Data '!BB928="","",'[1]All Data '!BB928)</f>
        <v/>
      </c>
      <c r="R923" s="10" t="str">
        <f>IF('[1]All Data '!BD928="","",'[1]All Data '!BD928)</f>
        <v/>
      </c>
      <c r="S923" s="11" t="str">
        <f>IF(R923="","",'[1]All Data '!BE928)</f>
        <v/>
      </c>
      <c r="T923" s="12" t="str">
        <f>IF(S923="","",[1]Inputs_Outputs!$B$8*(1-'LOCH Calc COE Calc'!S923))</f>
        <v/>
      </c>
      <c r="U923" s="13" t="str">
        <f t="shared" si="71"/>
        <v/>
      </c>
      <c r="V923" s="13" t="str">
        <f t="shared" si="72"/>
        <v/>
      </c>
      <c r="W923" s="4" t="str">
        <f t="shared" si="73"/>
        <v/>
      </c>
      <c r="X923" t="str">
        <f>IF(W923="","",LOOKUP(_xlfn.CONCAT(P923,", ",Q923),'[1]T+S Costs'!$F$2:$F$3138,'[1]T+S Costs'!$N$2:$N$3138))</f>
        <v/>
      </c>
      <c r="Y923" s="14" t="str">
        <f t="shared" si="74"/>
        <v/>
      </c>
      <c r="Z923" s="4" t="str">
        <f t="shared" si="75"/>
        <v/>
      </c>
    </row>
    <row r="924" spans="16:26" x14ac:dyDescent="0.25">
      <c r="P924" s="10" t="str">
        <f>IF('[1]All Data '!AZ929="","",'[1]All Data '!AZ929)</f>
        <v/>
      </c>
      <c r="Q924" s="10" t="str">
        <f>IF('[1]All Data '!BB929="","",'[1]All Data '!BB929)</f>
        <v/>
      </c>
      <c r="R924" s="10" t="str">
        <f>IF('[1]All Data '!BD929="","",'[1]All Data '!BD929)</f>
        <v/>
      </c>
      <c r="S924" s="11" t="str">
        <f>IF(R924="","",'[1]All Data '!BE929)</f>
        <v/>
      </c>
      <c r="T924" s="12" t="str">
        <f>IF(S924="","",[1]Inputs_Outputs!$B$8*(1-'LOCH Calc COE Calc'!S924))</f>
        <v/>
      </c>
      <c r="U924" s="13" t="str">
        <f t="shared" si="71"/>
        <v/>
      </c>
      <c r="V924" s="13" t="str">
        <f t="shared" si="72"/>
        <v/>
      </c>
      <c r="W924" s="4" t="str">
        <f t="shared" si="73"/>
        <v/>
      </c>
      <c r="X924" t="str">
        <f>IF(W924="","",LOOKUP(_xlfn.CONCAT(P924,", ",Q924),'[1]T+S Costs'!$F$2:$F$3138,'[1]T+S Costs'!$N$2:$N$3138))</f>
        <v/>
      </c>
      <c r="Y924" s="14" t="str">
        <f t="shared" si="74"/>
        <v/>
      </c>
      <c r="Z924" s="4" t="str">
        <f t="shared" si="75"/>
        <v/>
      </c>
    </row>
    <row r="925" spans="16:26" x14ac:dyDescent="0.25">
      <c r="P925" s="10" t="str">
        <f>IF('[1]All Data '!AZ930="","",'[1]All Data '!AZ930)</f>
        <v/>
      </c>
      <c r="Q925" s="10" t="str">
        <f>IF('[1]All Data '!BB930="","",'[1]All Data '!BB930)</f>
        <v/>
      </c>
      <c r="R925" s="10" t="str">
        <f>IF('[1]All Data '!BD930="","",'[1]All Data '!BD930)</f>
        <v/>
      </c>
      <c r="S925" s="11" t="str">
        <f>IF(R925="","",'[1]All Data '!BE930)</f>
        <v/>
      </c>
      <c r="T925" s="12" t="str">
        <f>IF(S925="","",[1]Inputs_Outputs!$B$8*(1-'LOCH Calc COE Calc'!S925))</f>
        <v/>
      </c>
      <c r="U925" s="13" t="str">
        <f t="shared" si="71"/>
        <v/>
      </c>
      <c r="V925" s="13" t="str">
        <f t="shared" si="72"/>
        <v/>
      </c>
      <c r="W925" s="4" t="str">
        <f t="shared" si="73"/>
        <v/>
      </c>
      <c r="X925" t="str">
        <f>IF(W925="","",LOOKUP(_xlfn.CONCAT(P925,", ",Q925),'[1]T+S Costs'!$F$2:$F$3138,'[1]T+S Costs'!$N$2:$N$3138))</f>
        <v/>
      </c>
      <c r="Y925" s="14" t="str">
        <f t="shared" si="74"/>
        <v/>
      </c>
      <c r="Z925" s="4" t="str">
        <f t="shared" si="75"/>
        <v/>
      </c>
    </row>
    <row r="926" spans="16:26" x14ac:dyDescent="0.25">
      <c r="P926" s="10" t="str">
        <f>IF('[1]All Data '!AZ931="","",'[1]All Data '!AZ931)</f>
        <v/>
      </c>
      <c r="Q926" s="10" t="str">
        <f>IF('[1]All Data '!BB931="","",'[1]All Data '!BB931)</f>
        <v/>
      </c>
      <c r="R926" s="10" t="str">
        <f>IF('[1]All Data '!BD931="","",'[1]All Data '!BD931)</f>
        <v/>
      </c>
      <c r="S926" s="11" t="str">
        <f>IF(R926="","",'[1]All Data '!BE931)</f>
        <v/>
      </c>
      <c r="T926" s="12" t="str">
        <f>IF(S926="","",[1]Inputs_Outputs!$B$8*(1-'LOCH Calc COE Calc'!S926))</f>
        <v/>
      </c>
      <c r="U926" s="13" t="str">
        <f t="shared" si="71"/>
        <v/>
      </c>
      <c r="V926" s="13" t="str">
        <f t="shared" si="72"/>
        <v/>
      </c>
      <c r="W926" s="4" t="str">
        <f t="shared" si="73"/>
        <v/>
      </c>
      <c r="X926" t="str">
        <f>IF(W926="","",LOOKUP(_xlfn.CONCAT(P926,", ",Q926),'[1]T+S Costs'!$F$2:$F$3138,'[1]T+S Costs'!$N$2:$N$3138))</f>
        <v/>
      </c>
      <c r="Y926" s="14" t="str">
        <f t="shared" si="74"/>
        <v/>
      </c>
      <c r="Z926" s="4" t="str">
        <f t="shared" si="75"/>
        <v/>
      </c>
    </row>
    <row r="927" spans="16:26" x14ac:dyDescent="0.25">
      <c r="P927" s="10" t="str">
        <f>IF('[1]All Data '!AZ932="","",'[1]All Data '!AZ932)</f>
        <v/>
      </c>
      <c r="Q927" s="10" t="str">
        <f>IF('[1]All Data '!BB932="","",'[1]All Data '!BB932)</f>
        <v/>
      </c>
      <c r="R927" s="10" t="str">
        <f>IF('[1]All Data '!BD932="","",'[1]All Data '!BD932)</f>
        <v/>
      </c>
      <c r="S927" s="11" t="str">
        <f>IF(R927="","",'[1]All Data '!BE932)</f>
        <v/>
      </c>
      <c r="T927" s="12" t="str">
        <f>IF(S927="","",[1]Inputs_Outputs!$B$8*(1-'LOCH Calc COE Calc'!S927))</f>
        <v/>
      </c>
      <c r="U927" s="13" t="str">
        <f t="shared" si="71"/>
        <v/>
      </c>
      <c r="V927" s="13" t="str">
        <f t="shared" si="72"/>
        <v/>
      </c>
      <c r="W927" s="4" t="str">
        <f t="shared" si="73"/>
        <v/>
      </c>
      <c r="X927" t="str">
        <f>IF(W927="","",LOOKUP(_xlfn.CONCAT(P927,", ",Q927),'[1]T+S Costs'!$F$2:$F$3138,'[1]T+S Costs'!$N$2:$N$3138))</f>
        <v/>
      </c>
      <c r="Y927" s="14" t="str">
        <f t="shared" si="74"/>
        <v/>
      </c>
      <c r="Z927" s="4" t="str">
        <f t="shared" si="75"/>
        <v/>
      </c>
    </row>
    <row r="928" spans="16:26" x14ac:dyDescent="0.25">
      <c r="P928" s="10" t="str">
        <f>IF('[1]All Data '!AZ933="","",'[1]All Data '!AZ933)</f>
        <v/>
      </c>
      <c r="Q928" s="10" t="str">
        <f>IF('[1]All Data '!BB933="","",'[1]All Data '!BB933)</f>
        <v/>
      </c>
      <c r="R928" s="10" t="str">
        <f>IF('[1]All Data '!BD933="","",'[1]All Data '!BD933)</f>
        <v/>
      </c>
      <c r="S928" s="11" t="str">
        <f>IF(R928="","",'[1]All Data '!BE933)</f>
        <v/>
      </c>
      <c r="T928" s="12" t="str">
        <f>IF(S928="","",[1]Inputs_Outputs!$B$8*(1-'LOCH Calc COE Calc'!S928))</f>
        <v/>
      </c>
      <c r="U928" s="13" t="str">
        <f t="shared" si="71"/>
        <v/>
      </c>
      <c r="V928" s="13" t="str">
        <f t="shared" si="72"/>
        <v/>
      </c>
      <c r="W928" s="4" t="str">
        <f t="shared" si="73"/>
        <v/>
      </c>
      <c r="X928" t="str">
        <f>IF(W928="","",LOOKUP(_xlfn.CONCAT(P928,", ",Q928),'[1]T+S Costs'!$F$2:$F$3138,'[1]T+S Costs'!$N$2:$N$3138))</f>
        <v/>
      </c>
      <c r="Y928" s="14" t="str">
        <f t="shared" si="74"/>
        <v/>
      </c>
      <c r="Z928" s="4" t="str">
        <f t="shared" si="75"/>
        <v/>
      </c>
    </row>
    <row r="929" spans="16:26" x14ac:dyDescent="0.25">
      <c r="P929" s="10" t="str">
        <f>IF('[1]All Data '!AZ934="","",'[1]All Data '!AZ934)</f>
        <v/>
      </c>
      <c r="Q929" s="10" t="str">
        <f>IF('[1]All Data '!BB934="","",'[1]All Data '!BB934)</f>
        <v/>
      </c>
      <c r="R929" s="10" t="str">
        <f>IF('[1]All Data '!BD934="","",'[1]All Data '!BD934)</f>
        <v/>
      </c>
      <c r="S929" s="11" t="str">
        <f>IF(R929="","",'[1]All Data '!BE934)</f>
        <v/>
      </c>
      <c r="T929" s="12" t="str">
        <f>IF(S929="","",[1]Inputs_Outputs!$B$8*(1-'LOCH Calc COE Calc'!S929))</f>
        <v/>
      </c>
      <c r="U929" s="13" t="str">
        <f t="shared" si="71"/>
        <v/>
      </c>
      <c r="V929" s="13" t="str">
        <f t="shared" si="72"/>
        <v/>
      </c>
      <c r="W929" s="4" t="str">
        <f t="shared" si="73"/>
        <v/>
      </c>
      <c r="X929" t="str">
        <f>IF(W929="","",LOOKUP(_xlfn.CONCAT(P929,", ",Q929),'[1]T+S Costs'!$F$2:$F$3138,'[1]T+S Costs'!$N$2:$N$3138))</f>
        <v/>
      </c>
      <c r="Y929" s="14" t="str">
        <f t="shared" si="74"/>
        <v/>
      </c>
      <c r="Z929" s="4" t="str">
        <f t="shared" si="75"/>
        <v/>
      </c>
    </row>
    <row r="930" spans="16:26" x14ac:dyDescent="0.25">
      <c r="P930" s="10" t="str">
        <f>IF('[1]All Data '!AZ935="","",'[1]All Data '!AZ935)</f>
        <v/>
      </c>
      <c r="Q930" s="10" t="str">
        <f>IF('[1]All Data '!BB935="","",'[1]All Data '!BB935)</f>
        <v/>
      </c>
      <c r="R930" s="10" t="str">
        <f>IF('[1]All Data '!BD935="","",'[1]All Data '!BD935)</f>
        <v/>
      </c>
      <c r="S930" s="11" t="str">
        <f>IF(R930="","",'[1]All Data '!BE935)</f>
        <v/>
      </c>
      <c r="T930" s="12" t="str">
        <f>IF(S930="","",[1]Inputs_Outputs!$B$8*(1-'LOCH Calc COE Calc'!S930))</f>
        <v/>
      </c>
      <c r="U930" s="13" t="str">
        <f t="shared" si="71"/>
        <v/>
      </c>
      <c r="V930" s="13" t="str">
        <f t="shared" si="72"/>
        <v/>
      </c>
      <c r="W930" s="4" t="str">
        <f t="shared" si="73"/>
        <v/>
      </c>
      <c r="X930" t="str">
        <f>IF(W930="","",LOOKUP(_xlfn.CONCAT(P930,", ",Q930),'[1]T+S Costs'!$F$2:$F$3138,'[1]T+S Costs'!$N$2:$N$3138))</f>
        <v/>
      </c>
      <c r="Y930" s="14" t="str">
        <f t="shared" si="74"/>
        <v/>
      </c>
      <c r="Z930" s="4" t="str">
        <f t="shared" si="75"/>
        <v/>
      </c>
    </row>
    <row r="931" spans="16:26" x14ac:dyDescent="0.25">
      <c r="P931" s="10" t="str">
        <f>IF('[1]All Data '!AZ936="","",'[1]All Data '!AZ936)</f>
        <v/>
      </c>
      <c r="Q931" s="10" t="str">
        <f>IF('[1]All Data '!BB936="","",'[1]All Data '!BB936)</f>
        <v/>
      </c>
      <c r="R931" s="10" t="str">
        <f>IF('[1]All Data '!BD936="","",'[1]All Data '!BD936)</f>
        <v/>
      </c>
      <c r="S931" s="11" t="str">
        <f>IF(R931="","",'[1]All Data '!BE936)</f>
        <v/>
      </c>
      <c r="T931" s="12" t="str">
        <f>IF(S931="","",[1]Inputs_Outputs!$B$8*(1-'LOCH Calc COE Calc'!S931))</f>
        <v/>
      </c>
      <c r="U931" s="13" t="str">
        <f t="shared" si="71"/>
        <v/>
      </c>
      <c r="V931" s="13" t="str">
        <f t="shared" si="72"/>
        <v/>
      </c>
      <c r="W931" s="4" t="str">
        <f t="shared" si="73"/>
        <v/>
      </c>
      <c r="X931" t="str">
        <f>IF(W931="","",LOOKUP(_xlfn.CONCAT(P931,", ",Q931),'[1]T+S Costs'!$F$2:$F$3138,'[1]T+S Costs'!$N$2:$N$3138))</f>
        <v/>
      </c>
      <c r="Y931" s="14" t="str">
        <f t="shared" si="74"/>
        <v/>
      </c>
      <c r="Z931" s="4" t="str">
        <f t="shared" si="75"/>
        <v/>
      </c>
    </row>
    <row r="932" spans="16:26" x14ac:dyDescent="0.25">
      <c r="P932" s="10" t="str">
        <f>IF('[1]All Data '!AZ937="","",'[1]All Data '!AZ937)</f>
        <v/>
      </c>
      <c r="Q932" s="10" t="str">
        <f>IF('[1]All Data '!BB937="","",'[1]All Data '!BB937)</f>
        <v/>
      </c>
      <c r="R932" s="10" t="str">
        <f>IF('[1]All Data '!BD937="","",'[1]All Data '!BD937)</f>
        <v/>
      </c>
      <c r="S932" s="11" t="str">
        <f>IF(R932="","",'[1]All Data '!BE937)</f>
        <v/>
      </c>
      <c r="T932" s="12" t="str">
        <f>IF(S932="","",[1]Inputs_Outputs!$B$8*(1-'LOCH Calc COE Calc'!S932))</f>
        <v/>
      </c>
      <c r="U932" s="13" t="str">
        <f t="shared" si="71"/>
        <v/>
      </c>
      <c r="V932" s="13" t="str">
        <f t="shared" si="72"/>
        <v/>
      </c>
      <c r="W932" s="4" t="str">
        <f t="shared" si="73"/>
        <v/>
      </c>
      <c r="X932" t="str">
        <f>IF(W932="","",LOOKUP(_xlfn.CONCAT(P932,", ",Q932),'[1]T+S Costs'!$F$2:$F$3138,'[1]T+S Costs'!$N$2:$N$3138))</f>
        <v/>
      </c>
      <c r="Y932" s="14" t="str">
        <f t="shared" si="74"/>
        <v/>
      </c>
      <c r="Z932" s="4" t="str">
        <f t="shared" si="75"/>
        <v/>
      </c>
    </row>
    <row r="933" spans="16:26" x14ac:dyDescent="0.25">
      <c r="P933" s="10" t="str">
        <f>IF('[1]All Data '!AZ938="","",'[1]All Data '!AZ938)</f>
        <v/>
      </c>
      <c r="Q933" s="10" t="str">
        <f>IF('[1]All Data '!BB938="","",'[1]All Data '!BB938)</f>
        <v/>
      </c>
      <c r="R933" s="10" t="str">
        <f>IF('[1]All Data '!BD938="","",'[1]All Data '!BD938)</f>
        <v/>
      </c>
      <c r="S933" s="11" t="str">
        <f>IF(R933="","",'[1]All Data '!BE938)</f>
        <v/>
      </c>
      <c r="T933" s="12" t="str">
        <f>IF(S933="","",[1]Inputs_Outputs!$B$8*(1-'LOCH Calc COE Calc'!S933))</f>
        <v/>
      </c>
      <c r="U933" s="13" t="str">
        <f t="shared" si="71"/>
        <v/>
      </c>
      <c r="V933" s="13" t="str">
        <f t="shared" si="72"/>
        <v/>
      </c>
      <c r="W933" s="4" t="str">
        <f t="shared" si="73"/>
        <v/>
      </c>
      <c r="X933" t="str">
        <f>IF(W933="","",LOOKUP(_xlfn.CONCAT(P933,", ",Q933),'[1]T+S Costs'!$F$2:$F$3138,'[1]T+S Costs'!$N$2:$N$3138))</f>
        <v/>
      </c>
      <c r="Y933" s="14" t="str">
        <f t="shared" si="74"/>
        <v/>
      </c>
      <c r="Z933" s="4" t="str">
        <f t="shared" si="75"/>
        <v/>
      </c>
    </row>
    <row r="934" spans="16:26" x14ac:dyDescent="0.25">
      <c r="P934" s="10" t="str">
        <f>IF('[1]All Data '!AZ939="","",'[1]All Data '!AZ939)</f>
        <v/>
      </c>
      <c r="Q934" s="10" t="str">
        <f>IF('[1]All Data '!BB939="","",'[1]All Data '!BB939)</f>
        <v/>
      </c>
      <c r="R934" s="10" t="str">
        <f>IF('[1]All Data '!BD939="","",'[1]All Data '!BD939)</f>
        <v/>
      </c>
      <c r="S934" s="11" t="str">
        <f>IF(R934="","",'[1]All Data '!BE939)</f>
        <v/>
      </c>
      <c r="T934" s="12" t="str">
        <f>IF(S934="","",[1]Inputs_Outputs!$B$8*(1-'LOCH Calc COE Calc'!S934))</f>
        <v/>
      </c>
      <c r="U934" s="13" t="str">
        <f t="shared" si="71"/>
        <v/>
      </c>
      <c r="V934" s="13" t="str">
        <f t="shared" si="72"/>
        <v/>
      </c>
      <c r="W934" s="4" t="str">
        <f t="shared" si="73"/>
        <v/>
      </c>
      <c r="X934" t="str">
        <f>IF(W934="","",LOOKUP(_xlfn.CONCAT(P934,", ",Q934),'[1]T+S Costs'!$F$2:$F$3138,'[1]T+S Costs'!$N$2:$N$3138))</f>
        <v/>
      </c>
      <c r="Y934" s="14" t="str">
        <f t="shared" si="74"/>
        <v/>
      </c>
      <c r="Z934" s="4" t="str">
        <f t="shared" si="75"/>
        <v/>
      </c>
    </row>
    <row r="935" spans="16:26" x14ac:dyDescent="0.25">
      <c r="P935" s="10" t="str">
        <f>IF('[1]All Data '!AZ940="","",'[1]All Data '!AZ940)</f>
        <v/>
      </c>
      <c r="Q935" s="10" t="str">
        <f>IF('[1]All Data '!BB940="","",'[1]All Data '!BB940)</f>
        <v/>
      </c>
      <c r="R935" s="10" t="str">
        <f>IF('[1]All Data '!BD940="","",'[1]All Data '!BD940)</f>
        <v/>
      </c>
      <c r="S935" s="11" t="str">
        <f>IF(R935="","",'[1]All Data '!BE940)</f>
        <v/>
      </c>
      <c r="T935" s="12" t="str">
        <f>IF(S935="","",[1]Inputs_Outputs!$B$8*(1-'LOCH Calc COE Calc'!S935))</f>
        <v/>
      </c>
      <c r="U935" s="13" t="str">
        <f t="shared" si="71"/>
        <v/>
      </c>
      <c r="V935" s="13" t="str">
        <f t="shared" si="72"/>
        <v/>
      </c>
      <c r="W935" s="4" t="str">
        <f t="shared" si="73"/>
        <v/>
      </c>
      <c r="X935" t="str">
        <f>IF(W935="","",LOOKUP(_xlfn.CONCAT(P935,", ",Q935),'[1]T+S Costs'!$F$2:$F$3138,'[1]T+S Costs'!$N$2:$N$3138))</f>
        <v/>
      </c>
      <c r="Y935" s="14" t="str">
        <f t="shared" si="74"/>
        <v/>
      </c>
      <c r="Z935" s="4" t="str">
        <f t="shared" si="75"/>
        <v/>
      </c>
    </row>
    <row r="936" spans="16:26" x14ac:dyDescent="0.25">
      <c r="P936" s="10" t="str">
        <f>IF('[1]All Data '!AZ941="","",'[1]All Data '!AZ941)</f>
        <v/>
      </c>
      <c r="Q936" s="10" t="str">
        <f>IF('[1]All Data '!BB941="","",'[1]All Data '!BB941)</f>
        <v/>
      </c>
      <c r="R936" s="10" t="str">
        <f>IF('[1]All Data '!BD941="","",'[1]All Data '!BD941)</f>
        <v/>
      </c>
      <c r="S936" s="11" t="str">
        <f>IF(R936="","",'[1]All Data '!BE941)</f>
        <v/>
      </c>
      <c r="T936" s="12" t="str">
        <f>IF(S936="","",[1]Inputs_Outputs!$B$8*(1-'LOCH Calc COE Calc'!S936))</f>
        <v/>
      </c>
      <c r="U936" s="13" t="str">
        <f t="shared" si="71"/>
        <v/>
      </c>
      <c r="V936" s="13" t="str">
        <f t="shared" si="72"/>
        <v/>
      </c>
      <c r="W936" s="4" t="str">
        <f t="shared" si="73"/>
        <v/>
      </c>
      <c r="X936" t="str">
        <f>IF(W936="","",LOOKUP(_xlfn.CONCAT(P936,", ",Q936),'[1]T+S Costs'!$F$2:$F$3138,'[1]T+S Costs'!$N$2:$N$3138))</f>
        <v/>
      </c>
      <c r="Y936" s="14" t="str">
        <f t="shared" si="74"/>
        <v/>
      </c>
      <c r="Z936" s="4" t="str">
        <f t="shared" si="75"/>
        <v/>
      </c>
    </row>
    <row r="937" spans="16:26" x14ac:dyDescent="0.25">
      <c r="P937" s="10" t="str">
        <f>IF('[1]All Data '!AZ942="","",'[1]All Data '!AZ942)</f>
        <v/>
      </c>
      <c r="Q937" s="10" t="str">
        <f>IF('[1]All Data '!BB942="","",'[1]All Data '!BB942)</f>
        <v/>
      </c>
      <c r="R937" s="10" t="str">
        <f>IF('[1]All Data '!BD942="","",'[1]All Data '!BD942)</f>
        <v/>
      </c>
      <c r="S937" s="11" t="str">
        <f>IF(R937="","",'[1]All Data '!BE942)</f>
        <v/>
      </c>
      <c r="T937" s="12" t="str">
        <f>IF(S937="","",[1]Inputs_Outputs!$B$8*(1-'LOCH Calc COE Calc'!S937))</f>
        <v/>
      </c>
      <c r="U937" s="13" t="str">
        <f t="shared" si="71"/>
        <v/>
      </c>
      <c r="V937" s="13" t="str">
        <f t="shared" si="72"/>
        <v/>
      </c>
      <c r="W937" s="4" t="str">
        <f t="shared" si="73"/>
        <v/>
      </c>
      <c r="X937" t="str">
        <f>IF(W937="","",LOOKUP(_xlfn.CONCAT(P937,", ",Q937),'[1]T+S Costs'!$F$2:$F$3138,'[1]T+S Costs'!$N$2:$N$3138))</f>
        <v/>
      </c>
      <c r="Y937" s="14" t="str">
        <f t="shared" si="74"/>
        <v/>
      </c>
      <c r="Z937" s="4" t="str">
        <f t="shared" si="75"/>
        <v/>
      </c>
    </row>
    <row r="938" spans="16:26" x14ac:dyDescent="0.25">
      <c r="P938" s="10" t="str">
        <f>IF('[1]All Data '!AZ943="","",'[1]All Data '!AZ943)</f>
        <v/>
      </c>
      <c r="Q938" s="10" t="str">
        <f>IF('[1]All Data '!BB943="","",'[1]All Data '!BB943)</f>
        <v/>
      </c>
      <c r="R938" s="10" t="str">
        <f>IF('[1]All Data '!BD943="","",'[1]All Data '!BD943)</f>
        <v/>
      </c>
      <c r="S938" s="11" t="str">
        <f>IF(R938="","",'[1]All Data '!BE943)</f>
        <v/>
      </c>
      <c r="T938" s="12" t="str">
        <f>IF(S938="","",[1]Inputs_Outputs!$B$8*(1-'LOCH Calc COE Calc'!S938))</f>
        <v/>
      </c>
      <c r="U938" s="13" t="str">
        <f t="shared" si="71"/>
        <v/>
      </c>
      <c r="V938" s="13" t="str">
        <f t="shared" si="72"/>
        <v/>
      </c>
      <c r="W938" s="4" t="str">
        <f t="shared" si="73"/>
        <v/>
      </c>
      <c r="X938" t="str">
        <f>IF(W938="","",LOOKUP(_xlfn.CONCAT(P938,", ",Q938),'[1]T+S Costs'!$F$2:$F$3138,'[1]T+S Costs'!$N$2:$N$3138))</f>
        <v/>
      </c>
      <c r="Y938" s="14" t="str">
        <f t="shared" si="74"/>
        <v/>
      </c>
      <c r="Z938" s="4" t="str">
        <f t="shared" si="75"/>
        <v/>
      </c>
    </row>
    <row r="939" spans="16:26" x14ac:dyDescent="0.25">
      <c r="P939" s="10" t="str">
        <f>IF('[1]All Data '!AZ944="","",'[1]All Data '!AZ944)</f>
        <v/>
      </c>
      <c r="Q939" s="10" t="str">
        <f>IF('[1]All Data '!BB944="","",'[1]All Data '!BB944)</f>
        <v/>
      </c>
      <c r="R939" s="10" t="str">
        <f>IF('[1]All Data '!BD944="","",'[1]All Data '!BD944)</f>
        <v/>
      </c>
      <c r="S939" s="11" t="str">
        <f>IF(R939="","",'[1]All Data '!BE944)</f>
        <v/>
      </c>
      <c r="T939" s="12" t="str">
        <f>IF(S939="","",[1]Inputs_Outputs!$B$8*(1-'LOCH Calc COE Calc'!S939))</f>
        <v/>
      </c>
      <c r="U939" s="13" t="str">
        <f t="shared" si="71"/>
        <v/>
      </c>
      <c r="V939" s="13" t="str">
        <f t="shared" si="72"/>
        <v/>
      </c>
      <c r="W939" s="4" t="str">
        <f t="shared" si="73"/>
        <v/>
      </c>
      <c r="X939" t="str">
        <f>IF(W939="","",LOOKUP(_xlfn.CONCAT(P939,", ",Q939),'[1]T+S Costs'!$F$2:$F$3138,'[1]T+S Costs'!$N$2:$N$3138))</f>
        <v/>
      </c>
      <c r="Y939" s="14" t="str">
        <f t="shared" si="74"/>
        <v/>
      </c>
      <c r="Z939" s="4" t="str">
        <f t="shared" si="75"/>
        <v/>
      </c>
    </row>
    <row r="940" spans="16:26" x14ac:dyDescent="0.25">
      <c r="P940" s="10" t="str">
        <f>IF('[1]All Data '!AZ945="","",'[1]All Data '!AZ945)</f>
        <v/>
      </c>
      <c r="Q940" s="10" t="str">
        <f>IF('[1]All Data '!BB945="","",'[1]All Data '!BB945)</f>
        <v/>
      </c>
      <c r="R940" s="10" t="str">
        <f>IF('[1]All Data '!BD945="","",'[1]All Data '!BD945)</f>
        <v/>
      </c>
      <c r="S940" s="11" t="str">
        <f>IF(R940="","",'[1]All Data '!BE945)</f>
        <v/>
      </c>
      <c r="T940" s="12" t="str">
        <f>IF(S940="","",[1]Inputs_Outputs!$B$8*(1-'LOCH Calc COE Calc'!S940))</f>
        <v/>
      </c>
      <c r="U940" s="13" t="str">
        <f t="shared" si="71"/>
        <v/>
      </c>
      <c r="V940" s="13" t="str">
        <f t="shared" si="72"/>
        <v/>
      </c>
      <c r="W940" s="4" t="str">
        <f t="shared" si="73"/>
        <v/>
      </c>
      <c r="X940" t="str">
        <f>IF(W940="","",LOOKUP(_xlfn.CONCAT(P940,", ",Q940),'[1]T+S Costs'!$F$2:$F$3138,'[1]T+S Costs'!$N$2:$N$3138))</f>
        <v/>
      </c>
      <c r="Y940" s="14" t="str">
        <f t="shared" si="74"/>
        <v/>
      </c>
      <c r="Z940" s="4" t="str">
        <f t="shared" si="75"/>
        <v/>
      </c>
    </row>
    <row r="941" spans="16:26" x14ac:dyDescent="0.25">
      <c r="P941" s="10" t="str">
        <f>IF('[1]All Data '!AZ946="","",'[1]All Data '!AZ946)</f>
        <v/>
      </c>
      <c r="Q941" s="10" t="str">
        <f>IF('[1]All Data '!BB946="","",'[1]All Data '!BB946)</f>
        <v/>
      </c>
      <c r="R941" s="10" t="str">
        <f>IF('[1]All Data '!BD946="","",'[1]All Data '!BD946)</f>
        <v/>
      </c>
      <c r="S941" s="11" t="str">
        <f>IF(R941="","",'[1]All Data '!BE946)</f>
        <v/>
      </c>
      <c r="T941" s="12" t="str">
        <f>IF(S941="","",[1]Inputs_Outputs!$B$8*(1-'LOCH Calc COE Calc'!S941))</f>
        <v/>
      </c>
      <c r="U941" s="13" t="str">
        <f t="shared" si="71"/>
        <v/>
      </c>
      <c r="V941" s="13" t="str">
        <f t="shared" si="72"/>
        <v/>
      </c>
      <c r="W941" s="4" t="str">
        <f t="shared" si="73"/>
        <v/>
      </c>
      <c r="X941" t="str">
        <f>IF(W941="","",LOOKUP(_xlfn.CONCAT(P941,", ",Q941),'[1]T+S Costs'!$F$2:$F$3138,'[1]T+S Costs'!$N$2:$N$3138))</f>
        <v/>
      </c>
      <c r="Y941" s="14" t="str">
        <f t="shared" si="74"/>
        <v/>
      </c>
      <c r="Z941" s="4" t="str">
        <f t="shared" si="75"/>
        <v/>
      </c>
    </row>
    <row r="942" spans="16:26" x14ac:dyDescent="0.25">
      <c r="P942" s="10" t="str">
        <f>IF('[1]All Data '!AZ947="","",'[1]All Data '!AZ947)</f>
        <v/>
      </c>
      <c r="Q942" s="10" t="str">
        <f>IF('[1]All Data '!BB947="","",'[1]All Data '!BB947)</f>
        <v/>
      </c>
      <c r="R942" s="10" t="str">
        <f>IF('[1]All Data '!BD947="","",'[1]All Data '!BD947)</f>
        <v/>
      </c>
      <c r="S942" s="11" t="str">
        <f>IF(R942="","",'[1]All Data '!BE947)</f>
        <v/>
      </c>
      <c r="T942" s="12" t="str">
        <f>IF(S942="","",[1]Inputs_Outputs!$B$8*(1-'LOCH Calc COE Calc'!S942))</f>
        <v/>
      </c>
      <c r="U942" s="13" t="str">
        <f t="shared" si="71"/>
        <v/>
      </c>
      <c r="V942" s="13" t="str">
        <f t="shared" si="72"/>
        <v/>
      </c>
      <c r="W942" s="4" t="str">
        <f t="shared" si="73"/>
        <v/>
      </c>
      <c r="X942" t="str">
        <f>IF(W942="","",LOOKUP(_xlfn.CONCAT(P942,", ",Q942),'[1]T+S Costs'!$F$2:$F$3138,'[1]T+S Costs'!$N$2:$N$3138))</f>
        <v/>
      </c>
      <c r="Y942" s="14" t="str">
        <f t="shared" si="74"/>
        <v/>
      </c>
      <c r="Z942" s="4" t="str">
        <f t="shared" si="75"/>
        <v/>
      </c>
    </row>
    <row r="943" spans="16:26" x14ac:dyDescent="0.25">
      <c r="P943" s="10" t="str">
        <f>IF('[1]All Data '!AZ948="","",'[1]All Data '!AZ948)</f>
        <v/>
      </c>
      <c r="Q943" s="10" t="str">
        <f>IF('[1]All Data '!BB948="","",'[1]All Data '!BB948)</f>
        <v/>
      </c>
      <c r="R943" s="10" t="str">
        <f>IF('[1]All Data '!BD948="","",'[1]All Data '!BD948)</f>
        <v/>
      </c>
      <c r="S943" s="11" t="str">
        <f>IF(R943="","",'[1]All Data '!BE948)</f>
        <v/>
      </c>
      <c r="T943" s="12" t="str">
        <f>IF(S943="","",[1]Inputs_Outputs!$B$8*(1-'LOCH Calc COE Calc'!S943))</f>
        <v/>
      </c>
      <c r="U943" s="13" t="str">
        <f t="shared" si="71"/>
        <v/>
      </c>
      <c r="V943" s="13" t="str">
        <f t="shared" si="72"/>
        <v/>
      </c>
      <c r="W943" s="4" t="str">
        <f t="shared" si="73"/>
        <v/>
      </c>
      <c r="X943" t="str">
        <f>IF(W943="","",LOOKUP(_xlfn.CONCAT(P943,", ",Q943),'[1]T+S Costs'!$F$2:$F$3138,'[1]T+S Costs'!$N$2:$N$3138))</f>
        <v/>
      </c>
      <c r="Y943" s="14" t="str">
        <f t="shared" si="74"/>
        <v/>
      </c>
      <c r="Z943" s="4" t="str">
        <f t="shared" si="75"/>
        <v/>
      </c>
    </row>
    <row r="944" spans="16:26" x14ac:dyDescent="0.25">
      <c r="P944" s="10" t="str">
        <f>IF('[1]All Data '!AZ949="","",'[1]All Data '!AZ949)</f>
        <v/>
      </c>
      <c r="Q944" s="10" t="str">
        <f>IF('[1]All Data '!BB949="","",'[1]All Data '!BB949)</f>
        <v/>
      </c>
      <c r="R944" s="10" t="str">
        <f>IF('[1]All Data '!BD949="","",'[1]All Data '!BD949)</f>
        <v/>
      </c>
      <c r="S944" s="11" t="str">
        <f>IF(R944="","",'[1]All Data '!BE949)</f>
        <v/>
      </c>
      <c r="T944" s="12" t="str">
        <f>IF(S944="","",[1]Inputs_Outputs!$B$8*(1-'LOCH Calc COE Calc'!S944))</f>
        <v/>
      </c>
      <c r="U944" s="13" t="str">
        <f t="shared" si="71"/>
        <v/>
      </c>
      <c r="V944" s="13" t="str">
        <f t="shared" si="72"/>
        <v/>
      </c>
      <c r="W944" s="4" t="str">
        <f t="shared" si="73"/>
        <v/>
      </c>
      <c r="X944" t="str">
        <f>IF(W944="","",LOOKUP(_xlfn.CONCAT(P944,", ",Q944),'[1]T+S Costs'!$F$2:$F$3138,'[1]T+S Costs'!$N$2:$N$3138))</f>
        <v/>
      </c>
      <c r="Y944" s="14" t="str">
        <f t="shared" si="74"/>
        <v/>
      </c>
      <c r="Z944" s="4" t="str">
        <f t="shared" si="75"/>
        <v/>
      </c>
    </row>
    <row r="945" spans="16:26" x14ac:dyDescent="0.25">
      <c r="P945" s="10" t="str">
        <f>IF('[1]All Data '!AZ950="","",'[1]All Data '!AZ950)</f>
        <v/>
      </c>
      <c r="Q945" s="10" t="str">
        <f>IF('[1]All Data '!BB950="","",'[1]All Data '!BB950)</f>
        <v/>
      </c>
      <c r="R945" s="10" t="str">
        <f>IF('[1]All Data '!BD950="","",'[1]All Data '!BD950)</f>
        <v/>
      </c>
      <c r="S945" s="11" t="str">
        <f>IF(R945="","",'[1]All Data '!BE950)</f>
        <v/>
      </c>
      <c r="T945" s="12" t="str">
        <f>IF(S945="","",[1]Inputs_Outputs!$B$8*(1-'LOCH Calc COE Calc'!S945))</f>
        <v/>
      </c>
      <c r="U945" s="13" t="str">
        <f t="shared" si="71"/>
        <v/>
      </c>
      <c r="V945" s="13" t="str">
        <f t="shared" si="72"/>
        <v/>
      </c>
      <c r="W945" s="4" t="str">
        <f t="shared" si="73"/>
        <v/>
      </c>
      <c r="X945" t="str">
        <f>IF(W945="","",LOOKUP(_xlfn.CONCAT(P945,", ",Q945),'[1]T+S Costs'!$F$2:$F$3138,'[1]T+S Costs'!$N$2:$N$3138))</f>
        <v/>
      </c>
      <c r="Y945" s="14" t="str">
        <f t="shared" si="74"/>
        <v/>
      </c>
      <c r="Z945" s="4" t="str">
        <f t="shared" si="75"/>
        <v/>
      </c>
    </row>
    <row r="946" spans="16:26" x14ac:dyDescent="0.25">
      <c r="P946" s="10" t="str">
        <f>IF('[1]All Data '!AZ951="","",'[1]All Data '!AZ951)</f>
        <v/>
      </c>
      <c r="Q946" s="10" t="str">
        <f>IF('[1]All Data '!BB951="","",'[1]All Data '!BB951)</f>
        <v/>
      </c>
      <c r="R946" s="10" t="str">
        <f>IF('[1]All Data '!BD951="","",'[1]All Data '!BD951)</f>
        <v/>
      </c>
      <c r="S946" s="11" t="str">
        <f>IF(R946="","",'[1]All Data '!BE951)</f>
        <v/>
      </c>
      <c r="T946" s="12" t="str">
        <f>IF(S946="","",[1]Inputs_Outputs!$B$8*(1-'LOCH Calc COE Calc'!S946))</f>
        <v/>
      </c>
      <c r="U946" s="13" t="str">
        <f t="shared" si="71"/>
        <v/>
      </c>
      <c r="V946" s="13" t="str">
        <f t="shared" si="72"/>
        <v/>
      </c>
      <c r="W946" s="4" t="str">
        <f t="shared" si="73"/>
        <v/>
      </c>
      <c r="X946" t="str">
        <f>IF(W946="","",LOOKUP(_xlfn.CONCAT(P946,", ",Q946),'[1]T+S Costs'!$F$2:$F$3138,'[1]T+S Costs'!$N$2:$N$3138))</f>
        <v/>
      </c>
      <c r="Y946" s="14" t="str">
        <f t="shared" si="74"/>
        <v/>
      </c>
      <c r="Z946" s="4" t="str">
        <f t="shared" si="75"/>
        <v/>
      </c>
    </row>
    <row r="947" spans="16:26" x14ac:dyDescent="0.25">
      <c r="P947" s="10" t="str">
        <f>IF('[1]All Data '!AZ952="","",'[1]All Data '!AZ952)</f>
        <v/>
      </c>
      <c r="Q947" s="10" t="str">
        <f>IF('[1]All Data '!BB952="","",'[1]All Data '!BB952)</f>
        <v/>
      </c>
      <c r="R947" s="10" t="str">
        <f>IF('[1]All Data '!BD952="","",'[1]All Data '!BD952)</f>
        <v/>
      </c>
      <c r="S947" s="11" t="str">
        <f>IF(R947="","",'[1]All Data '!BE952)</f>
        <v/>
      </c>
      <c r="T947" s="12" t="str">
        <f>IF(S947="","",[1]Inputs_Outputs!$B$8*(1-'LOCH Calc COE Calc'!S947))</f>
        <v/>
      </c>
      <c r="U947" s="13" t="str">
        <f t="shared" si="71"/>
        <v/>
      </c>
      <c r="V947" s="13" t="str">
        <f t="shared" si="72"/>
        <v/>
      </c>
      <c r="W947" s="4" t="str">
        <f t="shared" si="73"/>
        <v/>
      </c>
      <c r="X947" t="str">
        <f>IF(W947="","",LOOKUP(_xlfn.CONCAT(P947,", ",Q947),'[1]T+S Costs'!$F$2:$F$3138,'[1]T+S Costs'!$N$2:$N$3138))</f>
        <v/>
      </c>
      <c r="Y947" s="14" t="str">
        <f t="shared" si="74"/>
        <v/>
      </c>
      <c r="Z947" s="4" t="str">
        <f t="shared" si="75"/>
        <v/>
      </c>
    </row>
    <row r="948" spans="16:26" x14ac:dyDescent="0.25">
      <c r="P948" s="10" t="str">
        <f>IF('[1]All Data '!AZ953="","",'[1]All Data '!AZ953)</f>
        <v/>
      </c>
      <c r="Q948" s="10" t="str">
        <f>IF('[1]All Data '!BB953="","",'[1]All Data '!BB953)</f>
        <v/>
      </c>
      <c r="R948" s="10" t="str">
        <f>IF('[1]All Data '!BD953="","",'[1]All Data '!BD953)</f>
        <v/>
      </c>
      <c r="S948" s="11" t="str">
        <f>IF(R948="","",'[1]All Data '!BE953)</f>
        <v/>
      </c>
      <c r="T948" s="12" t="str">
        <f>IF(S948="","",[1]Inputs_Outputs!$B$8*(1-'LOCH Calc COE Calc'!S948))</f>
        <v/>
      </c>
      <c r="U948" s="13" t="str">
        <f t="shared" si="71"/>
        <v/>
      </c>
      <c r="V948" s="13" t="str">
        <f t="shared" si="72"/>
        <v/>
      </c>
      <c r="W948" s="4" t="str">
        <f t="shared" si="73"/>
        <v/>
      </c>
      <c r="X948" t="str">
        <f>IF(W948="","",LOOKUP(_xlfn.CONCAT(P948,", ",Q948),'[1]T+S Costs'!$F$2:$F$3138,'[1]T+S Costs'!$N$2:$N$3138))</f>
        <v/>
      </c>
      <c r="Y948" s="14" t="str">
        <f t="shared" si="74"/>
        <v/>
      </c>
      <c r="Z948" s="4" t="str">
        <f t="shared" si="75"/>
        <v/>
      </c>
    </row>
    <row r="949" spans="16:26" x14ac:dyDescent="0.25">
      <c r="P949" s="10" t="str">
        <f>IF('[1]All Data '!AZ954="","",'[1]All Data '!AZ954)</f>
        <v/>
      </c>
      <c r="Q949" s="10" t="str">
        <f>IF('[1]All Data '!BB954="","",'[1]All Data '!BB954)</f>
        <v/>
      </c>
      <c r="R949" s="10" t="str">
        <f>IF('[1]All Data '!BD954="","",'[1]All Data '!BD954)</f>
        <v/>
      </c>
      <c r="S949" s="11" t="str">
        <f>IF(R949="","",'[1]All Data '!BE954)</f>
        <v/>
      </c>
      <c r="T949" s="12" t="str">
        <f>IF(S949="","",[1]Inputs_Outputs!$B$8*(1-'LOCH Calc COE Calc'!S949))</f>
        <v/>
      </c>
      <c r="U949" s="13" t="str">
        <f t="shared" si="71"/>
        <v/>
      </c>
      <c r="V949" s="13" t="str">
        <f t="shared" si="72"/>
        <v/>
      </c>
      <c r="W949" s="4" t="str">
        <f t="shared" si="73"/>
        <v/>
      </c>
      <c r="X949" t="str">
        <f>IF(W949="","",LOOKUP(_xlfn.CONCAT(P949,", ",Q949),'[1]T+S Costs'!$F$2:$F$3138,'[1]T+S Costs'!$N$2:$N$3138))</f>
        <v/>
      </c>
      <c r="Y949" s="14" t="str">
        <f t="shared" si="74"/>
        <v/>
      </c>
      <c r="Z949" s="4" t="str">
        <f t="shared" si="75"/>
        <v/>
      </c>
    </row>
    <row r="950" spans="16:26" x14ac:dyDescent="0.25">
      <c r="P950" s="10" t="str">
        <f>IF('[1]All Data '!AZ955="","",'[1]All Data '!AZ955)</f>
        <v/>
      </c>
      <c r="Q950" s="10" t="str">
        <f>IF('[1]All Data '!BB955="","",'[1]All Data '!BB955)</f>
        <v/>
      </c>
      <c r="R950" s="10" t="str">
        <f>IF('[1]All Data '!BD955="","",'[1]All Data '!BD955)</f>
        <v/>
      </c>
      <c r="S950" s="11" t="str">
        <f>IF(R950="","",'[1]All Data '!BE955)</f>
        <v/>
      </c>
      <c r="T950" s="12" t="str">
        <f>IF(S950="","",[1]Inputs_Outputs!$B$8*(1-'LOCH Calc COE Calc'!S950))</f>
        <v/>
      </c>
      <c r="U950" s="13" t="str">
        <f t="shared" si="71"/>
        <v/>
      </c>
      <c r="V950" s="13" t="str">
        <f t="shared" si="72"/>
        <v/>
      </c>
      <c r="W950" s="4" t="str">
        <f t="shared" si="73"/>
        <v/>
      </c>
      <c r="X950" t="str">
        <f>IF(W950="","",LOOKUP(_xlfn.CONCAT(P950,", ",Q950),'[1]T+S Costs'!$F$2:$F$3138,'[1]T+S Costs'!$N$2:$N$3138))</f>
        <v/>
      </c>
      <c r="Y950" s="14" t="str">
        <f t="shared" si="74"/>
        <v/>
      </c>
      <c r="Z950" s="4" t="str">
        <f t="shared" si="75"/>
        <v/>
      </c>
    </row>
    <row r="951" spans="16:26" x14ac:dyDescent="0.25">
      <c r="P951" s="10" t="str">
        <f>IF('[1]All Data '!AZ956="","",'[1]All Data '!AZ956)</f>
        <v/>
      </c>
      <c r="Q951" s="10" t="str">
        <f>IF('[1]All Data '!BB956="","",'[1]All Data '!BB956)</f>
        <v/>
      </c>
      <c r="R951" s="10" t="str">
        <f>IF('[1]All Data '!BD956="","",'[1]All Data '!BD956)</f>
        <v/>
      </c>
      <c r="S951" s="11" t="str">
        <f>IF(R951="","",'[1]All Data '!BE956)</f>
        <v/>
      </c>
      <c r="T951" s="12" t="str">
        <f>IF(S951="","",[1]Inputs_Outputs!$B$8*(1-'LOCH Calc COE Calc'!S951))</f>
        <v/>
      </c>
      <c r="U951" s="13" t="str">
        <f t="shared" si="71"/>
        <v/>
      </c>
      <c r="V951" s="13" t="str">
        <f t="shared" si="72"/>
        <v/>
      </c>
      <c r="W951" s="4" t="str">
        <f t="shared" si="73"/>
        <v/>
      </c>
      <c r="X951" t="str">
        <f>IF(W951="","",LOOKUP(_xlfn.CONCAT(P951,", ",Q951),'[1]T+S Costs'!$F$2:$F$3138,'[1]T+S Costs'!$N$2:$N$3138))</f>
        <v/>
      </c>
      <c r="Y951" s="14" t="str">
        <f t="shared" si="74"/>
        <v/>
      </c>
      <c r="Z951" s="4" t="str">
        <f t="shared" si="75"/>
        <v/>
      </c>
    </row>
    <row r="952" spans="16:26" x14ac:dyDescent="0.25">
      <c r="P952" s="10" t="str">
        <f>IF('[1]All Data '!AZ957="","",'[1]All Data '!AZ957)</f>
        <v/>
      </c>
      <c r="Q952" s="10" t="str">
        <f>IF('[1]All Data '!BB957="","",'[1]All Data '!BB957)</f>
        <v/>
      </c>
      <c r="R952" s="10" t="str">
        <f>IF('[1]All Data '!BD957="","",'[1]All Data '!BD957)</f>
        <v/>
      </c>
      <c r="S952" s="11" t="str">
        <f>IF(R952="","",'[1]All Data '!BE957)</f>
        <v/>
      </c>
      <c r="T952" s="12" t="str">
        <f>IF(S952="","",[1]Inputs_Outputs!$B$8*(1-'LOCH Calc COE Calc'!S952))</f>
        <v/>
      </c>
      <c r="U952" s="13" t="str">
        <f t="shared" si="71"/>
        <v/>
      </c>
      <c r="V952" s="13" t="str">
        <f t="shared" si="72"/>
        <v/>
      </c>
      <c r="W952" s="4" t="str">
        <f t="shared" si="73"/>
        <v/>
      </c>
      <c r="X952" t="str">
        <f>IF(W952="","",LOOKUP(_xlfn.CONCAT(P952,", ",Q952),'[1]T+S Costs'!$F$2:$F$3138,'[1]T+S Costs'!$N$2:$N$3138))</f>
        <v/>
      </c>
      <c r="Y952" s="14" t="str">
        <f t="shared" si="74"/>
        <v/>
      </c>
      <c r="Z952" s="4" t="str">
        <f t="shared" si="75"/>
        <v/>
      </c>
    </row>
    <row r="953" spans="16:26" x14ac:dyDescent="0.25">
      <c r="P953" s="10" t="str">
        <f>IF('[1]All Data '!AZ958="","",'[1]All Data '!AZ958)</f>
        <v/>
      </c>
      <c r="Q953" s="10" t="str">
        <f>IF('[1]All Data '!BB958="","",'[1]All Data '!BB958)</f>
        <v/>
      </c>
      <c r="R953" s="10" t="str">
        <f>IF('[1]All Data '!BD958="","",'[1]All Data '!BD958)</f>
        <v/>
      </c>
      <c r="S953" s="11" t="str">
        <f>IF(R953="","",'[1]All Data '!BE958)</f>
        <v/>
      </c>
      <c r="T953" s="12" t="str">
        <f>IF(S953="","",[1]Inputs_Outputs!$B$8*(1-'LOCH Calc COE Calc'!S953))</f>
        <v/>
      </c>
      <c r="U953" s="13" t="str">
        <f t="shared" si="71"/>
        <v/>
      </c>
      <c r="V953" s="13" t="str">
        <f t="shared" si="72"/>
        <v/>
      </c>
      <c r="W953" s="4" t="str">
        <f t="shared" si="73"/>
        <v/>
      </c>
      <c r="X953" t="str">
        <f>IF(W953="","",LOOKUP(_xlfn.CONCAT(P953,", ",Q953),'[1]T+S Costs'!$F$2:$F$3138,'[1]T+S Costs'!$N$2:$N$3138))</f>
        <v/>
      </c>
      <c r="Y953" s="14" t="str">
        <f t="shared" si="74"/>
        <v/>
      </c>
      <c r="Z953" s="4" t="str">
        <f t="shared" si="75"/>
        <v/>
      </c>
    </row>
    <row r="954" spans="16:26" x14ac:dyDescent="0.25">
      <c r="P954" s="10" t="str">
        <f>IF('[1]All Data '!AZ959="","",'[1]All Data '!AZ959)</f>
        <v/>
      </c>
      <c r="Q954" s="10" t="str">
        <f>IF('[1]All Data '!BB959="","",'[1]All Data '!BB959)</f>
        <v/>
      </c>
      <c r="R954" s="10" t="str">
        <f>IF('[1]All Data '!BD959="","",'[1]All Data '!BD959)</f>
        <v/>
      </c>
      <c r="S954" s="11" t="str">
        <f>IF(R954="","",'[1]All Data '!BE959)</f>
        <v/>
      </c>
      <c r="T954" s="12" t="str">
        <f>IF(S954="","",[1]Inputs_Outputs!$B$8*(1-'LOCH Calc COE Calc'!S954))</f>
        <v/>
      </c>
      <c r="U954" s="13" t="str">
        <f t="shared" si="71"/>
        <v/>
      </c>
      <c r="V954" s="13" t="str">
        <f t="shared" si="72"/>
        <v/>
      </c>
      <c r="W954" s="4" t="str">
        <f t="shared" si="73"/>
        <v/>
      </c>
      <c r="X954" t="str">
        <f>IF(W954="","",LOOKUP(_xlfn.CONCAT(P954,", ",Q954),'[1]T+S Costs'!$F$2:$F$3138,'[1]T+S Costs'!$N$2:$N$3138))</f>
        <v/>
      </c>
      <c r="Y954" s="14" t="str">
        <f t="shared" si="74"/>
        <v/>
      </c>
      <c r="Z954" s="4" t="str">
        <f t="shared" si="75"/>
        <v/>
      </c>
    </row>
    <row r="955" spans="16:26" x14ac:dyDescent="0.25">
      <c r="P955" s="10" t="str">
        <f>IF('[1]All Data '!AZ960="","",'[1]All Data '!AZ960)</f>
        <v/>
      </c>
      <c r="Q955" s="10" t="str">
        <f>IF('[1]All Data '!BB960="","",'[1]All Data '!BB960)</f>
        <v/>
      </c>
      <c r="R955" s="10" t="str">
        <f>IF('[1]All Data '!BD960="","",'[1]All Data '!BD960)</f>
        <v/>
      </c>
      <c r="S955" s="11" t="str">
        <f>IF(R955="","",'[1]All Data '!BE960)</f>
        <v/>
      </c>
      <c r="T955" s="12" t="str">
        <f>IF(S955="","",[1]Inputs_Outputs!$B$8*(1-'LOCH Calc COE Calc'!S955))</f>
        <v/>
      </c>
      <c r="U955" s="13" t="str">
        <f t="shared" si="71"/>
        <v/>
      </c>
      <c r="V955" s="13" t="str">
        <f t="shared" si="72"/>
        <v/>
      </c>
      <c r="W955" s="4" t="str">
        <f t="shared" si="73"/>
        <v/>
      </c>
      <c r="X955" t="str">
        <f>IF(W955="","",LOOKUP(_xlfn.CONCAT(P955,", ",Q955),'[1]T+S Costs'!$F$2:$F$3138,'[1]T+S Costs'!$N$2:$N$3138))</f>
        <v/>
      </c>
      <c r="Y955" s="14" t="str">
        <f t="shared" si="74"/>
        <v/>
      </c>
      <c r="Z955" s="4" t="str">
        <f t="shared" si="75"/>
        <v/>
      </c>
    </row>
    <row r="956" spans="16:26" x14ac:dyDescent="0.25">
      <c r="P956" s="10" t="str">
        <f>IF('[1]All Data '!AZ961="","",'[1]All Data '!AZ961)</f>
        <v/>
      </c>
      <c r="Q956" s="10" t="str">
        <f>IF('[1]All Data '!BB961="","",'[1]All Data '!BB961)</f>
        <v/>
      </c>
      <c r="R956" s="10" t="str">
        <f>IF('[1]All Data '!BD961="","",'[1]All Data '!BD961)</f>
        <v/>
      </c>
      <c r="S956" s="11" t="str">
        <f>IF(R956="","",'[1]All Data '!BE961)</f>
        <v/>
      </c>
      <c r="T956" s="12" t="str">
        <f>IF(S956="","",[1]Inputs_Outputs!$B$8*(1-'LOCH Calc COE Calc'!S956))</f>
        <v/>
      </c>
      <c r="U956" s="13" t="str">
        <f t="shared" si="71"/>
        <v/>
      </c>
      <c r="V956" s="13" t="str">
        <f t="shared" si="72"/>
        <v/>
      </c>
      <c r="W956" s="4" t="str">
        <f t="shared" si="73"/>
        <v/>
      </c>
      <c r="X956" t="str">
        <f>IF(W956="","",LOOKUP(_xlfn.CONCAT(P956,", ",Q956),'[1]T+S Costs'!$F$2:$F$3138,'[1]T+S Costs'!$N$2:$N$3138))</f>
        <v/>
      </c>
      <c r="Y956" s="14" t="str">
        <f t="shared" si="74"/>
        <v/>
      </c>
      <c r="Z956" s="4" t="str">
        <f t="shared" si="75"/>
        <v/>
      </c>
    </row>
    <row r="957" spans="16:26" x14ac:dyDescent="0.25">
      <c r="P957" s="10" t="str">
        <f>IF('[1]All Data '!AZ962="","",'[1]All Data '!AZ962)</f>
        <v/>
      </c>
      <c r="Q957" s="10" t="str">
        <f>IF('[1]All Data '!BB962="","",'[1]All Data '!BB962)</f>
        <v/>
      </c>
      <c r="R957" s="10" t="str">
        <f>IF('[1]All Data '!BD962="","",'[1]All Data '!BD962)</f>
        <v/>
      </c>
      <c r="S957" s="11" t="str">
        <f>IF(R957="","",'[1]All Data '!BE962)</f>
        <v/>
      </c>
      <c r="T957" s="12" t="str">
        <f>IF(S957="","",[1]Inputs_Outputs!$B$8*(1-'LOCH Calc COE Calc'!S957))</f>
        <v/>
      </c>
      <c r="U957" s="13" t="str">
        <f t="shared" si="71"/>
        <v/>
      </c>
      <c r="V957" s="13" t="str">
        <f t="shared" si="72"/>
        <v/>
      </c>
      <c r="W957" s="4" t="str">
        <f t="shared" si="73"/>
        <v/>
      </c>
      <c r="X957" t="str">
        <f>IF(W957="","",LOOKUP(_xlfn.CONCAT(P957,", ",Q957),'[1]T+S Costs'!$F$2:$F$3138,'[1]T+S Costs'!$N$2:$N$3138))</f>
        <v/>
      </c>
      <c r="Y957" s="14" t="str">
        <f t="shared" si="74"/>
        <v/>
      </c>
      <c r="Z957" s="4" t="str">
        <f t="shared" si="75"/>
        <v/>
      </c>
    </row>
    <row r="958" spans="16:26" x14ac:dyDescent="0.25">
      <c r="P958" s="10" t="str">
        <f>IF('[1]All Data '!AZ963="","",'[1]All Data '!AZ963)</f>
        <v/>
      </c>
      <c r="Q958" s="10" t="str">
        <f>IF('[1]All Data '!BB963="","",'[1]All Data '!BB963)</f>
        <v/>
      </c>
      <c r="R958" s="10" t="str">
        <f>IF('[1]All Data '!BD963="","",'[1]All Data '!BD963)</f>
        <v/>
      </c>
      <c r="S958" s="11" t="str">
        <f>IF(R958="","",'[1]All Data '!BE963)</f>
        <v/>
      </c>
      <c r="T958" s="12" t="str">
        <f>IF(S958="","",[1]Inputs_Outputs!$B$8*(1-'LOCH Calc COE Calc'!S958))</f>
        <v/>
      </c>
      <c r="U958" s="13" t="str">
        <f t="shared" si="71"/>
        <v/>
      </c>
      <c r="V958" s="13" t="str">
        <f t="shared" si="72"/>
        <v/>
      </c>
      <c r="W958" s="4" t="str">
        <f t="shared" si="73"/>
        <v/>
      </c>
      <c r="X958" t="str">
        <f>IF(W958="","",LOOKUP(_xlfn.CONCAT(P958,", ",Q958),'[1]T+S Costs'!$F$2:$F$3138,'[1]T+S Costs'!$N$2:$N$3138))</f>
        <v/>
      </c>
      <c r="Y958" s="14" t="str">
        <f t="shared" si="74"/>
        <v/>
      </c>
      <c r="Z958" s="4" t="str">
        <f t="shared" si="75"/>
        <v/>
      </c>
    </row>
    <row r="959" spans="16:26" x14ac:dyDescent="0.25">
      <c r="P959" s="10" t="str">
        <f>IF('[1]All Data '!AZ964="","",'[1]All Data '!AZ964)</f>
        <v/>
      </c>
      <c r="Q959" s="10" t="str">
        <f>IF('[1]All Data '!BB964="","",'[1]All Data '!BB964)</f>
        <v/>
      </c>
      <c r="R959" s="10" t="str">
        <f>IF('[1]All Data '!BD964="","",'[1]All Data '!BD964)</f>
        <v/>
      </c>
      <c r="S959" s="11" t="str">
        <f>IF(R959="","",'[1]All Data '!BE964)</f>
        <v/>
      </c>
      <c r="T959" s="12" t="str">
        <f>IF(S959="","",[1]Inputs_Outputs!$B$8*(1-'LOCH Calc COE Calc'!S959))</f>
        <v/>
      </c>
      <c r="U959" s="13" t="str">
        <f t="shared" si="71"/>
        <v/>
      </c>
      <c r="V959" s="13" t="str">
        <f t="shared" si="72"/>
        <v/>
      </c>
      <c r="W959" s="4" t="str">
        <f t="shared" si="73"/>
        <v/>
      </c>
      <c r="X959" t="str">
        <f>IF(W959="","",LOOKUP(_xlfn.CONCAT(P959,", ",Q959),'[1]T+S Costs'!$F$2:$F$3138,'[1]T+S Costs'!$N$2:$N$3138))</f>
        <v/>
      </c>
      <c r="Y959" s="14" t="str">
        <f t="shared" si="74"/>
        <v/>
      </c>
      <c r="Z959" s="4" t="str">
        <f t="shared" si="75"/>
        <v/>
      </c>
    </row>
    <row r="960" spans="16:26" x14ac:dyDescent="0.25">
      <c r="P960" s="10" t="str">
        <f>IF('[1]All Data '!AZ965="","",'[1]All Data '!AZ965)</f>
        <v/>
      </c>
      <c r="Q960" s="10" t="str">
        <f>IF('[1]All Data '!BB965="","",'[1]All Data '!BB965)</f>
        <v/>
      </c>
      <c r="R960" s="10" t="str">
        <f>IF('[1]All Data '!BD965="","",'[1]All Data '!BD965)</f>
        <v/>
      </c>
      <c r="S960" s="11" t="str">
        <f>IF(R960="","",'[1]All Data '!BE965)</f>
        <v/>
      </c>
      <c r="T960" s="12" t="str">
        <f>IF(S960="","",[1]Inputs_Outputs!$B$8*(1-'LOCH Calc COE Calc'!S960))</f>
        <v/>
      </c>
      <c r="U960" s="13" t="str">
        <f t="shared" si="71"/>
        <v/>
      </c>
      <c r="V960" s="13" t="str">
        <f t="shared" si="72"/>
        <v/>
      </c>
      <c r="W960" s="4" t="str">
        <f t="shared" si="73"/>
        <v/>
      </c>
      <c r="X960" t="str">
        <f>IF(W960="","",LOOKUP(_xlfn.CONCAT(P960,", ",Q960),'[1]T+S Costs'!$F$2:$F$3138,'[1]T+S Costs'!$N$2:$N$3138))</f>
        <v/>
      </c>
      <c r="Y960" s="14" t="str">
        <f t="shared" si="74"/>
        <v/>
      </c>
      <c r="Z960" s="4" t="str">
        <f t="shared" si="75"/>
        <v/>
      </c>
    </row>
    <row r="961" spans="16:26" x14ac:dyDescent="0.25">
      <c r="P961" s="10" t="str">
        <f>IF('[1]All Data '!AZ966="","",'[1]All Data '!AZ966)</f>
        <v/>
      </c>
      <c r="Q961" s="10" t="str">
        <f>IF('[1]All Data '!BB966="","",'[1]All Data '!BB966)</f>
        <v/>
      </c>
      <c r="R961" s="10" t="str">
        <f>IF('[1]All Data '!BD966="","",'[1]All Data '!BD966)</f>
        <v/>
      </c>
      <c r="S961" s="11" t="str">
        <f>IF(R961="","",'[1]All Data '!BE966)</f>
        <v/>
      </c>
      <c r="T961" s="12" t="str">
        <f>IF(S961="","",[1]Inputs_Outputs!$B$8*(1-'LOCH Calc COE Calc'!S961))</f>
        <v/>
      </c>
      <c r="U961" s="13" t="str">
        <f t="shared" si="71"/>
        <v/>
      </c>
      <c r="V961" s="13" t="str">
        <f t="shared" si="72"/>
        <v/>
      </c>
      <c r="W961" s="4" t="str">
        <f t="shared" si="73"/>
        <v/>
      </c>
      <c r="X961" t="str">
        <f>IF(W961="","",LOOKUP(_xlfn.CONCAT(P961,", ",Q961),'[1]T+S Costs'!$F$2:$F$3138,'[1]T+S Costs'!$N$2:$N$3138))</f>
        <v/>
      </c>
      <c r="Y961" s="14" t="str">
        <f t="shared" si="74"/>
        <v/>
      </c>
      <c r="Z961" s="4" t="str">
        <f t="shared" si="75"/>
        <v/>
      </c>
    </row>
    <row r="962" spans="16:26" x14ac:dyDescent="0.25">
      <c r="P962" s="10" t="str">
        <f>IF('[1]All Data '!AZ967="","",'[1]All Data '!AZ967)</f>
        <v/>
      </c>
      <c r="Q962" s="10" t="str">
        <f>IF('[1]All Data '!BB967="","",'[1]All Data '!BB967)</f>
        <v/>
      </c>
      <c r="R962" s="10" t="str">
        <f>IF('[1]All Data '!BD967="","",'[1]All Data '!BD967)</f>
        <v/>
      </c>
      <c r="S962" s="11" t="str">
        <f>IF(R962="","",'[1]All Data '!BE967)</f>
        <v/>
      </c>
      <c r="T962" s="12" t="str">
        <f>IF(S962="","",[1]Inputs_Outputs!$B$8*(1-'LOCH Calc COE Calc'!S962))</f>
        <v/>
      </c>
      <c r="U962" s="13" t="str">
        <f t="shared" si="71"/>
        <v/>
      </c>
      <c r="V962" s="13" t="str">
        <f t="shared" si="72"/>
        <v/>
      </c>
      <c r="W962" s="4" t="str">
        <f t="shared" si="73"/>
        <v/>
      </c>
      <c r="X962" t="str">
        <f>IF(W962="","",LOOKUP(_xlfn.CONCAT(P962,", ",Q962),'[1]T+S Costs'!$F$2:$F$3138,'[1]T+S Costs'!$N$2:$N$3138))</f>
        <v/>
      </c>
      <c r="Y962" s="14" t="str">
        <f t="shared" si="74"/>
        <v/>
      </c>
      <c r="Z962" s="4" t="str">
        <f t="shared" si="75"/>
        <v/>
      </c>
    </row>
    <row r="963" spans="16:26" x14ac:dyDescent="0.25">
      <c r="P963" s="10" t="str">
        <f>IF('[1]All Data '!AZ968="","",'[1]All Data '!AZ968)</f>
        <v/>
      </c>
      <c r="Q963" s="10" t="str">
        <f>IF('[1]All Data '!BB968="","",'[1]All Data '!BB968)</f>
        <v/>
      </c>
      <c r="R963" s="10" t="str">
        <f>IF('[1]All Data '!BD968="","",'[1]All Data '!BD968)</f>
        <v/>
      </c>
      <c r="S963" s="11" t="str">
        <f>IF(R963="","",'[1]All Data '!BE968)</f>
        <v/>
      </c>
      <c r="T963" s="12" t="str">
        <f>IF(S963="","",[1]Inputs_Outputs!$B$8*(1-'LOCH Calc COE Calc'!S963))</f>
        <v/>
      </c>
      <c r="U963" s="13" t="str">
        <f t="shared" ref="U963:U1026" si="76">IF(S963="","",R963*T963*365*$B$19/100)</f>
        <v/>
      </c>
      <c r="V963" s="13" t="str">
        <f t="shared" ref="V963:V1026" si="77">IF(S963="","",(U963*$B$19)/(($B$28)*$B$19))</f>
        <v/>
      </c>
      <c r="W963" s="4" t="str">
        <f t="shared" ref="W963:W1026" si="78">IF(S963="","",V963+$C$49+$C$50+$C$51)</f>
        <v/>
      </c>
      <c r="X963" t="str">
        <f>IF(W963="","",LOOKUP(_xlfn.CONCAT(P963,", ",Q963),'[1]T+S Costs'!$F$2:$F$3138,'[1]T+S Costs'!$N$2:$N$3138))</f>
        <v/>
      </c>
      <c r="Y963" s="14" t="str">
        <f t="shared" ref="Y963:Y1026" si="79">IF(X963="","",((X963*$B$60/$B$59)*$C$44)/$C$28)</f>
        <v/>
      </c>
      <c r="Z963" s="4" t="str">
        <f t="shared" ref="Z963:Z1026" si="80">IF(Y963="","",W963+Y963)</f>
        <v/>
      </c>
    </row>
    <row r="964" spans="16:26" x14ac:dyDescent="0.25">
      <c r="P964" s="10" t="str">
        <f>IF('[1]All Data '!AZ969="","",'[1]All Data '!AZ969)</f>
        <v/>
      </c>
      <c r="Q964" s="10" t="str">
        <f>IF('[1]All Data '!BB969="","",'[1]All Data '!BB969)</f>
        <v/>
      </c>
      <c r="R964" s="10" t="str">
        <f>IF('[1]All Data '!BD969="","",'[1]All Data '!BD969)</f>
        <v/>
      </c>
      <c r="S964" s="11" t="str">
        <f>IF(R964="","",'[1]All Data '!BE969)</f>
        <v/>
      </c>
      <c r="T964" s="12" t="str">
        <f>IF(S964="","",[1]Inputs_Outputs!$B$8*(1-'LOCH Calc COE Calc'!S964))</f>
        <v/>
      </c>
      <c r="U964" s="13" t="str">
        <f t="shared" si="76"/>
        <v/>
      </c>
      <c r="V964" s="13" t="str">
        <f t="shared" si="77"/>
        <v/>
      </c>
      <c r="W964" s="4" t="str">
        <f t="shared" si="78"/>
        <v/>
      </c>
      <c r="X964" t="str">
        <f>IF(W964="","",LOOKUP(_xlfn.CONCAT(P964,", ",Q964),'[1]T+S Costs'!$F$2:$F$3138,'[1]T+S Costs'!$N$2:$N$3138))</f>
        <v/>
      </c>
      <c r="Y964" s="14" t="str">
        <f t="shared" si="79"/>
        <v/>
      </c>
      <c r="Z964" s="4" t="str">
        <f t="shared" si="80"/>
        <v/>
      </c>
    </row>
    <row r="965" spans="16:26" x14ac:dyDescent="0.25">
      <c r="P965" s="10" t="str">
        <f>IF('[1]All Data '!AZ970="","",'[1]All Data '!AZ970)</f>
        <v/>
      </c>
      <c r="Q965" s="10" t="str">
        <f>IF('[1]All Data '!BB970="","",'[1]All Data '!BB970)</f>
        <v/>
      </c>
      <c r="R965" s="10" t="str">
        <f>IF('[1]All Data '!BD970="","",'[1]All Data '!BD970)</f>
        <v/>
      </c>
      <c r="S965" s="11" t="str">
        <f>IF(R965="","",'[1]All Data '!BE970)</f>
        <v/>
      </c>
      <c r="T965" s="12" t="str">
        <f>IF(S965="","",[1]Inputs_Outputs!$B$8*(1-'LOCH Calc COE Calc'!S965))</f>
        <v/>
      </c>
      <c r="U965" s="13" t="str">
        <f t="shared" si="76"/>
        <v/>
      </c>
      <c r="V965" s="13" t="str">
        <f t="shared" si="77"/>
        <v/>
      </c>
      <c r="W965" s="4" t="str">
        <f t="shared" si="78"/>
        <v/>
      </c>
      <c r="X965" t="str">
        <f>IF(W965="","",LOOKUP(_xlfn.CONCAT(P965,", ",Q965),'[1]T+S Costs'!$F$2:$F$3138,'[1]T+S Costs'!$N$2:$N$3138))</f>
        <v/>
      </c>
      <c r="Y965" s="14" t="str">
        <f t="shared" si="79"/>
        <v/>
      </c>
      <c r="Z965" s="4" t="str">
        <f t="shared" si="80"/>
        <v/>
      </c>
    </row>
    <row r="966" spans="16:26" x14ac:dyDescent="0.25">
      <c r="P966" s="10" t="str">
        <f>IF('[1]All Data '!AZ971="","",'[1]All Data '!AZ971)</f>
        <v/>
      </c>
      <c r="Q966" s="10" t="str">
        <f>IF('[1]All Data '!BB971="","",'[1]All Data '!BB971)</f>
        <v/>
      </c>
      <c r="R966" s="10" t="str">
        <f>IF('[1]All Data '!BD971="","",'[1]All Data '!BD971)</f>
        <v/>
      </c>
      <c r="S966" s="11" t="str">
        <f>IF(R966="","",'[1]All Data '!BE971)</f>
        <v/>
      </c>
      <c r="T966" s="12" t="str">
        <f>IF(S966="","",[1]Inputs_Outputs!$B$8*(1-'LOCH Calc COE Calc'!S966))</f>
        <v/>
      </c>
      <c r="U966" s="13" t="str">
        <f t="shared" si="76"/>
        <v/>
      </c>
      <c r="V966" s="13" t="str">
        <f t="shared" si="77"/>
        <v/>
      </c>
      <c r="W966" s="4" t="str">
        <f t="shared" si="78"/>
        <v/>
      </c>
      <c r="X966" t="str">
        <f>IF(W966="","",LOOKUP(_xlfn.CONCAT(P966,", ",Q966),'[1]T+S Costs'!$F$2:$F$3138,'[1]T+S Costs'!$N$2:$N$3138))</f>
        <v/>
      </c>
      <c r="Y966" s="14" t="str">
        <f t="shared" si="79"/>
        <v/>
      </c>
      <c r="Z966" s="4" t="str">
        <f t="shared" si="80"/>
        <v/>
      </c>
    </row>
    <row r="967" spans="16:26" x14ac:dyDescent="0.25">
      <c r="P967" s="10" t="str">
        <f>IF('[1]All Data '!AZ972="","",'[1]All Data '!AZ972)</f>
        <v/>
      </c>
      <c r="Q967" s="10" t="str">
        <f>IF('[1]All Data '!BB972="","",'[1]All Data '!BB972)</f>
        <v/>
      </c>
      <c r="R967" s="10" t="str">
        <f>IF('[1]All Data '!BD972="","",'[1]All Data '!BD972)</f>
        <v/>
      </c>
      <c r="S967" s="11" t="str">
        <f>IF(R967="","",'[1]All Data '!BE972)</f>
        <v/>
      </c>
      <c r="T967" s="12" t="str">
        <f>IF(S967="","",[1]Inputs_Outputs!$B$8*(1-'LOCH Calc COE Calc'!S967))</f>
        <v/>
      </c>
      <c r="U967" s="13" t="str">
        <f t="shared" si="76"/>
        <v/>
      </c>
      <c r="V967" s="13" t="str">
        <f t="shared" si="77"/>
        <v/>
      </c>
      <c r="W967" s="4" t="str">
        <f t="shared" si="78"/>
        <v/>
      </c>
      <c r="X967" t="str">
        <f>IF(W967="","",LOOKUP(_xlfn.CONCAT(P967,", ",Q967),'[1]T+S Costs'!$F$2:$F$3138,'[1]T+S Costs'!$N$2:$N$3138))</f>
        <v/>
      </c>
      <c r="Y967" s="14" t="str">
        <f t="shared" si="79"/>
        <v/>
      </c>
      <c r="Z967" s="4" t="str">
        <f t="shared" si="80"/>
        <v/>
      </c>
    </row>
    <row r="968" spans="16:26" x14ac:dyDescent="0.25">
      <c r="P968" s="10" t="str">
        <f>IF('[1]All Data '!AZ973="","",'[1]All Data '!AZ973)</f>
        <v/>
      </c>
      <c r="Q968" s="10" t="str">
        <f>IF('[1]All Data '!BB973="","",'[1]All Data '!BB973)</f>
        <v/>
      </c>
      <c r="R968" s="10" t="str">
        <f>IF('[1]All Data '!BD973="","",'[1]All Data '!BD973)</f>
        <v/>
      </c>
      <c r="S968" s="11" t="str">
        <f>IF(R968="","",'[1]All Data '!BE973)</f>
        <v/>
      </c>
      <c r="T968" s="12" t="str">
        <f>IF(S968="","",[1]Inputs_Outputs!$B$8*(1-'LOCH Calc COE Calc'!S968))</f>
        <v/>
      </c>
      <c r="U968" s="13" t="str">
        <f t="shared" si="76"/>
        <v/>
      </c>
      <c r="V968" s="13" t="str">
        <f t="shared" si="77"/>
        <v/>
      </c>
      <c r="W968" s="4" t="str">
        <f t="shared" si="78"/>
        <v/>
      </c>
      <c r="X968" t="str">
        <f>IF(W968="","",LOOKUP(_xlfn.CONCAT(P968,", ",Q968),'[1]T+S Costs'!$F$2:$F$3138,'[1]T+S Costs'!$N$2:$N$3138))</f>
        <v/>
      </c>
      <c r="Y968" s="14" t="str">
        <f t="shared" si="79"/>
        <v/>
      </c>
      <c r="Z968" s="4" t="str">
        <f t="shared" si="80"/>
        <v/>
      </c>
    </row>
    <row r="969" spans="16:26" x14ac:dyDescent="0.25">
      <c r="P969" s="10" t="str">
        <f>IF('[1]All Data '!AZ974="","",'[1]All Data '!AZ974)</f>
        <v/>
      </c>
      <c r="Q969" s="10" t="str">
        <f>IF('[1]All Data '!BB974="","",'[1]All Data '!BB974)</f>
        <v/>
      </c>
      <c r="R969" s="10" t="str">
        <f>IF('[1]All Data '!BD974="","",'[1]All Data '!BD974)</f>
        <v/>
      </c>
      <c r="S969" s="11" t="str">
        <f>IF(R969="","",'[1]All Data '!BE974)</f>
        <v/>
      </c>
      <c r="T969" s="12" t="str">
        <f>IF(S969="","",[1]Inputs_Outputs!$B$8*(1-'LOCH Calc COE Calc'!S969))</f>
        <v/>
      </c>
      <c r="U969" s="13" t="str">
        <f t="shared" si="76"/>
        <v/>
      </c>
      <c r="V969" s="13" t="str">
        <f t="shared" si="77"/>
        <v/>
      </c>
      <c r="W969" s="4" t="str">
        <f t="shared" si="78"/>
        <v/>
      </c>
      <c r="X969" t="str">
        <f>IF(W969="","",LOOKUP(_xlfn.CONCAT(P969,", ",Q969),'[1]T+S Costs'!$F$2:$F$3138,'[1]T+S Costs'!$N$2:$N$3138))</f>
        <v/>
      </c>
      <c r="Y969" s="14" t="str">
        <f t="shared" si="79"/>
        <v/>
      </c>
      <c r="Z969" s="4" t="str">
        <f t="shared" si="80"/>
        <v/>
      </c>
    </row>
    <row r="970" spans="16:26" x14ac:dyDescent="0.25">
      <c r="P970" s="10" t="str">
        <f>IF('[1]All Data '!AZ975="","",'[1]All Data '!AZ975)</f>
        <v/>
      </c>
      <c r="Q970" s="10" t="str">
        <f>IF('[1]All Data '!BB975="","",'[1]All Data '!BB975)</f>
        <v/>
      </c>
      <c r="R970" s="10" t="str">
        <f>IF('[1]All Data '!BD975="","",'[1]All Data '!BD975)</f>
        <v/>
      </c>
      <c r="S970" s="11" t="str">
        <f>IF(R970="","",'[1]All Data '!BE975)</f>
        <v/>
      </c>
      <c r="T970" s="12" t="str">
        <f>IF(S970="","",[1]Inputs_Outputs!$B$8*(1-'LOCH Calc COE Calc'!S970))</f>
        <v/>
      </c>
      <c r="U970" s="13" t="str">
        <f t="shared" si="76"/>
        <v/>
      </c>
      <c r="V970" s="13" t="str">
        <f t="shared" si="77"/>
        <v/>
      </c>
      <c r="W970" s="4" t="str">
        <f t="shared" si="78"/>
        <v/>
      </c>
      <c r="X970" t="str">
        <f>IF(W970="","",LOOKUP(_xlfn.CONCAT(P970,", ",Q970),'[1]T+S Costs'!$F$2:$F$3138,'[1]T+S Costs'!$N$2:$N$3138))</f>
        <v/>
      </c>
      <c r="Y970" s="14" t="str">
        <f t="shared" si="79"/>
        <v/>
      </c>
      <c r="Z970" s="4" t="str">
        <f t="shared" si="80"/>
        <v/>
      </c>
    </row>
    <row r="971" spans="16:26" x14ac:dyDescent="0.25">
      <c r="P971" s="10" t="str">
        <f>IF('[1]All Data '!AZ976="","",'[1]All Data '!AZ976)</f>
        <v/>
      </c>
      <c r="Q971" s="10" t="str">
        <f>IF('[1]All Data '!BB976="","",'[1]All Data '!BB976)</f>
        <v/>
      </c>
      <c r="R971" s="10" t="str">
        <f>IF('[1]All Data '!BD976="","",'[1]All Data '!BD976)</f>
        <v/>
      </c>
      <c r="S971" s="11" t="str">
        <f>IF(R971="","",'[1]All Data '!BE976)</f>
        <v/>
      </c>
      <c r="T971" s="12" t="str">
        <f>IF(S971="","",[1]Inputs_Outputs!$B$8*(1-'LOCH Calc COE Calc'!S971))</f>
        <v/>
      </c>
      <c r="U971" s="13" t="str">
        <f t="shared" si="76"/>
        <v/>
      </c>
      <c r="V971" s="13" t="str">
        <f t="shared" si="77"/>
        <v/>
      </c>
      <c r="W971" s="4" t="str">
        <f t="shared" si="78"/>
        <v/>
      </c>
      <c r="X971" t="str">
        <f>IF(W971="","",LOOKUP(_xlfn.CONCAT(P971,", ",Q971),'[1]T+S Costs'!$F$2:$F$3138,'[1]T+S Costs'!$N$2:$N$3138))</f>
        <v/>
      </c>
      <c r="Y971" s="14" t="str">
        <f t="shared" si="79"/>
        <v/>
      </c>
      <c r="Z971" s="4" t="str">
        <f t="shared" si="80"/>
        <v/>
      </c>
    </row>
    <row r="972" spans="16:26" x14ac:dyDescent="0.25">
      <c r="P972" s="10" t="str">
        <f>IF('[1]All Data '!AZ977="","",'[1]All Data '!AZ977)</f>
        <v/>
      </c>
      <c r="Q972" s="10" t="str">
        <f>IF('[1]All Data '!BB977="","",'[1]All Data '!BB977)</f>
        <v/>
      </c>
      <c r="R972" s="10" t="str">
        <f>IF('[1]All Data '!BD977="","",'[1]All Data '!BD977)</f>
        <v/>
      </c>
      <c r="S972" s="11" t="str">
        <f>IF(R972="","",'[1]All Data '!BE977)</f>
        <v/>
      </c>
      <c r="T972" s="12" t="str">
        <f>IF(S972="","",[1]Inputs_Outputs!$B$8*(1-'LOCH Calc COE Calc'!S972))</f>
        <v/>
      </c>
      <c r="U972" s="13" t="str">
        <f t="shared" si="76"/>
        <v/>
      </c>
      <c r="V972" s="13" t="str">
        <f t="shared" si="77"/>
        <v/>
      </c>
      <c r="W972" s="4" t="str">
        <f t="shared" si="78"/>
        <v/>
      </c>
      <c r="X972" t="str">
        <f>IF(W972="","",LOOKUP(_xlfn.CONCAT(P972,", ",Q972),'[1]T+S Costs'!$F$2:$F$3138,'[1]T+S Costs'!$N$2:$N$3138))</f>
        <v/>
      </c>
      <c r="Y972" s="14" t="str">
        <f t="shared" si="79"/>
        <v/>
      </c>
      <c r="Z972" s="4" t="str">
        <f t="shared" si="80"/>
        <v/>
      </c>
    </row>
    <row r="973" spans="16:26" x14ac:dyDescent="0.25">
      <c r="P973" s="10" t="str">
        <f>IF('[1]All Data '!AZ978="","",'[1]All Data '!AZ978)</f>
        <v/>
      </c>
      <c r="Q973" s="10" t="str">
        <f>IF('[1]All Data '!BB978="","",'[1]All Data '!BB978)</f>
        <v/>
      </c>
      <c r="R973" s="10" t="str">
        <f>IF('[1]All Data '!BD978="","",'[1]All Data '!BD978)</f>
        <v/>
      </c>
      <c r="S973" s="11" t="str">
        <f>IF(R973="","",'[1]All Data '!BE978)</f>
        <v/>
      </c>
      <c r="T973" s="12" t="str">
        <f>IF(S973="","",[1]Inputs_Outputs!$B$8*(1-'LOCH Calc COE Calc'!S973))</f>
        <v/>
      </c>
      <c r="U973" s="13" t="str">
        <f t="shared" si="76"/>
        <v/>
      </c>
      <c r="V973" s="13" t="str">
        <f t="shared" si="77"/>
        <v/>
      </c>
      <c r="W973" s="4" t="str">
        <f t="shared" si="78"/>
        <v/>
      </c>
      <c r="X973" t="str">
        <f>IF(W973="","",LOOKUP(_xlfn.CONCAT(P973,", ",Q973),'[1]T+S Costs'!$F$2:$F$3138,'[1]T+S Costs'!$N$2:$N$3138))</f>
        <v/>
      </c>
      <c r="Y973" s="14" t="str">
        <f t="shared" si="79"/>
        <v/>
      </c>
      <c r="Z973" s="4" t="str">
        <f t="shared" si="80"/>
        <v/>
      </c>
    </row>
    <row r="974" spans="16:26" x14ac:dyDescent="0.25">
      <c r="P974" s="10" t="str">
        <f>IF('[1]All Data '!AZ979="","",'[1]All Data '!AZ979)</f>
        <v/>
      </c>
      <c r="Q974" s="10" t="str">
        <f>IF('[1]All Data '!BB979="","",'[1]All Data '!BB979)</f>
        <v/>
      </c>
      <c r="R974" s="10" t="str">
        <f>IF('[1]All Data '!BD979="","",'[1]All Data '!BD979)</f>
        <v/>
      </c>
      <c r="S974" s="11" t="str">
        <f>IF(R974="","",'[1]All Data '!BE979)</f>
        <v/>
      </c>
      <c r="T974" s="12" t="str">
        <f>IF(S974="","",[1]Inputs_Outputs!$B$8*(1-'LOCH Calc COE Calc'!S974))</f>
        <v/>
      </c>
      <c r="U974" s="13" t="str">
        <f t="shared" si="76"/>
        <v/>
      </c>
      <c r="V974" s="13" t="str">
        <f t="shared" si="77"/>
        <v/>
      </c>
      <c r="W974" s="4" t="str">
        <f t="shared" si="78"/>
        <v/>
      </c>
      <c r="X974" t="str">
        <f>IF(W974="","",LOOKUP(_xlfn.CONCAT(P974,", ",Q974),'[1]T+S Costs'!$F$2:$F$3138,'[1]T+S Costs'!$N$2:$N$3138))</f>
        <v/>
      </c>
      <c r="Y974" s="14" t="str">
        <f t="shared" si="79"/>
        <v/>
      </c>
      <c r="Z974" s="4" t="str">
        <f t="shared" si="80"/>
        <v/>
      </c>
    </row>
    <row r="975" spans="16:26" x14ac:dyDescent="0.25">
      <c r="P975" s="10" t="str">
        <f>IF('[1]All Data '!AZ980="","",'[1]All Data '!AZ980)</f>
        <v/>
      </c>
      <c r="Q975" s="10" t="str">
        <f>IF('[1]All Data '!BB980="","",'[1]All Data '!BB980)</f>
        <v/>
      </c>
      <c r="R975" s="10" t="str">
        <f>IF('[1]All Data '!BD980="","",'[1]All Data '!BD980)</f>
        <v/>
      </c>
      <c r="S975" s="11" t="str">
        <f>IF(R975="","",'[1]All Data '!BE980)</f>
        <v/>
      </c>
      <c r="T975" s="12" t="str">
        <f>IF(S975="","",[1]Inputs_Outputs!$B$8*(1-'LOCH Calc COE Calc'!S975))</f>
        <v/>
      </c>
      <c r="U975" s="13" t="str">
        <f t="shared" si="76"/>
        <v/>
      </c>
      <c r="V975" s="13" t="str">
        <f t="shared" si="77"/>
        <v/>
      </c>
      <c r="W975" s="4" t="str">
        <f t="shared" si="78"/>
        <v/>
      </c>
      <c r="X975" t="str">
        <f>IF(W975="","",LOOKUP(_xlfn.CONCAT(P975,", ",Q975),'[1]T+S Costs'!$F$2:$F$3138,'[1]T+S Costs'!$N$2:$N$3138))</f>
        <v/>
      </c>
      <c r="Y975" s="14" t="str">
        <f t="shared" si="79"/>
        <v/>
      </c>
      <c r="Z975" s="4" t="str">
        <f t="shared" si="80"/>
        <v/>
      </c>
    </row>
    <row r="976" spans="16:26" x14ac:dyDescent="0.25">
      <c r="P976" s="10" t="str">
        <f>IF('[1]All Data '!AZ981="","",'[1]All Data '!AZ981)</f>
        <v/>
      </c>
      <c r="Q976" s="10" t="str">
        <f>IF('[1]All Data '!BB981="","",'[1]All Data '!BB981)</f>
        <v/>
      </c>
      <c r="R976" s="10" t="str">
        <f>IF('[1]All Data '!BD981="","",'[1]All Data '!BD981)</f>
        <v/>
      </c>
      <c r="S976" s="11" t="str">
        <f>IF(R976="","",'[1]All Data '!BE981)</f>
        <v/>
      </c>
      <c r="T976" s="12" t="str">
        <f>IF(S976="","",[1]Inputs_Outputs!$B$8*(1-'LOCH Calc COE Calc'!S976))</f>
        <v/>
      </c>
      <c r="U976" s="13" t="str">
        <f t="shared" si="76"/>
        <v/>
      </c>
      <c r="V976" s="13" t="str">
        <f t="shared" si="77"/>
        <v/>
      </c>
      <c r="W976" s="4" t="str">
        <f t="shared" si="78"/>
        <v/>
      </c>
      <c r="X976" t="str">
        <f>IF(W976="","",LOOKUP(_xlfn.CONCAT(P976,", ",Q976),'[1]T+S Costs'!$F$2:$F$3138,'[1]T+S Costs'!$N$2:$N$3138))</f>
        <v/>
      </c>
      <c r="Y976" s="14" t="str">
        <f t="shared" si="79"/>
        <v/>
      </c>
      <c r="Z976" s="4" t="str">
        <f t="shared" si="80"/>
        <v/>
      </c>
    </row>
    <row r="977" spans="16:26" x14ac:dyDescent="0.25">
      <c r="P977" s="10" t="str">
        <f>IF('[1]All Data '!AZ982="","",'[1]All Data '!AZ982)</f>
        <v/>
      </c>
      <c r="Q977" s="10" t="str">
        <f>IF('[1]All Data '!BB982="","",'[1]All Data '!BB982)</f>
        <v/>
      </c>
      <c r="R977" s="10" t="str">
        <f>IF('[1]All Data '!BD982="","",'[1]All Data '!BD982)</f>
        <v/>
      </c>
      <c r="S977" s="11" t="str">
        <f>IF(R977="","",'[1]All Data '!BE982)</f>
        <v/>
      </c>
      <c r="T977" s="12" t="str">
        <f>IF(S977="","",[1]Inputs_Outputs!$B$8*(1-'LOCH Calc COE Calc'!S977))</f>
        <v/>
      </c>
      <c r="U977" s="13" t="str">
        <f t="shared" si="76"/>
        <v/>
      </c>
      <c r="V977" s="13" t="str">
        <f t="shared" si="77"/>
        <v/>
      </c>
      <c r="W977" s="4" t="str">
        <f t="shared" si="78"/>
        <v/>
      </c>
      <c r="X977" t="str">
        <f>IF(W977="","",LOOKUP(_xlfn.CONCAT(P977,", ",Q977),'[1]T+S Costs'!$F$2:$F$3138,'[1]T+S Costs'!$N$2:$N$3138))</f>
        <v/>
      </c>
      <c r="Y977" s="14" t="str">
        <f t="shared" si="79"/>
        <v/>
      </c>
      <c r="Z977" s="4" t="str">
        <f t="shared" si="80"/>
        <v/>
      </c>
    </row>
    <row r="978" spans="16:26" x14ac:dyDescent="0.25">
      <c r="P978" s="10" t="str">
        <f>IF('[1]All Data '!AZ983="","",'[1]All Data '!AZ983)</f>
        <v/>
      </c>
      <c r="Q978" s="10" t="str">
        <f>IF('[1]All Data '!BB983="","",'[1]All Data '!BB983)</f>
        <v/>
      </c>
      <c r="R978" s="10" t="str">
        <f>IF('[1]All Data '!BD983="","",'[1]All Data '!BD983)</f>
        <v/>
      </c>
      <c r="S978" s="11" t="str">
        <f>IF(R978="","",'[1]All Data '!BE983)</f>
        <v/>
      </c>
      <c r="T978" s="12" t="str">
        <f>IF(S978="","",[1]Inputs_Outputs!$B$8*(1-'LOCH Calc COE Calc'!S978))</f>
        <v/>
      </c>
      <c r="U978" s="13" t="str">
        <f t="shared" si="76"/>
        <v/>
      </c>
      <c r="V978" s="13" t="str">
        <f t="shared" si="77"/>
        <v/>
      </c>
      <c r="W978" s="4" t="str">
        <f t="shared" si="78"/>
        <v/>
      </c>
      <c r="X978" t="str">
        <f>IF(W978="","",LOOKUP(_xlfn.CONCAT(P978,", ",Q978),'[1]T+S Costs'!$F$2:$F$3138,'[1]T+S Costs'!$N$2:$N$3138))</f>
        <v/>
      </c>
      <c r="Y978" s="14" t="str">
        <f t="shared" si="79"/>
        <v/>
      </c>
      <c r="Z978" s="4" t="str">
        <f t="shared" si="80"/>
        <v/>
      </c>
    </row>
    <row r="979" spans="16:26" x14ac:dyDescent="0.25">
      <c r="P979" s="10" t="str">
        <f>IF('[1]All Data '!AZ984="","",'[1]All Data '!AZ984)</f>
        <v/>
      </c>
      <c r="Q979" s="10" t="str">
        <f>IF('[1]All Data '!BB984="","",'[1]All Data '!BB984)</f>
        <v/>
      </c>
      <c r="R979" s="10" t="str">
        <f>IF('[1]All Data '!BD984="","",'[1]All Data '!BD984)</f>
        <v/>
      </c>
      <c r="S979" s="11" t="str">
        <f>IF(R979="","",'[1]All Data '!BE984)</f>
        <v/>
      </c>
      <c r="T979" s="12" t="str">
        <f>IF(S979="","",[1]Inputs_Outputs!$B$8*(1-'LOCH Calc COE Calc'!S979))</f>
        <v/>
      </c>
      <c r="U979" s="13" t="str">
        <f t="shared" si="76"/>
        <v/>
      </c>
      <c r="V979" s="13" t="str">
        <f t="shared" si="77"/>
        <v/>
      </c>
      <c r="W979" s="4" t="str">
        <f t="shared" si="78"/>
        <v/>
      </c>
      <c r="X979" t="str">
        <f>IF(W979="","",LOOKUP(_xlfn.CONCAT(P979,", ",Q979),'[1]T+S Costs'!$F$2:$F$3138,'[1]T+S Costs'!$N$2:$N$3138))</f>
        <v/>
      </c>
      <c r="Y979" s="14" t="str">
        <f t="shared" si="79"/>
        <v/>
      </c>
      <c r="Z979" s="4" t="str">
        <f t="shared" si="80"/>
        <v/>
      </c>
    </row>
    <row r="980" spans="16:26" x14ac:dyDescent="0.25">
      <c r="P980" s="10" t="str">
        <f>IF('[1]All Data '!AZ985="","",'[1]All Data '!AZ985)</f>
        <v/>
      </c>
      <c r="Q980" s="10" t="str">
        <f>IF('[1]All Data '!BB985="","",'[1]All Data '!BB985)</f>
        <v/>
      </c>
      <c r="R980" s="10" t="str">
        <f>IF('[1]All Data '!BD985="","",'[1]All Data '!BD985)</f>
        <v/>
      </c>
      <c r="S980" s="11" t="str">
        <f>IF(R980="","",'[1]All Data '!BE985)</f>
        <v/>
      </c>
      <c r="T980" s="12" t="str">
        <f>IF(S980="","",[1]Inputs_Outputs!$B$8*(1-'LOCH Calc COE Calc'!S980))</f>
        <v/>
      </c>
      <c r="U980" s="13" t="str">
        <f t="shared" si="76"/>
        <v/>
      </c>
      <c r="V980" s="13" t="str">
        <f t="shared" si="77"/>
        <v/>
      </c>
      <c r="W980" s="4" t="str">
        <f t="shared" si="78"/>
        <v/>
      </c>
      <c r="X980" t="str">
        <f>IF(W980="","",LOOKUP(_xlfn.CONCAT(P980,", ",Q980),'[1]T+S Costs'!$F$2:$F$3138,'[1]T+S Costs'!$N$2:$N$3138))</f>
        <v/>
      </c>
      <c r="Y980" s="14" t="str">
        <f t="shared" si="79"/>
        <v/>
      </c>
      <c r="Z980" s="4" t="str">
        <f t="shared" si="80"/>
        <v/>
      </c>
    </row>
    <row r="981" spans="16:26" x14ac:dyDescent="0.25">
      <c r="P981" s="10" t="str">
        <f>IF('[1]All Data '!AZ986="","",'[1]All Data '!AZ986)</f>
        <v/>
      </c>
      <c r="Q981" s="10" t="str">
        <f>IF('[1]All Data '!BB986="","",'[1]All Data '!BB986)</f>
        <v/>
      </c>
      <c r="R981" s="10" t="str">
        <f>IF('[1]All Data '!BD986="","",'[1]All Data '!BD986)</f>
        <v/>
      </c>
      <c r="S981" s="11" t="str">
        <f>IF(R981="","",'[1]All Data '!BE986)</f>
        <v/>
      </c>
      <c r="T981" s="12" t="str">
        <f>IF(S981="","",[1]Inputs_Outputs!$B$8*(1-'LOCH Calc COE Calc'!S981))</f>
        <v/>
      </c>
      <c r="U981" s="13" t="str">
        <f t="shared" si="76"/>
        <v/>
      </c>
      <c r="V981" s="13" t="str">
        <f t="shared" si="77"/>
        <v/>
      </c>
      <c r="W981" s="4" t="str">
        <f t="shared" si="78"/>
        <v/>
      </c>
      <c r="X981" t="str">
        <f>IF(W981="","",LOOKUP(_xlfn.CONCAT(P981,", ",Q981),'[1]T+S Costs'!$F$2:$F$3138,'[1]T+S Costs'!$N$2:$N$3138))</f>
        <v/>
      </c>
      <c r="Y981" s="14" t="str">
        <f t="shared" si="79"/>
        <v/>
      </c>
      <c r="Z981" s="4" t="str">
        <f t="shared" si="80"/>
        <v/>
      </c>
    </row>
    <row r="982" spans="16:26" x14ac:dyDescent="0.25">
      <c r="P982" s="10" t="str">
        <f>IF('[1]All Data '!AZ987="","",'[1]All Data '!AZ987)</f>
        <v/>
      </c>
      <c r="Q982" s="10" t="str">
        <f>IF('[1]All Data '!BB987="","",'[1]All Data '!BB987)</f>
        <v/>
      </c>
      <c r="R982" s="10" t="str">
        <f>IF('[1]All Data '!BD987="","",'[1]All Data '!BD987)</f>
        <v/>
      </c>
      <c r="S982" s="11" t="str">
        <f>IF(R982="","",'[1]All Data '!BE987)</f>
        <v/>
      </c>
      <c r="T982" s="12" t="str">
        <f>IF(S982="","",[1]Inputs_Outputs!$B$8*(1-'LOCH Calc COE Calc'!S982))</f>
        <v/>
      </c>
      <c r="U982" s="13" t="str">
        <f t="shared" si="76"/>
        <v/>
      </c>
      <c r="V982" s="13" t="str">
        <f t="shared" si="77"/>
        <v/>
      </c>
      <c r="W982" s="4" t="str">
        <f t="shared" si="78"/>
        <v/>
      </c>
      <c r="X982" t="str">
        <f>IF(W982="","",LOOKUP(_xlfn.CONCAT(P982,", ",Q982),'[1]T+S Costs'!$F$2:$F$3138,'[1]T+S Costs'!$N$2:$N$3138))</f>
        <v/>
      </c>
      <c r="Y982" s="14" t="str">
        <f t="shared" si="79"/>
        <v/>
      </c>
      <c r="Z982" s="4" t="str">
        <f t="shared" si="80"/>
        <v/>
      </c>
    </row>
    <row r="983" spans="16:26" x14ac:dyDescent="0.25">
      <c r="P983" s="10" t="str">
        <f>IF('[1]All Data '!AZ988="","",'[1]All Data '!AZ988)</f>
        <v/>
      </c>
      <c r="Q983" s="10" t="str">
        <f>IF('[1]All Data '!BB988="","",'[1]All Data '!BB988)</f>
        <v/>
      </c>
      <c r="R983" s="10" t="str">
        <f>IF('[1]All Data '!BD988="","",'[1]All Data '!BD988)</f>
        <v/>
      </c>
      <c r="S983" s="11" t="str">
        <f>IF(R983="","",'[1]All Data '!BE988)</f>
        <v/>
      </c>
      <c r="T983" s="12" t="str">
        <f>IF(S983="","",[1]Inputs_Outputs!$B$8*(1-'LOCH Calc COE Calc'!S983))</f>
        <v/>
      </c>
      <c r="U983" s="13" t="str">
        <f t="shared" si="76"/>
        <v/>
      </c>
      <c r="V983" s="13" t="str">
        <f t="shared" si="77"/>
        <v/>
      </c>
      <c r="W983" s="4" t="str">
        <f t="shared" si="78"/>
        <v/>
      </c>
      <c r="X983" t="str">
        <f>IF(W983="","",LOOKUP(_xlfn.CONCAT(P983,", ",Q983),'[1]T+S Costs'!$F$2:$F$3138,'[1]T+S Costs'!$N$2:$N$3138))</f>
        <v/>
      </c>
      <c r="Y983" s="14" t="str">
        <f t="shared" si="79"/>
        <v/>
      </c>
      <c r="Z983" s="4" t="str">
        <f t="shared" si="80"/>
        <v/>
      </c>
    </row>
    <row r="984" spans="16:26" x14ac:dyDescent="0.25">
      <c r="P984" s="10" t="str">
        <f>IF('[1]All Data '!AZ989="","",'[1]All Data '!AZ989)</f>
        <v/>
      </c>
      <c r="Q984" s="10" t="str">
        <f>IF('[1]All Data '!BB989="","",'[1]All Data '!BB989)</f>
        <v/>
      </c>
      <c r="R984" s="10" t="str">
        <f>IF('[1]All Data '!BD989="","",'[1]All Data '!BD989)</f>
        <v/>
      </c>
      <c r="S984" s="11" t="str">
        <f>IF(R984="","",'[1]All Data '!BE989)</f>
        <v/>
      </c>
      <c r="T984" s="12" t="str">
        <f>IF(S984="","",[1]Inputs_Outputs!$B$8*(1-'LOCH Calc COE Calc'!S984))</f>
        <v/>
      </c>
      <c r="U984" s="13" t="str">
        <f t="shared" si="76"/>
        <v/>
      </c>
      <c r="V984" s="13" t="str">
        <f t="shared" si="77"/>
        <v/>
      </c>
      <c r="W984" s="4" t="str">
        <f t="shared" si="78"/>
        <v/>
      </c>
      <c r="X984" t="str">
        <f>IF(W984="","",LOOKUP(_xlfn.CONCAT(P984,", ",Q984),'[1]T+S Costs'!$F$2:$F$3138,'[1]T+S Costs'!$N$2:$N$3138))</f>
        <v/>
      </c>
      <c r="Y984" s="14" t="str">
        <f t="shared" si="79"/>
        <v/>
      </c>
      <c r="Z984" s="4" t="str">
        <f t="shared" si="80"/>
        <v/>
      </c>
    </row>
    <row r="985" spans="16:26" x14ac:dyDescent="0.25">
      <c r="P985" s="10" t="str">
        <f>IF('[1]All Data '!AZ990="","",'[1]All Data '!AZ990)</f>
        <v/>
      </c>
      <c r="Q985" s="10" t="str">
        <f>IF('[1]All Data '!BB990="","",'[1]All Data '!BB990)</f>
        <v/>
      </c>
      <c r="R985" s="10" t="str">
        <f>IF('[1]All Data '!BD990="","",'[1]All Data '!BD990)</f>
        <v/>
      </c>
      <c r="S985" s="11" t="str">
        <f>IF(R985="","",'[1]All Data '!BE990)</f>
        <v/>
      </c>
      <c r="T985" s="12" t="str">
        <f>IF(S985="","",[1]Inputs_Outputs!$B$8*(1-'LOCH Calc COE Calc'!S985))</f>
        <v/>
      </c>
      <c r="U985" s="13" t="str">
        <f t="shared" si="76"/>
        <v/>
      </c>
      <c r="V985" s="13" t="str">
        <f t="shared" si="77"/>
        <v/>
      </c>
      <c r="W985" s="4" t="str">
        <f t="shared" si="78"/>
        <v/>
      </c>
      <c r="X985" t="str">
        <f>IF(W985="","",LOOKUP(_xlfn.CONCAT(P985,", ",Q985),'[1]T+S Costs'!$F$2:$F$3138,'[1]T+S Costs'!$N$2:$N$3138))</f>
        <v/>
      </c>
      <c r="Y985" s="14" t="str">
        <f t="shared" si="79"/>
        <v/>
      </c>
      <c r="Z985" s="4" t="str">
        <f t="shared" si="80"/>
        <v/>
      </c>
    </row>
    <row r="986" spans="16:26" x14ac:dyDescent="0.25">
      <c r="P986" s="10" t="str">
        <f>IF('[1]All Data '!AZ991="","",'[1]All Data '!AZ991)</f>
        <v/>
      </c>
      <c r="Q986" s="10" t="str">
        <f>IF('[1]All Data '!BB991="","",'[1]All Data '!BB991)</f>
        <v/>
      </c>
      <c r="R986" s="10" t="str">
        <f>IF('[1]All Data '!BD991="","",'[1]All Data '!BD991)</f>
        <v/>
      </c>
      <c r="S986" s="11" t="str">
        <f>IF(R986="","",'[1]All Data '!BE991)</f>
        <v/>
      </c>
      <c r="T986" s="12" t="str">
        <f>IF(S986="","",[1]Inputs_Outputs!$B$8*(1-'LOCH Calc COE Calc'!S986))</f>
        <v/>
      </c>
      <c r="U986" s="13" t="str">
        <f t="shared" si="76"/>
        <v/>
      </c>
      <c r="V986" s="13" t="str">
        <f t="shared" si="77"/>
        <v/>
      </c>
      <c r="W986" s="4" t="str">
        <f t="shared" si="78"/>
        <v/>
      </c>
      <c r="X986" t="str">
        <f>IF(W986="","",LOOKUP(_xlfn.CONCAT(P986,", ",Q986),'[1]T+S Costs'!$F$2:$F$3138,'[1]T+S Costs'!$N$2:$N$3138))</f>
        <v/>
      </c>
      <c r="Y986" s="14" t="str">
        <f t="shared" si="79"/>
        <v/>
      </c>
      <c r="Z986" s="4" t="str">
        <f t="shared" si="80"/>
        <v/>
      </c>
    </row>
    <row r="987" spans="16:26" x14ac:dyDescent="0.25">
      <c r="P987" s="10" t="str">
        <f>IF('[1]All Data '!AZ992="","",'[1]All Data '!AZ992)</f>
        <v/>
      </c>
      <c r="Q987" s="10" t="str">
        <f>IF('[1]All Data '!BB992="","",'[1]All Data '!BB992)</f>
        <v/>
      </c>
      <c r="R987" s="10" t="str">
        <f>IF('[1]All Data '!BD992="","",'[1]All Data '!BD992)</f>
        <v/>
      </c>
      <c r="S987" s="11" t="str">
        <f>IF(R987="","",'[1]All Data '!BE992)</f>
        <v/>
      </c>
      <c r="T987" s="12" t="str">
        <f>IF(S987="","",[1]Inputs_Outputs!$B$8*(1-'LOCH Calc COE Calc'!S987))</f>
        <v/>
      </c>
      <c r="U987" s="13" t="str">
        <f t="shared" si="76"/>
        <v/>
      </c>
      <c r="V987" s="13" t="str">
        <f t="shared" si="77"/>
        <v/>
      </c>
      <c r="W987" s="4" t="str">
        <f t="shared" si="78"/>
        <v/>
      </c>
      <c r="X987" t="str">
        <f>IF(W987="","",LOOKUP(_xlfn.CONCAT(P987,", ",Q987),'[1]T+S Costs'!$F$2:$F$3138,'[1]T+S Costs'!$N$2:$N$3138))</f>
        <v/>
      </c>
      <c r="Y987" s="14" t="str">
        <f t="shared" si="79"/>
        <v/>
      </c>
      <c r="Z987" s="4" t="str">
        <f t="shared" si="80"/>
        <v/>
      </c>
    </row>
    <row r="988" spans="16:26" x14ac:dyDescent="0.25">
      <c r="P988" s="10" t="str">
        <f>IF('[1]All Data '!AZ993="","",'[1]All Data '!AZ993)</f>
        <v/>
      </c>
      <c r="Q988" s="10" t="str">
        <f>IF('[1]All Data '!BB993="","",'[1]All Data '!BB993)</f>
        <v/>
      </c>
      <c r="R988" s="10" t="str">
        <f>IF('[1]All Data '!BD993="","",'[1]All Data '!BD993)</f>
        <v/>
      </c>
      <c r="S988" s="11" t="str">
        <f>IF(R988="","",'[1]All Data '!BE993)</f>
        <v/>
      </c>
      <c r="T988" s="12" t="str">
        <f>IF(S988="","",[1]Inputs_Outputs!$B$8*(1-'LOCH Calc COE Calc'!S988))</f>
        <v/>
      </c>
      <c r="U988" s="13" t="str">
        <f t="shared" si="76"/>
        <v/>
      </c>
      <c r="V988" s="13" t="str">
        <f t="shared" si="77"/>
        <v/>
      </c>
      <c r="W988" s="4" t="str">
        <f t="shared" si="78"/>
        <v/>
      </c>
      <c r="X988" t="str">
        <f>IF(W988="","",LOOKUP(_xlfn.CONCAT(P988,", ",Q988),'[1]T+S Costs'!$F$2:$F$3138,'[1]T+S Costs'!$N$2:$N$3138))</f>
        <v/>
      </c>
      <c r="Y988" s="14" t="str">
        <f t="shared" si="79"/>
        <v/>
      </c>
      <c r="Z988" s="4" t="str">
        <f t="shared" si="80"/>
        <v/>
      </c>
    </row>
    <row r="989" spans="16:26" x14ac:dyDescent="0.25">
      <c r="P989" s="10" t="str">
        <f>IF('[1]All Data '!AZ994="","",'[1]All Data '!AZ994)</f>
        <v/>
      </c>
      <c r="Q989" s="10" t="str">
        <f>IF('[1]All Data '!BB994="","",'[1]All Data '!BB994)</f>
        <v/>
      </c>
      <c r="R989" s="10" t="str">
        <f>IF('[1]All Data '!BD994="","",'[1]All Data '!BD994)</f>
        <v/>
      </c>
      <c r="S989" s="11" t="str">
        <f>IF(R989="","",'[1]All Data '!BE994)</f>
        <v/>
      </c>
      <c r="T989" s="12" t="str">
        <f>IF(S989="","",[1]Inputs_Outputs!$B$8*(1-'LOCH Calc COE Calc'!S989))</f>
        <v/>
      </c>
      <c r="U989" s="13" t="str">
        <f t="shared" si="76"/>
        <v/>
      </c>
      <c r="V989" s="13" t="str">
        <f t="shared" si="77"/>
        <v/>
      </c>
      <c r="W989" s="4" t="str">
        <f t="shared" si="78"/>
        <v/>
      </c>
      <c r="X989" t="str">
        <f>IF(W989="","",LOOKUP(_xlfn.CONCAT(P989,", ",Q989),'[1]T+S Costs'!$F$2:$F$3138,'[1]T+S Costs'!$N$2:$N$3138))</f>
        <v/>
      </c>
      <c r="Y989" s="14" t="str">
        <f t="shared" si="79"/>
        <v/>
      </c>
      <c r="Z989" s="4" t="str">
        <f t="shared" si="80"/>
        <v/>
      </c>
    </row>
    <row r="990" spans="16:26" x14ac:dyDescent="0.25">
      <c r="P990" s="10" t="str">
        <f>IF('[1]All Data '!AZ995="","",'[1]All Data '!AZ995)</f>
        <v/>
      </c>
      <c r="Q990" s="10" t="str">
        <f>IF('[1]All Data '!BB995="","",'[1]All Data '!BB995)</f>
        <v/>
      </c>
      <c r="R990" s="10" t="str">
        <f>IF('[1]All Data '!BD995="","",'[1]All Data '!BD995)</f>
        <v/>
      </c>
      <c r="S990" s="11" t="str">
        <f>IF(R990="","",'[1]All Data '!BE995)</f>
        <v/>
      </c>
      <c r="T990" s="12" t="str">
        <f>IF(S990="","",[1]Inputs_Outputs!$B$8*(1-'LOCH Calc COE Calc'!S990))</f>
        <v/>
      </c>
      <c r="U990" s="13" t="str">
        <f t="shared" si="76"/>
        <v/>
      </c>
      <c r="V990" s="13" t="str">
        <f t="shared" si="77"/>
        <v/>
      </c>
      <c r="W990" s="4" t="str">
        <f t="shared" si="78"/>
        <v/>
      </c>
      <c r="X990" t="str">
        <f>IF(W990="","",LOOKUP(_xlfn.CONCAT(P990,", ",Q990),'[1]T+S Costs'!$F$2:$F$3138,'[1]T+S Costs'!$N$2:$N$3138))</f>
        <v/>
      </c>
      <c r="Y990" s="14" t="str">
        <f t="shared" si="79"/>
        <v/>
      </c>
      <c r="Z990" s="4" t="str">
        <f t="shared" si="80"/>
        <v/>
      </c>
    </row>
    <row r="991" spans="16:26" x14ac:dyDescent="0.25">
      <c r="P991" s="10" t="str">
        <f>IF('[1]All Data '!AZ996="","",'[1]All Data '!AZ996)</f>
        <v/>
      </c>
      <c r="Q991" s="10" t="str">
        <f>IF('[1]All Data '!BB996="","",'[1]All Data '!BB996)</f>
        <v/>
      </c>
      <c r="R991" s="10" t="str">
        <f>IF('[1]All Data '!BD996="","",'[1]All Data '!BD996)</f>
        <v/>
      </c>
      <c r="S991" s="11" t="str">
        <f>IF(R991="","",'[1]All Data '!BE996)</f>
        <v/>
      </c>
      <c r="T991" s="12" t="str">
        <f>IF(S991="","",[1]Inputs_Outputs!$B$8*(1-'LOCH Calc COE Calc'!S991))</f>
        <v/>
      </c>
      <c r="U991" s="13" t="str">
        <f t="shared" si="76"/>
        <v/>
      </c>
      <c r="V991" s="13" t="str">
        <f t="shared" si="77"/>
        <v/>
      </c>
      <c r="W991" s="4" t="str">
        <f t="shared" si="78"/>
        <v/>
      </c>
      <c r="X991" t="str">
        <f>IF(W991="","",LOOKUP(_xlfn.CONCAT(P991,", ",Q991),'[1]T+S Costs'!$F$2:$F$3138,'[1]T+S Costs'!$N$2:$N$3138))</f>
        <v/>
      </c>
      <c r="Y991" s="14" t="str">
        <f t="shared" si="79"/>
        <v/>
      </c>
      <c r="Z991" s="4" t="str">
        <f t="shared" si="80"/>
        <v/>
      </c>
    </row>
    <row r="992" spans="16:26" x14ac:dyDescent="0.25">
      <c r="P992" s="10" t="str">
        <f>IF('[1]All Data '!AZ997="","",'[1]All Data '!AZ997)</f>
        <v/>
      </c>
      <c r="Q992" s="10" t="str">
        <f>IF('[1]All Data '!BB997="","",'[1]All Data '!BB997)</f>
        <v/>
      </c>
      <c r="R992" s="10" t="str">
        <f>IF('[1]All Data '!BD997="","",'[1]All Data '!BD997)</f>
        <v/>
      </c>
      <c r="S992" s="11" t="str">
        <f>IF(R992="","",'[1]All Data '!BE997)</f>
        <v/>
      </c>
      <c r="T992" s="12" t="str">
        <f>IF(S992="","",[1]Inputs_Outputs!$B$8*(1-'LOCH Calc COE Calc'!S992))</f>
        <v/>
      </c>
      <c r="U992" s="13" t="str">
        <f t="shared" si="76"/>
        <v/>
      </c>
      <c r="V992" s="13" t="str">
        <f t="shared" si="77"/>
        <v/>
      </c>
      <c r="W992" s="4" t="str">
        <f t="shared" si="78"/>
        <v/>
      </c>
      <c r="X992" t="str">
        <f>IF(W992="","",LOOKUP(_xlfn.CONCAT(P992,", ",Q992),'[1]T+S Costs'!$F$2:$F$3138,'[1]T+S Costs'!$N$2:$N$3138))</f>
        <v/>
      </c>
      <c r="Y992" s="14" t="str">
        <f t="shared" si="79"/>
        <v/>
      </c>
      <c r="Z992" s="4" t="str">
        <f t="shared" si="80"/>
        <v/>
      </c>
    </row>
    <row r="993" spans="16:26" x14ac:dyDescent="0.25">
      <c r="P993" s="10" t="str">
        <f>IF('[1]All Data '!AZ998="","",'[1]All Data '!AZ998)</f>
        <v/>
      </c>
      <c r="Q993" s="10" t="str">
        <f>IF('[1]All Data '!BB998="","",'[1]All Data '!BB998)</f>
        <v/>
      </c>
      <c r="R993" s="10" t="str">
        <f>IF('[1]All Data '!BD998="","",'[1]All Data '!BD998)</f>
        <v/>
      </c>
      <c r="S993" s="11" t="str">
        <f>IF(R993="","",'[1]All Data '!BE998)</f>
        <v/>
      </c>
      <c r="T993" s="12" t="str">
        <f>IF(S993="","",[1]Inputs_Outputs!$B$8*(1-'LOCH Calc COE Calc'!S993))</f>
        <v/>
      </c>
      <c r="U993" s="13" t="str">
        <f t="shared" si="76"/>
        <v/>
      </c>
      <c r="V993" s="13" t="str">
        <f t="shared" si="77"/>
        <v/>
      </c>
      <c r="W993" s="4" t="str">
        <f t="shared" si="78"/>
        <v/>
      </c>
      <c r="X993" t="str">
        <f>IF(W993="","",LOOKUP(_xlfn.CONCAT(P993,", ",Q993),'[1]T+S Costs'!$F$2:$F$3138,'[1]T+S Costs'!$N$2:$N$3138))</f>
        <v/>
      </c>
      <c r="Y993" s="14" t="str">
        <f t="shared" si="79"/>
        <v/>
      </c>
      <c r="Z993" s="4" t="str">
        <f t="shared" si="80"/>
        <v/>
      </c>
    </row>
    <row r="994" spans="16:26" x14ac:dyDescent="0.25">
      <c r="P994" s="10" t="str">
        <f>IF('[1]All Data '!AZ999="","",'[1]All Data '!AZ999)</f>
        <v/>
      </c>
      <c r="Q994" s="10" t="str">
        <f>IF('[1]All Data '!BB999="","",'[1]All Data '!BB999)</f>
        <v/>
      </c>
      <c r="R994" s="10" t="str">
        <f>IF('[1]All Data '!BD999="","",'[1]All Data '!BD999)</f>
        <v/>
      </c>
      <c r="S994" s="11" t="str">
        <f>IF(R994="","",'[1]All Data '!BE999)</f>
        <v/>
      </c>
      <c r="T994" s="12" t="str">
        <f>IF(S994="","",[1]Inputs_Outputs!$B$8*(1-'LOCH Calc COE Calc'!S994))</f>
        <v/>
      </c>
      <c r="U994" s="13" t="str">
        <f t="shared" si="76"/>
        <v/>
      </c>
      <c r="V994" s="13" t="str">
        <f t="shared" si="77"/>
        <v/>
      </c>
      <c r="W994" s="4" t="str">
        <f t="shared" si="78"/>
        <v/>
      </c>
      <c r="X994" t="str">
        <f>IF(W994="","",LOOKUP(_xlfn.CONCAT(P994,", ",Q994),'[1]T+S Costs'!$F$2:$F$3138,'[1]T+S Costs'!$N$2:$N$3138))</f>
        <v/>
      </c>
      <c r="Y994" s="14" t="str">
        <f t="shared" si="79"/>
        <v/>
      </c>
      <c r="Z994" s="4" t="str">
        <f t="shared" si="80"/>
        <v/>
      </c>
    </row>
    <row r="995" spans="16:26" x14ac:dyDescent="0.25">
      <c r="P995" s="10" t="str">
        <f>IF('[1]All Data '!AZ1000="","",'[1]All Data '!AZ1000)</f>
        <v/>
      </c>
      <c r="Q995" s="10" t="str">
        <f>IF('[1]All Data '!BB1000="","",'[1]All Data '!BB1000)</f>
        <v/>
      </c>
      <c r="R995" s="10" t="str">
        <f>IF('[1]All Data '!BD1000="","",'[1]All Data '!BD1000)</f>
        <v/>
      </c>
      <c r="S995" s="11" t="str">
        <f>IF(R995="","",'[1]All Data '!BE1000)</f>
        <v/>
      </c>
      <c r="T995" s="12" t="str">
        <f>IF(S995="","",[1]Inputs_Outputs!$B$8*(1-'LOCH Calc COE Calc'!S995))</f>
        <v/>
      </c>
      <c r="U995" s="13" t="str">
        <f t="shared" si="76"/>
        <v/>
      </c>
      <c r="V995" s="13" t="str">
        <f t="shared" si="77"/>
        <v/>
      </c>
      <c r="W995" s="4" t="str">
        <f t="shared" si="78"/>
        <v/>
      </c>
      <c r="X995" t="str">
        <f>IF(W995="","",LOOKUP(_xlfn.CONCAT(P995,", ",Q995),'[1]T+S Costs'!$F$2:$F$3138,'[1]T+S Costs'!$N$2:$N$3138))</f>
        <v/>
      </c>
      <c r="Y995" s="14" t="str">
        <f t="shared" si="79"/>
        <v/>
      </c>
      <c r="Z995" s="4" t="str">
        <f t="shared" si="80"/>
        <v/>
      </c>
    </row>
    <row r="996" spans="16:26" x14ac:dyDescent="0.25">
      <c r="P996" s="10" t="str">
        <f>IF('[1]All Data '!AZ1001="","",'[1]All Data '!AZ1001)</f>
        <v/>
      </c>
      <c r="Q996" s="10" t="str">
        <f>IF('[1]All Data '!BB1001="","",'[1]All Data '!BB1001)</f>
        <v/>
      </c>
      <c r="R996" s="10" t="str">
        <f>IF('[1]All Data '!BD1001="","",'[1]All Data '!BD1001)</f>
        <v/>
      </c>
      <c r="S996" s="11" t="str">
        <f>IF(R996="","",'[1]All Data '!BE1001)</f>
        <v/>
      </c>
      <c r="T996" s="12" t="str">
        <f>IF(S996="","",[1]Inputs_Outputs!$B$8*(1-'LOCH Calc COE Calc'!S996))</f>
        <v/>
      </c>
      <c r="U996" s="13" t="str">
        <f t="shared" si="76"/>
        <v/>
      </c>
      <c r="V996" s="13" t="str">
        <f t="shared" si="77"/>
        <v/>
      </c>
      <c r="W996" s="4" t="str">
        <f t="shared" si="78"/>
        <v/>
      </c>
      <c r="X996" t="str">
        <f>IF(W996="","",LOOKUP(_xlfn.CONCAT(P996,", ",Q996),'[1]T+S Costs'!$F$2:$F$3138,'[1]T+S Costs'!$N$2:$N$3138))</f>
        <v/>
      </c>
      <c r="Y996" s="14" t="str">
        <f t="shared" si="79"/>
        <v/>
      </c>
      <c r="Z996" s="4" t="str">
        <f t="shared" si="80"/>
        <v/>
      </c>
    </row>
    <row r="997" spans="16:26" x14ac:dyDescent="0.25">
      <c r="P997" s="10" t="str">
        <f>IF('[1]All Data '!AZ1002="","",'[1]All Data '!AZ1002)</f>
        <v/>
      </c>
      <c r="Q997" s="10" t="str">
        <f>IF('[1]All Data '!BB1002="","",'[1]All Data '!BB1002)</f>
        <v/>
      </c>
      <c r="R997" s="10" t="str">
        <f>IF('[1]All Data '!BD1002="","",'[1]All Data '!BD1002)</f>
        <v/>
      </c>
      <c r="S997" s="11" t="str">
        <f>IF(R997="","",'[1]All Data '!BE1002)</f>
        <v/>
      </c>
      <c r="T997" s="12" t="str">
        <f>IF(S997="","",[1]Inputs_Outputs!$B$8*(1-'LOCH Calc COE Calc'!S997))</f>
        <v/>
      </c>
      <c r="U997" s="13" t="str">
        <f t="shared" si="76"/>
        <v/>
      </c>
      <c r="V997" s="13" t="str">
        <f t="shared" si="77"/>
        <v/>
      </c>
      <c r="W997" s="4" t="str">
        <f t="shared" si="78"/>
        <v/>
      </c>
      <c r="X997" t="str">
        <f>IF(W997="","",LOOKUP(_xlfn.CONCAT(P997,", ",Q997),'[1]T+S Costs'!$F$2:$F$3138,'[1]T+S Costs'!$N$2:$N$3138))</f>
        <v/>
      </c>
      <c r="Y997" s="14" t="str">
        <f t="shared" si="79"/>
        <v/>
      </c>
      <c r="Z997" s="4" t="str">
        <f t="shared" si="80"/>
        <v/>
      </c>
    </row>
    <row r="998" spans="16:26" x14ac:dyDescent="0.25">
      <c r="P998" s="10" t="str">
        <f>IF('[1]All Data '!AZ1003="","",'[1]All Data '!AZ1003)</f>
        <v/>
      </c>
      <c r="Q998" s="10" t="str">
        <f>IF('[1]All Data '!BB1003="","",'[1]All Data '!BB1003)</f>
        <v/>
      </c>
      <c r="R998" s="10" t="str">
        <f>IF('[1]All Data '!BD1003="","",'[1]All Data '!BD1003)</f>
        <v/>
      </c>
      <c r="S998" s="11" t="str">
        <f>IF(R998="","",'[1]All Data '!BE1003)</f>
        <v/>
      </c>
      <c r="T998" s="12" t="str">
        <f>IF(S998="","",[1]Inputs_Outputs!$B$8*(1-'LOCH Calc COE Calc'!S998))</f>
        <v/>
      </c>
      <c r="U998" s="13" t="str">
        <f t="shared" si="76"/>
        <v/>
      </c>
      <c r="V998" s="13" t="str">
        <f t="shared" si="77"/>
        <v/>
      </c>
      <c r="W998" s="4" t="str">
        <f t="shared" si="78"/>
        <v/>
      </c>
      <c r="X998" t="str">
        <f>IF(W998="","",LOOKUP(_xlfn.CONCAT(P998,", ",Q998),'[1]T+S Costs'!$F$2:$F$3138,'[1]T+S Costs'!$N$2:$N$3138))</f>
        <v/>
      </c>
      <c r="Y998" s="14" t="str">
        <f t="shared" si="79"/>
        <v/>
      </c>
      <c r="Z998" s="4" t="str">
        <f t="shared" si="80"/>
        <v/>
      </c>
    </row>
    <row r="999" spans="16:26" x14ac:dyDescent="0.25">
      <c r="P999" s="10" t="str">
        <f>IF('[1]All Data '!AZ1004="","",'[1]All Data '!AZ1004)</f>
        <v/>
      </c>
      <c r="Q999" s="10" t="str">
        <f>IF('[1]All Data '!BB1004="","",'[1]All Data '!BB1004)</f>
        <v/>
      </c>
      <c r="R999" s="10" t="str">
        <f>IF('[1]All Data '!BD1004="","",'[1]All Data '!BD1004)</f>
        <v/>
      </c>
      <c r="S999" s="11" t="str">
        <f>IF(R999="","",'[1]All Data '!BE1004)</f>
        <v/>
      </c>
      <c r="T999" s="12" t="str">
        <f>IF(S999="","",[1]Inputs_Outputs!$B$8*(1-'LOCH Calc COE Calc'!S999))</f>
        <v/>
      </c>
      <c r="U999" s="13" t="str">
        <f t="shared" si="76"/>
        <v/>
      </c>
      <c r="V999" s="13" t="str">
        <f t="shared" si="77"/>
        <v/>
      </c>
      <c r="W999" s="4" t="str">
        <f t="shared" si="78"/>
        <v/>
      </c>
      <c r="X999" t="str">
        <f>IF(W999="","",LOOKUP(_xlfn.CONCAT(P999,", ",Q999),'[1]T+S Costs'!$F$2:$F$3138,'[1]T+S Costs'!$N$2:$N$3138))</f>
        <v/>
      </c>
      <c r="Y999" s="14" t="str">
        <f t="shared" si="79"/>
        <v/>
      </c>
      <c r="Z999" s="4" t="str">
        <f t="shared" si="80"/>
        <v/>
      </c>
    </row>
    <row r="1000" spans="16:26" x14ac:dyDescent="0.25">
      <c r="P1000" s="10" t="str">
        <f>IF('[1]All Data '!AZ1005="","",'[1]All Data '!AZ1005)</f>
        <v/>
      </c>
      <c r="Q1000" s="10" t="str">
        <f>IF('[1]All Data '!BB1005="","",'[1]All Data '!BB1005)</f>
        <v/>
      </c>
      <c r="R1000" s="10" t="str">
        <f>IF('[1]All Data '!BD1005="","",'[1]All Data '!BD1005)</f>
        <v/>
      </c>
      <c r="S1000" s="11" t="str">
        <f>IF(R1000="","",'[1]All Data '!BE1005)</f>
        <v/>
      </c>
      <c r="T1000" s="12" t="str">
        <f>IF(S1000="","",[1]Inputs_Outputs!$B$8*(1-'LOCH Calc COE Calc'!S1000))</f>
        <v/>
      </c>
      <c r="U1000" s="13" t="str">
        <f t="shared" si="76"/>
        <v/>
      </c>
      <c r="V1000" s="13" t="str">
        <f t="shared" si="77"/>
        <v/>
      </c>
      <c r="W1000" s="4" t="str">
        <f t="shared" si="78"/>
        <v/>
      </c>
      <c r="X1000" t="str">
        <f>IF(W1000="","",LOOKUP(_xlfn.CONCAT(P1000,", ",Q1000),'[1]T+S Costs'!$F$2:$F$3138,'[1]T+S Costs'!$N$2:$N$3138))</f>
        <v/>
      </c>
      <c r="Y1000" s="14" t="str">
        <f t="shared" si="79"/>
        <v/>
      </c>
      <c r="Z1000" s="4" t="str">
        <f t="shared" si="80"/>
        <v/>
      </c>
    </row>
    <row r="1001" spans="16:26" x14ac:dyDescent="0.25">
      <c r="P1001" s="10" t="str">
        <f>IF('[1]All Data '!AZ1006="","",'[1]All Data '!AZ1006)</f>
        <v/>
      </c>
      <c r="Q1001" s="10" t="str">
        <f>IF('[1]All Data '!BB1006="","",'[1]All Data '!BB1006)</f>
        <v/>
      </c>
      <c r="R1001" s="10" t="str">
        <f>IF('[1]All Data '!BD1006="","",'[1]All Data '!BD1006)</f>
        <v/>
      </c>
      <c r="S1001" s="11" t="str">
        <f>IF(R1001="","",'[1]All Data '!BE1006)</f>
        <v/>
      </c>
      <c r="T1001" s="12" t="str">
        <f>IF(S1001="","",[1]Inputs_Outputs!$B$8*(1-'LOCH Calc COE Calc'!S1001))</f>
        <v/>
      </c>
      <c r="U1001" s="13" t="str">
        <f t="shared" si="76"/>
        <v/>
      </c>
      <c r="V1001" s="13" t="str">
        <f t="shared" si="77"/>
        <v/>
      </c>
      <c r="W1001" s="4" t="str">
        <f t="shared" si="78"/>
        <v/>
      </c>
      <c r="X1001" t="str">
        <f>IF(W1001="","",LOOKUP(_xlfn.CONCAT(P1001,", ",Q1001),'[1]T+S Costs'!$F$2:$F$3138,'[1]T+S Costs'!$N$2:$N$3138))</f>
        <v/>
      </c>
      <c r="Y1001" s="14" t="str">
        <f t="shared" si="79"/>
        <v/>
      </c>
      <c r="Z1001" s="4" t="str">
        <f t="shared" si="80"/>
        <v/>
      </c>
    </row>
    <row r="1002" spans="16:26" x14ac:dyDescent="0.25">
      <c r="P1002" s="10" t="str">
        <f>IF('[1]All Data '!AZ1007="","",'[1]All Data '!AZ1007)</f>
        <v/>
      </c>
      <c r="Q1002" s="10" t="str">
        <f>IF('[1]All Data '!BB1007="","",'[1]All Data '!BB1007)</f>
        <v/>
      </c>
      <c r="R1002" s="10" t="str">
        <f>IF('[1]All Data '!BD1007="","",'[1]All Data '!BD1007)</f>
        <v/>
      </c>
      <c r="S1002" s="11" t="str">
        <f>IF(R1002="","",'[1]All Data '!BE1007)</f>
        <v/>
      </c>
      <c r="T1002" s="12" t="str">
        <f>IF(S1002="","",[1]Inputs_Outputs!$B$8*(1-'LOCH Calc COE Calc'!S1002))</f>
        <v/>
      </c>
      <c r="U1002" s="13" t="str">
        <f t="shared" si="76"/>
        <v/>
      </c>
      <c r="V1002" s="13" t="str">
        <f t="shared" si="77"/>
        <v/>
      </c>
      <c r="W1002" s="4" t="str">
        <f t="shared" si="78"/>
        <v/>
      </c>
      <c r="X1002" t="str">
        <f>IF(W1002="","",LOOKUP(_xlfn.CONCAT(P1002,", ",Q1002),'[1]T+S Costs'!$F$2:$F$3138,'[1]T+S Costs'!$N$2:$N$3138))</f>
        <v/>
      </c>
      <c r="Y1002" s="14" t="str">
        <f t="shared" si="79"/>
        <v/>
      </c>
      <c r="Z1002" s="4" t="str">
        <f t="shared" si="80"/>
        <v/>
      </c>
    </row>
    <row r="1003" spans="16:26" x14ac:dyDescent="0.25">
      <c r="P1003" s="10" t="str">
        <f>IF('[1]All Data '!AZ1008="","",'[1]All Data '!AZ1008)</f>
        <v/>
      </c>
      <c r="Q1003" s="10" t="str">
        <f>IF('[1]All Data '!BB1008="","",'[1]All Data '!BB1008)</f>
        <v/>
      </c>
      <c r="R1003" s="10" t="str">
        <f>IF('[1]All Data '!BD1008="","",'[1]All Data '!BD1008)</f>
        <v/>
      </c>
      <c r="S1003" s="11" t="str">
        <f>IF(R1003="","",'[1]All Data '!BE1008)</f>
        <v/>
      </c>
      <c r="T1003" s="12" t="str">
        <f>IF(S1003="","",[1]Inputs_Outputs!$B$8*(1-'LOCH Calc COE Calc'!S1003))</f>
        <v/>
      </c>
      <c r="U1003" s="13" t="str">
        <f t="shared" si="76"/>
        <v/>
      </c>
      <c r="V1003" s="13" t="str">
        <f t="shared" si="77"/>
        <v/>
      </c>
      <c r="W1003" s="4" t="str">
        <f t="shared" si="78"/>
        <v/>
      </c>
      <c r="X1003" t="str">
        <f>IF(W1003="","",LOOKUP(_xlfn.CONCAT(P1003,", ",Q1003),'[1]T+S Costs'!$F$2:$F$3138,'[1]T+S Costs'!$N$2:$N$3138))</f>
        <v/>
      </c>
      <c r="Y1003" s="14" t="str">
        <f t="shared" si="79"/>
        <v/>
      </c>
      <c r="Z1003" s="4" t="str">
        <f t="shared" si="80"/>
        <v/>
      </c>
    </row>
    <row r="1004" spans="16:26" x14ac:dyDescent="0.25">
      <c r="P1004" s="10" t="str">
        <f>IF('[1]All Data '!AZ1009="","",'[1]All Data '!AZ1009)</f>
        <v/>
      </c>
      <c r="Q1004" s="10" t="str">
        <f>IF('[1]All Data '!BB1009="","",'[1]All Data '!BB1009)</f>
        <v/>
      </c>
      <c r="R1004" s="10" t="str">
        <f>IF('[1]All Data '!BD1009="","",'[1]All Data '!BD1009)</f>
        <v/>
      </c>
      <c r="S1004" s="11" t="str">
        <f>IF(R1004="","",'[1]All Data '!BE1009)</f>
        <v/>
      </c>
      <c r="T1004" s="12" t="str">
        <f>IF(S1004="","",[1]Inputs_Outputs!$B$8*(1-'LOCH Calc COE Calc'!S1004))</f>
        <v/>
      </c>
      <c r="U1004" s="13" t="str">
        <f t="shared" si="76"/>
        <v/>
      </c>
      <c r="V1004" s="13" t="str">
        <f t="shared" si="77"/>
        <v/>
      </c>
      <c r="W1004" s="4" t="str">
        <f t="shared" si="78"/>
        <v/>
      </c>
      <c r="X1004" t="str">
        <f>IF(W1004="","",LOOKUP(_xlfn.CONCAT(P1004,", ",Q1004),'[1]T+S Costs'!$F$2:$F$3138,'[1]T+S Costs'!$N$2:$N$3138))</f>
        <v/>
      </c>
      <c r="Y1004" s="14" t="str">
        <f t="shared" si="79"/>
        <v/>
      </c>
      <c r="Z1004" s="4" t="str">
        <f t="shared" si="80"/>
        <v/>
      </c>
    </row>
    <row r="1005" spans="16:26" x14ac:dyDescent="0.25">
      <c r="P1005" s="10" t="str">
        <f>IF('[1]All Data '!AZ1010="","",'[1]All Data '!AZ1010)</f>
        <v/>
      </c>
      <c r="Q1005" s="10" t="str">
        <f>IF('[1]All Data '!BB1010="","",'[1]All Data '!BB1010)</f>
        <v/>
      </c>
      <c r="R1005" s="10" t="str">
        <f>IF('[1]All Data '!BD1010="","",'[1]All Data '!BD1010)</f>
        <v/>
      </c>
      <c r="S1005" s="11" t="str">
        <f>IF(R1005="","",'[1]All Data '!BE1010)</f>
        <v/>
      </c>
      <c r="T1005" s="12" t="str">
        <f>IF(S1005="","",[1]Inputs_Outputs!$B$8*(1-'LOCH Calc COE Calc'!S1005))</f>
        <v/>
      </c>
      <c r="U1005" s="13" t="str">
        <f t="shared" si="76"/>
        <v/>
      </c>
      <c r="V1005" s="13" t="str">
        <f t="shared" si="77"/>
        <v/>
      </c>
      <c r="W1005" s="4" t="str">
        <f t="shared" si="78"/>
        <v/>
      </c>
      <c r="X1005" t="str">
        <f>IF(W1005="","",LOOKUP(_xlfn.CONCAT(P1005,", ",Q1005),'[1]T+S Costs'!$F$2:$F$3138,'[1]T+S Costs'!$N$2:$N$3138))</f>
        <v/>
      </c>
      <c r="Y1005" s="14" t="str">
        <f t="shared" si="79"/>
        <v/>
      </c>
      <c r="Z1005" s="4" t="str">
        <f t="shared" si="80"/>
        <v/>
      </c>
    </row>
    <row r="1006" spans="16:26" x14ac:dyDescent="0.25">
      <c r="P1006" s="10" t="str">
        <f>IF('[1]All Data '!AZ1011="","",'[1]All Data '!AZ1011)</f>
        <v/>
      </c>
      <c r="Q1006" s="10" t="str">
        <f>IF('[1]All Data '!BB1011="","",'[1]All Data '!BB1011)</f>
        <v/>
      </c>
      <c r="R1006" s="10" t="str">
        <f>IF('[1]All Data '!BD1011="","",'[1]All Data '!BD1011)</f>
        <v/>
      </c>
      <c r="S1006" s="11" t="str">
        <f>IF(R1006="","",'[1]All Data '!BE1011)</f>
        <v/>
      </c>
      <c r="T1006" s="12" t="str">
        <f>IF(S1006="","",[1]Inputs_Outputs!$B$8*(1-'LOCH Calc COE Calc'!S1006))</f>
        <v/>
      </c>
      <c r="U1006" s="13" t="str">
        <f t="shared" si="76"/>
        <v/>
      </c>
      <c r="V1006" s="13" t="str">
        <f t="shared" si="77"/>
        <v/>
      </c>
      <c r="W1006" s="4" t="str">
        <f t="shared" si="78"/>
        <v/>
      </c>
      <c r="X1006" t="str">
        <f>IF(W1006="","",LOOKUP(_xlfn.CONCAT(P1006,", ",Q1006),'[1]T+S Costs'!$F$2:$F$3138,'[1]T+S Costs'!$N$2:$N$3138))</f>
        <v/>
      </c>
      <c r="Y1006" s="14" t="str">
        <f t="shared" si="79"/>
        <v/>
      </c>
      <c r="Z1006" s="4" t="str">
        <f t="shared" si="80"/>
        <v/>
      </c>
    </row>
    <row r="1007" spans="16:26" x14ac:dyDescent="0.25">
      <c r="P1007" s="10" t="str">
        <f>IF('[1]All Data '!AZ1012="","",'[1]All Data '!AZ1012)</f>
        <v/>
      </c>
      <c r="Q1007" s="10" t="str">
        <f>IF('[1]All Data '!BB1012="","",'[1]All Data '!BB1012)</f>
        <v/>
      </c>
      <c r="R1007" s="10" t="str">
        <f>IF('[1]All Data '!BD1012="","",'[1]All Data '!BD1012)</f>
        <v/>
      </c>
      <c r="S1007" s="11" t="str">
        <f>IF(R1007="","",'[1]All Data '!BE1012)</f>
        <v/>
      </c>
      <c r="T1007" s="12" t="str">
        <f>IF(S1007="","",[1]Inputs_Outputs!$B$8*(1-'LOCH Calc COE Calc'!S1007))</f>
        <v/>
      </c>
      <c r="U1007" s="13" t="str">
        <f t="shared" si="76"/>
        <v/>
      </c>
      <c r="V1007" s="13" t="str">
        <f t="shared" si="77"/>
        <v/>
      </c>
      <c r="W1007" s="4" t="str">
        <f t="shared" si="78"/>
        <v/>
      </c>
      <c r="X1007" t="str">
        <f>IF(W1007="","",LOOKUP(_xlfn.CONCAT(P1007,", ",Q1007),'[1]T+S Costs'!$F$2:$F$3138,'[1]T+S Costs'!$N$2:$N$3138))</f>
        <v/>
      </c>
      <c r="Y1007" s="14" t="str">
        <f t="shared" si="79"/>
        <v/>
      </c>
      <c r="Z1007" s="4" t="str">
        <f t="shared" si="80"/>
        <v/>
      </c>
    </row>
    <row r="1008" spans="16:26" x14ac:dyDescent="0.25">
      <c r="P1008" s="10" t="str">
        <f>IF('[1]All Data '!AZ1013="","",'[1]All Data '!AZ1013)</f>
        <v/>
      </c>
      <c r="Q1008" s="10" t="str">
        <f>IF('[1]All Data '!BB1013="","",'[1]All Data '!BB1013)</f>
        <v/>
      </c>
      <c r="R1008" s="10" t="str">
        <f>IF('[1]All Data '!BD1013="","",'[1]All Data '!BD1013)</f>
        <v/>
      </c>
      <c r="S1008" s="11" t="str">
        <f>IF(R1008="","",'[1]All Data '!BE1013)</f>
        <v/>
      </c>
      <c r="T1008" s="12" t="str">
        <f>IF(S1008="","",[1]Inputs_Outputs!$B$8*(1-'LOCH Calc COE Calc'!S1008))</f>
        <v/>
      </c>
      <c r="U1008" s="13" t="str">
        <f t="shared" si="76"/>
        <v/>
      </c>
      <c r="V1008" s="13" t="str">
        <f t="shared" si="77"/>
        <v/>
      </c>
      <c r="W1008" s="4" t="str">
        <f t="shared" si="78"/>
        <v/>
      </c>
      <c r="X1008" t="str">
        <f>IF(W1008="","",LOOKUP(_xlfn.CONCAT(P1008,", ",Q1008),'[1]T+S Costs'!$F$2:$F$3138,'[1]T+S Costs'!$N$2:$N$3138))</f>
        <v/>
      </c>
      <c r="Y1008" s="14" t="str">
        <f t="shared" si="79"/>
        <v/>
      </c>
      <c r="Z1008" s="4" t="str">
        <f t="shared" si="80"/>
        <v/>
      </c>
    </row>
    <row r="1009" spans="16:26" x14ac:dyDescent="0.25">
      <c r="P1009" s="10" t="str">
        <f>IF('[1]All Data '!AZ1014="","",'[1]All Data '!AZ1014)</f>
        <v/>
      </c>
      <c r="Q1009" s="10" t="str">
        <f>IF('[1]All Data '!BB1014="","",'[1]All Data '!BB1014)</f>
        <v/>
      </c>
      <c r="R1009" s="10" t="str">
        <f>IF('[1]All Data '!BD1014="","",'[1]All Data '!BD1014)</f>
        <v/>
      </c>
      <c r="S1009" s="11" t="str">
        <f>IF(R1009="","",'[1]All Data '!BE1014)</f>
        <v/>
      </c>
      <c r="T1009" s="12" t="str">
        <f>IF(S1009="","",[1]Inputs_Outputs!$B$8*(1-'LOCH Calc COE Calc'!S1009))</f>
        <v/>
      </c>
      <c r="U1009" s="13" t="str">
        <f t="shared" si="76"/>
        <v/>
      </c>
      <c r="V1009" s="13" t="str">
        <f t="shared" si="77"/>
        <v/>
      </c>
      <c r="W1009" s="4" t="str">
        <f t="shared" si="78"/>
        <v/>
      </c>
      <c r="X1009" t="str">
        <f>IF(W1009="","",LOOKUP(_xlfn.CONCAT(P1009,", ",Q1009),'[1]T+S Costs'!$F$2:$F$3138,'[1]T+S Costs'!$N$2:$N$3138))</f>
        <v/>
      </c>
      <c r="Y1009" s="14" t="str">
        <f t="shared" si="79"/>
        <v/>
      </c>
      <c r="Z1009" s="4" t="str">
        <f t="shared" si="80"/>
        <v/>
      </c>
    </row>
    <row r="1010" spans="16:26" x14ac:dyDescent="0.25">
      <c r="P1010" s="10" t="str">
        <f>IF('[1]All Data '!AZ1015="","",'[1]All Data '!AZ1015)</f>
        <v/>
      </c>
      <c r="Q1010" s="10" t="str">
        <f>IF('[1]All Data '!BB1015="","",'[1]All Data '!BB1015)</f>
        <v/>
      </c>
      <c r="R1010" s="10" t="str">
        <f>IF('[1]All Data '!BD1015="","",'[1]All Data '!BD1015)</f>
        <v/>
      </c>
      <c r="S1010" s="11" t="str">
        <f>IF(R1010="","",'[1]All Data '!BE1015)</f>
        <v/>
      </c>
      <c r="T1010" s="12" t="str">
        <f>IF(S1010="","",[1]Inputs_Outputs!$B$8*(1-'LOCH Calc COE Calc'!S1010))</f>
        <v/>
      </c>
      <c r="U1010" s="13" t="str">
        <f t="shared" si="76"/>
        <v/>
      </c>
      <c r="V1010" s="13" t="str">
        <f t="shared" si="77"/>
        <v/>
      </c>
      <c r="W1010" s="4" t="str">
        <f t="shared" si="78"/>
        <v/>
      </c>
      <c r="X1010" t="str">
        <f>IF(W1010="","",LOOKUP(_xlfn.CONCAT(P1010,", ",Q1010),'[1]T+S Costs'!$F$2:$F$3138,'[1]T+S Costs'!$N$2:$N$3138))</f>
        <v/>
      </c>
      <c r="Y1010" s="14" t="str">
        <f t="shared" si="79"/>
        <v/>
      </c>
      <c r="Z1010" s="4" t="str">
        <f t="shared" si="80"/>
        <v/>
      </c>
    </row>
    <row r="1011" spans="16:26" x14ac:dyDescent="0.25">
      <c r="P1011" s="10" t="str">
        <f>IF('[1]All Data '!AZ1016="","",'[1]All Data '!AZ1016)</f>
        <v/>
      </c>
      <c r="Q1011" s="10" t="str">
        <f>IF('[1]All Data '!BB1016="","",'[1]All Data '!BB1016)</f>
        <v/>
      </c>
      <c r="R1011" s="10" t="str">
        <f>IF('[1]All Data '!BD1016="","",'[1]All Data '!BD1016)</f>
        <v/>
      </c>
      <c r="S1011" s="11" t="str">
        <f>IF(R1011="","",'[1]All Data '!BE1016)</f>
        <v/>
      </c>
      <c r="T1011" s="12" t="str">
        <f>IF(S1011="","",[1]Inputs_Outputs!$B$8*(1-'LOCH Calc COE Calc'!S1011))</f>
        <v/>
      </c>
      <c r="U1011" s="13" t="str">
        <f t="shared" si="76"/>
        <v/>
      </c>
      <c r="V1011" s="13" t="str">
        <f t="shared" si="77"/>
        <v/>
      </c>
      <c r="W1011" s="4" t="str">
        <f t="shared" si="78"/>
        <v/>
      </c>
      <c r="X1011" t="str">
        <f>IF(W1011="","",LOOKUP(_xlfn.CONCAT(P1011,", ",Q1011),'[1]T+S Costs'!$F$2:$F$3138,'[1]T+S Costs'!$N$2:$N$3138))</f>
        <v/>
      </c>
      <c r="Y1011" s="14" t="str">
        <f t="shared" si="79"/>
        <v/>
      </c>
      <c r="Z1011" s="4" t="str">
        <f t="shared" si="80"/>
        <v/>
      </c>
    </row>
    <row r="1012" spans="16:26" x14ac:dyDescent="0.25">
      <c r="P1012" s="10" t="str">
        <f>IF('[1]All Data '!AZ1017="","",'[1]All Data '!AZ1017)</f>
        <v/>
      </c>
      <c r="Q1012" s="10" t="str">
        <f>IF('[1]All Data '!BB1017="","",'[1]All Data '!BB1017)</f>
        <v/>
      </c>
      <c r="R1012" s="10" t="str">
        <f>IF('[1]All Data '!BD1017="","",'[1]All Data '!BD1017)</f>
        <v/>
      </c>
      <c r="S1012" s="11" t="str">
        <f>IF(R1012="","",'[1]All Data '!BE1017)</f>
        <v/>
      </c>
      <c r="T1012" s="12" t="str">
        <f>IF(S1012="","",[1]Inputs_Outputs!$B$8*(1-'LOCH Calc COE Calc'!S1012))</f>
        <v/>
      </c>
      <c r="U1012" s="13" t="str">
        <f t="shared" si="76"/>
        <v/>
      </c>
      <c r="V1012" s="13" t="str">
        <f t="shared" si="77"/>
        <v/>
      </c>
      <c r="W1012" s="4" t="str">
        <f t="shared" si="78"/>
        <v/>
      </c>
      <c r="X1012" t="str">
        <f>IF(W1012="","",LOOKUP(_xlfn.CONCAT(P1012,", ",Q1012),'[1]T+S Costs'!$F$2:$F$3138,'[1]T+S Costs'!$N$2:$N$3138))</f>
        <v/>
      </c>
      <c r="Y1012" s="14" t="str">
        <f t="shared" si="79"/>
        <v/>
      </c>
      <c r="Z1012" s="4" t="str">
        <f t="shared" si="80"/>
        <v/>
      </c>
    </row>
    <row r="1013" spans="16:26" x14ac:dyDescent="0.25">
      <c r="P1013" s="10" t="str">
        <f>IF('[1]All Data '!AZ1018="","",'[1]All Data '!AZ1018)</f>
        <v/>
      </c>
      <c r="Q1013" s="10" t="str">
        <f>IF('[1]All Data '!BB1018="","",'[1]All Data '!BB1018)</f>
        <v/>
      </c>
      <c r="R1013" s="10" t="str">
        <f>IF('[1]All Data '!BD1018="","",'[1]All Data '!BD1018)</f>
        <v/>
      </c>
      <c r="S1013" s="11" t="str">
        <f>IF(R1013="","",'[1]All Data '!BE1018)</f>
        <v/>
      </c>
      <c r="T1013" s="12" t="str">
        <f>IF(S1013="","",[1]Inputs_Outputs!$B$8*(1-'LOCH Calc COE Calc'!S1013))</f>
        <v/>
      </c>
      <c r="U1013" s="13" t="str">
        <f t="shared" si="76"/>
        <v/>
      </c>
      <c r="V1013" s="13" t="str">
        <f t="shared" si="77"/>
        <v/>
      </c>
      <c r="W1013" s="4" t="str">
        <f t="shared" si="78"/>
        <v/>
      </c>
      <c r="X1013" t="str">
        <f>IF(W1013="","",LOOKUP(_xlfn.CONCAT(P1013,", ",Q1013),'[1]T+S Costs'!$F$2:$F$3138,'[1]T+S Costs'!$N$2:$N$3138))</f>
        <v/>
      </c>
      <c r="Y1013" s="14" t="str">
        <f t="shared" si="79"/>
        <v/>
      </c>
      <c r="Z1013" s="4" t="str">
        <f t="shared" si="80"/>
        <v/>
      </c>
    </row>
    <row r="1014" spans="16:26" x14ac:dyDescent="0.25">
      <c r="P1014" s="10" t="str">
        <f>IF('[1]All Data '!AZ1019="","",'[1]All Data '!AZ1019)</f>
        <v/>
      </c>
      <c r="Q1014" s="10" t="str">
        <f>IF('[1]All Data '!BB1019="","",'[1]All Data '!BB1019)</f>
        <v/>
      </c>
      <c r="R1014" s="10" t="str">
        <f>IF('[1]All Data '!BD1019="","",'[1]All Data '!BD1019)</f>
        <v/>
      </c>
      <c r="S1014" s="11" t="str">
        <f>IF(R1014="","",'[1]All Data '!BE1019)</f>
        <v/>
      </c>
      <c r="T1014" s="12" t="str">
        <f>IF(S1014="","",[1]Inputs_Outputs!$B$8*(1-'LOCH Calc COE Calc'!S1014))</f>
        <v/>
      </c>
      <c r="U1014" s="13" t="str">
        <f t="shared" si="76"/>
        <v/>
      </c>
      <c r="V1014" s="13" t="str">
        <f t="shared" si="77"/>
        <v/>
      </c>
      <c r="W1014" s="4" t="str">
        <f t="shared" si="78"/>
        <v/>
      </c>
      <c r="X1014" t="str">
        <f>IF(W1014="","",LOOKUP(_xlfn.CONCAT(P1014,", ",Q1014),'[1]T+S Costs'!$F$2:$F$3138,'[1]T+S Costs'!$N$2:$N$3138))</f>
        <v/>
      </c>
      <c r="Y1014" s="14" t="str">
        <f t="shared" si="79"/>
        <v/>
      </c>
      <c r="Z1014" s="4" t="str">
        <f t="shared" si="80"/>
        <v/>
      </c>
    </row>
    <row r="1015" spans="16:26" x14ac:dyDescent="0.25">
      <c r="P1015" s="10" t="str">
        <f>IF('[1]All Data '!AZ1020="","",'[1]All Data '!AZ1020)</f>
        <v/>
      </c>
      <c r="Q1015" s="10" t="str">
        <f>IF('[1]All Data '!BB1020="","",'[1]All Data '!BB1020)</f>
        <v/>
      </c>
      <c r="R1015" s="10" t="str">
        <f>IF('[1]All Data '!BD1020="","",'[1]All Data '!BD1020)</f>
        <v/>
      </c>
      <c r="S1015" s="11" t="str">
        <f>IF(R1015="","",'[1]All Data '!BE1020)</f>
        <v/>
      </c>
      <c r="T1015" s="12" t="str">
        <f>IF(S1015="","",[1]Inputs_Outputs!$B$8*(1-'LOCH Calc COE Calc'!S1015))</f>
        <v/>
      </c>
      <c r="U1015" s="13" t="str">
        <f t="shared" si="76"/>
        <v/>
      </c>
      <c r="V1015" s="13" t="str">
        <f t="shared" si="77"/>
        <v/>
      </c>
      <c r="W1015" s="4" t="str">
        <f t="shared" si="78"/>
        <v/>
      </c>
      <c r="X1015" t="str">
        <f>IF(W1015="","",LOOKUP(_xlfn.CONCAT(P1015,", ",Q1015),'[1]T+S Costs'!$F$2:$F$3138,'[1]T+S Costs'!$N$2:$N$3138))</f>
        <v/>
      </c>
      <c r="Y1015" s="14" t="str">
        <f t="shared" si="79"/>
        <v/>
      </c>
      <c r="Z1015" s="4" t="str">
        <f t="shared" si="80"/>
        <v/>
      </c>
    </row>
    <row r="1016" spans="16:26" x14ac:dyDescent="0.25">
      <c r="P1016" s="10" t="str">
        <f>IF('[1]All Data '!AZ1021="","",'[1]All Data '!AZ1021)</f>
        <v/>
      </c>
      <c r="Q1016" s="10" t="str">
        <f>IF('[1]All Data '!BB1021="","",'[1]All Data '!BB1021)</f>
        <v/>
      </c>
      <c r="R1016" s="10" t="str">
        <f>IF('[1]All Data '!BD1021="","",'[1]All Data '!BD1021)</f>
        <v/>
      </c>
      <c r="S1016" s="11" t="str">
        <f>IF(R1016="","",'[1]All Data '!BE1021)</f>
        <v/>
      </c>
      <c r="T1016" s="12" t="str">
        <f>IF(S1016="","",[1]Inputs_Outputs!$B$8*(1-'LOCH Calc COE Calc'!S1016))</f>
        <v/>
      </c>
      <c r="U1016" s="13" t="str">
        <f t="shared" si="76"/>
        <v/>
      </c>
      <c r="V1016" s="13" t="str">
        <f t="shared" si="77"/>
        <v/>
      </c>
      <c r="W1016" s="4" t="str">
        <f t="shared" si="78"/>
        <v/>
      </c>
      <c r="X1016" t="str">
        <f>IF(W1016="","",LOOKUP(_xlfn.CONCAT(P1016,", ",Q1016),'[1]T+S Costs'!$F$2:$F$3138,'[1]T+S Costs'!$N$2:$N$3138))</f>
        <v/>
      </c>
      <c r="Y1016" s="14" t="str">
        <f t="shared" si="79"/>
        <v/>
      </c>
      <c r="Z1016" s="4" t="str">
        <f t="shared" si="80"/>
        <v/>
      </c>
    </row>
    <row r="1017" spans="16:26" x14ac:dyDescent="0.25">
      <c r="P1017" s="10" t="str">
        <f>IF('[1]All Data '!AZ1022="","",'[1]All Data '!AZ1022)</f>
        <v/>
      </c>
      <c r="Q1017" s="10" t="str">
        <f>IF('[1]All Data '!BB1022="","",'[1]All Data '!BB1022)</f>
        <v/>
      </c>
      <c r="R1017" s="10" t="str">
        <f>IF('[1]All Data '!BD1022="","",'[1]All Data '!BD1022)</f>
        <v/>
      </c>
      <c r="S1017" s="11" t="str">
        <f>IF(R1017="","",'[1]All Data '!BE1022)</f>
        <v/>
      </c>
      <c r="T1017" s="12" t="str">
        <f>IF(S1017="","",[1]Inputs_Outputs!$B$8*(1-'LOCH Calc COE Calc'!S1017))</f>
        <v/>
      </c>
      <c r="U1017" s="13" t="str">
        <f t="shared" si="76"/>
        <v/>
      </c>
      <c r="V1017" s="13" t="str">
        <f t="shared" si="77"/>
        <v/>
      </c>
      <c r="W1017" s="4" t="str">
        <f t="shared" si="78"/>
        <v/>
      </c>
      <c r="X1017" t="str">
        <f>IF(W1017="","",LOOKUP(_xlfn.CONCAT(P1017,", ",Q1017),'[1]T+S Costs'!$F$2:$F$3138,'[1]T+S Costs'!$N$2:$N$3138))</f>
        <v/>
      </c>
      <c r="Y1017" s="14" t="str">
        <f t="shared" si="79"/>
        <v/>
      </c>
      <c r="Z1017" s="4" t="str">
        <f t="shared" si="80"/>
        <v/>
      </c>
    </row>
    <row r="1018" spans="16:26" x14ac:dyDescent="0.25">
      <c r="P1018" s="10" t="str">
        <f>IF('[1]All Data '!AZ1023="","",'[1]All Data '!AZ1023)</f>
        <v/>
      </c>
      <c r="Q1018" s="10" t="str">
        <f>IF('[1]All Data '!BB1023="","",'[1]All Data '!BB1023)</f>
        <v/>
      </c>
      <c r="R1018" s="10" t="str">
        <f>IF('[1]All Data '!BD1023="","",'[1]All Data '!BD1023)</f>
        <v/>
      </c>
      <c r="S1018" s="11" t="str">
        <f>IF(R1018="","",'[1]All Data '!BE1023)</f>
        <v/>
      </c>
      <c r="T1018" s="12" t="str">
        <f>IF(S1018="","",[1]Inputs_Outputs!$B$8*(1-'LOCH Calc COE Calc'!S1018))</f>
        <v/>
      </c>
      <c r="U1018" s="13" t="str">
        <f t="shared" si="76"/>
        <v/>
      </c>
      <c r="V1018" s="13" t="str">
        <f t="shared" si="77"/>
        <v/>
      </c>
      <c r="W1018" s="4" t="str">
        <f t="shared" si="78"/>
        <v/>
      </c>
      <c r="X1018" t="str">
        <f>IF(W1018="","",LOOKUP(_xlfn.CONCAT(P1018,", ",Q1018),'[1]T+S Costs'!$F$2:$F$3138,'[1]T+S Costs'!$N$2:$N$3138))</f>
        <v/>
      </c>
      <c r="Y1018" s="14" t="str">
        <f t="shared" si="79"/>
        <v/>
      </c>
      <c r="Z1018" s="4" t="str">
        <f t="shared" si="80"/>
        <v/>
      </c>
    </row>
    <row r="1019" spans="16:26" x14ac:dyDescent="0.25">
      <c r="P1019" s="10" t="str">
        <f>IF('[1]All Data '!AZ1024="","",'[1]All Data '!AZ1024)</f>
        <v/>
      </c>
      <c r="Q1019" s="10" t="str">
        <f>IF('[1]All Data '!BB1024="","",'[1]All Data '!BB1024)</f>
        <v/>
      </c>
      <c r="R1019" s="10" t="str">
        <f>IF('[1]All Data '!BD1024="","",'[1]All Data '!BD1024)</f>
        <v/>
      </c>
      <c r="S1019" s="11" t="str">
        <f>IF(R1019="","",'[1]All Data '!BE1024)</f>
        <v/>
      </c>
      <c r="T1019" s="12" t="str">
        <f>IF(S1019="","",[1]Inputs_Outputs!$B$8*(1-'LOCH Calc COE Calc'!S1019))</f>
        <v/>
      </c>
      <c r="U1019" s="13" t="str">
        <f t="shared" si="76"/>
        <v/>
      </c>
      <c r="V1019" s="13" t="str">
        <f t="shared" si="77"/>
        <v/>
      </c>
      <c r="W1019" s="4" t="str">
        <f t="shared" si="78"/>
        <v/>
      </c>
      <c r="X1019" t="str">
        <f>IF(W1019="","",LOOKUP(_xlfn.CONCAT(P1019,", ",Q1019),'[1]T+S Costs'!$F$2:$F$3138,'[1]T+S Costs'!$N$2:$N$3138))</f>
        <v/>
      </c>
      <c r="Y1019" s="14" t="str">
        <f t="shared" si="79"/>
        <v/>
      </c>
      <c r="Z1019" s="4" t="str">
        <f t="shared" si="80"/>
        <v/>
      </c>
    </row>
    <row r="1020" spans="16:26" x14ac:dyDescent="0.25">
      <c r="P1020" s="10" t="str">
        <f>IF('[1]All Data '!AZ1025="","",'[1]All Data '!AZ1025)</f>
        <v/>
      </c>
      <c r="Q1020" s="10" t="str">
        <f>IF('[1]All Data '!BB1025="","",'[1]All Data '!BB1025)</f>
        <v/>
      </c>
      <c r="R1020" s="10" t="str">
        <f>IF('[1]All Data '!BD1025="","",'[1]All Data '!BD1025)</f>
        <v/>
      </c>
      <c r="S1020" s="11" t="str">
        <f>IF(R1020="","",'[1]All Data '!BE1025)</f>
        <v/>
      </c>
      <c r="T1020" s="12" t="str">
        <f>IF(S1020="","",[1]Inputs_Outputs!$B$8*(1-'LOCH Calc COE Calc'!S1020))</f>
        <v/>
      </c>
      <c r="U1020" s="13" t="str">
        <f t="shared" si="76"/>
        <v/>
      </c>
      <c r="V1020" s="13" t="str">
        <f t="shared" si="77"/>
        <v/>
      </c>
      <c r="W1020" s="4" t="str">
        <f t="shared" si="78"/>
        <v/>
      </c>
      <c r="X1020" t="str">
        <f>IF(W1020="","",LOOKUP(_xlfn.CONCAT(P1020,", ",Q1020),'[1]T+S Costs'!$F$2:$F$3138,'[1]T+S Costs'!$N$2:$N$3138))</f>
        <v/>
      </c>
      <c r="Y1020" s="14" t="str">
        <f t="shared" si="79"/>
        <v/>
      </c>
      <c r="Z1020" s="4" t="str">
        <f t="shared" si="80"/>
        <v/>
      </c>
    </row>
    <row r="1021" spans="16:26" x14ac:dyDescent="0.25">
      <c r="P1021" s="10" t="str">
        <f>IF('[1]All Data '!AZ1026="","",'[1]All Data '!AZ1026)</f>
        <v/>
      </c>
      <c r="Q1021" s="10" t="str">
        <f>IF('[1]All Data '!BB1026="","",'[1]All Data '!BB1026)</f>
        <v/>
      </c>
      <c r="R1021" s="10" t="str">
        <f>IF('[1]All Data '!BD1026="","",'[1]All Data '!BD1026)</f>
        <v/>
      </c>
      <c r="S1021" s="11" t="str">
        <f>IF(R1021="","",'[1]All Data '!BE1026)</f>
        <v/>
      </c>
      <c r="T1021" s="12" t="str">
        <f>IF(S1021="","",[1]Inputs_Outputs!$B$8*(1-'LOCH Calc COE Calc'!S1021))</f>
        <v/>
      </c>
      <c r="U1021" s="13" t="str">
        <f t="shared" si="76"/>
        <v/>
      </c>
      <c r="V1021" s="13" t="str">
        <f t="shared" si="77"/>
        <v/>
      </c>
      <c r="W1021" s="4" t="str">
        <f t="shared" si="78"/>
        <v/>
      </c>
      <c r="X1021" t="str">
        <f>IF(W1021="","",LOOKUP(_xlfn.CONCAT(P1021,", ",Q1021),'[1]T+S Costs'!$F$2:$F$3138,'[1]T+S Costs'!$N$2:$N$3138))</f>
        <v/>
      </c>
      <c r="Y1021" s="14" t="str">
        <f t="shared" si="79"/>
        <v/>
      </c>
      <c r="Z1021" s="4" t="str">
        <f t="shared" si="80"/>
        <v/>
      </c>
    </row>
    <row r="1022" spans="16:26" x14ac:dyDescent="0.25">
      <c r="P1022" s="10" t="str">
        <f>IF('[1]All Data '!AZ1027="","",'[1]All Data '!AZ1027)</f>
        <v/>
      </c>
      <c r="Q1022" s="10" t="str">
        <f>IF('[1]All Data '!BB1027="","",'[1]All Data '!BB1027)</f>
        <v/>
      </c>
      <c r="R1022" s="10" t="str">
        <f>IF('[1]All Data '!BD1027="","",'[1]All Data '!BD1027)</f>
        <v/>
      </c>
      <c r="S1022" s="11" t="str">
        <f>IF(R1022="","",'[1]All Data '!BE1027)</f>
        <v/>
      </c>
      <c r="T1022" s="12" t="str">
        <f>IF(S1022="","",[1]Inputs_Outputs!$B$8*(1-'LOCH Calc COE Calc'!S1022))</f>
        <v/>
      </c>
      <c r="U1022" s="13" t="str">
        <f t="shared" si="76"/>
        <v/>
      </c>
      <c r="V1022" s="13" t="str">
        <f t="shared" si="77"/>
        <v/>
      </c>
      <c r="W1022" s="4" t="str">
        <f t="shared" si="78"/>
        <v/>
      </c>
      <c r="X1022" t="str">
        <f>IF(W1022="","",LOOKUP(_xlfn.CONCAT(P1022,", ",Q1022),'[1]T+S Costs'!$F$2:$F$3138,'[1]T+S Costs'!$N$2:$N$3138))</f>
        <v/>
      </c>
      <c r="Y1022" s="14" t="str">
        <f t="shared" si="79"/>
        <v/>
      </c>
      <c r="Z1022" s="4" t="str">
        <f t="shared" si="80"/>
        <v/>
      </c>
    </row>
    <row r="1023" spans="16:26" x14ac:dyDescent="0.25">
      <c r="P1023" s="10" t="str">
        <f>IF('[1]All Data '!AZ1028="","",'[1]All Data '!AZ1028)</f>
        <v/>
      </c>
      <c r="Q1023" s="10" t="str">
        <f>IF('[1]All Data '!BB1028="","",'[1]All Data '!BB1028)</f>
        <v/>
      </c>
      <c r="R1023" s="10" t="str">
        <f>IF('[1]All Data '!BD1028="","",'[1]All Data '!BD1028)</f>
        <v/>
      </c>
      <c r="S1023" s="11" t="str">
        <f>IF(R1023="","",'[1]All Data '!BE1028)</f>
        <v/>
      </c>
      <c r="T1023" s="12" t="str">
        <f>IF(S1023="","",[1]Inputs_Outputs!$B$8*(1-'LOCH Calc COE Calc'!S1023))</f>
        <v/>
      </c>
      <c r="U1023" s="13" t="str">
        <f t="shared" si="76"/>
        <v/>
      </c>
      <c r="V1023" s="13" t="str">
        <f t="shared" si="77"/>
        <v/>
      </c>
      <c r="W1023" s="4" t="str">
        <f t="shared" si="78"/>
        <v/>
      </c>
      <c r="X1023" t="str">
        <f>IF(W1023="","",LOOKUP(_xlfn.CONCAT(P1023,", ",Q1023),'[1]T+S Costs'!$F$2:$F$3138,'[1]T+S Costs'!$N$2:$N$3138))</f>
        <v/>
      </c>
      <c r="Y1023" s="14" t="str">
        <f t="shared" si="79"/>
        <v/>
      </c>
      <c r="Z1023" s="4" t="str">
        <f t="shared" si="80"/>
        <v/>
      </c>
    </row>
    <row r="1024" spans="16:26" x14ac:dyDescent="0.25">
      <c r="P1024" s="10" t="str">
        <f>IF('[1]All Data '!AZ1029="","",'[1]All Data '!AZ1029)</f>
        <v/>
      </c>
      <c r="Q1024" s="10" t="str">
        <f>IF('[1]All Data '!BB1029="","",'[1]All Data '!BB1029)</f>
        <v/>
      </c>
      <c r="R1024" s="10" t="str">
        <f>IF('[1]All Data '!BD1029="","",'[1]All Data '!BD1029)</f>
        <v/>
      </c>
      <c r="S1024" s="11" t="str">
        <f>IF(R1024="","",'[1]All Data '!BE1029)</f>
        <v/>
      </c>
      <c r="T1024" s="12" t="str">
        <f>IF(S1024="","",[1]Inputs_Outputs!$B$8*(1-'LOCH Calc COE Calc'!S1024))</f>
        <v/>
      </c>
      <c r="U1024" s="13" t="str">
        <f t="shared" si="76"/>
        <v/>
      </c>
      <c r="V1024" s="13" t="str">
        <f t="shared" si="77"/>
        <v/>
      </c>
      <c r="W1024" s="4" t="str">
        <f t="shared" si="78"/>
        <v/>
      </c>
      <c r="X1024" t="str">
        <f>IF(W1024="","",LOOKUP(_xlfn.CONCAT(P1024,", ",Q1024),'[1]T+S Costs'!$F$2:$F$3138,'[1]T+S Costs'!$N$2:$N$3138))</f>
        <v/>
      </c>
      <c r="Y1024" s="14" t="str">
        <f t="shared" si="79"/>
        <v/>
      </c>
      <c r="Z1024" s="4" t="str">
        <f t="shared" si="80"/>
        <v/>
      </c>
    </row>
    <row r="1025" spans="16:26" x14ac:dyDescent="0.25">
      <c r="P1025" s="10" t="str">
        <f>IF('[1]All Data '!AZ1030="","",'[1]All Data '!AZ1030)</f>
        <v/>
      </c>
      <c r="Q1025" s="10" t="str">
        <f>IF('[1]All Data '!BB1030="","",'[1]All Data '!BB1030)</f>
        <v/>
      </c>
      <c r="R1025" s="10" t="str">
        <f>IF('[1]All Data '!BD1030="","",'[1]All Data '!BD1030)</f>
        <v/>
      </c>
      <c r="S1025" s="11" t="str">
        <f>IF(R1025="","",'[1]All Data '!BE1030)</f>
        <v/>
      </c>
      <c r="T1025" s="12" t="str">
        <f>IF(S1025="","",[1]Inputs_Outputs!$B$8*(1-'LOCH Calc COE Calc'!S1025))</f>
        <v/>
      </c>
      <c r="U1025" s="13" t="str">
        <f t="shared" si="76"/>
        <v/>
      </c>
      <c r="V1025" s="13" t="str">
        <f t="shared" si="77"/>
        <v/>
      </c>
      <c r="W1025" s="4" t="str">
        <f t="shared" si="78"/>
        <v/>
      </c>
      <c r="X1025" t="str">
        <f>IF(W1025="","",LOOKUP(_xlfn.CONCAT(P1025,", ",Q1025),'[1]T+S Costs'!$F$2:$F$3138,'[1]T+S Costs'!$N$2:$N$3138))</f>
        <v/>
      </c>
      <c r="Y1025" s="14" t="str">
        <f t="shared" si="79"/>
        <v/>
      </c>
      <c r="Z1025" s="4" t="str">
        <f t="shared" si="80"/>
        <v/>
      </c>
    </row>
    <row r="1026" spans="16:26" x14ac:dyDescent="0.25">
      <c r="P1026" s="10" t="str">
        <f>IF('[1]All Data '!AZ1031="","",'[1]All Data '!AZ1031)</f>
        <v/>
      </c>
      <c r="Q1026" s="10" t="str">
        <f>IF('[1]All Data '!BB1031="","",'[1]All Data '!BB1031)</f>
        <v/>
      </c>
      <c r="R1026" s="10" t="str">
        <f>IF('[1]All Data '!BD1031="","",'[1]All Data '!BD1031)</f>
        <v/>
      </c>
      <c r="S1026" s="11" t="str">
        <f>IF(R1026="","",'[1]All Data '!BE1031)</f>
        <v/>
      </c>
      <c r="T1026" s="12" t="str">
        <f>IF(S1026="","",[1]Inputs_Outputs!$B$8*(1-'LOCH Calc COE Calc'!S1026))</f>
        <v/>
      </c>
      <c r="U1026" s="13" t="str">
        <f t="shared" si="76"/>
        <v/>
      </c>
      <c r="V1026" s="13" t="str">
        <f t="shared" si="77"/>
        <v/>
      </c>
      <c r="W1026" s="4" t="str">
        <f t="shared" si="78"/>
        <v/>
      </c>
      <c r="X1026" t="str">
        <f>IF(W1026="","",LOOKUP(_xlfn.CONCAT(P1026,", ",Q1026),'[1]T+S Costs'!$F$2:$F$3138,'[1]T+S Costs'!$N$2:$N$3138))</f>
        <v/>
      </c>
      <c r="Y1026" s="14" t="str">
        <f t="shared" si="79"/>
        <v/>
      </c>
      <c r="Z1026" s="4" t="str">
        <f t="shared" si="80"/>
        <v/>
      </c>
    </row>
    <row r="1027" spans="16:26" x14ac:dyDescent="0.25">
      <c r="P1027" s="10" t="str">
        <f>IF('[1]All Data '!AZ1032="","",'[1]All Data '!AZ1032)</f>
        <v/>
      </c>
      <c r="Q1027" s="10" t="str">
        <f>IF('[1]All Data '!BB1032="","",'[1]All Data '!BB1032)</f>
        <v/>
      </c>
      <c r="R1027" s="10" t="str">
        <f>IF('[1]All Data '!BD1032="","",'[1]All Data '!BD1032)</f>
        <v/>
      </c>
      <c r="S1027" s="11" t="str">
        <f>IF(R1027="","",'[1]All Data '!BE1032)</f>
        <v/>
      </c>
      <c r="T1027" s="12" t="str">
        <f>IF(S1027="","",[1]Inputs_Outputs!$B$8*(1-'LOCH Calc COE Calc'!S1027))</f>
        <v/>
      </c>
      <c r="U1027" s="13" t="str">
        <f t="shared" ref="U1027:U1090" si="81">IF(S1027="","",R1027*T1027*365*$B$19/100)</f>
        <v/>
      </c>
      <c r="V1027" s="13" t="str">
        <f t="shared" ref="V1027:V1090" si="82">IF(S1027="","",(U1027*$B$19)/(($B$28)*$B$19))</f>
        <v/>
      </c>
      <c r="W1027" s="4" t="str">
        <f t="shared" ref="W1027:W1090" si="83">IF(S1027="","",V1027+$C$49+$C$50+$C$51)</f>
        <v/>
      </c>
      <c r="X1027" t="str">
        <f>IF(W1027="","",LOOKUP(_xlfn.CONCAT(P1027,", ",Q1027),'[1]T+S Costs'!$F$2:$F$3138,'[1]T+S Costs'!$N$2:$N$3138))</f>
        <v/>
      </c>
      <c r="Y1027" s="14" t="str">
        <f t="shared" ref="Y1027:Y1090" si="84">IF(X1027="","",((X1027*$B$60/$B$59)*$C$44)/$C$28)</f>
        <v/>
      </c>
      <c r="Z1027" s="4" t="str">
        <f t="shared" ref="Z1027:Z1090" si="85">IF(Y1027="","",W1027+Y1027)</f>
        <v/>
      </c>
    </row>
    <row r="1028" spans="16:26" x14ac:dyDescent="0.25">
      <c r="P1028" s="10" t="str">
        <f>IF('[1]All Data '!AZ1033="","",'[1]All Data '!AZ1033)</f>
        <v/>
      </c>
      <c r="Q1028" s="10" t="str">
        <f>IF('[1]All Data '!BB1033="","",'[1]All Data '!BB1033)</f>
        <v/>
      </c>
      <c r="R1028" s="10" t="str">
        <f>IF('[1]All Data '!BD1033="","",'[1]All Data '!BD1033)</f>
        <v/>
      </c>
      <c r="S1028" s="11" t="str">
        <f>IF(R1028="","",'[1]All Data '!BE1033)</f>
        <v/>
      </c>
      <c r="T1028" s="12" t="str">
        <f>IF(S1028="","",[1]Inputs_Outputs!$B$8*(1-'LOCH Calc COE Calc'!S1028))</f>
        <v/>
      </c>
      <c r="U1028" s="13" t="str">
        <f t="shared" si="81"/>
        <v/>
      </c>
      <c r="V1028" s="13" t="str">
        <f t="shared" si="82"/>
        <v/>
      </c>
      <c r="W1028" s="4" t="str">
        <f t="shared" si="83"/>
        <v/>
      </c>
      <c r="X1028" t="str">
        <f>IF(W1028="","",LOOKUP(_xlfn.CONCAT(P1028,", ",Q1028),'[1]T+S Costs'!$F$2:$F$3138,'[1]T+S Costs'!$N$2:$N$3138))</f>
        <v/>
      </c>
      <c r="Y1028" s="14" t="str">
        <f t="shared" si="84"/>
        <v/>
      </c>
      <c r="Z1028" s="4" t="str">
        <f t="shared" si="85"/>
        <v/>
      </c>
    </row>
    <row r="1029" spans="16:26" x14ac:dyDescent="0.25">
      <c r="P1029" s="10" t="str">
        <f>IF('[1]All Data '!AZ1034="","",'[1]All Data '!AZ1034)</f>
        <v/>
      </c>
      <c r="Q1029" s="10" t="str">
        <f>IF('[1]All Data '!BB1034="","",'[1]All Data '!BB1034)</f>
        <v/>
      </c>
      <c r="R1029" s="10" t="str">
        <f>IF('[1]All Data '!BD1034="","",'[1]All Data '!BD1034)</f>
        <v/>
      </c>
      <c r="S1029" s="11" t="str">
        <f>IF(R1029="","",'[1]All Data '!BE1034)</f>
        <v/>
      </c>
      <c r="T1029" s="12" t="str">
        <f>IF(S1029="","",[1]Inputs_Outputs!$B$8*(1-'LOCH Calc COE Calc'!S1029))</f>
        <v/>
      </c>
      <c r="U1029" s="13" t="str">
        <f t="shared" si="81"/>
        <v/>
      </c>
      <c r="V1029" s="13" t="str">
        <f t="shared" si="82"/>
        <v/>
      </c>
      <c r="W1029" s="4" t="str">
        <f t="shared" si="83"/>
        <v/>
      </c>
      <c r="X1029" t="str">
        <f>IF(W1029="","",LOOKUP(_xlfn.CONCAT(P1029,", ",Q1029),'[1]T+S Costs'!$F$2:$F$3138,'[1]T+S Costs'!$N$2:$N$3138))</f>
        <v/>
      </c>
      <c r="Y1029" s="14" t="str">
        <f t="shared" si="84"/>
        <v/>
      </c>
      <c r="Z1029" s="4" t="str">
        <f t="shared" si="85"/>
        <v/>
      </c>
    </row>
    <row r="1030" spans="16:26" x14ac:dyDescent="0.25">
      <c r="P1030" s="10" t="str">
        <f>IF('[1]All Data '!AZ1035="","",'[1]All Data '!AZ1035)</f>
        <v/>
      </c>
      <c r="Q1030" s="10" t="str">
        <f>IF('[1]All Data '!BB1035="","",'[1]All Data '!BB1035)</f>
        <v/>
      </c>
      <c r="R1030" s="10" t="str">
        <f>IF('[1]All Data '!BD1035="","",'[1]All Data '!BD1035)</f>
        <v/>
      </c>
      <c r="S1030" s="11" t="str">
        <f>IF(R1030="","",'[1]All Data '!BE1035)</f>
        <v/>
      </c>
      <c r="T1030" s="12" t="str">
        <f>IF(S1030="","",[1]Inputs_Outputs!$B$8*(1-'LOCH Calc COE Calc'!S1030))</f>
        <v/>
      </c>
      <c r="U1030" s="13" t="str">
        <f t="shared" si="81"/>
        <v/>
      </c>
      <c r="V1030" s="13" t="str">
        <f t="shared" si="82"/>
        <v/>
      </c>
      <c r="W1030" s="4" t="str">
        <f t="shared" si="83"/>
        <v/>
      </c>
      <c r="X1030" t="str">
        <f>IF(W1030="","",LOOKUP(_xlfn.CONCAT(P1030,", ",Q1030),'[1]T+S Costs'!$F$2:$F$3138,'[1]T+S Costs'!$N$2:$N$3138))</f>
        <v/>
      </c>
      <c r="Y1030" s="14" t="str">
        <f t="shared" si="84"/>
        <v/>
      </c>
      <c r="Z1030" s="4" t="str">
        <f t="shared" si="85"/>
        <v/>
      </c>
    </row>
    <row r="1031" spans="16:26" x14ac:dyDescent="0.25">
      <c r="P1031" s="10" t="str">
        <f>IF('[1]All Data '!AZ1036="","",'[1]All Data '!AZ1036)</f>
        <v/>
      </c>
      <c r="Q1031" s="10" t="str">
        <f>IF('[1]All Data '!BB1036="","",'[1]All Data '!BB1036)</f>
        <v/>
      </c>
      <c r="R1031" s="10" t="str">
        <f>IF('[1]All Data '!BD1036="","",'[1]All Data '!BD1036)</f>
        <v/>
      </c>
      <c r="S1031" s="11" t="str">
        <f>IF(R1031="","",'[1]All Data '!BE1036)</f>
        <v/>
      </c>
      <c r="T1031" s="12" t="str">
        <f>IF(S1031="","",[1]Inputs_Outputs!$B$8*(1-'LOCH Calc COE Calc'!S1031))</f>
        <v/>
      </c>
      <c r="U1031" s="13" t="str">
        <f t="shared" si="81"/>
        <v/>
      </c>
      <c r="V1031" s="13" t="str">
        <f t="shared" si="82"/>
        <v/>
      </c>
      <c r="W1031" s="4" t="str">
        <f t="shared" si="83"/>
        <v/>
      </c>
      <c r="X1031" t="str">
        <f>IF(W1031="","",LOOKUP(_xlfn.CONCAT(P1031,", ",Q1031),'[1]T+S Costs'!$F$2:$F$3138,'[1]T+S Costs'!$N$2:$N$3138))</f>
        <v/>
      </c>
      <c r="Y1031" s="14" t="str">
        <f t="shared" si="84"/>
        <v/>
      </c>
      <c r="Z1031" s="4" t="str">
        <f t="shared" si="85"/>
        <v/>
      </c>
    </row>
    <row r="1032" spans="16:26" x14ac:dyDescent="0.25">
      <c r="P1032" s="10" t="str">
        <f>IF('[1]All Data '!AZ1037="","",'[1]All Data '!AZ1037)</f>
        <v/>
      </c>
      <c r="Q1032" s="10" t="str">
        <f>IF('[1]All Data '!BB1037="","",'[1]All Data '!BB1037)</f>
        <v/>
      </c>
      <c r="R1032" s="10" t="str">
        <f>IF('[1]All Data '!BD1037="","",'[1]All Data '!BD1037)</f>
        <v/>
      </c>
      <c r="S1032" s="11" t="str">
        <f>IF(R1032="","",'[1]All Data '!BE1037)</f>
        <v/>
      </c>
      <c r="T1032" s="12" t="str">
        <f>IF(S1032="","",[1]Inputs_Outputs!$B$8*(1-'LOCH Calc COE Calc'!S1032))</f>
        <v/>
      </c>
      <c r="U1032" s="13" t="str">
        <f t="shared" si="81"/>
        <v/>
      </c>
      <c r="V1032" s="13" t="str">
        <f t="shared" si="82"/>
        <v/>
      </c>
      <c r="W1032" s="4" t="str">
        <f t="shared" si="83"/>
        <v/>
      </c>
      <c r="X1032" t="str">
        <f>IF(W1032="","",LOOKUP(_xlfn.CONCAT(P1032,", ",Q1032),'[1]T+S Costs'!$F$2:$F$3138,'[1]T+S Costs'!$N$2:$N$3138))</f>
        <v/>
      </c>
      <c r="Y1032" s="14" t="str">
        <f t="shared" si="84"/>
        <v/>
      </c>
      <c r="Z1032" s="4" t="str">
        <f t="shared" si="85"/>
        <v/>
      </c>
    </row>
    <row r="1033" spans="16:26" x14ac:dyDescent="0.25">
      <c r="P1033" s="10" t="str">
        <f>IF('[1]All Data '!AZ1038="","",'[1]All Data '!AZ1038)</f>
        <v/>
      </c>
      <c r="Q1033" s="10" t="str">
        <f>IF('[1]All Data '!BB1038="","",'[1]All Data '!BB1038)</f>
        <v/>
      </c>
      <c r="R1033" s="10" t="str">
        <f>IF('[1]All Data '!BD1038="","",'[1]All Data '!BD1038)</f>
        <v/>
      </c>
      <c r="S1033" s="11" t="str">
        <f>IF(R1033="","",'[1]All Data '!BE1038)</f>
        <v/>
      </c>
      <c r="T1033" s="12" t="str">
        <f>IF(S1033="","",[1]Inputs_Outputs!$B$8*(1-'LOCH Calc COE Calc'!S1033))</f>
        <v/>
      </c>
      <c r="U1033" s="13" t="str">
        <f t="shared" si="81"/>
        <v/>
      </c>
      <c r="V1033" s="13" t="str">
        <f t="shared" si="82"/>
        <v/>
      </c>
      <c r="W1033" s="4" t="str">
        <f t="shared" si="83"/>
        <v/>
      </c>
      <c r="X1033" t="str">
        <f>IF(W1033="","",LOOKUP(_xlfn.CONCAT(P1033,", ",Q1033),'[1]T+S Costs'!$F$2:$F$3138,'[1]T+S Costs'!$N$2:$N$3138))</f>
        <v/>
      </c>
      <c r="Y1033" s="14" t="str">
        <f t="shared" si="84"/>
        <v/>
      </c>
      <c r="Z1033" s="4" t="str">
        <f t="shared" si="85"/>
        <v/>
      </c>
    </row>
    <row r="1034" spans="16:26" x14ac:dyDescent="0.25">
      <c r="P1034" s="10" t="str">
        <f>IF('[1]All Data '!AZ1039="","",'[1]All Data '!AZ1039)</f>
        <v/>
      </c>
      <c r="Q1034" s="10" t="str">
        <f>IF('[1]All Data '!BB1039="","",'[1]All Data '!BB1039)</f>
        <v/>
      </c>
      <c r="R1034" s="10" t="str">
        <f>IF('[1]All Data '!BD1039="","",'[1]All Data '!BD1039)</f>
        <v/>
      </c>
      <c r="S1034" s="11" t="str">
        <f>IF(R1034="","",'[1]All Data '!BE1039)</f>
        <v/>
      </c>
      <c r="T1034" s="12" t="str">
        <f>IF(S1034="","",[1]Inputs_Outputs!$B$8*(1-'LOCH Calc COE Calc'!S1034))</f>
        <v/>
      </c>
      <c r="U1034" s="13" t="str">
        <f t="shared" si="81"/>
        <v/>
      </c>
      <c r="V1034" s="13" t="str">
        <f t="shared" si="82"/>
        <v/>
      </c>
      <c r="W1034" s="4" t="str">
        <f t="shared" si="83"/>
        <v/>
      </c>
      <c r="X1034" t="str">
        <f>IF(W1034="","",LOOKUP(_xlfn.CONCAT(P1034,", ",Q1034),'[1]T+S Costs'!$F$2:$F$3138,'[1]T+S Costs'!$N$2:$N$3138))</f>
        <v/>
      </c>
      <c r="Y1034" s="14" t="str">
        <f t="shared" si="84"/>
        <v/>
      </c>
      <c r="Z1034" s="4" t="str">
        <f t="shared" si="85"/>
        <v/>
      </c>
    </row>
    <row r="1035" spans="16:26" x14ac:dyDescent="0.25">
      <c r="P1035" s="10" t="str">
        <f>IF('[1]All Data '!AZ1040="","",'[1]All Data '!AZ1040)</f>
        <v/>
      </c>
      <c r="Q1035" s="10" t="str">
        <f>IF('[1]All Data '!BB1040="","",'[1]All Data '!BB1040)</f>
        <v/>
      </c>
      <c r="R1035" s="10" t="str">
        <f>IF('[1]All Data '!BD1040="","",'[1]All Data '!BD1040)</f>
        <v/>
      </c>
      <c r="S1035" s="11" t="str">
        <f>IF(R1035="","",'[1]All Data '!BE1040)</f>
        <v/>
      </c>
      <c r="T1035" s="12" t="str">
        <f>IF(S1035="","",[1]Inputs_Outputs!$B$8*(1-'LOCH Calc COE Calc'!S1035))</f>
        <v/>
      </c>
      <c r="U1035" s="13" t="str">
        <f t="shared" si="81"/>
        <v/>
      </c>
      <c r="V1035" s="13" t="str">
        <f t="shared" si="82"/>
        <v/>
      </c>
      <c r="W1035" s="4" t="str">
        <f t="shared" si="83"/>
        <v/>
      </c>
      <c r="X1035" t="str">
        <f>IF(W1035="","",LOOKUP(_xlfn.CONCAT(P1035,", ",Q1035),'[1]T+S Costs'!$F$2:$F$3138,'[1]T+S Costs'!$N$2:$N$3138))</f>
        <v/>
      </c>
      <c r="Y1035" s="14" t="str">
        <f t="shared" si="84"/>
        <v/>
      </c>
      <c r="Z1035" s="4" t="str">
        <f t="shared" si="85"/>
        <v/>
      </c>
    </row>
    <row r="1036" spans="16:26" x14ac:dyDescent="0.25">
      <c r="P1036" s="10" t="str">
        <f>IF('[1]All Data '!AZ1041="","",'[1]All Data '!AZ1041)</f>
        <v/>
      </c>
      <c r="Q1036" s="10" t="str">
        <f>IF('[1]All Data '!BB1041="","",'[1]All Data '!BB1041)</f>
        <v/>
      </c>
      <c r="R1036" s="10" t="str">
        <f>IF('[1]All Data '!BD1041="","",'[1]All Data '!BD1041)</f>
        <v/>
      </c>
      <c r="S1036" s="11" t="str">
        <f>IF(R1036="","",'[1]All Data '!BE1041)</f>
        <v/>
      </c>
      <c r="T1036" s="12" t="str">
        <f>IF(S1036="","",[1]Inputs_Outputs!$B$8*(1-'LOCH Calc COE Calc'!S1036))</f>
        <v/>
      </c>
      <c r="U1036" s="13" t="str">
        <f t="shared" si="81"/>
        <v/>
      </c>
      <c r="V1036" s="13" t="str">
        <f t="shared" si="82"/>
        <v/>
      </c>
      <c r="W1036" s="4" t="str">
        <f t="shared" si="83"/>
        <v/>
      </c>
      <c r="X1036" t="str">
        <f>IF(W1036="","",LOOKUP(_xlfn.CONCAT(P1036,", ",Q1036),'[1]T+S Costs'!$F$2:$F$3138,'[1]T+S Costs'!$N$2:$N$3138))</f>
        <v/>
      </c>
      <c r="Y1036" s="14" t="str">
        <f t="shared" si="84"/>
        <v/>
      </c>
      <c r="Z1036" s="4" t="str">
        <f t="shared" si="85"/>
        <v/>
      </c>
    </row>
    <row r="1037" spans="16:26" x14ac:dyDescent="0.25">
      <c r="P1037" s="10" t="str">
        <f>IF('[1]All Data '!AZ1042="","",'[1]All Data '!AZ1042)</f>
        <v/>
      </c>
      <c r="Q1037" s="10" t="str">
        <f>IF('[1]All Data '!BB1042="","",'[1]All Data '!BB1042)</f>
        <v/>
      </c>
      <c r="R1037" s="10" t="str">
        <f>IF('[1]All Data '!BD1042="","",'[1]All Data '!BD1042)</f>
        <v/>
      </c>
      <c r="S1037" s="11" t="str">
        <f>IF(R1037="","",'[1]All Data '!BE1042)</f>
        <v/>
      </c>
      <c r="T1037" s="12" t="str">
        <f>IF(S1037="","",[1]Inputs_Outputs!$B$8*(1-'LOCH Calc COE Calc'!S1037))</f>
        <v/>
      </c>
      <c r="U1037" s="13" t="str">
        <f t="shared" si="81"/>
        <v/>
      </c>
      <c r="V1037" s="13" t="str">
        <f t="shared" si="82"/>
        <v/>
      </c>
      <c r="W1037" s="4" t="str">
        <f t="shared" si="83"/>
        <v/>
      </c>
      <c r="X1037" t="str">
        <f>IF(W1037="","",LOOKUP(_xlfn.CONCAT(P1037,", ",Q1037),'[1]T+S Costs'!$F$2:$F$3138,'[1]T+S Costs'!$N$2:$N$3138))</f>
        <v/>
      </c>
      <c r="Y1037" s="14" t="str">
        <f t="shared" si="84"/>
        <v/>
      </c>
      <c r="Z1037" s="4" t="str">
        <f t="shared" si="85"/>
        <v/>
      </c>
    </row>
    <row r="1038" spans="16:26" x14ac:dyDescent="0.25">
      <c r="P1038" s="10" t="str">
        <f>IF('[1]All Data '!AZ1043="","",'[1]All Data '!AZ1043)</f>
        <v/>
      </c>
      <c r="Q1038" s="10" t="str">
        <f>IF('[1]All Data '!BB1043="","",'[1]All Data '!BB1043)</f>
        <v/>
      </c>
      <c r="R1038" s="10" t="str">
        <f>IF('[1]All Data '!BD1043="","",'[1]All Data '!BD1043)</f>
        <v/>
      </c>
      <c r="S1038" s="11" t="str">
        <f>IF(R1038="","",'[1]All Data '!BE1043)</f>
        <v/>
      </c>
      <c r="T1038" s="12" t="str">
        <f>IF(S1038="","",[1]Inputs_Outputs!$B$8*(1-'LOCH Calc COE Calc'!S1038))</f>
        <v/>
      </c>
      <c r="U1038" s="13" t="str">
        <f t="shared" si="81"/>
        <v/>
      </c>
      <c r="V1038" s="13" t="str">
        <f t="shared" si="82"/>
        <v/>
      </c>
      <c r="W1038" s="4" t="str">
        <f t="shared" si="83"/>
        <v/>
      </c>
      <c r="X1038" t="str">
        <f>IF(W1038="","",LOOKUP(_xlfn.CONCAT(P1038,", ",Q1038),'[1]T+S Costs'!$F$2:$F$3138,'[1]T+S Costs'!$N$2:$N$3138))</f>
        <v/>
      </c>
      <c r="Y1038" s="14" t="str">
        <f t="shared" si="84"/>
        <v/>
      </c>
      <c r="Z1038" s="4" t="str">
        <f t="shared" si="85"/>
        <v/>
      </c>
    </row>
    <row r="1039" spans="16:26" x14ac:dyDescent="0.25">
      <c r="P1039" s="10" t="str">
        <f>IF('[1]All Data '!AZ1044="","",'[1]All Data '!AZ1044)</f>
        <v/>
      </c>
      <c r="Q1039" s="10" t="str">
        <f>IF('[1]All Data '!BB1044="","",'[1]All Data '!BB1044)</f>
        <v/>
      </c>
      <c r="R1039" s="10" t="str">
        <f>IF('[1]All Data '!BD1044="","",'[1]All Data '!BD1044)</f>
        <v/>
      </c>
      <c r="S1039" s="11" t="str">
        <f>IF(R1039="","",'[1]All Data '!BE1044)</f>
        <v/>
      </c>
      <c r="T1039" s="12" t="str">
        <f>IF(S1039="","",[1]Inputs_Outputs!$B$8*(1-'LOCH Calc COE Calc'!S1039))</f>
        <v/>
      </c>
      <c r="U1039" s="13" t="str">
        <f t="shared" si="81"/>
        <v/>
      </c>
      <c r="V1039" s="13" t="str">
        <f t="shared" si="82"/>
        <v/>
      </c>
      <c r="W1039" s="4" t="str">
        <f t="shared" si="83"/>
        <v/>
      </c>
      <c r="X1039" t="str">
        <f>IF(W1039="","",LOOKUP(_xlfn.CONCAT(P1039,", ",Q1039),'[1]T+S Costs'!$F$2:$F$3138,'[1]T+S Costs'!$N$2:$N$3138))</f>
        <v/>
      </c>
      <c r="Y1039" s="14" t="str">
        <f t="shared" si="84"/>
        <v/>
      </c>
      <c r="Z1039" s="4" t="str">
        <f t="shared" si="85"/>
        <v/>
      </c>
    </row>
    <row r="1040" spans="16:26" x14ac:dyDescent="0.25">
      <c r="P1040" s="10" t="str">
        <f>IF('[1]All Data '!AZ1045="","",'[1]All Data '!AZ1045)</f>
        <v/>
      </c>
      <c r="Q1040" s="10" t="str">
        <f>IF('[1]All Data '!BB1045="","",'[1]All Data '!BB1045)</f>
        <v/>
      </c>
      <c r="R1040" s="10" t="str">
        <f>IF('[1]All Data '!BD1045="","",'[1]All Data '!BD1045)</f>
        <v/>
      </c>
      <c r="S1040" s="11" t="str">
        <f>IF(R1040="","",'[1]All Data '!BE1045)</f>
        <v/>
      </c>
      <c r="T1040" s="12" t="str">
        <f>IF(S1040="","",[1]Inputs_Outputs!$B$8*(1-'LOCH Calc COE Calc'!S1040))</f>
        <v/>
      </c>
      <c r="U1040" s="13" t="str">
        <f t="shared" si="81"/>
        <v/>
      </c>
      <c r="V1040" s="13" t="str">
        <f t="shared" si="82"/>
        <v/>
      </c>
      <c r="W1040" s="4" t="str">
        <f t="shared" si="83"/>
        <v/>
      </c>
      <c r="X1040" t="str">
        <f>IF(W1040="","",LOOKUP(_xlfn.CONCAT(P1040,", ",Q1040),'[1]T+S Costs'!$F$2:$F$3138,'[1]T+S Costs'!$N$2:$N$3138))</f>
        <v/>
      </c>
      <c r="Y1040" s="14" t="str">
        <f t="shared" si="84"/>
        <v/>
      </c>
      <c r="Z1040" s="4" t="str">
        <f t="shared" si="85"/>
        <v/>
      </c>
    </row>
    <row r="1041" spans="16:26" x14ac:dyDescent="0.25">
      <c r="P1041" s="10" t="str">
        <f>IF('[1]All Data '!AZ1046="","",'[1]All Data '!AZ1046)</f>
        <v/>
      </c>
      <c r="Q1041" s="10" t="str">
        <f>IF('[1]All Data '!BB1046="","",'[1]All Data '!BB1046)</f>
        <v/>
      </c>
      <c r="R1041" s="10" t="str">
        <f>IF('[1]All Data '!BD1046="","",'[1]All Data '!BD1046)</f>
        <v/>
      </c>
      <c r="S1041" s="11" t="str">
        <f>IF(R1041="","",'[1]All Data '!BE1046)</f>
        <v/>
      </c>
      <c r="T1041" s="12" t="str">
        <f>IF(S1041="","",[1]Inputs_Outputs!$B$8*(1-'LOCH Calc COE Calc'!S1041))</f>
        <v/>
      </c>
      <c r="U1041" s="13" t="str">
        <f t="shared" si="81"/>
        <v/>
      </c>
      <c r="V1041" s="13" t="str">
        <f t="shared" si="82"/>
        <v/>
      </c>
      <c r="W1041" s="4" t="str">
        <f t="shared" si="83"/>
        <v/>
      </c>
      <c r="X1041" t="str">
        <f>IF(W1041="","",LOOKUP(_xlfn.CONCAT(P1041,", ",Q1041),'[1]T+S Costs'!$F$2:$F$3138,'[1]T+S Costs'!$N$2:$N$3138))</f>
        <v/>
      </c>
      <c r="Y1041" s="14" t="str">
        <f t="shared" si="84"/>
        <v/>
      </c>
      <c r="Z1041" s="4" t="str">
        <f t="shared" si="85"/>
        <v/>
      </c>
    </row>
    <row r="1042" spans="16:26" x14ac:dyDescent="0.25">
      <c r="P1042" s="10" t="str">
        <f>IF('[1]All Data '!AZ1047="","",'[1]All Data '!AZ1047)</f>
        <v/>
      </c>
      <c r="Q1042" s="10" t="str">
        <f>IF('[1]All Data '!BB1047="","",'[1]All Data '!BB1047)</f>
        <v/>
      </c>
      <c r="R1042" s="10" t="str">
        <f>IF('[1]All Data '!BD1047="","",'[1]All Data '!BD1047)</f>
        <v/>
      </c>
      <c r="S1042" s="11" t="str">
        <f>IF(R1042="","",'[1]All Data '!BE1047)</f>
        <v/>
      </c>
      <c r="T1042" s="12" t="str">
        <f>IF(S1042="","",[1]Inputs_Outputs!$B$8*(1-'LOCH Calc COE Calc'!S1042))</f>
        <v/>
      </c>
      <c r="U1042" s="13" t="str">
        <f t="shared" si="81"/>
        <v/>
      </c>
      <c r="V1042" s="13" t="str">
        <f t="shared" si="82"/>
        <v/>
      </c>
      <c r="W1042" s="4" t="str">
        <f t="shared" si="83"/>
        <v/>
      </c>
      <c r="X1042" t="str">
        <f>IF(W1042="","",LOOKUP(_xlfn.CONCAT(P1042,", ",Q1042),'[1]T+S Costs'!$F$2:$F$3138,'[1]T+S Costs'!$N$2:$N$3138))</f>
        <v/>
      </c>
      <c r="Y1042" s="14" t="str">
        <f t="shared" si="84"/>
        <v/>
      </c>
      <c r="Z1042" s="4" t="str">
        <f t="shared" si="85"/>
        <v/>
      </c>
    </row>
    <row r="1043" spans="16:26" x14ac:dyDescent="0.25">
      <c r="P1043" s="10" t="str">
        <f>IF('[1]All Data '!AZ1048="","",'[1]All Data '!AZ1048)</f>
        <v/>
      </c>
      <c r="Q1043" s="10" t="str">
        <f>IF('[1]All Data '!BB1048="","",'[1]All Data '!BB1048)</f>
        <v/>
      </c>
      <c r="R1043" s="10" t="str">
        <f>IF('[1]All Data '!BD1048="","",'[1]All Data '!BD1048)</f>
        <v/>
      </c>
      <c r="S1043" s="11" t="str">
        <f>IF(R1043="","",'[1]All Data '!BE1048)</f>
        <v/>
      </c>
      <c r="T1043" s="12" t="str">
        <f>IF(S1043="","",[1]Inputs_Outputs!$B$8*(1-'LOCH Calc COE Calc'!S1043))</f>
        <v/>
      </c>
      <c r="U1043" s="13" t="str">
        <f t="shared" si="81"/>
        <v/>
      </c>
      <c r="V1043" s="13" t="str">
        <f t="shared" si="82"/>
        <v/>
      </c>
      <c r="W1043" s="4" t="str">
        <f t="shared" si="83"/>
        <v/>
      </c>
      <c r="X1043" t="str">
        <f>IF(W1043="","",LOOKUP(_xlfn.CONCAT(P1043,", ",Q1043),'[1]T+S Costs'!$F$2:$F$3138,'[1]T+S Costs'!$N$2:$N$3138))</f>
        <v/>
      </c>
      <c r="Y1043" s="14" t="str">
        <f t="shared" si="84"/>
        <v/>
      </c>
      <c r="Z1043" s="4" t="str">
        <f t="shared" si="85"/>
        <v/>
      </c>
    </row>
    <row r="1044" spans="16:26" x14ac:dyDescent="0.25">
      <c r="P1044" s="10" t="str">
        <f>IF('[1]All Data '!AZ1049="","",'[1]All Data '!AZ1049)</f>
        <v/>
      </c>
      <c r="Q1044" s="10" t="str">
        <f>IF('[1]All Data '!BB1049="","",'[1]All Data '!BB1049)</f>
        <v/>
      </c>
      <c r="R1044" s="10" t="str">
        <f>IF('[1]All Data '!BD1049="","",'[1]All Data '!BD1049)</f>
        <v/>
      </c>
      <c r="S1044" s="11" t="str">
        <f>IF(R1044="","",'[1]All Data '!BE1049)</f>
        <v/>
      </c>
      <c r="T1044" s="12" t="str">
        <f>IF(S1044="","",[1]Inputs_Outputs!$B$8*(1-'LOCH Calc COE Calc'!S1044))</f>
        <v/>
      </c>
      <c r="U1044" s="13" t="str">
        <f t="shared" si="81"/>
        <v/>
      </c>
      <c r="V1044" s="13" t="str">
        <f t="shared" si="82"/>
        <v/>
      </c>
      <c r="W1044" s="4" t="str">
        <f t="shared" si="83"/>
        <v/>
      </c>
      <c r="X1044" t="str">
        <f>IF(W1044="","",LOOKUP(_xlfn.CONCAT(P1044,", ",Q1044),'[1]T+S Costs'!$F$2:$F$3138,'[1]T+S Costs'!$N$2:$N$3138))</f>
        <v/>
      </c>
      <c r="Y1044" s="14" t="str">
        <f t="shared" si="84"/>
        <v/>
      </c>
      <c r="Z1044" s="4" t="str">
        <f t="shared" si="85"/>
        <v/>
      </c>
    </row>
    <row r="1045" spans="16:26" x14ac:dyDescent="0.25">
      <c r="P1045" s="10" t="str">
        <f>IF('[1]All Data '!AZ1050="","",'[1]All Data '!AZ1050)</f>
        <v/>
      </c>
      <c r="Q1045" s="10" t="str">
        <f>IF('[1]All Data '!BB1050="","",'[1]All Data '!BB1050)</f>
        <v/>
      </c>
      <c r="R1045" s="10" t="str">
        <f>IF('[1]All Data '!BD1050="","",'[1]All Data '!BD1050)</f>
        <v/>
      </c>
      <c r="S1045" s="11" t="str">
        <f>IF(R1045="","",'[1]All Data '!BE1050)</f>
        <v/>
      </c>
      <c r="T1045" s="12" t="str">
        <f>IF(S1045="","",[1]Inputs_Outputs!$B$8*(1-'LOCH Calc COE Calc'!S1045))</f>
        <v/>
      </c>
      <c r="U1045" s="13" t="str">
        <f t="shared" si="81"/>
        <v/>
      </c>
      <c r="V1045" s="13" t="str">
        <f t="shared" si="82"/>
        <v/>
      </c>
      <c r="W1045" s="4" t="str">
        <f t="shared" si="83"/>
        <v/>
      </c>
      <c r="X1045" t="str">
        <f>IF(W1045="","",LOOKUP(_xlfn.CONCAT(P1045,", ",Q1045),'[1]T+S Costs'!$F$2:$F$3138,'[1]T+S Costs'!$N$2:$N$3138))</f>
        <v/>
      </c>
      <c r="Y1045" s="14" t="str">
        <f t="shared" si="84"/>
        <v/>
      </c>
      <c r="Z1045" s="4" t="str">
        <f t="shared" si="85"/>
        <v/>
      </c>
    </row>
    <row r="1046" spans="16:26" x14ac:dyDescent="0.25">
      <c r="P1046" s="10" t="str">
        <f>IF('[1]All Data '!AZ1051="","",'[1]All Data '!AZ1051)</f>
        <v/>
      </c>
      <c r="Q1046" s="10" t="str">
        <f>IF('[1]All Data '!BB1051="","",'[1]All Data '!BB1051)</f>
        <v/>
      </c>
      <c r="R1046" s="10" t="str">
        <f>IF('[1]All Data '!BD1051="","",'[1]All Data '!BD1051)</f>
        <v/>
      </c>
      <c r="S1046" s="11" t="str">
        <f>IF(R1046="","",'[1]All Data '!BE1051)</f>
        <v/>
      </c>
      <c r="T1046" s="12" t="str">
        <f>IF(S1046="","",[1]Inputs_Outputs!$B$8*(1-'LOCH Calc COE Calc'!S1046))</f>
        <v/>
      </c>
      <c r="U1046" s="13" t="str">
        <f t="shared" si="81"/>
        <v/>
      </c>
      <c r="V1046" s="13" t="str">
        <f t="shared" si="82"/>
        <v/>
      </c>
      <c r="W1046" s="4" t="str">
        <f t="shared" si="83"/>
        <v/>
      </c>
      <c r="X1046" t="str">
        <f>IF(W1046="","",LOOKUP(_xlfn.CONCAT(P1046,", ",Q1046),'[1]T+S Costs'!$F$2:$F$3138,'[1]T+S Costs'!$N$2:$N$3138))</f>
        <v/>
      </c>
      <c r="Y1046" s="14" t="str">
        <f t="shared" si="84"/>
        <v/>
      </c>
      <c r="Z1046" s="4" t="str">
        <f t="shared" si="85"/>
        <v/>
      </c>
    </row>
    <row r="1047" spans="16:26" x14ac:dyDescent="0.25">
      <c r="P1047" s="10" t="str">
        <f>IF('[1]All Data '!AZ1052="","",'[1]All Data '!AZ1052)</f>
        <v/>
      </c>
      <c r="Q1047" s="10" t="str">
        <f>IF('[1]All Data '!BB1052="","",'[1]All Data '!BB1052)</f>
        <v/>
      </c>
      <c r="R1047" s="10" t="str">
        <f>IF('[1]All Data '!BD1052="","",'[1]All Data '!BD1052)</f>
        <v/>
      </c>
      <c r="S1047" s="11" t="str">
        <f>IF(R1047="","",'[1]All Data '!BE1052)</f>
        <v/>
      </c>
      <c r="T1047" s="12" t="str">
        <f>IF(S1047="","",[1]Inputs_Outputs!$B$8*(1-'LOCH Calc COE Calc'!S1047))</f>
        <v/>
      </c>
      <c r="U1047" s="13" t="str">
        <f t="shared" si="81"/>
        <v/>
      </c>
      <c r="V1047" s="13" t="str">
        <f t="shared" si="82"/>
        <v/>
      </c>
      <c r="W1047" s="4" t="str">
        <f t="shared" si="83"/>
        <v/>
      </c>
      <c r="X1047" t="str">
        <f>IF(W1047="","",LOOKUP(_xlfn.CONCAT(P1047,", ",Q1047),'[1]T+S Costs'!$F$2:$F$3138,'[1]T+S Costs'!$N$2:$N$3138))</f>
        <v/>
      </c>
      <c r="Y1047" s="14" t="str">
        <f t="shared" si="84"/>
        <v/>
      </c>
      <c r="Z1047" s="4" t="str">
        <f t="shared" si="85"/>
        <v/>
      </c>
    </row>
    <row r="1048" spans="16:26" x14ac:dyDescent="0.25">
      <c r="P1048" s="10" t="str">
        <f>IF('[1]All Data '!AZ1053="","",'[1]All Data '!AZ1053)</f>
        <v/>
      </c>
      <c r="Q1048" s="10" t="str">
        <f>IF('[1]All Data '!BB1053="","",'[1]All Data '!BB1053)</f>
        <v/>
      </c>
      <c r="R1048" s="10" t="str">
        <f>IF('[1]All Data '!BD1053="","",'[1]All Data '!BD1053)</f>
        <v/>
      </c>
      <c r="S1048" s="11" t="str">
        <f>IF(R1048="","",'[1]All Data '!BE1053)</f>
        <v/>
      </c>
      <c r="T1048" s="12" t="str">
        <f>IF(S1048="","",[1]Inputs_Outputs!$B$8*(1-'LOCH Calc COE Calc'!S1048))</f>
        <v/>
      </c>
      <c r="U1048" s="13" t="str">
        <f t="shared" si="81"/>
        <v/>
      </c>
      <c r="V1048" s="13" t="str">
        <f t="shared" si="82"/>
        <v/>
      </c>
      <c r="W1048" s="4" t="str">
        <f t="shared" si="83"/>
        <v/>
      </c>
      <c r="X1048" t="str">
        <f>IF(W1048="","",LOOKUP(_xlfn.CONCAT(P1048,", ",Q1048),'[1]T+S Costs'!$F$2:$F$3138,'[1]T+S Costs'!$N$2:$N$3138))</f>
        <v/>
      </c>
      <c r="Y1048" s="14" t="str">
        <f t="shared" si="84"/>
        <v/>
      </c>
      <c r="Z1048" s="4" t="str">
        <f t="shared" si="85"/>
        <v/>
      </c>
    </row>
    <row r="1049" spans="16:26" x14ac:dyDescent="0.25">
      <c r="P1049" s="10" t="str">
        <f>IF('[1]All Data '!AZ1054="","",'[1]All Data '!AZ1054)</f>
        <v/>
      </c>
      <c r="Q1049" s="10" t="str">
        <f>IF('[1]All Data '!BB1054="","",'[1]All Data '!BB1054)</f>
        <v/>
      </c>
      <c r="R1049" s="10" t="str">
        <f>IF('[1]All Data '!BD1054="","",'[1]All Data '!BD1054)</f>
        <v/>
      </c>
      <c r="S1049" s="11" t="str">
        <f>IF(R1049="","",'[1]All Data '!BE1054)</f>
        <v/>
      </c>
      <c r="T1049" s="12" t="str">
        <f>IF(S1049="","",[1]Inputs_Outputs!$B$8*(1-'LOCH Calc COE Calc'!S1049))</f>
        <v/>
      </c>
      <c r="U1049" s="13" t="str">
        <f t="shared" si="81"/>
        <v/>
      </c>
      <c r="V1049" s="13" t="str">
        <f t="shared" si="82"/>
        <v/>
      </c>
      <c r="W1049" s="4" t="str">
        <f t="shared" si="83"/>
        <v/>
      </c>
      <c r="X1049" t="str">
        <f>IF(W1049="","",LOOKUP(_xlfn.CONCAT(P1049,", ",Q1049),'[1]T+S Costs'!$F$2:$F$3138,'[1]T+S Costs'!$N$2:$N$3138))</f>
        <v/>
      </c>
      <c r="Y1049" s="14" t="str">
        <f t="shared" si="84"/>
        <v/>
      </c>
      <c r="Z1049" s="4" t="str">
        <f t="shared" si="85"/>
        <v/>
      </c>
    </row>
    <row r="1050" spans="16:26" x14ac:dyDescent="0.25">
      <c r="P1050" s="10" t="str">
        <f>IF('[1]All Data '!AZ1055="","",'[1]All Data '!AZ1055)</f>
        <v/>
      </c>
      <c r="Q1050" s="10" t="str">
        <f>IF('[1]All Data '!BB1055="","",'[1]All Data '!BB1055)</f>
        <v/>
      </c>
      <c r="R1050" s="10" t="str">
        <f>IF('[1]All Data '!BD1055="","",'[1]All Data '!BD1055)</f>
        <v/>
      </c>
      <c r="S1050" s="11" t="str">
        <f>IF(R1050="","",'[1]All Data '!BE1055)</f>
        <v/>
      </c>
      <c r="T1050" s="12" t="str">
        <f>IF(S1050="","",[1]Inputs_Outputs!$B$8*(1-'LOCH Calc COE Calc'!S1050))</f>
        <v/>
      </c>
      <c r="U1050" s="13" t="str">
        <f t="shared" si="81"/>
        <v/>
      </c>
      <c r="V1050" s="13" t="str">
        <f t="shared" si="82"/>
        <v/>
      </c>
      <c r="W1050" s="4" t="str">
        <f t="shared" si="83"/>
        <v/>
      </c>
      <c r="X1050" t="str">
        <f>IF(W1050="","",LOOKUP(_xlfn.CONCAT(P1050,", ",Q1050),'[1]T+S Costs'!$F$2:$F$3138,'[1]T+S Costs'!$N$2:$N$3138))</f>
        <v/>
      </c>
      <c r="Y1050" s="14" t="str">
        <f t="shared" si="84"/>
        <v/>
      </c>
      <c r="Z1050" s="4" t="str">
        <f t="shared" si="85"/>
        <v/>
      </c>
    </row>
    <row r="1051" spans="16:26" x14ac:dyDescent="0.25">
      <c r="P1051" s="10" t="str">
        <f>IF('[1]All Data '!AZ1056="","",'[1]All Data '!AZ1056)</f>
        <v/>
      </c>
      <c r="Q1051" s="10" t="str">
        <f>IF('[1]All Data '!BB1056="","",'[1]All Data '!BB1056)</f>
        <v/>
      </c>
      <c r="R1051" s="10" t="str">
        <f>IF('[1]All Data '!BD1056="","",'[1]All Data '!BD1056)</f>
        <v/>
      </c>
      <c r="S1051" s="11" t="str">
        <f>IF(R1051="","",'[1]All Data '!BE1056)</f>
        <v/>
      </c>
      <c r="T1051" s="12" t="str">
        <f>IF(S1051="","",[1]Inputs_Outputs!$B$8*(1-'LOCH Calc COE Calc'!S1051))</f>
        <v/>
      </c>
      <c r="U1051" s="13" t="str">
        <f t="shared" si="81"/>
        <v/>
      </c>
      <c r="V1051" s="13" t="str">
        <f t="shared" si="82"/>
        <v/>
      </c>
      <c r="W1051" s="4" t="str">
        <f t="shared" si="83"/>
        <v/>
      </c>
      <c r="X1051" t="str">
        <f>IF(W1051="","",LOOKUP(_xlfn.CONCAT(P1051,", ",Q1051),'[1]T+S Costs'!$F$2:$F$3138,'[1]T+S Costs'!$N$2:$N$3138))</f>
        <v/>
      </c>
      <c r="Y1051" s="14" t="str">
        <f t="shared" si="84"/>
        <v/>
      </c>
      <c r="Z1051" s="4" t="str">
        <f t="shared" si="85"/>
        <v/>
      </c>
    </row>
    <row r="1052" spans="16:26" x14ac:dyDescent="0.25">
      <c r="P1052" s="10" t="str">
        <f>IF('[1]All Data '!AZ1057="","",'[1]All Data '!AZ1057)</f>
        <v/>
      </c>
      <c r="Q1052" s="10" t="str">
        <f>IF('[1]All Data '!BB1057="","",'[1]All Data '!BB1057)</f>
        <v/>
      </c>
      <c r="R1052" s="10" t="str">
        <f>IF('[1]All Data '!BD1057="","",'[1]All Data '!BD1057)</f>
        <v/>
      </c>
      <c r="S1052" s="11" t="str">
        <f>IF(R1052="","",'[1]All Data '!BE1057)</f>
        <v/>
      </c>
      <c r="T1052" s="12" t="str">
        <f>IF(S1052="","",[1]Inputs_Outputs!$B$8*(1-'LOCH Calc COE Calc'!S1052))</f>
        <v/>
      </c>
      <c r="U1052" s="13" t="str">
        <f t="shared" si="81"/>
        <v/>
      </c>
      <c r="V1052" s="13" t="str">
        <f t="shared" si="82"/>
        <v/>
      </c>
      <c r="W1052" s="4" t="str">
        <f t="shared" si="83"/>
        <v/>
      </c>
      <c r="X1052" t="str">
        <f>IF(W1052="","",LOOKUP(_xlfn.CONCAT(P1052,", ",Q1052),'[1]T+S Costs'!$F$2:$F$3138,'[1]T+S Costs'!$N$2:$N$3138))</f>
        <v/>
      </c>
      <c r="Y1052" s="14" t="str">
        <f t="shared" si="84"/>
        <v/>
      </c>
      <c r="Z1052" s="4" t="str">
        <f t="shared" si="85"/>
        <v/>
      </c>
    </row>
    <row r="1053" spans="16:26" x14ac:dyDescent="0.25">
      <c r="P1053" s="10" t="str">
        <f>IF('[1]All Data '!AZ1058="","",'[1]All Data '!AZ1058)</f>
        <v/>
      </c>
      <c r="Q1053" s="10" t="str">
        <f>IF('[1]All Data '!BB1058="","",'[1]All Data '!BB1058)</f>
        <v/>
      </c>
      <c r="R1053" s="10" t="str">
        <f>IF('[1]All Data '!BD1058="","",'[1]All Data '!BD1058)</f>
        <v/>
      </c>
      <c r="S1053" s="11" t="str">
        <f>IF(R1053="","",'[1]All Data '!BE1058)</f>
        <v/>
      </c>
      <c r="T1053" s="12" t="str">
        <f>IF(S1053="","",[1]Inputs_Outputs!$B$8*(1-'LOCH Calc COE Calc'!S1053))</f>
        <v/>
      </c>
      <c r="U1053" s="13" t="str">
        <f t="shared" si="81"/>
        <v/>
      </c>
      <c r="V1053" s="13" t="str">
        <f t="shared" si="82"/>
        <v/>
      </c>
      <c r="W1053" s="4" t="str">
        <f t="shared" si="83"/>
        <v/>
      </c>
      <c r="X1053" t="str">
        <f>IF(W1053="","",LOOKUP(_xlfn.CONCAT(P1053,", ",Q1053),'[1]T+S Costs'!$F$2:$F$3138,'[1]T+S Costs'!$N$2:$N$3138))</f>
        <v/>
      </c>
      <c r="Y1053" s="14" t="str">
        <f t="shared" si="84"/>
        <v/>
      </c>
      <c r="Z1053" s="4" t="str">
        <f t="shared" si="85"/>
        <v/>
      </c>
    </row>
    <row r="1054" spans="16:26" x14ac:dyDescent="0.25">
      <c r="P1054" s="10" t="str">
        <f>IF('[1]All Data '!AZ1059="","",'[1]All Data '!AZ1059)</f>
        <v/>
      </c>
      <c r="Q1054" s="10" t="str">
        <f>IF('[1]All Data '!BB1059="","",'[1]All Data '!BB1059)</f>
        <v/>
      </c>
      <c r="R1054" s="10" t="str">
        <f>IF('[1]All Data '!BD1059="","",'[1]All Data '!BD1059)</f>
        <v/>
      </c>
      <c r="S1054" s="11" t="str">
        <f>IF(R1054="","",'[1]All Data '!BE1059)</f>
        <v/>
      </c>
      <c r="T1054" s="12" t="str">
        <f>IF(S1054="","",[1]Inputs_Outputs!$B$8*(1-'LOCH Calc COE Calc'!S1054))</f>
        <v/>
      </c>
      <c r="U1054" s="13" t="str">
        <f t="shared" si="81"/>
        <v/>
      </c>
      <c r="V1054" s="13" t="str">
        <f t="shared" si="82"/>
        <v/>
      </c>
      <c r="W1054" s="4" t="str">
        <f t="shared" si="83"/>
        <v/>
      </c>
      <c r="X1054" t="str">
        <f>IF(W1054="","",LOOKUP(_xlfn.CONCAT(P1054,", ",Q1054),'[1]T+S Costs'!$F$2:$F$3138,'[1]T+S Costs'!$N$2:$N$3138))</f>
        <v/>
      </c>
      <c r="Y1054" s="14" t="str">
        <f t="shared" si="84"/>
        <v/>
      </c>
      <c r="Z1054" s="4" t="str">
        <f t="shared" si="85"/>
        <v/>
      </c>
    </row>
    <row r="1055" spans="16:26" x14ac:dyDescent="0.25">
      <c r="P1055" s="10" t="str">
        <f>IF('[1]All Data '!AZ1060="","",'[1]All Data '!AZ1060)</f>
        <v/>
      </c>
      <c r="Q1055" s="10" t="str">
        <f>IF('[1]All Data '!BB1060="","",'[1]All Data '!BB1060)</f>
        <v/>
      </c>
      <c r="R1055" s="10" t="str">
        <f>IF('[1]All Data '!BD1060="","",'[1]All Data '!BD1060)</f>
        <v/>
      </c>
      <c r="S1055" s="11" t="str">
        <f>IF(R1055="","",'[1]All Data '!BE1060)</f>
        <v/>
      </c>
      <c r="T1055" s="12" t="str">
        <f>IF(S1055="","",[1]Inputs_Outputs!$B$8*(1-'LOCH Calc COE Calc'!S1055))</f>
        <v/>
      </c>
      <c r="U1055" s="13" t="str">
        <f t="shared" si="81"/>
        <v/>
      </c>
      <c r="V1055" s="13" t="str">
        <f t="shared" si="82"/>
        <v/>
      </c>
      <c r="W1055" s="4" t="str">
        <f t="shared" si="83"/>
        <v/>
      </c>
      <c r="X1055" t="str">
        <f>IF(W1055="","",LOOKUP(_xlfn.CONCAT(P1055,", ",Q1055),'[1]T+S Costs'!$F$2:$F$3138,'[1]T+S Costs'!$N$2:$N$3138))</f>
        <v/>
      </c>
      <c r="Y1055" s="14" t="str">
        <f t="shared" si="84"/>
        <v/>
      </c>
      <c r="Z1055" s="4" t="str">
        <f t="shared" si="85"/>
        <v/>
      </c>
    </row>
    <row r="1056" spans="16:26" x14ac:dyDescent="0.25">
      <c r="P1056" s="10" t="str">
        <f>IF('[1]All Data '!AZ1061="","",'[1]All Data '!AZ1061)</f>
        <v/>
      </c>
      <c r="Q1056" s="10" t="str">
        <f>IF('[1]All Data '!BB1061="","",'[1]All Data '!BB1061)</f>
        <v/>
      </c>
      <c r="R1056" s="10" t="str">
        <f>IF('[1]All Data '!BD1061="","",'[1]All Data '!BD1061)</f>
        <v/>
      </c>
      <c r="S1056" s="11" t="str">
        <f>IF(R1056="","",'[1]All Data '!BE1061)</f>
        <v/>
      </c>
      <c r="T1056" s="12" t="str">
        <f>IF(S1056="","",[1]Inputs_Outputs!$B$8*(1-'LOCH Calc COE Calc'!S1056))</f>
        <v/>
      </c>
      <c r="U1056" s="13" t="str">
        <f t="shared" si="81"/>
        <v/>
      </c>
      <c r="V1056" s="13" t="str">
        <f t="shared" si="82"/>
        <v/>
      </c>
      <c r="W1056" s="4" t="str">
        <f t="shared" si="83"/>
        <v/>
      </c>
      <c r="X1056" t="str">
        <f>IF(W1056="","",LOOKUP(_xlfn.CONCAT(P1056,", ",Q1056),'[1]T+S Costs'!$F$2:$F$3138,'[1]T+S Costs'!$N$2:$N$3138))</f>
        <v/>
      </c>
      <c r="Y1056" s="14" t="str">
        <f t="shared" si="84"/>
        <v/>
      </c>
      <c r="Z1056" s="4" t="str">
        <f t="shared" si="85"/>
        <v/>
      </c>
    </row>
    <row r="1057" spans="16:26" x14ac:dyDescent="0.25">
      <c r="P1057" s="10" t="str">
        <f>IF('[1]All Data '!AZ1062="","",'[1]All Data '!AZ1062)</f>
        <v/>
      </c>
      <c r="Q1057" s="10" t="str">
        <f>IF('[1]All Data '!BB1062="","",'[1]All Data '!BB1062)</f>
        <v/>
      </c>
      <c r="R1057" s="10" t="str">
        <f>IF('[1]All Data '!BD1062="","",'[1]All Data '!BD1062)</f>
        <v/>
      </c>
      <c r="S1057" s="11" t="str">
        <f>IF(R1057="","",'[1]All Data '!BE1062)</f>
        <v/>
      </c>
      <c r="T1057" s="12" t="str">
        <f>IF(S1057="","",[1]Inputs_Outputs!$B$8*(1-'LOCH Calc COE Calc'!S1057))</f>
        <v/>
      </c>
      <c r="U1057" s="13" t="str">
        <f t="shared" si="81"/>
        <v/>
      </c>
      <c r="V1057" s="13" t="str">
        <f t="shared" si="82"/>
        <v/>
      </c>
      <c r="W1057" s="4" t="str">
        <f t="shared" si="83"/>
        <v/>
      </c>
      <c r="X1057" t="str">
        <f>IF(W1057="","",LOOKUP(_xlfn.CONCAT(P1057,", ",Q1057),'[1]T+S Costs'!$F$2:$F$3138,'[1]T+S Costs'!$N$2:$N$3138))</f>
        <v/>
      </c>
      <c r="Y1057" s="14" t="str">
        <f t="shared" si="84"/>
        <v/>
      </c>
      <c r="Z1057" s="4" t="str">
        <f t="shared" si="85"/>
        <v/>
      </c>
    </row>
    <row r="1058" spans="16:26" x14ac:dyDescent="0.25">
      <c r="P1058" s="10" t="str">
        <f>IF('[1]All Data '!AZ1063="","",'[1]All Data '!AZ1063)</f>
        <v/>
      </c>
      <c r="Q1058" s="10" t="str">
        <f>IF('[1]All Data '!BB1063="","",'[1]All Data '!BB1063)</f>
        <v/>
      </c>
      <c r="R1058" s="10" t="str">
        <f>IF('[1]All Data '!BD1063="","",'[1]All Data '!BD1063)</f>
        <v/>
      </c>
      <c r="S1058" s="11" t="str">
        <f>IF(R1058="","",'[1]All Data '!BE1063)</f>
        <v/>
      </c>
      <c r="T1058" s="12" t="str">
        <f>IF(S1058="","",[1]Inputs_Outputs!$B$8*(1-'LOCH Calc COE Calc'!S1058))</f>
        <v/>
      </c>
      <c r="U1058" s="13" t="str">
        <f t="shared" si="81"/>
        <v/>
      </c>
      <c r="V1058" s="13" t="str">
        <f t="shared" si="82"/>
        <v/>
      </c>
      <c r="W1058" s="4" t="str">
        <f t="shared" si="83"/>
        <v/>
      </c>
      <c r="X1058" t="str">
        <f>IF(W1058="","",LOOKUP(_xlfn.CONCAT(P1058,", ",Q1058),'[1]T+S Costs'!$F$2:$F$3138,'[1]T+S Costs'!$N$2:$N$3138))</f>
        <v/>
      </c>
      <c r="Y1058" s="14" t="str">
        <f t="shared" si="84"/>
        <v/>
      </c>
      <c r="Z1058" s="4" t="str">
        <f t="shared" si="85"/>
        <v/>
      </c>
    </row>
    <row r="1059" spans="16:26" x14ac:dyDescent="0.25">
      <c r="P1059" s="10" t="str">
        <f>IF('[1]All Data '!AZ1064="","",'[1]All Data '!AZ1064)</f>
        <v/>
      </c>
      <c r="Q1059" s="10" t="str">
        <f>IF('[1]All Data '!BB1064="","",'[1]All Data '!BB1064)</f>
        <v/>
      </c>
      <c r="R1059" s="10" t="str">
        <f>IF('[1]All Data '!BD1064="","",'[1]All Data '!BD1064)</f>
        <v/>
      </c>
      <c r="S1059" s="11" t="str">
        <f>IF(R1059="","",'[1]All Data '!BE1064)</f>
        <v/>
      </c>
      <c r="T1059" s="12" t="str">
        <f>IF(S1059="","",[1]Inputs_Outputs!$B$8*(1-'LOCH Calc COE Calc'!S1059))</f>
        <v/>
      </c>
      <c r="U1059" s="13" t="str">
        <f t="shared" si="81"/>
        <v/>
      </c>
      <c r="V1059" s="13" t="str">
        <f t="shared" si="82"/>
        <v/>
      </c>
      <c r="W1059" s="4" t="str">
        <f t="shared" si="83"/>
        <v/>
      </c>
      <c r="X1059" t="str">
        <f>IF(W1059="","",LOOKUP(_xlfn.CONCAT(P1059,", ",Q1059),'[1]T+S Costs'!$F$2:$F$3138,'[1]T+S Costs'!$N$2:$N$3138))</f>
        <v/>
      </c>
      <c r="Y1059" s="14" t="str">
        <f t="shared" si="84"/>
        <v/>
      </c>
      <c r="Z1059" s="4" t="str">
        <f t="shared" si="85"/>
        <v/>
      </c>
    </row>
    <row r="1060" spans="16:26" x14ac:dyDescent="0.25">
      <c r="P1060" s="10" t="str">
        <f>IF('[1]All Data '!AZ1065="","",'[1]All Data '!AZ1065)</f>
        <v/>
      </c>
      <c r="Q1060" s="10" t="str">
        <f>IF('[1]All Data '!BB1065="","",'[1]All Data '!BB1065)</f>
        <v/>
      </c>
      <c r="R1060" s="10" t="str">
        <f>IF('[1]All Data '!BD1065="","",'[1]All Data '!BD1065)</f>
        <v/>
      </c>
      <c r="S1060" s="11" t="str">
        <f>IF(R1060="","",'[1]All Data '!BE1065)</f>
        <v/>
      </c>
      <c r="T1060" s="12" t="str">
        <f>IF(S1060="","",[1]Inputs_Outputs!$B$8*(1-'LOCH Calc COE Calc'!S1060))</f>
        <v/>
      </c>
      <c r="U1060" s="13" t="str">
        <f t="shared" si="81"/>
        <v/>
      </c>
      <c r="V1060" s="13" t="str">
        <f t="shared" si="82"/>
        <v/>
      </c>
      <c r="W1060" s="4" t="str">
        <f t="shared" si="83"/>
        <v/>
      </c>
      <c r="X1060" t="str">
        <f>IF(W1060="","",LOOKUP(_xlfn.CONCAT(P1060,", ",Q1060),'[1]T+S Costs'!$F$2:$F$3138,'[1]T+S Costs'!$N$2:$N$3138))</f>
        <v/>
      </c>
      <c r="Y1060" s="14" t="str">
        <f t="shared" si="84"/>
        <v/>
      </c>
      <c r="Z1060" s="4" t="str">
        <f t="shared" si="85"/>
        <v/>
      </c>
    </row>
    <row r="1061" spans="16:26" x14ac:dyDescent="0.25">
      <c r="P1061" s="10" t="str">
        <f>IF('[1]All Data '!AZ1066="","",'[1]All Data '!AZ1066)</f>
        <v/>
      </c>
      <c r="Q1061" s="10" t="str">
        <f>IF('[1]All Data '!BB1066="","",'[1]All Data '!BB1066)</f>
        <v/>
      </c>
      <c r="R1061" s="10" t="str">
        <f>IF('[1]All Data '!BD1066="","",'[1]All Data '!BD1066)</f>
        <v/>
      </c>
      <c r="S1061" s="11" t="str">
        <f>IF(R1061="","",'[1]All Data '!BE1066)</f>
        <v/>
      </c>
      <c r="T1061" s="12" t="str">
        <f>IF(S1061="","",[1]Inputs_Outputs!$B$8*(1-'LOCH Calc COE Calc'!S1061))</f>
        <v/>
      </c>
      <c r="U1061" s="13" t="str">
        <f t="shared" si="81"/>
        <v/>
      </c>
      <c r="V1061" s="13" t="str">
        <f t="shared" si="82"/>
        <v/>
      </c>
      <c r="W1061" s="4" t="str">
        <f t="shared" si="83"/>
        <v/>
      </c>
      <c r="X1061" t="str">
        <f>IF(W1061="","",LOOKUP(_xlfn.CONCAT(P1061,", ",Q1061),'[1]T+S Costs'!$F$2:$F$3138,'[1]T+S Costs'!$N$2:$N$3138))</f>
        <v/>
      </c>
      <c r="Y1061" s="14" t="str">
        <f t="shared" si="84"/>
        <v/>
      </c>
      <c r="Z1061" s="4" t="str">
        <f t="shared" si="85"/>
        <v/>
      </c>
    </row>
    <row r="1062" spans="16:26" x14ac:dyDescent="0.25">
      <c r="P1062" s="10" t="str">
        <f>IF('[1]All Data '!AZ1067="","",'[1]All Data '!AZ1067)</f>
        <v/>
      </c>
      <c r="Q1062" s="10" t="str">
        <f>IF('[1]All Data '!BB1067="","",'[1]All Data '!BB1067)</f>
        <v/>
      </c>
      <c r="R1062" s="10" t="str">
        <f>IF('[1]All Data '!BD1067="","",'[1]All Data '!BD1067)</f>
        <v/>
      </c>
      <c r="S1062" s="11" t="str">
        <f>IF(R1062="","",'[1]All Data '!BE1067)</f>
        <v/>
      </c>
      <c r="T1062" s="12" t="str">
        <f>IF(S1062="","",[1]Inputs_Outputs!$B$8*(1-'LOCH Calc COE Calc'!S1062))</f>
        <v/>
      </c>
      <c r="U1062" s="13" t="str">
        <f t="shared" si="81"/>
        <v/>
      </c>
      <c r="V1062" s="13" t="str">
        <f t="shared" si="82"/>
        <v/>
      </c>
      <c r="W1062" s="4" t="str">
        <f t="shared" si="83"/>
        <v/>
      </c>
      <c r="X1062" t="str">
        <f>IF(W1062="","",LOOKUP(_xlfn.CONCAT(P1062,", ",Q1062),'[1]T+S Costs'!$F$2:$F$3138,'[1]T+S Costs'!$N$2:$N$3138))</f>
        <v/>
      </c>
      <c r="Y1062" s="14" t="str">
        <f t="shared" si="84"/>
        <v/>
      </c>
      <c r="Z1062" s="4" t="str">
        <f t="shared" si="85"/>
        <v/>
      </c>
    </row>
    <row r="1063" spans="16:26" x14ac:dyDescent="0.25">
      <c r="P1063" s="10" t="str">
        <f>IF('[1]All Data '!AZ1068="","",'[1]All Data '!AZ1068)</f>
        <v/>
      </c>
      <c r="Q1063" s="10" t="str">
        <f>IF('[1]All Data '!BB1068="","",'[1]All Data '!BB1068)</f>
        <v/>
      </c>
      <c r="R1063" s="10" t="str">
        <f>IF('[1]All Data '!BD1068="","",'[1]All Data '!BD1068)</f>
        <v/>
      </c>
      <c r="S1063" s="11" t="str">
        <f>IF(R1063="","",'[1]All Data '!BE1068)</f>
        <v/>
      </c>
      <c r="T1063" s="12" t="str">
        <f>IF(S1063="","",[1]Inputs_Outputs!$B$8*(1-'LOCH Calc COE Calc'!S1063))</f>
        <v/>
      </c>
      <c r="U1063" s="13" t="str">
        <f t="shared" si="81"/>
        <v/>
      </c>
      <c r="V1063" s="13" t="str">
        <f t="shared" si="82"/>
        <v/>
      </c>
      <c r="W1063" s="4" t="str">
        <f t="shared" si="83"/>
        <v/>
      </c>
      <c r="X1063" t="str">
        <f>IF(W1063="","",LOOKUP(_xlfn.CONCAT(P1063,", ",Q1063),'[1]T+S Costs'!$F$2:$F$3138,'[1]T+S Costs'!$N$2:$N$3138))</f>
        <v/>
      </c>
      <c r="Y1063" s="14" t="str">
        <f t="shared" si="84"/>
        <v/>
      </c>
      <c r="Z1063" s="4" t="str">
        <f t="shared" si="85"/>
        <v/>
      </c>
    </row>
    <row r="1064" spans="16:26" x14ac:dyDescent="0.25">
      <c r="P1064" s="10" t="str">
        <f>IF('[1]All Data '!AZ1069="","",'[1]All Data '!AZ1069)</f>
        <v/>
      </c>
      <c r="Q1064" s="10" t="str">
        <f>IF('[1]All Data '!BB1069="","",'[1]All Data '!BB1069)</f>
        <v/>
      </c>
      <c r="R1064" s="10" t="str">
        <f>IF('[1]All Data '!BD1069="","",'[1]All Data '!BD1069)</f>
        <v/>
      </c>
      <c r="S1064" s="11" t="str">
        <f>IF(R1064="","",'[1]All Data '!BE1069)</f>
        <v/>
      </c>
      <c r="T1064" s="12" t="str">
        <f>IF(S1064="","",[1]Inputs_Outputs!$B$8*(1-'LOCH Calc COE Calc'!S1064))</f>
        <v/>
      </c>
      <c r="U1064" s="13" t="str">
        <f t="shared" si="81"/>
        <v/>
      </c>
      <c r="V1064" s="13" t="str">
        <f t="shared" si="82"/>
        <v/>
      </c>
      <c r="W1064" s="4" t="str">
        <f t="shared" si="83"/>
        <v/>
      </c>
      <c r="X1064" t="str">
        <f>IF(W1064="","",LOOKUP(_xlfn.CONCAT(P1064,", ",Q1064),'[1]T+S Costs'!$F$2:$F$3138,'[1]T+S Costs'!$N$2:$N$3138))</f>
        <v/>
      </c>
      <c r="Y1064" s="14" t="str">
        <f t="shared" si="84"/>
        <v/>
      </c>
      <c r="Z1064" s="4" t="str">
        <f t="shared" si="85"/>
        <v/>
      </c>
    </row>
    <row r="1065" spans="16:26" x14ac:dyDescent="0.25">
      <c r="P1065" s="10" t="str">
        <f>IF('[1]All Data '!AZ1070="","",'[1]All Data '!AZ1070)</f>
        <v/>
      </c>
      <c r="Q1065" s="10" t="str">
        <f>IF('[1]All Data '!BB1070="","",'[1]All Data '!BB1070)</f>
        <v/>
      </c>
      <c r="R1065" s="10" t="str">
        <f>IF('[1]All Data '!BD1070="","",'[1]All Data '!BD1070)</f>
        <v/>
      </c>
      <c r="S1065" s="11" t="str">
        <f>IF(R1065="","",'[1]All Data '!BE1070)</f>
        <v/>
      </c>
      <c r="T1065" s="12" t="str">
        <f>IF(S1065="","",[1]Inputs_Outputs!$B$8*(1-'LOCH Calc COE Calc'!S1065))</f>
        <v/>
      </c>
      <c r="U1065" s="13" t="str">
        <f t="shared" si="81"/>
        <v/>
      </c>
      <c r="V1065" s="13" t="str">
        <f t="shared" si="82"/>
        <v/>
      </c>
      <c r="W1065" s="4" t="str">
        <f t="shared" si="83"/>
        <v/>
      </c>
      <c r="X1065" t="str">
        <f>IF(W1065="","",LOOKUP(_xlfn.CONCAT(P1065,", ",Q1065),'[1]T+S Costs'!$F$2:$F$3138,'[1]T+S Costs'!$N$2:$N$3138))</f>
        <v/>
      </c>
      <c r="Y1065" s="14" t="str">
        <f t="shared" si="84"/>
        <v/>
      </c>
      <c r="Z1065" s="4" t="str">
        <f t="shared" si="85"/>
        <v/>
      </c>
    </row>
    <row r="1066" spans="16:26" x14ac:dyDescent="0.25">
      <c r="P1066" s="10" t="str">
        <f>IF('[1]All Data '!AZ1071="","",'[1]All Data '!AZ1071)</f>
        <v/>
      </c>
      <c r="Q1066" s="10" t="str">
        <f>IF('[1]All Data '!BB1071="","",'[1]All Data '!BB1071)</f>
        <v/>
      </c>
      <c r="R1066" s="10" t="str">
        <f>IF('[1]All Data '!BD1071="","",'[1]All Data '!BD1071)</f>
        <v/>
      </c>
      <c r="S1066" s="11" t="str">
        <f>IF(R1066="","",'[1]All Data '!BE1071)</f>
        <v/>
      </c>
      <c r="T1066" s="12" t="str">
        <f>IF(S1066="","",[1]Inputs_Outputs!$B$8*(1-'LOCH Calc COE Calc'!S1066))</f>
        <v/>
      </c>
      <c r="U1066" s="13" t="str">
        <f t="shared" si="81"/>
        <v/>
      </c>
      <c r="V1066" s="13" t="str">
        <f t="shared" si="82"/>
        <v/>
      </c>
      <c r="W1066" s="4" t="str">
        <f t="shared" si="83"/>
        <v/>
      </c>
      <c r="X1066" t="str">
        <f>IF(W1066="","",LOOKUP(_xlfn.CONCAT(P1066,", ",Q1066),'[1]T+S Costs'!$F$2:$F$3138,'[1]T+S Costs'!$N$2:$N$3138))</f>
        <v/>
      </c>
      <c r="Y1066" s="14" t="str">
        <f t="shared" si="84"/>
        <v/>
      </c>
      <c r="Z1066" s="4" t="str">
        <f t="shared" si="85"/>
        <v/>
      </c>
    </row>
    <row r="1067" spans="16:26" x14ac:dyDescent="0.25">
      <c r="P1067" s="10" t="str">
        <f>IF('[1]All Data '!AZ1072="","",'[1]All Data '!AZ1072)</f>
        <v/>
      </c>
      <c r="Q1067" s="10" t="str">
        <f>IF('[1]All Data '!BB1072="","",'[1]All Data '!BB1072)</f>
        <v/>
      </c>
      <c r="R1067" s="10" t="str">
        <f>IF('[1]All Data '!BD1072="","",'[1]All Data '!BD1072)</f>
        <v/>
      </c>
      <c r="S1067" s="11" t="str">
        <f>IF(R1067="","",'[1]All Data '!BE1072)</f>
        <v/>
      </c>
      <c r="T1067" s="12" t="str">
        <f>IF(S1067="","",[1]Inputs_Outputs!$B$8*(1-'LOCH Calc COE Calc'!S1067))</f>
        <v/>
      </c>
      <c r="U1067" s="13" t="str">
        <f t="shared" si="81"/>
        <v/>
      </c>
      <c r="V1067" s="13" t="str">
        <f t="shared" si="82"/>
        <v/>
      </c>
      <c r="W1067" s="4" t="str">
        <f t="shared" si="83"/>
        <v/>
      </c>
      <c r="X1067" t="str">
        <f>IF(W1067="","",LOOKUP(_xlfn.CONCAT(P1067,", ",Q1067),'[1]T+S Costs'!$F$2:$F$3138,'[1]T+S Costs'!$N$2:$N$3138))</f>
        <v/>
      </c>
      <c r="Y1067" s="14" t="str">
        <f t="shared" si="84"/>
        <v/>
      </c>
      <c r="Z1067" s="4" t="str">
        <f t="shared" si="85"/>
        <v/>
      </c>
    </row>
    <row r="1068" spans="16:26" x14ac:dyDescent="0.25">
      <c r="P1068" s="10" t="str">
        <f>IF('[1]All Data '!AZ1073="","",'[1]All Data '!AZ1073)</f>
        <v/>
      </c>
      <c r="Q1068" s="10" t="str">
        <f>IF('[1]All Data '!BB1073="","",'[1]All Data '!BB1073)</f>
        <v/>
      </c>
      <c r="R1068" s="10" t="str">
        <f>IF('[1]All Data '!BD1073="","",'[1]All Data '!BD1073)</f>
        <v/>
      </c>
      <c r="S1068" s="11" t="str">
        <f>IF(R1068="","",'[1]All Data '!BE1073)</f>
        <v/>
      </c>
      <c r="T1068" s="12" t="str">
        <f>IF(S1068="","",[1]Inputs_Outputs!$B$8*(1-'LOCH Calc COE Calc'!S1068))</f>
        <v/>
      </c>
      <c r="U1068" s="13" t="str">
        <f t="shared" si="81"/>
        <v/>
      </c>
      <c r="V1068" s="13" t="str">
        <f t="shared" si="82"/>
        <v/>
      </c>
      <c r="W1068" s="4" t="str">
        <f t="shared" si="83"/>
        <v/>
      </c>
      <c r="X1068" t="str">
        <f>IF(W1068="","",LOOKUP(_xlfn.CONCAT(P1068,", ",Q1068),'[1]T+S Costs'!$F$2:$F$3138,'[1]T+S Costs'!$N$2:$N$3138))</f>
        <v/>
      </c>
      <c r="Y1068" s="14" t="str">
        <f t="shared" si="84"/>
        <v/>
      </c>
      <c r="Z1068" s="4" t="str">
        <f t="shared" si="85"/>
        <v/>
      </c>
    </row>
    <row r="1069" spans="16:26" x14ac:dyDescent="0.25">
      <c r="P1069" s="10" t="str">
        <f>IF('[1]All Data '!AZ1074="","",'[1]All Data '!AZ1074)</f>
        <v/>
      </c>
      <c r="Q1069" s="10" t="str">
        <f>IF('[1]All Data '!BB1074="","",'[1]All Data '!BB1074)</f>
        <v/>
      </c>
      <c r="R1069" s="10" t="str">
        <f>IF('[1]All Data '!BD1074="","",'[1]All Data '!BD1074)</f>
        <v/>
      </c>
      <c r="S1069" s="11" t="str">
        <f>IF(R1069="","",'[1]All Data '!BE1074)</f>
        <v/>
      </c>
      <c r="T1069" s="12" t="str">
        <f>IF(S1069="","",[1]Inputs_Outputs!$B$8*(1-'LOCH Calc COE Calc'!S1069))</f>
        <v/>
      </c>
      <c r="U1069" s="13" t="str">
        <f t="shared" si="81"/>
        <v/>
      </c>
      <c r="V1069" s="13" t="str">
        <f t="shared" si="82"/>
        <v/>
      </c>
      <c r="W1069" s="4" t="str">
        <f t="shared" si="83"/>
        <v/>
      </c>
      <c r="X1069" t="str">
        <f>IF(W1069="","",LOOKUP(_xlfn.CONCAT(P1069,", ",Q1069),'[1]T+S Costs'!$F$2:$F$3138,'[1]T+S Costs'!$N$2:$N$3138))</f>
        <v/>
      </c>
      <c r="Y1069" s="14" t="str">
        <f t="shared" si="84"/>
        <v/>
      </c>
      <c r="Z1069" s="4" t="str">
        <f t="shared" si="85"/>
        <v/>
      </c>
    </row>
    <row r="1070" spans="16:26" x14ac:dyDescent="0.25">
      <c r="P1070" s="10" t="str">
        <f>IF('[1]All Data '!AZ1075="","",'[1]All Data '!AZ1075)</f>
        <v/>
      </c>
      <c r="Q1070" s="10" t="str">
        <f>IF('[1]All Data '!BB1075="","",'[1]All Data '!BB1075)</f>
        <v/>
      </c>
      <c r="R1070" s="10" t="str">
        <f>IF('[1]All Data '!BD1075="","",'[1]All Data '!BD1075)</f>
        <v/>
      </c>
      <c r="S1070" s="11" t="str">
        <f>IF(R1070="","",'[1]All Data '!BE1075)</f>
        <v/>
      </c>
      <c r="T1070" s="12" t="str">
        <f>IF(S1070="","",[1]Inputs_Outputs!$B$8*(1-'LOCH Calc COE Calc'!S1070))</f>
        <v/>
      </c>
      <c r="U1070" s="13" t="str">
        <f t="shared" si="81"/>
        <v/>
      </c>
      <c r="V1070" s="13" t="str">
        <f t="shared" si="82"/>
        <v/>
      </c>
      <c r="W1070" s="4" t="str">
        <f t="shared" si="83"/>
        <v/>
      </c>
      <c r="X1070" t="str">
        <f>IF(W1070="","",LOOKUP(_xlfn.CONCAT(P1070,", ",Q1070),'[1]T+S Costs'!$F$2:$F$3138,'[1]T+S Costs'!$N$2:$N$3138))</f>
        <v/>
      </c>
      <c r="Y1070" s="14" t="str">
        <f t="shared" si="84"/>
        <v/>
      </c>
      <c r="Z1070" s="4" t="str">
        <f t="shared" si="85"/>
        <v/>
      </c>
    </row>
    <row r="1071" spans="16:26" x14ac:dyDescent="0.25">
      <c r="P1071" s="10" t="str">
        <f>IF('[1]All Data '!AZ1076="","",'[1]All Data '!AZ1076)</f>
        <v/>
      </c>
      <c r="Q1071" s="10" t="str">
        <f>IF('[1]All Data '!BB1076="","",'[1]All Data '!BB1076)</f>
        <v/>
      </c>
      <c r="R1071" s="10" t="str">
        <f>IF('[1]All Data '!BD1076="","",'[1]All Data '!BD1076)</f>
        <v/>
      </c>
      <c r="S1071" s="11" t="str">
        <f>IF(R1071="","",'[1]All Data '!BE1076)</f>
        <v/>
      </c>
      <c r="T1071" s="12" t="str">
        <f>IF(S1071="","",[1]Inputs_Outputs!$B$8*(1-'LOCH Calc COE Calc'!S1071))</f>
        <v/>
      </c>
      <c r="U1071" s="13" t="str">
        <f t="shared" si="81"/>
        <v/>
      </c>
      <c r="V1071" s="13" t="str">
        <f t="shared" si="82"/>
        <v/>
      </c>
      <c r="W1071" s="4" t="str">
        <f t="shared" si="83"/>
        <v/>
      </c>
      <c r="X1071" t="str">
        <f>IF(W1071="","",LOOKUP(_xlfn.CONCAT(P1071,", ",Q1071),'[1]T+S Costs'!$F$2:$F$3138,'[1]T+S Costs'!$N$2:$N$3138))</f>
        <v/>
      </c>
      <c r="Y1071" s="14" t="str">
        <f t="shared" si="84"/>
        <v/>
      </c>
      <c r="Z1071" s="4" t="str">
        <f t="shared" si="85"/>
        <v/>
      </c>
    </row>
    <row r="1072" spans="16:26" x14ac:dyDescent="0.25">
      <c r="P1072" s="10" t="str">
        <f>IF('[1]All Data '!AZ1077="","",'[1]All Data '!AZ1077)</f>
        <v/>
      </c>
      <c r="Q1072" s="10" t="str">
        <f>IF('[1]All Data '!BB1077="","",'[1]All Data '!BB1077)</f>
        <v/>
      </c>
      <c r="R1072" s="10" t="str">
        <f>IF('[1]All Data '!BD1077="","",'[1]All Data '!BD1077)</f>
        <v/>
      </c>
      <c r="S1072" s="11" t="str">
        <f>IF(R1072="","",'[1]All Data '!BE1077)</f>
        <v/>
      </c>
      <c r="T1072" s="12" t="str">
        <f>IF(S1072="","",[1]Inputs_Outputs!$B$8*(1-'LOCH Calc COE Calc'!S1072))</f>
        <v/>
      </c>
      <c r="U1072" s="13" t="str">
        <f t="shared" si="81"/>
        <v/>
      </c>
      <c r="V1072" s="13" t="str">
        <f t="shared" si="82"/>
        <v/>
      </c>
      <c r="W1072" s="4" t="str">
        <f t="shared" si="83"/>
        <v/>
      </c>
      <c r="X1072" t="str">
        <f>IF(W1072="","",LOOKUP(_xlfn.CONCAT(P1072,", ",Q1072),'[1]T+S Costs'!$F$2:$F$3138,'[1]T+S Costs'!$N$2:$N$3138))</f>
        <v/>
      </c>
      <c r="Y1072" s="14" t="str">
        <f t="shared" si="84"/>
        <v/>
      </c>
      <c r="Z1072" s="4" t="str">
        <f t="shared" si="85"/>
        <v/>
      </c>
    </row>
    <row r="1073" spans="16:26" x14ac:dyDescent="0.25">
      <c r="P1073" s="10" t="str">
        <f>IF('[1]All Data '!AZ1078="","",'[1]All Data '!AZ1078)</f>
        <v/>
      </c>
      <c r="Q1073" s="10" t="str">
        <f>IF('[1]All Data '!BB1078="","",'[1]All Data '!BB1078)</f>
        <v/>
      </c>
      <c r="R1073" s="10" t="str">
        <f>IF('[1]All Data '!BD1078="","",'[1]All Data '!BD1078)</f>
        <v/>
      </c>
      <c r="S1073" s="11" t="str">
        <f>IF(R1073="","",'[1]All Data '!BE1078)</f>
        <v/>
      </c>
      <c r="T1073" s="12" t="str">
        <f>IF(S1073="","",[1]Inputs_Outputs!$B$8*(1-'LOCH Calc COE Calc'!S1073))</f>
        <v/>
      </c>
      <c r="U1073" s="13" t="str">
        <f t="shared" si="81"/>
        <v/>
      </c>
      <c r="V1073" s="13" t="str">
        <f t="shared" si="82"/>
        <v/>
      </c>
      <c r="W1073" s="4" t="str">
        <f t="shared" si="83"/>
        <v/>
      </c>
      <c r="X1073" t="str">
        <f>IF(W1073="","",LOOKUP(_xlfn.CONCAT(P1073,", ",Q1073),'[1]T+S Costs'!$F$2:$F$3138,'[1]T+S Costs'!$N$2:$N$3138))</f>
        <v/>
      </c>
      <c r="Y1073" s="14" t="str">
        <f t="shared" si="84"/>
        <v/>
      </c>
      <c r="Z1073" s="4" t="str">
        <f t="shared" si="85"/>
        <v/>
      </c>
    </row>
    <row r="1074" spans="16:26" x14ac:dyDescent="0.25">
      <c r="P1074" s="10" t="str">
        <f>IF('[1]All Data '!AZ1079="","",'[1]All Data '!AZ1079)</f>
        <v/>
      </c>
      <c r="Q1074" s="10" t="str">
        <f>IF('[1]All Data '!BB1079="","",'[1]All Data '!BB1079)</f>
        <v/>
      </c>
      <c r="R1074" s="10" t="str">
        <f>IF('[1]All Data '!BD1079="","",'[1]All Data '!BD1079)</f>
        <v/>
      </c>
      <c r="S1074" s="11" t="str">
        <f>IF(R1074="","",'[1]All Data '!BE1079)</f>
        <v/>
      </c>
      <c r="T1074" s="12" t="str">
        <f>IF(S1074="","",[1]Inputs_Outputs!$B$8*(1-'LOCH Calc COE Calc'!S1074))</f>
        <v/>
      </c>
      <c r="U1074" s="13" t="str">
        <f t="shared" si="81"/>
        <v/>
      </c>
      <c r="V1074" s="13" t="str">
        <f t="shared" si="82"/>
        <v/>
      </c>
      <c r="W1074" s="4" t="str">
        <f t="shared" si="83"/>
        <v/>
      </c>
      <c r="X1074" t="str">
        <f>IF(W1074="","",LOOKUP(_xlfn.CONCAT(P1074,", ",Q1074),'[1]T+S Costs'!$F$2:$F$3138,'[1]T+S Costs'!$N$2:$N$3138))</f>
        <v/>
      </c>
      <c r="Y1074" s="14" t="str">
        <f t="shared" si="84"/>
        <v/>
      </c>
      <c r="Z1074" s="4" t="str">
        <f t="shared" si="85"/>
        <v/>
      </c>
    </row>
    <row r="1075" spans="16:26" x14ac:dyDescent="0.25">
      <c r="P1075" s="10" t="str">
        <f>IF('[1]All Data '!AZ1080="","",'[1]All Data '!AZ1080)</f>
        <v/>
      </c>
      <c r="Q1075" s="10" t="str">
        <f>IF('[1]All Data '!BB1080="","",'[1]All Data '!BB1080)</f>
        <v/>
      </c>
      <c r="R1075" s="10" t="str">
        <f>IF('[1]All Data '!BD1080="","",'[1]All Data '!BD1080)</f>
        <v/>
      </c>
      <c r="S1075" s="11" t="str">
        <f>IF(R1075="","",'[1]All Data '!BE1080)</f>
        <v/>
      </c>
      <c r="T1075" s="12" t="str">
        <f>IF(S1075="","",[1]Inputs_Outputs!$B$8*(1-'LOCH Calc COE Calc'!S1075))</f>
        <v/>
      </c>
      <c r="U1075" s="13" t="str">
        <f t="shared" si="81"/>
        <v/>
      </c>
      <c r="V1075" s="13" t="str">
        <f t="shared" si="82"/>
        <v/>
      </c>
      <c r="W1075" s="4" t="str">
        <f t="shared" si="83"/>
        <v/>
      </c>
      <c r="X1075" t="str">
        <f>IF(W1075="","",LOOKUP(_xlfn.CONCAT(P1075,", ",Q1075),'[1]T+S Costs'!$F$2:$F$3138,'[1]T+S Costs'!$N$2:$N$3138))</f>
        <v/>
      </c>
      <c r="Y1075" s="14" t="str">
        <f t="shared" si="84"/>
        <v/>
      </c>
      <c r="Z1075" s="4" t="str">
        <f t="shared" si="85"/>
        <v/>
      </c>
    </row>
    <row r="1076" spans="16:26" x14ac:dyDescent="0.25">
      <c r="P1076" s="10" t="str">
        <f>IF('[1]All Data '!AZ1081="","",'[1]All Data '!AZ1081)</f>
        <v/>
      </c>
      <c r="Q1076" s="10" t="str">
        <f>IF('[1]All Data '!BB1081="","",'[1]All Data '!BB1081)</f>
        <v/>
      </c>
      <c r="R1076" s="10" t="str">
        <f>IF('[1]All Data '!BD1081="","",'[1]All Data '!BD1081)</f>
        <v/>
      </c>
      <c r="S1076" s="11" t="str">
        <f>IF(R1076="","",'[1]All Data '!BE1081)</f>
        <v/>
      </c>
      <c r="T1076" s="12" t="str">
        <f>IF(S1076="","",[1]Inputs_Outputs!$B$8*(1-'LOCH Calc COE Calc'!S1076))</f>
        <v/>
      </c>
      <c r="U1076" s="13" t="str">
        <f t="shared" si="81"/>
        <v/>
      </c>
      <c r="V1076" s="13" t="str">
        <f t="shared" si="82"/>
        <v/>
      </c>
      <c r="W1076" s="4" t="str">
        <f t="shared" si="83"/>
        <v/>
      </c>
      <c r="X1076" t="str">
        <f>IF(W1076="","",LOOKUP(_xlfn.CONCAT(P1076,", ",Q1076),'[1]T+S Costs'!$F$2:$F$3138,'[1]T+S Costs'!$N$2:$N$3138))</f>
        <v/>
      </c>
      <c r="Y1076" s="14" t="str">
        <f t="shared" si="84"/>
        <v/>
      </c>
      <c r="Z1076" s="4" t="str">
        <f t="shared" si="85"/>
        <v/>
      </c>
    </row>
    <row r="1077" spans="16:26" x14ac:dyDescent="0.25">
      <c r="P1077" s="10" t="str">
        <f>IF('[1]All Data '!AZ1082="","",'[1]All Data '!AZ1082)</f>
        <v/>
      </c>
      <c r="Q1077" s="10" t="str">
        <f>IF('[1]All Data '!BB1082="","",'[1]All Data '!BB1082)</f>
        <v/>
      </c>
      <c r="R1077" s="10" t="str">
        <f>IF('[1]All Data '!BD1082="","",'[1]All Data '!BD1082)</f>
        <v/>
      </c>
      <c r="S1077" s="11" t="str">
        <f>IF(R1077="","",'[1]All Data '!BE1082)</f>
        <v/>
      </c>
      <c r="T1077" s="12" t="str">
        <f>IF(S1077="","",[1]Inputs_Outputs!$B$8*(1-'LOCH Calc COE Calc'!S1077))</f>
        <v/>
      </c>
      <c r="U1077" s="13" t="str">
        <f t="shared" si="81"/>
        <v/>
      </c>
      <c r="V1077" s="13" t="str">
        <f t="shared" si="82"/>
        <v/>
      </c>
      <c r="W1077" s="4" t="str">
        <f t="shared" si="83"/>
        <v/>
      </c>
      <c r="X1077" t="str">
        <f>IF(W1077="","",LOOKUP(_xlfn.CONCAT(P1077,", ",Q1077),'[1]T+S Costs'!$F$2:$F$3138,'[1]T+S Costs'!$N$2:$N$3138))</f>
        <v/>
      </c>
      <c r="Y1077" s="14" t="str">
        <f t="shared" si="84"/>
        <v/>
      </c>
      <c r="Z1077" s="4" t="str">
        <f t="shared" si="85"/>
        <v/>
      </c>
    </row>
    <row r="1078" spans="16:26" x14ac:dyDescent="0.25">
      <c r="P1078" s="10" t="str">
        <f>IF('[1]All Data '!AZ1083="","",'[1]All Data '!AZ1083)</f>
        <v/>
      </c>
      <c r="Q1078" s="10" t="str">
        <f>IF('[1]All Data '!BB1083="","",'[1]All Data '!BB1083)</f>
        <v/>
      </c>
      <c r="R1078" s="10" t="str">
        <f>IF('[1]All Data '!BD1083="","",'[1]All Data '!BD1083)</f>
        <v/>
      </c>
      <c r="S1078" s="11" t="str">
        <f>IF(R1078="","",'[1]All Data '!BE1083)</f>
        <v/>
      </c>
      <c r="T1078" s="12" t="str">
        <f>IF(S1078="","",[1]Inputs_Outputs!$B$8*(1-'LOCH Calc COE Calc'!S1078))</f>
        <v/>
      </c>
      <c r="U1078" s="13" t="str">
        <f t="shared" si="81"/>
        <v/>
      </c>
      <c r="V1078" s="13" t="str">
        <f t="shared" si="82"/>
        <v/>
      </c>
      <c r="W1078" s="4" t="str">
        <f t="shared" si="83"/>
        <v/>
      </c>
      <c r="X1078" t="str">
        <f>IF(W1078="","",LOOKUP(_xlfn.CONCAT(P1078,", ",Q1078),'[1]T+S Costs'!$F$2:$F$3138,'[1]T+S Costs'!$N$2:$N$3138))</f>
        <v/>
      </c>
      <c r="Y1078" s="14" t="str">
        <f t="shared" si="84"/>
        <v/>
      </c>
      <c r="Z1078" s="4" t="str">
        <f t="shared" si="85"/>
        <v/>
      </c>
    </row>
    <row r="1079" spans="16:26" x14ac:dyDescent="0.25">
      <c r="P1079" s="10" t="str">
        <f>IF('[1]All Data '!AZ1084="","",'[1]All Data '!AZ1084)</f>
        <v/>
      </c>
      <c r="Q1079" s="10" t="str">
        <f>IF('[1]All Data '!BB1084="","",'[1]All Data '!BB1084)</f>
        <v/>
      </c>
      <c r="R1079" s="10" t="str">
        <f>IF('[1]All Data '!BD1084="","",'[1]All Data '!BD1084)</f>
        <v/>
      </c>
      <c r="S1079" s="11" t="str">
        <f>IF(R1079="","",'[1]All Data '!BE1084)</f>
        <v/>
      </c>
      <c r="T1079" s="12" t="str">
        <f>IF(S1079="","",[1]Inputs_Outputs!$B$8*(1-'LOCH Calc COE Calc'!S1079))</f>
        <v/>
      </c>
      <c r="U1079" s="13" t="str">
        <f t="shared" si="81"/>
        <v/>
      </c>
      <c r="V1079" s="13" t="str">
        <f t="shared" si="82"/>
        <v/>
      </c>
      <c r="W1079" s="4" t="str">
        <f t="shared" si="83"/>
        <v/>
      </c>
      <c r="X1079" t="str">
        <f>IF(W1079="","",LOOKUP(_xlfn.CONCAT(P1079,", ",Q1079),'[1]T+S Costs'!$F$2:$F$3138,'[1]T+S Costs'!$N$2:$N$3138))</f>
        <v/>
      </c>
      <c r="Y1079" s="14" t="str">
        <f t="shared" si="84"/>
        <v/>
      </c>
      <c r="Z1079" s="4" t="str">
        <f t="shared" si="85"/>
        <v/>
      </c>
    </row>
    <row r="1080" spans="16:26" x14ac:dyDescent="0.25">
      <c r="P1080" s="10" t="str">
        <f>IF('[1]All Data '!AZ1085="","",'[1]All Data '!AZ1085)</f>
        <v/>
      </c>
      <c r="Q1080" s="10" t="str">
        <f>IF('[1]All Data '!BB1085="","",'[1]All Data '!BB1085)</f>
        <v/>
      </c>
      <c r="R1080" s="10" t="str">
        <f>IF('[1]All Data '!BD1085="","",'[1]All Data '!BD1085)</f>
        <v/>
      </c>
      <c r="S1080" s="11" t="str">
        <f>IF(R1080="","",'[1]All Data '!BE1085)</f>
        <v/>
      </c>
      <c r="T1080" s="12" t="str">
        <f>IF(S1080="","",[1]Inputs_Outputs!$B$8*(1-'LOCH Calc COE Calc'!S1080))</f>
        <v/>
      </c>
      <c r="U1080" s="13" t="str">
        <f t="shared" si="81"/>
        <v/>
      </c>
      <c r="V1080" s="13" t="str">
        <f t="shared" si="82"/>
        <v/>
      </c>
      <c r="W1080" s="4" t="str">
        <f t="shared" si="83"/>
        <v/>
      </c>
      <c r="X1080" t="str">
        <f>IF(W1080="","",LOOKUP(_xlfn.CONCAT(P1080,", ",Q1080),'[1]T+S Costs'!$F$2:$F$3138,'[1]T+S Costs'!$N$2:$N$3138))</f>
        <v/>
      </c>
      <c r="Y1080" s="14" t="str">
        <f t="shared" si="84"/>
        <v/>
      </c>
      <c r="Z1080" s="4" t="str">
        <f t="shared" si="85"/>
        <v/>
      </c>
    </row>
    <row r="1081" spans="16:26" x14ac:dyDescent="0.25">
      <c r="P1081" s="10" t="str">
        <f>IF('[1]All Data '!AZ1086="","",'[1]All Data '!AZ1086)</f>
        <v/>
      </c>
      <c r="Q1081" s="10" t="str">
        <f>IF('[1]All Data '!BB1086="","",'[1]All Data '!BB1086)</f>
        <v/>
      </c>
      <c r="R1081" s="10" t="str">
        <f>IF('[1]All Data '!BD1086="","",'[1]All Data '!BD1086)</f>
        <v/>
      </c>
      <c r="S1081" s="11" t="str">
        <f>IF(R1081="","",'[1]All Data '!BE1086)</f>
        <v/>
      </c>
      <c r="T1081" s="12" t="str">
        <f>IF(S1081="","",[1]Inputs_Outputs!$B$8*(1-'LOCH Calc COE Calc'!S1081))</f>
        <v/>
      </c>
      <c r="U1081" s="13" t="str">
        <f t="shared" si="81"/>
        <v/>
      </c>
      <c r="V1081" s="13" t="str">
        <f t="shared" si="82"/>
        <v/>
      </c>
      <c r="W1081" s="4" t="str">
        <f t="shared" si="83"/>
        <v/>
      </c>
      <c r="X1081" t="str">
        <f>IF(W1081="","",LOOKUP(_xlfn.CONCAT(P1081,", ",Q1081),'[1]T+S Costs'!$F$2:$F$3138,'[1]T+S Costs'!$N$2:$N$3138))</f>
        <v/>
      </c>
      <c r="Y1081" s="14" t="str">
        <f t="shared" si="84"/>
        <v/>
      </c>
      <c r="Z1081" s="4" t="str">
        <f t="shared" si="85"/>
        <v/>
      </c>
    </row>
    <row r="1082" spans="16:26" x14ac:dyDescent="0.25">
      <c r="P1082" s="10" t="str">
        <f>IF('[1]All Data '!AZ1087="","",'[1]All Data '!AZ1087)</f>
        <v/>
      </c>
      <c r="Q1082" s="10" t="str">
        <f>IF('[1]All Data '!BB1087="","",'[1]All Data '!BB1087)</f>
        <v/>
      </c>
      <c r="R1082" s="10" t="str">
        <f>IF('[1]All Data '!BD1087="","",'[1]All Data '!BD1087)</f>
        <v/>
      </c>
      <c r="S1082" s="11" t="str">
        <f>IF(R1082="","",'[1]All Data '!BE1087)</f>
        <v/>
      </c>
      <c r="T1082" s="12" t="str">
        <f>IF(S1082="","",[1]Inputs_Outputs!$B$8*(1-'LOCH Calc COE Calc'!S1082))</f>
        <v/>
      </c>
      <c r="U1082" s="13" t="str">
        <f t="shared" si="81"/>
        <v/>
      </c>
      <c r="V1082" s="13" t="str">
        <f t="shared" si="82"/>
        <v/>
      </c>
      <c r="W1082" s="4" t="str">
        <f t="shared" si="83"/>
        <v/>
      </c>
      <c r="X1082" t="str">
        <f>IF(W1082="","",LOOKUP(_xlfn.CONCAT(P1082,", ",Q1082),'[1]T+S Costs'!$F$2:$F$3138,'[1]T+S Costs'!$N$2:$N$3138))</f>
        <v/>
      </c>
      <c r="Y1082" s="14" t="str">
        <f t="shared" si="84"/>
        <v/>
      </c>
      <c r="Z1082" s="4" t="str">
        <f t="shared" si="85"/>
        <v/>
      </c>
    </row>
    <row r="1083" spans="16:26" x14ac:dyDescent="0.25">
      <c r="P1083" s="10" t="str">
        <f>IF('[1]All Data '!AZ1088="","",'[1]All Data '!AZ1088)</f>
        <v/>
      </c>
      <c r="Q1083" s="10" t="str">
        <f>IF('[1]All Data '!BB1088="","",'[1]All Data '!BB1088)</f>
        <v/>
      </c>
      <c r="R1083" s="10" t="str">
        <f>IF('[1]All Data '!BD1088="","",'[1]All Data '!BD1088)</f>
        <v/>
      </c>
      <c r="S1083" s="11" t="str">
        <f>IF(R1083="","",'[1]All Data '!BE1088)</f>
        <v/>
      </c>
      <c r="T1083" s="12" t="str">
        <f>IF(S1083="","",[1]Inputs_Outputs!$B$8*(1-'LOCH Calc COE Calc'!S1083))</f>
        <v/>
      </c>
      <c r="U1083" s="13" t="str">
        <f t="shared" si="81"/>
        <v/>
      </c>
      <c r="V1083" s="13" t="str">
        <f t="shared" si="82"/>
        <v/>
      </c>
      <c r="W1083" s="4" t="str">
        <f t="shared" si="83"/>
        <v/>
      </c>
      <c r="X1083" t="str">
        <f>IF(W1083="","",LOOKUP(_xlfn.CONCAT(P1083,", ",Q1083),'[1]T+S Costs'!$F$2:$F$3138,'[1]T+S Costs'!$N$2:$N$3138))</f>
        <v/>
      </c>
      <c r="Y1083" s="14" t="str">
        <f t="shared" si="84"/>
        <v/>
      </c>
      <c r="Z1083" s="4" t="str">
        <f t="shared" si="85"/>
        <v/>
      </c>
    </row>
    <row r="1084" spans="16:26" x14ac:dyDescent="0.25">
      <c r="P1084" s="10" t="str">
        <f>IF('[1]All Data '!AZ1089="","",'[1]All Data '!AZ1089)</f>
        <v/>
      </c>
      <c r="Q1084" s="10" t="str">
        <f>IF('[1]All Data '!BB1089="","",'[1]All Data '!BB1089)</f>
        <v/>
      </c>
      <c r="R1084" s="10" t="str">
        <f>IF('[1]All Data '!BD1089="","",'[1]All Data '!BD1089)</f>
        <v/>
      </c>
      <c r="S1084" s="11" t="str">
        <f>IF(R1084="","",'[1]All Data '!BE1089)</f>
        <v/>
      </c>
      <c r="T1084" s="12" t="str">
        <f>IF(S1084="","",[1]Inputs_Outputs!$B$8*(1-'LOCH Calc COE Calc'!S1084))</f>
        <v/>
      </c>
      <c r="U1084" s="13" t="str">
        <f t="shared" si="81"/>
        <v/>
      </c>
      <c r="V1084" s="13" t="str">
        <f t="shared" si="82"/>
        <v/>
      </c>
      <c r="W1084" s="4" t="str">
        <f t="shared" si="83"/>
        <v/>
      </c>
      <c r="X1084" t="str">
        <f>IF(W1084="","",LOOKUP(_xlfn.CONCAT(P1084,", ",Q1084),'[1]T+S Costs'!$F$2:$F$3138,'[1]T+S Costs'!$N$2:$N$3138))</f>
        <v/>
      </c>
      <c r="Y1084" s="14" t="str">
        <f t="shared" si="84"/>
        <v/>
      </c>
      <c r="Z1084" s="4" t="str">
        <f t="shared" si="85"/>
        <v/>
      </c>
    </row>
    <row r="1085" spans="16:26" x14ac:dyDescent="0.25">
      <c r="P1085" s="10" t="str">
        <f>IF('[1]All Data '!AZ1090="","",'[1]All Data '!AZ1090)</f>
        <v/>
      </c>
      <c r="Q1085" s="10" t="str">
        <f>IF('[1]All Data '!BB1090="","",'[1]All Data '!BB1090)</f>
        <v/>
      </c>
      <c r="R1085" s="10" t="str">
        <f>IF('[1]All Data '!BD1090="","",'[1]All Data '!BD1090)</f>
        <v/>
      </c>
      <c r="S1085" s="11" t="str">
        <f>IF(R1085="","",'[1]All Data '!BE1090)</f>
        <v/>
      </c>
      <c r="T1085" s="12" t="str">
        <f>IF(S1085="","",[1]Inputs_Outputs!$B$8*(1-'LOCH Calc COE Calc'!S1085))</f>
        <v/>
      </c>
      <c r="U1085" s="13" t="str">
        <f t="shared" si="81"/>
        <v/>
      </c>
      <c r="V1085" s="13" t="str">
        <f t="shared" si="82"/>
        <v/>
      </c>
      <c r="W1085" s="4" t="str">
        <f t="shared" si="83"/>
        <v/>
      </c>
      <c r="X1085" t="str">
        <f>IF(W1085="","",LOOKUP(_xlfn.CONCAT(P1085,", ",Q1085),'[1]T+S Costs'!$F$2:$F$3138,'[1]T+S Costs'!$N$2:$N$3138))</f>
        <v/>
      </c>
      <c r="Y1085" s="14" t="str">
        <f t="shared" si="84"/>
        <v/>
      </c>
      <c r="Z1085" s="4" t="str">
        <f t="shared" si="85"/>
        <v/>
      </c>
    </row>
    <row r="1086" spans="16:26" x14ac:dyDescent="0.25">
      <c r="P1086" s="10" t="str">
        <f>IF('[1]All Data '!AZ1091="","",'[1]All Data '!AZ1091)</f>
        <v/>
      </c>
      <c r="Q1086" s="10" t="str">
        <f>IF('[1]All Data '!BB1091="","",'[1]All Data '!BB1091)</f>
        <v/>
      </c>
      <c r="R1086" s="10" t="str">
        <f>IF('[1]All Data '!BD1091="","",'[1]All Data '!BD1091)</f>
        <v/>
      </c>
      <c r="S1086" s="11" t="str">
        <f>IF(R1086="","",'[1]All Data '!BE1091)</f>
        <v/>
      </c>
      <c r="T1086" s="12" t="str">
        <f>IF(S1086="","",[1]Inputs_Outputs!$B$8*(1-'LOCH Calc COE Calc'!S1086))</f>
        <v/>
      </c>
      <c r="U1086" s="13" t="str">
        <f t="shared" si="81"/>
        <v/>
      </c>
      <c r="V1086" s="13" t="str">
        <f t="shared" si="82"/>
        <v/>
      </c>
      <c r="W1086" s="4" t="str">
        <f t="shared" si="83"/>
        <v/>
      </c>
      <c r="X1086" t="str">
        <f>IF(W1086="","",LOOKUP(_xlfn.CONCAT(P1086,", ",Q1086),'[1]T+S Costs'!$F$2:$F$3138,'[1]T+S Costs'!$N$2:$N$3138))</f>
        <v/>
      </c>
      <c r="Y1086" s="14" t="str">
        <f t="shared" si="84"/>
        <v/>
      </c>
      <c r="Z1086" s="4" t="str">
        <f t="shared" si="85"/>
        <v/>
      </c>
    </row>
    <row r="1087" spans="16:26" x14ac:dyDescent="0.25">
      <c r="P1087" s="10" t="str">
        <f>IF('[1]All Data '!AZ1092="","",'[1]All Data '!AZ1092)</f>
        <v/>
      </c>
      <c r="Q1087" s="10" t="str">
        <f>IF('[1]All Data '!BB1092="","",'[1]All Data '!BB1092)</f>
        <v/>
      </c>
      <c r="R1087" s="10" t="str">
        <f>IF('[1]All Data '!BD1092="","",'[1]All Data '!BD1092)</f>
        <v/>
      </c>
      <c r="S1087" s="11" t="str">
        <f>IF(R1087="","",'[1]All Data '!BE1092)</f>
        <v/>
      </c>
      <c r="T1087" s="12" t="str">
        <f>IF(S1087="","",[1]Inputs_Outputs!$B$8*(1-'LOCH Calc COE Calc'!S1087))</f>
        <v/>
      </c>
      <c r="U1087" s="13" t="str">
        <f t="shared" si="81"/>
        <v/>
      </c>
      <c r="V1087" s="13" t="str">
        <f t="shared" si="82"/>
        <v/>
      </c>
      <c r="W1087" s="4" t="str">
        <f t="shared" si="83"/>
        <v/>
      </c>
      <c r="X1087" t="str">
        <f>IF(W1087="","",LOOKUP(_xlfn.CONCAT(P1087,", ",Q1087),'[1]T+S Costs'!$F$2:$F$3138,'[1]T+S Costs'!$N$2:$N$3138))</f>
        <v/>
      </c>
      <c r="Y1087" s="14" t="str">
        <f t="shared" si="84"/>
        <v/>
      </c>
      <c r="Z1087" s="4" t="str">
        <f t="shared" si="85"/>
        <v/>
      </c>
    </row>
    <row r="1088" spans="16:26" x14ac:dyDescent="0.25">
      <c r="P1088" s="10" t="str">
        <f>IF('[1]All Data '!AZ1093="","",'[1]All Data '!AZ1093)</f>
        <v/>
      </c>
      <c r="Q1088" s="10" t="str">
        <f>IF('[1]All Data '!BB1093="","",'[1]All Data '!BB1093)</f>
        <v/>
      </c>
      <c r="R1088" s="10" t="str">
        <f>IF('[1]All Data '!BD1093="","",'[1]All Data '!BD1093)</f>
        <v/>
      </c>
      <c r="S1088" s="11" t="str">
        <f>IF(R1088="","",'[1]All Data '!BE1093)</f>
        <v/>
      </c>
      <c r="T1088" s="12" t="str">
        <f>IF(S1088="","",[1]Inputs_Outputs!$B$8*(1-'LOCH Calc COE Calc'!S1088))</f>
        <v/>
      </c>
      <c r="U1088" s="13" t="str">
        <f t="shared" si="81"/>
        <v/>
      </c>
      <c r="V1088" s="13" t="str">
        <f t="shared" si="82"/>
        <v/>
      </c>
      <c r="W1088" s="4" t="str">
        <f t="shared" si="83"/>
        <v/>
      </c>
      <c r="X1088" t="str">
        <f>IF(W1088="","",LOOKUP(_xlfn.CONCAT(P1088,", ",Q1088),'[1]T+S Costs'!$F$2:$F$3138,'[1]T+S Costs'!$N$2:$N$3138))</f>
        <v/>
      </c>
      <c r="Y1088" s="14" t="str">
        <f t="shared" si="84"/>
        <v/>
      </c>
      <c r="Z1088" s="4" t="str">
        <f t="shared" si="85"/>
        <v/>
      </c>
    </row>
    <row r="1089" spans="16:26" x14ac:dyDescent="0.25">
      <c r="P1089" s="10" t="str">
        <f>IF('[1]All Data '!AZ1094="","",'[1]All Data '!AZ1094)</f>
        <v/>
      </c>
      <c r="Q1089" s="10" t="str">
        <f>IF('[1]All Data '!BB1094="","",'[1]All Data '!BB1094)</f>
        <v/>
      </c>
      <c r="R1089" s="10" t="str">
        <f>IF('[1]All Data '!BD1094="","",'[1]All Data '!BD1094)</f>
        <v/>
      </c>
      <c r="S1089" s="11" t="str">
        <f>IF(R1089="","",'[1]All Data '!BE1094)</f>
        <v/>
      </c>
      <c r="T1089" s="12" t="str">
        <f>IF(S1089="","",[1]Inputs_Outputs!$B$8*(1-'LOCH Calc COE Calc'!S1089))</f>
        <v/>
      </c>
      <c r="U1089" s="13" t="str">
        <f t="shared" si="81"/>
        <v/>
      </c>
      <c r="V1089" s="13" t="str">
        <f t="shared" si="82"/>
        <v/>
      </c>
      <c r="W1089" s="4" t="str">
        <f t="shared" si="83"/>
        <v/>
      </c>
      <c r="X1089" t="str">
        <f>IF(W1089="","",LOOKUP(_xlfn.CONCAT(P1089,", ",Q1089),'[1]T+S Costs'!$F$2:$F$3138,'[1]T+S Costs'!$N$2:$N$3138))</f>
        <v/>
      </c>
      <c r="Y1089" s="14" t="str">
        <f t="shared" si="84"/>
        <v/>
      </c>
      <c r="Z1089" s="4" t="str">
        <f t="shared" si="85"/>
        <v/>
      </c>
    </row>
    <row r="1090" spans="16:26" x14ac:dyDescent="0.25">
      <c r="P1090" s="10" t="str">
        <f>IF('[1]All Data '!AZ1095="","",'[1]All Data '!AZ1095)</f>
        <v/>
      </c>
      <c r="Q1090" s="10" t="str">
        <f>IF('[1]All Data '!BB1095="","",'[1]All Data '!BB1095)</f>
        <v/>
      </c>
      <c r="R1090" s="10" t="str">
        <f>IF('[1]All Data '!BD1095="","",'[1]All Data '!BD1095)</f>
        <v/>
      </c>
      <c r="S1090" s="11" t="str">
        <f>IF(R1090="","",'[1]All Data '!BE1095)</f>
        <v/>
      </c>
      <c r="T1090" s="12" t="str">
        <f>IF(S1090="","",[1]Inputs_Outputs!$B$8*(1-'LOCH Calc COE Calc'!S1090))</f>
        <v/>
      </c>
      <c r="U1090" s="13" t="str">
        <f t="shared" si="81"/>
        <v/>
      </c>
      <c r="V1090" s="13" t="str">
        <f t="shared" si="82"/>
        <v/>
      </c>
      <c r="W1090" s="4" t="str">
        <f t="shared" si="83"/>
        <v/>
      </c>
      <c r="X1090" t="str">
        <f>IF(W1090="","",LOOKUP(_xlfn.CONCAT(P1090,", ",Q1090),'[1]T+S Costs'!$F$2:$F$3138,'[1]T+S Costs'!$N$2:$N$3138))</f>
        <v/>
      </c>
      <c r="Y1090" s="14" t="str">
        <f t="shared" si="84"/>
        <v/>
      </c>
      <c r="Z1090" s="4" t="str">
        <f t="shared" si="85"/>
        <v/>
      </c>
    </row>
    <row r="1091" spans="16:26" x14ac:dyDescent="0.25">
      <c r="P1091" s="10" t="str">
        <f>IF('[1]All Data '!AZ1096="","",'[1]All Data '!AZ1096)</f>
        <v/>
      </c>
      <c r="Q1091" s="10" t="str">
        <f>IF('[1]All Data '!BB1096="","",'[1]All Data '!BB1096)</f>
        <v/>
      </c>
      <c r="R1091" s="10" t="str">
        <f>IF('[1]All Data '!BD1096="","",'[1]All Data '!BD1096)</f>
        <v/>
      </c>
      <c r="S1091" s="11" t="str">
        <f>IF(R1091="","",'[1]All Data '!BE1096)</f>
        <v/>
      </c>
      <c r="T1091" s="12" t="str">
        <f>IF(S1091="","",[1]Inputs_Outputs!$B$8*(1-'LOCH Calc COE Calc'!S1091))</f>
        <v/>
      </c>
      <c r="U1091" s="13" t="str">
        <f t="shared" ref="U1091:U1154" si="86">IF(S1091="","",R1091*T1091*365*$B$19/100)</f>
        <v/>
      </c>
      <c r="V1091" s="13" t="str">
        <f t="shared" ref="V1091:V1154" si="87">IF(S1091="","",(U1091*$B$19)/(($B$28)*$B$19))</f>
        <v/>
      </c>
      <c r="W1091" s="4" t="str">
        <f t="shared" ref="W1091:W1154" si="88">IF(S1091="","",V1091+$C$49+$C$50+$C$51)</f>
        <v/>
      </c>
      <c r="X1091" t="str">
        <f>IF(W1091="","",LOOKUP(_xlfn.CONCAT(P1091,", ",Q1091),'[1]T+S Costs'!$F$2:$F$3138,'[1]T+S Costs'!$N$2:$N$3138))</f>
        <v/>
      </c>
      <c r="Y1091" s="14" t="str">
        <f t="shared" ref="Y1091:Y1154" si="89">IF(X1091="","",((X1091*$B$60/$B$59)*$C$44)/$C$28)</f>
        <v/>
      </c>
      <c r="Z1091" s="4" t="str">
        <f t="shared" ref="Z1091:Z1154" si="90">IF(Y1091="","",W1091+Y1091)</f>
        <v/>
      </c>
    </row>
    <row r="1092" spans="16:26" x14ac:dyDescent="0.25">
      <c r="P1092" s="10" t="str">
        <f>IF('[1]All Data '!AZ1097="","",'[1]All Data '!AZ1097)</f>
        <v/>
      </c>
      <c r="Q1092" s="10" t="str">
        <f>IF('[1]All Data '!BB1097="","",'[1]All Data '!BB1097)</f>
        <v/>
      </c>
      <c r="R1092" s="10" t="str">
        <f>IF('[1]All Data '!BD1097="","",'[1]All Data '!BD1097)</f>
        <v/>
      </c>
      <c r="S1092" s="11" t="str">
        <f>IF(R1092="","",'[1]All Data '!BE1097)</f>
        <v/>
      </c>
      <c r="T1092" s="12" t="str">
        <f>IF(S1092="","",[1]Inputs_Outputs!$B$8*(1-'LOCH Calc COE Calc'!S1092))</f>
        <v/>
      </c>
      <c r="U1092" s="13" t="str">
        <f t="shared" si="86"/>
        <v/>
      </c>
      <c r="V1092" s="13" t="str">
        <f t="shared" si="87"/>
        <v/>
      </c>
      <c r="W1092" s="4" t="str">
        <f t="shared" si="88"/>
        <v/>
      </c>
      <c r="X1092" t="str">
        <f>IF(W1092="","",LOOKUP(_xlfn.CONCAT(P1092,", ",Q1092),'[1]T+S Costs'!$F$2:$F$3138,'[1]T+S Costs'!$N$2:$N$3138))</f>
        <v/>
      </c>
      <c r="Y1092" s="14" t="str">
        <f t="shared" si="89"/>
        <v/>
      </c>
      <c r="Z1092" s="4" t="str">
        <f t="shared" si="90"/>
        <v/>
      </c>
    </row>
    <row r="1093" spans="16:26" x14ac:dyDescent="0.25">
      <c r="P1093" s="10" t="str">
        <f>IF('[1]All Data '!AZ1098="","",'[1]All Data '!AZ1098)</f>
        <v/>
      </c>
      <c r="Q1093" s="10" t="str">
        <f>IF('[1]All Data '!BB1098="","",'[1]All Data '!BB1098)</f>
        <v/>
      </c>
      <c r="R1093" s="10" t="str">
        <f>IF('[1]All Data '!BD1098="","",'[1]All Data '!BD1098)</f>
        <v/>
      </c>
      <c r="S1093" s="11" t="str">
        <f>IF(R1093="","",'[1]All Data '!BE1098)</f>
        <v/>
      </c>
      <c r="T1093" s="12" t="str">
        <f>IF(S1093="","",[1]Inputs_Outputs!$B$8*(1-'LOCH Calc COE Calc'!S1093))</f>
        <v/>
      </c>
      <c r="U1093" s="13" t="str">
        <f t="shared" si="86"/>
        <v/>
      </c>
      <c r="V1093" s="13" t="str">
        <f t="shared" si="87"/>
        <v/>
      </c>
      <c r="W1093" s="4" t="str">
        <f t="shared" si="88"/>
        <v/>
      </c>
      <c r="X1093" t="str">
        <f>IF(W1093="","",LOOKUP(_xlfn.CONCAT(P1093,", ",Q1093),'[1]T+S Costs'!$F$2:$F$3138,'[1]T+S Costs'!$N$2:$N$3138))</f>
        <v/>
      </c>
      <c r="Y1093" s="14" t="str">
        <f t="shared" si="89"/>
        <v/>
      </c>
      <c r="Z1093" s="4" t="str">
        <f t="shared" si="90"/>
        <v/>
      </c>
    </row>
    <row r="1094" spans="16:26" x14ac:dyDescent="0.25">
      <c r="P1094" s="10" t="str">
        <f>IF('[1]All Data '!AZ1099="","",'[1]All Data '!AZ1099)</f>
        <v/>
      </c>
      <c r="Q1094" s="10" t="str">
        <f>IF('[1]All Data '!BB1099="","",'[1]All Data '!BB1099)</f>
        <v/>
      </c>
      <c r="R1094" s="10" t="str">
        <f>IF('[1]All Data '!BD1099="","",'[1]All Data '!BD1099)</f>
        <v/>
      </c>
      <c r="S1094" s="11" t="str">
        <f>IF(R1094="","",'[1]All Data '!BE1099)</f>
        <v/>
      </c>
      <c r="T1094" s="12" t="str">
        <f>IF(S1094="","",[1]Inputs_Outputs!$B$8*(1-'LOCH Calc COE Calc'!S1094))</f>
        <v/>
      </c>
      <c r="U1094" s="13" t="str">
        <f t="shared" si="86"/>
        <v/>
      </c>
      <c r="V1094" s="13" t="str">
        <f t="shared" si="87"/>
        <v/>
      </c>
      <c r="W1094" s="4" t="str">
        <f t="shared" si="88"/>
        <v/>
      </c>
      <c r="X1094" t="str">
        <f>IF(W1094="","",LOOKUP(_xlfn.CONCAT(P1094,", ",Q1094),'[1]T+S Costs'!$F$2:$F$3138,'[1]T+S Costs'!$N$2:$N$3138))</f>
        <v/>
      </c>
      <c r="Y1094" s="14" t="str">
        <f t="shared" si="89"/>
        <v/>
      </c>
      <c r="Z1094" s="4" t="str">
        <f t="shared" si="90"/>
        <v/>
      </c>
    </row>
    <row r="1095" spans="16:26" x14ac:dyDescent="0.25">
      <c r="P1095" s="10" t="str">
        <f>IF('[1]All Data '!AZ1100="","",'[1]All Data '!AZ1100)</f>
        <v/>
      </c>
      <c r="Q1095" s="10" t="str">
        <f>IF('[1]All Data '!BB1100="","",'[1]All Data '!BB1100)</f>
        <v/>
      </c>
      <c r="R1095" s="10" t="str">
        <f>IF('[1]All Data '!BD1100="","",'[1]All Data '!BD1100)</f>
        <v/>
      </c>
      <c r="S1095" s="11" t="str">
        <f>IF(R1095="","",'[1]All Data '!BE1100)</f>
        <v/>
      </c>
      <c r="T1095" s="12" t="str">
        <f>IF(S1095="","",[1]Inputs_Outputs!$B$8*(1-'LOCH Calc COE Calc'!S1095))</f>
        <v/>
      </c>
      <c r="U1095" s="13" t="str">
        <f t="shared" si="86"/>
        <v/>
      </c>
      <c r="V1095" s="13" t="str">
        <f t="shared" si="87"/>
        <v/>
      </c>
      <c r="W1095" s="4" t="str">
        <f t="shared" si="88"/>
        <v/>
      </c>
      <c r="X1095" t="str">
        <f>IF(W1095="","",LOOKUP(_xlfn.CONCAT(P1095,", ",Q1095),'[1]T+S Costs'!$F$2:$F$3138,'[1]T+S Costs'!$N$2:$N$3138))</f>
        <v/>
      </c>
      <c r="Y1095" s="14" t="str">
        <f t="shared" si="89"/>
        <v/>
      </c>
      <c r="Z1095" s="4" t="str">
        <f t="shared" si="90"/>
        <v/>
      </c>
    </row>
    <row r="1096" spans="16:26" x14ac:dyDescent="0.25">
      <c r="P1096" s="10" t="str">
        <f>IF('[1]All Data '!AZ1101="","",'[1]All Data '!AZ1101)</f>
        <v/>
      </c>
      <c r="Q1096" s="10" t="str">
        <f>IF('[1]All Data '!BB1101="","",'[1]All Data '!BB1101)</f>
        <v/>
      </c>
      <c r="R1096" s="10" t="str">
        <f>IF('[1]All Data '!BD1101="","",'[1]All Data '!BD1101)</f>
        <v/>
      </c>
      <c r="S1096" s="11" t="str">
        <f>IF(R1096="","",'[1]All Data '!BE1101)</f>
        <v/>
      </c>
      <c r="T1096" s="12" t="str">
        <f>IF(S1096="","",[1]Inputs_Outputs!$B$8*(1-'LOCH Calc COE Calc'!S1096))</f>
        <v/>
      </c>
      <c r="U1096" s="13" t="str">
        <f t="shared" si="86"/>
        <v/>
      </c>
      <c r="V1096" s="13" t="str">
        <f t="shared" si="87"/>
        <v/>
      </c>
      <c r="W1096" s="4" t="str">
        <f t="shared" si="88"/>
        <v/>
      </c>
      <c r="X1096" t="str">
        <f>IF(W1096="","",LOOKUP(_xlfn.CONCAT(P1096,", ",Q1096),'[1]T+S Costs'!$F$2:$F$3138,'[1]T+S Costs'!$N$2:$N$3138))</f>
        <v/>
      </c>
      <c r="Y1096" s="14" t="str">
        <f t="shared" si="89"/>
        <v/>
      </c>
      <c r="Z1096" s="4" t="str">
        <f t="shared" si="90"/>
        <v/>
      </c>
    </row>
    <row r="1097" spans="16:26" x14ac:dyDescent="0.25">
      <c r="P1097" s="10" t="str">
        <f>IF('[1]All Data '!AZ1102="","",'[1]All Data '!AZ1102)</f>
        <v/>
      </c>
      <c r="Q1097" s="10" t="str">
        <f>IF('[1]All Data '!BB1102="","",'[1]All Data '!BB1102)</f>
        <v/>
      </c>
      <c r="R1097" s="10" t="str">
        <f>IF('[1]All Data '!BD1102="","",'[1]All Data '!BD1102)</f>
        <v/>
      </c>
      <c r="S1097" s="11" t="str">
        <f>IF(R1097="","",'[1]All Data '!BE1102)</f>
        <v/>
      </c>
      <c r="T1097" s="12" t="str">
        <f>IF(S1097="","",[1]Inputs_Outputs!$B$8*(1-'LOCH Calc COE Calc'!S1097))</f>
        <v/>
      </c>
      <c r="U1097" s="13" t="str">
        <f t="shared" si="86"/>
        <v/>
      </c>
      <c r="V1097" s="13" t="str">
        <f t="shared" si="87"/>
        <v/>
      </c>
      <c r="W1097" s="4" t="str">
        <f t="shared" si="88"/>
        <v/>
      </c>
      <c r="X1097" t="str">
        <f>IF(W1097="","",LOOKUP(_xlfn.CONCAT(P1097,", ",Q1097),'[1]T+S Costs'!$F$2:$F$3138,'[1]T+S Costs'!$N$2:$N$3138))</f>
        <v/>
      </c>
      <c r="Y1097" s="14" t="str">
        <f t="shared" si="89"/>
        <v/>
      </c>
      <c r="Z1097" s="4" t="str">
        <f t="shared" si="90"/>
        <v/>
      </c>
    </row>
    <row r="1098" spans="16:26" x14ac:dyDescent="0.25">
      <c r="P1098" s="10" t="str">
        <f>IF('[1]All Data '!AZ1103="","",'[1]All Data '!AZ1103)</f>
        <v/>
      </c>
      <c r="Q1098" s="10" t="str">
        <f>IF('[1]All Data '!BB1103="","",'[1]All Data '!BB1103)</f>
        <v/>
      </c>
      <c r="R1098" s="10" t="str">
        <f>IF('[1]All Data '!BD1103="","",'[1]All Data '!BD1103)</f>
        <v/>
      </c>
      <c r="S1098" s="11" t="str">
        <f>IF(R1098="","",'[1]All Data '!BE1103)</f>
        <v/>
      </c>
      <c r="T1098" s="12" t="str">
        <f>IF(S1098="","",[1]Inputs_Outputs!$B$8*(1-'LOCH Calc COE Calc'!S1098))</f>
        <v/>
      </c>
      <c r="U1098" s="13" t="str">
        <f t="shared" si="86"/>
        <v/>
      </c>
      <c r="V1098" s="13" t="str">
        <f t="shared" si="87"/>
        <v/>
      </c>
      <c r="W1098" s="4" t="str">
        <f t="shared" si="88"/>
        <v/>
      </c>
      <c r="X1098" t="str">
        <f>IF(W1098="","",LOOKUP(_xlfn.CONCAT(P1098,", ",Q1098),'[1]T+S Costs'!$F$2:$F$3138,'[1]T+S Costs'!$N$2:$N$3138))</f>
        <v/>
      </c>
      <c r="Y1098" s="14" t="str">
        <f t="shared" si="89"/>
        <v/>
      </c>
      <c r="Z1098" s="4" t="str">
        <f t="shared" si="90"/>
        <v/>
      </c>
    </row>
    <row r="1099" spans="16:26" x14ac:dyDescent="0.25">
      <c r="P1099" s="10" t="str">
        <f>IF('[1]All Data '!AZ1104="","",'[1]All Data '!AZ1104)</f>
        <v/>
      </c>
      <c r="Q1099" s="10" t="str">
        <f>IF('[1]All Data '!BB1104="","",'[1]All Data '!BB1104)</f>
        <v/>
      </c>
      <c r="R1099" s="10" t="str">
        <f>IF('[1]All Data '!BD1104="","",'[1]All Data '!BD1104)</f>
        <v/>
      </c>
      <c r="S1099" s="11" t="str">
        <f>IF(R1099="","",'[1]All Data '!BE1104)</f>
        <v/>
      </c>
      <c r="T1099" s="12" t="str">
        <f>IF(S1099="","",[1]Inputs_Outputs!$B$8*(1-'LOCH Calc COE Calc'!S1099))</f>
        <v/>
      </c>
      <c r="U1099" s="13" t="str">
        <f t="shared" si="86"/>
        <v/>
      </c>
      <c r="V1099" s="13" t="str">
        <f t="shared" si="87"/>
        <v/>
      </c>
      <c r="W1099" s="4" t="str">
        <f t="shared" si="88"/>
        <v/>
      </c>
      <c r="X1099" t="str">
        <f>IF(W1099="","",LOOKUP(_xlfn.CONCAT(P1099,", ",Q1099),'[1]T+S Costs'!$F$2:$F$3138,'[1]T+S Costs'!$N$2:$N$3138))</f>
        <v/>
      </c>
      <c r="Y1099" s="14" t="str">
        <f t="shared" si="89"/>
        <v/>
      </c>
      <c r="Z1099" s="4" t="str">
        <f t="shared" si="90"/>
        <v/>
      </c>
    </row>
    <row r="1100" spans="16:26" x14ac:dyDescent="0.25">
      <c r="P1100" s="10" t="str">
        <f>IF('[1]All Data '!AZ1105="","",'[1]All Data '!AZ1105)</f>
        <v/>
      </c>
      <c r="Q1100" s="10" t="str">
        <f>IF('[1]All Data '!BB1105="","",'[1]All Data '!BB1105)</f>
        <v/>
      </c>
      <c r="R1100" s="10" t="str">
        <f>IF('[1]All Data '!BD1105="","",'[1]All Data '!BD1105)</f>
        <v/>
      </c>
      <c r="S1100" s="11" t="str">
        <f>IF(R1100="","",'[1]All Data '!BE1105)</f>
        <v/>
      </c>
      <c r="T1100" s="12" t="str">
        <f>IF(S1100="","",[1]Inputs_Outputs!$B$8*(1-'LOCH Calc COE Calc'!S1100))</f>
        <v/>
      </c>
      <c r="U1100" s="13" t="str">
        <f t="shared" si="86"/>
        <v/>
      </c>
      <c r="V1100" s="13" t="str">
        <f t="shared" si="87"/>
        <v/>
      </c>
      <c r="W1100" s="4" t="str">
        <f t="shared" si="88"/>
        <v/>
      </c>
      <c r="X1100" t="str">
        <f>IF(W1100="","",LOOKUP(_xlfn.CONCAT(P1100,", ",Q1100),'[1]T+S Costs'!$F$2:$F$3138,'[1]T+S Costs'!$N$2:$N$3138))</f>
        <v/>
      </c>
      <c r="Y1100" s="14" t="str">
        <f t="shared" si="89"/>
        <v/>
      </c>
      <c r="Z1100" s="4" t="str">
        <f t="shared" si="90"/>
        <v/>
      </c>
    </row>
    <row r="1101" spans="16:26" x14ac:dyDescent="0.25">
      <c r="P1101" s="10" t="str">
        <f>IF('[1]All Data '!AZ1106="","",'[1]All Data '!AZ1106)</f>
        <v/>
      </c>
      <c r="Q1101" s="10" t="str">
        <f>IF('[1]All Data '!BB1106="","",'[1]All Data '!BB1106)</f>
        <v/>
      </c>
      <c r="R1101" s="10" t="str">
        <f>IF('[1]All Data '!BD1106="","",'[1]All Data '!BD1106)</f>
        <v/>
      </c>
      <c r="S1101" s="11" t="str">
        <f>IF(R1101="","",'[1]All Data '!BE1106)</f>
        <v/>
      </c>
      <c r="T1101" s="12" t="str">
        <f>IF(S1101="","",[1]Inputs_Outputs!$B$8*(1-'LOCH Calc COE Calc'!S1101))</f>
        <v/>
      </c>
      <c r="U1101" s="13" t="str">
        <f t="shared" si="86"/>
        <v/>
      </c>
      <c r="V1101" s="13" t="str">
        <f t="shared" si="87"/>
        <v/>
      </c>
      <c r="W1101" s="4" t="str">
        <f t="shared" si="88"/>
        <v/>
      </c>
      <c r="X1101" t="str">
        <f>IF(W1101="","",LOOKUP(_xlfn.CONCAT(P1101,", ",Q1101),'[1]T+S Costs'!$F$2:$F$3138,'[1]T+S Costs'!$N$2:$N$3138))</f>
        <v/>
      </c>
      <c r="Y1101" s="14" t="str">
        <f t="shared" si="89"/>
        <v/>
      </c>
      <c r="Z1101" s="4" t="str">
        <f t="shared" si="90"/>
        <v/>
      </c>
    </row>
    <row r="1102" spans="16:26" x14ac:dyDescent="0.25">
      <c r="P1102" s="10" t="str">
        <f>IF('[1]All Data '!AZ1107="","",'[1]All Data '!AZ1107)</f>
        <v/>
      </c>
      <c r="Q1102" s="10" t="str">
        <f>IF('[1]All Data '!BB1107="","",'[1]All Data '!BB1107)</f>
        <v/>
      </c>
      <c r="R1102" s="10" t="str">
        <f>IF('[1]All Data '!BD1107="","",'[1]All Data '!BD1107)</f>
        <v/>
      </c>
      <c r="S1102" s="11" t="str">
        <f>IF(R1102="","",'[1]All Data '!BE1107)</f>
        <v/>
      </c>
      <c r="T1102" s="12" t="str">
        <f>IF(S1102="","",[1]Inputs_Outputs!$B$8*(1-'LOCH Calc COE Calc'!S1102))</f>
        <v/>
      </c>
      <c r="U1102" s="13" t="str">
        <f t="shared" si="86"/>
        <v/>
      </c>
      <c r="V1102" s="13" t="str">
        <f t="shared" si="87"/>
        <v/>
      </c>
      <c r="W1102" s="4" t="str">
        <f t="shared" si="88"/>
        <v/>
      </c>
      <c r="X1102" t="str">
        <f>IF(W1102="","",LOOKUP(_xlfn.CONCAT(P1102,", ",Q1102),'[1]T+S Costs'!$F$2:$F$3138,'[1]T+S Costs'!$N$2:$N$3138))</f>
        <v/>
      </c>
      <c r="Y1102" s="14" t="str">
        <f t="shared" si="89"/>
        <v/>
      </c>
      <c r="Z1102" s="4" t="str">
        <f t="shared" si="90"/>
        <v/>
      </c>
    </row>
    <row r="1103" spans="16:26" x14ac:dyDescent="0.25">
      <c r="P1103" s="10" t="str">
        <f>IF('[1]All Data '!AZ1108="","",'[1]All Data '!AZ1108)</f>
        <v/>
      </c>
      <c r="Q1103" s="10" t="str">
        <f>IF('[1]All Data '!BB1108="","",'[1]All Data '!BB1108)</f>
        <v/>
      </c>
      <c r="R1103" s="10" t="str">
        <f>IF('[1]All Data '!BD1108="","",'[1]All Data '!BD1108)</f>
        <v/>
      </c>
      <c r="S1103" s="11" t="str">
        <f>IF(R1103="","",'[1]All Data '!BE1108)</f>
        <v/>
      </c>
      <c r="T1103" s="12" t="str">
        <f>IF(S1103="","",[1]Inputs_Outputs!$B$8*(1-'LOCH Calc COE Calc'!S1103))</f>
        <v/>
      </c>
      <c r="U1103" s="13" t="str">
        <f t="shared" si="86"/>
        <v/>
      </c>
      <c r="V1103" s="13" t="str">
        <f t="shared" si="87"/>
        <v/>
      </c>
      <c r="W1103" s="4" t="str">
        <f t="shared" si="88"/>
        <v/>
      </c>
      <c r="X1103" t="str">
        <f>IF(W1103="","",LOOKUP(_xlfn.CONCAT(P1103,", ",Q1103),'[1]T+S Costs'!$F$2:$F$3138,'[1]T+S Costs'!$N$2:$N$3138))</f>
        <v/>
      </c>
      <c r="Y1103" s="14" t="str">
        <f t="shared" si="89"/>
        <v/>
      </c>
      <c r="Z1103" s="4" t="str">
        <f t="shared" si="90"/>
        <v/>
      </c>
    </row>
    <row r="1104" spans="16:26" x14ac:dyDescent="0.25">
      <c r="P1104" s="10" t="str">
        <f>IF('[1]All Data '!AZ1109="","",'[1]All Data '!AZ1109)</f>
        <v/>
      </c>
      <c r="Q1104" s="10" t="str">
        <f>IF('[1]All Data '!BB1109="","",'[1]All Data '!BB1109)</f>
        <v/>
      </c>
      <c r="R1104" s="10" t="str">
        <f>IF('[1]All Data '!BD1109="","",'[1]All Data '!BD1109)</f>
        <v/>
      </c>
      <c r="S1104" s="11" t="str">
        <f>IF(R1104="","",'[1]All Data '!BE1109)</f>
        <v/>
      </c>
      <c r="T1104" s="12" t="str">
        <f>IF(S1104="","",[1]Inputs_Outputs!$B$8*(1-'LOCH Calc COE Calc'!S1104))</f>
        <v/>
      </c>
      <c r="U1104" s="13" t="str">
        <f t="shared" si="86"/>
        <v/>
      </c>
      <c r="V1104" s="13" t="str">
        <f t="shared" si="87"/>
        <v/>
      </c>
      <c r="W1104" s="4" t="str">
        <f t="shared" si="88"/>
        <v/>
      </c>
      <c r="X1104" t="str">
        <f>IF(W1104="","",LOOKUP(_xlfn.CONCAT(P1104,", ",Q1104),'[1]T+S Costs'!$F$2:$F$3138,'[1]T+S Costs'!$N$2:$N$3138))</f>
        <v/>
      </c>
      <c r="Y1104" s="14" t="str">
        <f t="shared" si="89"/>
        <v/>
      </c>
      <c r="Z1104" s="4" t="str">
        <f t="shared" si="90"/>
        <v/>
      </c>
    </row>
    <row r="1105" spans="16:26" x14ac:dyDescent="0.25">
      <c r="P1105" s="10" t="str">
        <f>IF('[1]All Data '!AZ1110="","",'[1]All Data '!AZ1110)</f>
        <v/>
      </c>
      <c r="Q1105" s="10" t="str">
        <f>IF('[1]All Data '!BB1110="","",'[1]All Data '!BB1110)</f>
        <v/>
      </c>
      <c r="R1105" s="10" t="str">
        <f>IF('[1]All Data '!BD1110="","",'[1]All Data '!BD1110)</f>
        <v/>
      </c>
      <c r="S1105" s="11" t="str">
        <f>IF(R1105="","",'[1]All Data '!BE1110)</f>
        <v/>
      </c>
      <c r="T1105" s="12" t="str">
        <f>IF(S1105="","",[1]Inputs_Outputs!$B$8*(1-'LOCH Calc COE Calc'!S1105))</f>
        <v/>
      </c>
      <c r="U1105" s="13" t="str">
        <f t="shared" si="86"/>
        <v/>
      </c>
      <c r="V1105" s="13" t="str">
        <f t="shared" si="87"/>
        <v/>
      </c>
      <c r="W1105" s="4" t="str">
        <f t="shared" si="88"/>
        <v/>
      </c>
      <c r="X1105" t="str">
        <f>IF(W1105="","",LOOKUP(_xlfn.CONCAT(P1105,", ",Q1105),'[1]T+S Costs'!$F$2:$F$3138,'[1]T+S Costs'!$N$2:$N$3138))</f>
        <v/>
      </c>
      <c r="Y1105" s="14" t="str">
        <f t="shared" si="89"/>
        <v/>
      </c>
      <c r="Z1105" s="4" t="str">
        <f t="shared" si="90"/>
        <v/>
      </c>
    </row>
    <row r="1106" spans="16:26" x14ac:dyDescent="0.25">
      <c r="P1106" s="10" t="str">
        <f>IF('[1]All Data '!AZ1111="","",'[1]All Data '!AZ1111)</f>
        <v/>
      </c>
      <c r="Q1106" s="10" t="str">
        <f>IF('[1]All Data '!BB1111="","",'[1]All Data '!BB1111)</f>
        <v/>
      </c>
      <c r="R1106" s="10" t="str">
        <f>IF('[1]All Data '!BD1111="","",'[1]All Data '!BD1111)</f>
        <v/>
      </c>
      <c r="S1106" s="11" t="str">
        <f>IF(R1106="","",'[1]All Data '!BE1111)</f>
        <v/>
      </c>
      <c r="T1106" s="12" t="str">
        <f>IF(S1106="","",[1]Inputs_Outputs!$B$8*(1-'LOCH Calc COE Calc'!S1106))</f>
        <v/>
      </c>
      <c r="U1106" s="13" t="str">
        <f t="shared" si="86"/>
        <v/>
      </c>
      <c r="V1106" s="13" t="str">
        <f t="shared" si="87"/>
        <v/>
      </c>
      <c r="W1106" s="4" t="str">
        <f t="shared" si="88"/>
        <v/>
      </c>
      <c r="X1106" t="str">
        <f>IF(W1106="","",LOOKUP(_xlfn.CONCAT(P1106,", ",Q1106),'[1]T+S Costs'!$F$2:$F$3138,'[1]T+S Costs'!$N$2:$N$3138))</f>
        <v/>
      </c>
      <c r="Y1106" s="14" t="str">
        <f t="shared" si="89"/>
        <v/>
      </c>
      <c r="Z1106" s="4" t="str">
        <f t="shared" si="90"/>
        <v/>
      </c>
    </row>
    <row r="1107" spans="16:26" x14ac:dyDescent="0.25">
      <c r="P1107" s="10" t="str">
        <f>IF('[1]All Data '!AZ1112="","",'[1]All Data '!AZ1112)</f>
        <v/>
      </c>
      <c r="Q1107" s="10" t="str">
        <f>IF('[1]All Data '!BB1112="","",'[1]All Data '!BB1112)</f>
        <v/>
      </c>
      <c r="R1107" s="10" t="str">
        <f>IF('[1]All Data '!BD1112="","",'[1]All Data '!BD1112)</f>
        <v/>
      </c>
      <c r="S1107" s="11" t="str">
        <f>IF(R1107="","",'[1]All Data '!BE1112)</f>
        <v/>
      </c>
      <c r="T1107" s="12" t="str">
        <f>IF(S1107="","",[1]Inputs_Outputs!$B$8*(1-'LOCH Calc COE Calc'!S1107))</f>
        <v/>
      </c>
      <c r="U1107" s="13" t="str">
        <f t="shared" si="86"/>
        <v/>
      </c>
      <c r="V1107" s="13" t="str">
        <f t="shared" si="87"/>
        <v/>
      </c>
      <c r="W1107" s="4" t="str">
        <f t="shared" si="88"/>
        <v/>
      </c>
      <c r="X1107" t="str">
        <f>IF(W1107="","",LOOKUP(_xlfn.CONCAT(P1107,", ",Q1107),'[1]T+S Costs'!$F$2:$F$3138,'[1]T+S Costs'!$N$2:$N$3138))</f>
        <v/>
      </c>
      <c r="Y1107" s="14" t="str">
        <f t="shared" si="89"/>
        <v/>
      </c>
      <c r="Z1107" s="4" t="str">
        <f t="shared" si="90"/>
        <v/>
      </c>
    </row>
    <row r="1108" spans="16:26" x14ac:dyDescent="0.25">
      <c r="P1108" s="10" t="str">
        <f>IF('[1]All Data '!AZ1113="","",'[1]All Data '!AZ1113)</f>
        <v/>
      </c>
      <c r="Q1108" s="10" t="str">
        <f>IF('[1]All Data '!BB1113="","",'[1]All Data '!BB1113)</f>
        <v/>
      </c>
      <c r="R1108" s="10" t="str">
        <f>IF('[1]All Data '!BD1113="","",'[1]All Data '!BD1113)</f>
        <v/>
      </c>
      <c r="S1108" s="11" t="str">
        <f>IF(R1108="","",'[1]All Data '!BE1113)</f>
        <v/>
      </c>
      <c r="T1108" s="12" t="str">
        <f>IF(S1108="","",[1]Inputs_Outputs!$B$8*(1-'LOCH Calc COE Calc'!S1108))</f>
        <v/>
      </c>
      <c r="U1108" s="13" t="str">
        <f t="shared" si="86"/>
        <v/>
      </c>
      <c r="V1108" s="13" t="str">
        <f t="shared" si="87"/>
        <v/>
      </c>
      <c r="W1108" s="4" t="str">
        <f t="shared" si="88"/>
        <v/>
      </c>
      <c r="X1108" t="str">
        <f>IF(W1108="","",LOOKUP(_xlfn.CONCAT(P1108,", ",Q1108),'[1]T+S Costs'!$F$2:$F$3138,'[1]T+S Costs'!$N$2:$N$3138))</f>
        <v/>
      </c>
      <c r="Y1108" s="14" t="str">
        <f t="shared" si="89"/>
        <v/>
      </c>
      <c r="Z1108" s="4" t="str">
        <f t="shared" si="90"/>
        <v/>
      </c>
    </row>
    <row r="1109" spans="16:26" x14ac:dyDescent="0.25">
      <c r="P1109" s="10" t="str">
        <f>IF('[1]All Data '!AZ1114="","",'[1]All Data '!AZ1114)</f>
        <v/>
      </c>
      <c r="Q1109" s="10" t="str">
        <f>IF('[1]All Data '!BB1114="","",'[1]All Data '!BB1114)</f>
        <v/>
      </c>
      <c r="R1109" s="10" t="str">
        <f>IF('[1]All Data '!BD1114="","",'[1]All Data '!BD1114)</f>
        <v/>
      </c>
      <c r="S1109" s="11" t="str">
        <f>IF(R1109="","",'[1]All Data '!BE1114)</f>
        <v/>
      </c>
      <c r="T1109" s="12" t="str">
        <f>IF(S1109="","",[1]Inputs_Outputs!$B$8*(1-'LOCH Calc COE Calc'!S1109))</f>
        <v/>
      </c>
      <c r="U1109" s="13" t="str">
        <f t="shared" si="86"/>
        <v/>
      </c>
      <c r="V1109" s="13" t="str">
        <f t="shared" si="87"/>
        <v/>
      </c>
      <c r="W1109" s="4" t="str">
        <f t="shared" si="88"/>
        <v/>
      </c>
      <c r="X1109" t="str">
        <f>IF(W1109="","",LOOKUP(_xlfn.CONCAT(P1109,", ",Q1109),'[1]T+S Costs'!$F$2:$F$3138,'[1]T+S Costs'!$N$2:$N$3138))</f>
        <v/>
      </c>
      <c r="Y1109" s="14" t="str">
        <f t="shared" si="89"/>
        <v/>
      </c>
      <c r="Z1109" s="4" t="str">
        <f t="shared" si="90"/>
        <v/>
      </c>
    </row>
    <row r="1110" spans="16:26" x14ac:dyDescent="0.25">
      <c r="P1110" s="10" t="str">
        <f>IF('[1]All Data '!AZ1115="","",'[1]All Data '!AZ1115)</f>
        <v/>
      </c>
      <c r="Q1110" s="10" t="str">
        <f>IF('[1]All Data '!BB1115="","",'[1]All Data '!BB1115)</f>
        <v/>
      </c>
      <c r="R1110" s="10" t="str">
        <f>IF('[1]All Data '!BD1115="","",'[1]All Data '!BD1115)</f>
        <v/>
      </c>
      <c r="S1110" s="11" t="str">
        <f>IF(R1110="","",'[1]All Data '!BE1115)</f>
        <v/>
      </c>
      <c r="T1110" s="12" t="str">
        <f>IF(S1110="","",[1]Inputs_Outputs!$B$8*(1-'LOCH Calc COE Calc'!S1110))</f>
        <v/>
      </c>
      <c r="U1110" s="13" t="str">
        <f t="shared" si="86"/>
        <v/>
      </c>
      <c r="V1110" s="13" t="str">
        <f t="shared" si="87"/>
        <v/>
      </c>
      <c r="W1110" s="4" t="str">
        <f t="shared" si="88"/>
        <v/>
      </c>
      <c r="X1110" t="str">
        <f>IF(W1110="","",LOOKUP(_xlfn.CONCAT(P1110,", ",Q1110),'[1]T+S Costs'!$F$2:$F$3138,'[1]T+S Costs'!$N$2:$N$3138))</f>
        <v/>
      </c>
      <c r="Y1110" s="14" t="str">
        <f t="shared" si="89"/>
        <v/>
      </c>
      <c r="Z1110" s="4" t="str">
        <f t="shared" si="90"/>
        <v/>
      </c>
    </row>
    <row r="1111" spans="16:26" x14ac:dyDescent="0.25">
      <c r="P1111" s="10" t="str">
        <f>IF('[1]All Data '!AZ1116="","",'[1]All Data '!AZ1116)</f>
        <v/>
      </c>
      <c r="Q1111" s="10" t="str">
        <f>IF('[1]All Data '!BB1116="","",'[1]All Data '!BB1116)</f>
        <v/>
      </c>
      <c r="R1111" s="10" t="str">
        <f>IF('[1]All Data '!BD1116="","",'[1]All Data '!BD1116)</f>
        <v/>
      </c>
      <c r="S1111" s="11" t="str">
        <f>IF(R1111="","",'[1]All Data '!BE1116)</f>
        <v/>
      </c>
      <c r="T1111" s="12" t="str">
        <f>IF(S1111="","",[1]Inputs_Outputs!$B$8*(1-'LOCH Calc COE Calc'!S1111))</f>
        <v/>
      </c>
      <c r="U1111" s="13" t="str">
        <f t="shared" si="86"/>
        <v/>
      </c>
      <c r="V1111" s="13" t="str">
        <f t="shared" si="87"/>
        <v/>
      </c>
      <c r="W1111" s="4" t="str">
        <f t="shared" si="88"/>
        <v/>
      </c>
      <c r="X1111" t="str">
        <f>IF(W1111="","",LOOKUP(_xlfn.CONCAT(P1111,", ",Q1111),'[1]T+S Costs'!$F$2:$F$3138,'[1]T+S Costs'!$N$2:$N$3138))</f>
        <v/>
      </c>
      <c r="Y1111" s="14" t="str">
        <f t="shared" si="89"/>
        <v/>
      </c>
      <c r="Z1111" s="4" t="str">
        <f t="shared" si="90"/>
        <v/>
      </c>
    </row>
    <row r="1112" spans="16:26" x14ac:dyDescent="0.25">
      <c r="P1112" s="10" t="str">
        <f>IF('[1]All Data '!AZ1117="","",'[1]All Data '!AZ1117)</f>
        <v/>
      </c>
      <c r="Q1112" s="10" t="str">
        <f>IF('[1]All Data '!BB1117="","",'[1]All Data '!BB1117)</f>
        <v/>
      </c>
      <c r="R1112" s="10" t="str">
        <f>IF('[1]All Data '!BD1117="","",'[1]All Data '!BD1117)</f>
        <v/>
      </c>
      <c r="S1112" s="11" t="str">
        <f>IF(R1112="","",'[1]All Data '!BE1117)</f>
        <v/>
      </c>
      <c r="T1112" s="12" t="str">
        <f>IF(S1112="","",[1]Inputs_Outputs!$B$8*(1-'LOCH Calc COE Calc'!S1112))</f>
        <v/>
      </c>
      <c r="U1112" s="13" t="str">
        <f t="shared" si="86"/>
        <v/>
      </c>
      <c r="V1112" s="13" t="str">
        <f t="shared" si="87"/>
        <v/>
      </c>
      <c r="W1112" s="4" t="str">
        <f t="shared" si="88"/>
        <v/>
      </c>
      <c r="X1112" t="str">
        <f>IF(W1112="","",LOOKUP(_xlfn.CONCAT(P1112,", ",Q1112),'[1]T+S Costs'!$F$2:$F$3138,'[1]T+S Costs'!$N$2:$N$3138))</f>
        <v/>
      </c>
      <c r="Y1112" s="14" t="str">
        <f t="shared" si="89"/>
        <v/>
      </c>
      <c r="Z1112" s="4" t="str">
        <f t="shared" si="90"/>
        <v/>
      </c>
    </row>
    <row r="1113" spans="16:26" x14ac:dyDescent="0.25">
      <c r="P1113" s="10" t="str">
        <f>IF('[1]All Data '!AZ1118="","",'[1]All Data '!AZ1118)</f>
        <v/>
      </c>
      <c r="Q1113" s="10" t="str">
        <f>IF('[1]All Data '!BB1118="","",'[1]All Data '!BB1118)</f>
        <v/>
      </c>
      <c r="R1113" s="10" t="str">
        <f>IF('[1]All Data '!BD1118="","",'[1]All Data '!BD1118)</f>
        <v/>
      </c>
      <c r="S1113" s="11" t="str">
        <f>IF(R1113="","",'[1]All Data '!BE1118)</f>
        <v/>
      </c>
      <c r="T1113" s="12" t="str">
        <f>IF(S1113="","",[1]Inputs_Outputs!$B$8*(1-'LOCH Calc COE Calc'!S1113))</f>
        <v/>
      </c>
      <c r="U1113" s="13" t="str">
        <f t="shared" si="86"/>
        <v/>
      </c>
      <c r="V1113" s="13" t="str">
        <f t="shared" si="87"/>
        <v/>
      </c>
      <c r="W1113" s="4" t="str">
        <f t="shared" si="88"/>
        <v/>
      </c>
      <c r="X1113" t="str">
        <f>IF(W1113="","",LOOKUP(_xlfn.CONCAT(P1113,", ",Q1113),'[1]T+S Costs'!$F$2:$F$3138,'[1]T+S Costs'!$N$2:$N$3138))</f>
        <v/>
      </c>
      <c r="Y1113" s="14" t="str">
        <f t="shared" si="89"/>
        <v/>
      </c>
      <c r="Z1113" s="4" t="str">
        <f t="shared" si="90"/>
        <v/>
      </c>
    </row>
    <row r="1114" spans="16:26" x14ac:dyDescent="0.25">
      <c r="P1114" s="10" t="str">
        <f>IF('[1]All Data '!AZ1119="","",'[1]All Data '!AZ1119)</f>
        <v/>
      </c>
      <c r="Q1114" s="10" t="str">
        <f>IF('[1]All Data '!BB1119="","",'[1]All Data '!BB1119)</f>
        <v/>
      </c>
      <c r="R1114" s="10" t="str">
        <f>IF('[1]All Data '!BD1119="","",'[1]All Data '!BD1119)</f>
        <v/>
      </c>
      <c r="S1114" s="11" t="str">
        <f>IF(R1114="","",'[1]All Data '!BE1119)</f>
        <v/>
      </c>
      <c r="T1114" s="12" t="str">
        <f>IF(S1114="","",[1]Inputs_Outputs!$B$8*(1-'LOCH Calc COE Calc'!S1114))</f>
        <v/>
      </c>
      <c r="U1114" s="13" t="str">
        <f t="shared" si="86"/>
        <v/>
      </c>
      <c r="V1114" s="13" t="str">
        <f t="shared" si="87"/>
        <v/>
      </c>
      <c r="W1114" s="4" t="str">
        <f t="shared" si="88"/>
        <v/>
      </c>
      <c r="X1114" t="str">
        <f>IF(W1114="","",LOOKUP(_xlfn.CONCAT(P1114,", ",Q1114),'[1]T+S Costs'!$F$2:$F$3138,'[1]T+S Costs'!$N$2:$N$3138))</f>
        <v/>
      </c>
      <c r="Y1114" s="14" t="str">
        <f t="shared" si="89"/>
        <v/>
      </c>
      <c r="Z1114" s="4" t="str">
        <f t="shared" si="90"/>
        <v/>
      </c>
    </row>
    <row r="1115" spans="16:26" x14ac:dyDescent="0.25">
      <c r="P1115" s="10" t="str">
        <f>IF('[1]All Data '!AZ1120="","",'[1]All Data '!AZ1120)</f>
        <v/>
      </c>
      <c r="Q1115" s="10" t="str">
        <f>IF('[1]All Data '!BB1120="","",'[1]All Data '!BB1120)</f>
        <v/>
      </c>
      <c r="R1115" s="10" t="str">
        <f>IF('[1]All Data '!BD1120="","",'[1]All Data '!BD1120)</f>
        <v/>
      </c>
      <c r="S1115" s="11" t="str">
        <f>IF(R1115="","",'[1]All Data '!BE1120)</f>
        <v/>
      </c>
      <c r="T1115" s="12" t="str">
        <f>IF(S1115="","",[1]Inputs_Outputs!$B$8*(1-'LOCH Calc COE Calc'!S1115))</f>
        <v/>
      </c>
      <c r="U1115" s="13" t="str">
        <f t="shared" si="86"/>
        <v/>
      </c>
      <c r="V1115" s="13" t="str">
        <f t="shared" si="87"/>
        <v/>
      </c>
      <c r="W1115" s="4" t="str">
        <f t="shared" si="88"/>
        <v/>
      </c>
      <c r="X1115" t="str">
        <f>IF(W1115="","",LOOKUP(_xlfn.CONCAT(P1115,", ",Q1115),'[1]T+S Costs'!$F$2:$F$3138,'[1]T+S Costs'!$N$2:$N$3138))</f>
        <v/>
      </c>
      <c r="Y1115" s="14" t="str">
        <f t="shared" si="89"/>
        <v/>
      </c>
      <c r="Z1115" s="4" t="str">
        <f t="shared" si="90"/>
        <v/>
      </c>
    </row>
    <row r="1116" spans="16:26" x14ac:dyDescent="0.25">
      <c r="P1116" s="10" t="str">
        <f>IF('[1]All Data '!AZ1121="","",'[1]All Data '!AZ1121)</f>
        <v/>
      </c>
      <c r="Q1116" s="10" t="str">
        <f>IF('[1]All Data '!BB1121="","",'[1]All Data '!BB1121)</f>
        <v/>
      </c>
      <c r="R1116" s="10" t="str">
        <f>IF('[1]All Data '!BD1121="","",'[1]All Data '!BD1121)</f>
        <v/>
      </c>
      <c r="S1116" s="11" t="str">
        <f>IF(R1116="","",'[1]All Data '!BE1121)</f>
        <v/>
      </c>
      <c r="T1116" s="12" t="str">
        <f>IF(S1116="","",[1]Inputs_Outputs!$B$8*(1-'LOCH Calc COE Calc'!S1116))</f>
        <v/>
      </c>
      <c r="U1116" s="13" t="str">
        <f t="shared" si="86"/>
        <v/>
      </c>
      <c r="V1116" s="13" t="str">
        <f t="shared" si="87"/>
        <v/>
      </c>
      <c r="W1116" s="4" t="str">
        <f t="shared" si="88"/>
        <v/>
      </c>
      <c r="X1116" t="str">
        <f>IF(W1116="","",LOOKUP(_xlfn.CONCAT(P1116,", ",Q1116),'[1]T+S Costs'!$F$2:$F$3138,'[1]T+S Costs'!$N$2:$N$3138))</f>
        <v/>
      </c>
      <c r="Y1116" s="14" t="str">
        <f t="shared" si="89"/>
        <v/>
      </c>
      <c r="Z1116" s="4" t="str">
        <f t="shared" si="90"/>
        <v/>
      </c>
    </row>
    <row r="1117" spans="16:26" x14ac:dyDescent="0.25">
      <c r="P1117" s="10" t="str">
        <f>IF('[1]All Data '!AZ1122="","",'[1]All Data '!AZ1122)</f>
        <v/>
      </c>
      <c r="Q1117" s="10" t="str">
        <f>IF('[1]All Data '!BB1122="","",'[1]All Data '!BB1122)</f>
        <v/>
      </c>
      <c r="R1117" s="10" t="str">
        <f>IF('[1]All Data '!BD1122="","",'[1]All Data '!BD1122)</f>
        <v/>
      </c>
      <c r="S1117" s="11" t="str">
        <f>IF(R1117="","",'[1]All Data '!BE1122)</f>
        <v/>
      </c>
      <c r="T1117" s="12" t="str">
        <f>IF(S1117="","",[1]Inputs_Outputs!$B$8*(1-'LOCH Calc COE Calc'!S1117))</f>
        <v/>
      </c>
      <c r="U1117" s="13" t="str">
        <f t="shared" si="86"/>
        <v/>
      </c>
      <c r="V1117" s="13" t="str">
        <f t="shared" si="87"/>
        <v/>
      </c>
      <c r="W1117" s="4" t="str">
        <f t="shared" si="88"/>
        <v/>
      </c>
      <c r="X1117" t="str">
        <f>IF(W1117="","",LOOKUP(_xlfn.CONCAT(P1117,", ",Q1117),'[1]T+S Costs'!$F$2:$F$3138,'[1]T+S Costs'!$N$2:$N$3138))</f>
        <v/>
      </c>
      <c r="Y1117" s="14" t="str">
        <f t="shared" si="89"/>
        <v/>
      </c>
      <c r="Z1117" s="4" t="str">
        <f t="shared" si="90"/>
        <v/>
      </c>
    </row>
    <row r="1118" spans="16:26" x14ac:dyDescent="0.25">
      <c r="P1118" s="10" t="str">
        <f>IF('[1]All Data '!AZ1123="","",'[1]All Data '!AZ1123)</f>
        <v/>
      </c>
      <c r="Q1118" s="10" t="str">
        <f>IF('[1]All Data '!BB1123="","",'[1]All Data '!BB1123)</f>
        <v/>
      </c>
      <c r="R1118" s="10" t="str">
        <f>IF('[1]All Data '!BD1123="","",'[1]All Data '!BD1123)</f>
        <v/>
      </c>
      <c r="S1118" s="11" t="str">
        <f>IF(R1118="","",'[1]All Data '!BE1123)</f>
        <v/>
      </c>
      <c r="T1118" s="12" t="str">
        <f>IF(S1118="","",[1]Inputs_Outputs!$B$8*(1-'LOCH Calc COE Calc'!S1118))</f>
        <v/>
      </c>
      <c r="U1118" s="13" t="str">
        <f t="shared" si="86"/>
        <v/>
      </c>
      <c r="V1118" s="13" t="str">
        <f t="shared" si="87"/>
        <v/>
      </c>
      <c r="W1118" s="4" t="str">
        <f t="shared" si="88"/>
        <v/>
      </c>
      <c r="X1118" t="str">
        <f>IF(W1118="","",LOOKUP(_xlfn.CONCAT(P1118,", ",Q1118),'[1]T+S Costs'!$F$2:$F$3138,'[1]T+S Costs'!$N$2:$N$3138))</f>
        <v/>
      </c>
      <c r="Y1118" s="14" t="str">
        <f t="shared" si="89"/>
        <v/>
      </c>
      <c r="Z1118" s="4" t="str">
        <f t="shared" si="90"/>
        <v/>
      </c>
    </row>
    <row r="1119" spans="16:26" x14ac:dyDescent="0.25">
      <c r="P1119" s="10" t="str">
        <f>IF('[1]All Data '!AZ1124="","",'[1]All Data '!AZ1124)</f>
        <v/>
      </c>
      <c r="Q1119" s="10" t="str">
        <f>IF('[1]All Data '!BB1124="","",'[1]All Data '!BB1124)</f>
        <v/>
      </c>
      <c r="R1119" s="10" t="str">
        <f>IF('[1]All Data '!BD1124="","",'[1]All Data '!BD1124)</f>
        <v/>
      </c>
      <c r="S1119" s="11" t="str">
        <f>IF(R1119="","",'[1]All Data '!BE1124)</f>
        <v/>
      </c>
      <c r="T1119" s="12" t="str">
        <f>IF(S1119="","",[1]Inputs_Outputs!$B$8*(1-'LOCH Calc COE Calc'!S1119))</f>
        <v/>
      </c>
      <c r="U1119" s="13" t="str">
        <f t="shared" si="86"/>
        <v/>
      </c>
      <c r="V1119" s="13" t="str">
        <f t="shared" si="87"/>
        <v/>
      </c>
      <c r="W1119" s="4" t="str">
        <f t="shared" si="88"/>
        <v/>
      </c>
      <c r="X1119" t="str">
        <f>IF(W1119="","",LOOKUP(_xlfn.CONCAT(P1119,", ",Q1119),'[1]T+S Costs'!$F$2:$F$3138,'[1]T+S Costs'!$N$2:$N$3138))</f>
        <v/>
      </c>
      <c r="Y1119" s="14" t="str">
        <f t="shared" si="89"/>
        <v/>
      </c>
      <c r="Z1119" s="4" t="str">
        <f t="shared" si="90"/>
        <v/>
      </c>
    </row>
    <row r="1120" spans="16:26" x14ac:dyDescent="0.25">
      <c r="P1120" s="10" t="str">
        <f>IF('[1]All Data '!AZ1125="","",'[1]All Data '!AZ1125)</f>
        <v/>
      </c>
      <c r="Q1120" s="10" t="str">
        <f>IF('[1]All Data '!BB1125="","",'[1]All Data '!BB1125)</f>
        <v/>
      </c>
      <c r="R1120" s="10" t="str">
        <f>IF('[1]All Data '!BD1125="","",'[1]All Data '!BD1125)</f>
        <v/>
      </c>
      <c r="S1120" s="11" t="str">
        <f>IF(R1120="","",'[1]All Data '!BE1125)</f>
        <v/>
      </c>
      <c r="T1120" s="12" t="str">
        <f>IF(S1120="","",[1]Inputs_Outputs!$B$8*(1-'LOCH Calc COE Calc'!S1120))</f>
        <v/>
      </c>
      <c r="U1120" s="13" t="str">
        <f t="shared" si="86"/>
        <v/>
      </c>
      <c r="V1120" s="13" t="str">
        <f t="shared" si="87"/>
        <v/>
      </c>
      <c r="W1120" s="4" t="str">
        <f t="shared" si="88"/>
        <v/>
      </c>
      <c r="X1120" t="str">
        <f>IF(W1120="","",LOOKUP(_xlfn.CONCAT(P1120,", ",Q1120),'[1]T+S Costs'!$F$2:$F$3138,'[1]T+S Costs'!$N$2:$N$3138))</f>
        <v/>
      </c>
      <c r="Y1120" s="14" t="str">
        <f t="shared" si="89"/>
        <v/>
      </c>
      <c r="Z1120" s="4" t="str">
        <f t="shared" si="90"/>
        <v/>
      </c>
    </row>
    <row r="1121" spans="16:26" x14ac:dyDescent="0.25">
      <c r="P1121" s="10" t="str">
        <f>IF('[1]All Data '!AZ1126="","",'[1]All Data '!AZ1126)</f>
        <v/>
      </c>
      <c r="Q1121" s="10" t="str">
        <f>IF('[1]All Data '!BB1126="","",'[1]All Data '!BB1126)</f>
        <v/>
      </c>
      <c r="R1121" s="10" t="str">
        <f>IF('[1]All Data '!BD1126="","",'[1]All Data '!BD1126)</f>
        <v/>
      </c>
      <c r="S1121" s="11" t="str">
        <f>IF(R1121="","",'[1]All Data '!BE1126)</f>
        <v/>
      </c>
      <c r="T1121" s="12" t="str">
        <f>IF(S1121="","",[1]Inputs_Outputs!$B$8*(1-'LOCH Calc COE Calc'!S1121))</f>
        <v/>
      </c>
      <c r="U1121" s="13" t="str">
        <f t="shared" si="86"/>
        <v/>
      </c>
      <c r="V1121" s="13" t="str">
        <f t="shared" si="87"/>
        <v/>
      </c>
      <c r="W1121" s="4" t="str">
        <f t="shared" si="88"/>
        <v/>
      </c>
      <c r="X1121" t="str">
        <f>IF(W1121="","",LOOKUP(_xlfn.CONCAT(P1121,", ",Q1121),'[1]T+S Costs'!$F$2:$F$3138,'[1]T+S Costs'!$N$2:$N$3138))</f>
        <v/>
      </c>
      <c r="Y1121" s="14" t="str">
        <f t="shared" si="89"/>
        <v/>
      </c>
      <c r="Z1121" s="4" t="str">
        <f t="shared" si="90"/>
        <v/>
      </c>
    </row>
    <row r="1122" spans="16:26" x14ac:dyDescent="0.25">
      <c r="P1122" s="10" t="str">
        <f>IF('[1]All Data '!AZ1127="","",'[1]All Data '!AZ1127)</f>
        <v/>
      </c>
      <c r="Q1122" s="10" t="str">
        <f>IF('[1]All Data '!BB1127="","",'[1]All Data '!BB1127)</f>
        <v/>
      </c>
      <c r="R1122" s="10" t="str">
        <f>IF('[1]All Data '!BD1127="","",'[1]All Data '!BD1127)</f>
        <v/>
      </c>
      <c r="S1122" s="11" t="str">
        <f>IF(R1122="","",'[1]All Data '!BE1127)</f>
        <v/>
      </c>
      <c r="T1122" s="12" t="str">
        <f>IF(S1122="","",[1]Inputs_Outputs!$B$8*(1-'LOCH Calc COE Calc'!S1122))</f>
        <v/>
      </c>
      <c r="U1122" s="13" t="str">
        <f t="shared" si="86"/>
        <v/>
      </c>
      <c r="V1122" s="13" t="str">
        <f t="shared" si="87"/>
        <v/>
      </c>
      <c r="W1122" s="4" t="str">
        <f t="shared" si="88"/>
        <v/>
      </c>
      <c r="X1122" t="str">
        <f>IF(W1122="","",LOOKUP(_xlfn.CONCAT(P1122,", ",Q1122),'[1]T+S Costs'!$F$2:$F$3138,'[1]T+S Costs'!$N$2:$N$3138))</f>
        <v/>
      </c>
      <c r="Y1122" s="14" t="str">
        <f t="shared" si="89"/>
        <v/>
      </c>
      <c r="Z1122" s="4" t="str">
        <f t="shared" si="90"/>
        <v/>
      </c>
    </row>
    <row r="1123" spans="16:26" x14ac:dyDescent="0.25">
      <c r="P1123" s="10" t="str">
        <f>IF('[1]All Data '!AZ1128="","",'[1]All Data '!AZ1128)</f>
        <v/>
      </c>
      <c r="Q1123" s="10" t="str">
        <f>IF('[1]All Data '!BB1128="","",'[1]All Data '!BB1128)</f>
        <v/>
      </c>
      <c r="R1123" s="10" t="str">
        <f>IF('[1]All Data '!BD1128="","",'[1]All Data '!BD1128)</f>
        <v/>
      </c>
      <c r="S1123" s="11" t="str">
        <f>IF(R1123="","",'[1]All Data '!BE1128)</f>
        <v/>
      </c>
      <c r="T1123" s="12" t="str">
        <f>IF(S1123="","",[1]Inputs_Outputs!$B$8*(1-'LOCH Calc COE Calc'!S1123))</f>
        <v/>
      </c>
      <c r="U1123" s="13" t="str">
        <f t="shared" si="86"/>
        <v/>
      </c>
      <c r="V1123" s="13" t="str">
        <f t="shared" si="87"/>
        <v/>
      </c>
      <c r="W1123" s="4" t="str">
        <f t="shared" si="88"/>
        <v/>
      </c>
      <c r="X1123" t="str">
        <f>IF(W1123="","",LOOKUP(_xlfn.CONCAT(P1123,", ",Q1123),'[1]T+S Costs'!$F$2:$F$3138,'[1]T+S Costs'!$N$2:$N$3138))</f>
        <v/>
      </c>
      <c r="Y1123" s="14" t="str">
        <f t="shared" si="89"/>
        <v/>
      </c>
      <c r="Z1123" s="4" t="str">
        <f t="shared" si="90"/>
        <v/>
      </c>
    </row>
    <row r="1124" spans="16:26" x14ac:dyDescent="0.25">
      <c r="P1124" s="10" t="str">
        <f>IF('[1]All Data '!AZ1129="","",'[1]All Data '!AZ1129)</f>
        <v/>
      </c>
      <c r="Q1124" s="10" t="str">
        <f>IF('[1]All Data '!BB1129="","",'[1]All Data '!BB1129)</f>
        <v/>
      </c>
      <c r="R1124" s="10" t="str">
        <f>IF('[1]All Data '!BD1129="","",'[1]All Data '!BD1129)</f>
        <v/>
      </c>
      <c r="S1124" s="11" t="str">
        <f>IF(R1124="","",'[1]All Data '!BE1129)</f>
        <v/>
      </c>
      <c r="T1124" s="12" t="str">
        <f>IF(S1124="","",[1]Inputs_Outputs!$B$8*(1-'LOCH Calc COE Calc'!S1124))</f>
        <v/>
      </c>
      <c r="U1124" s="13" t="str">
        <f t="shared" si="86"/>
        <v/>
      </c>
      <c r="V1124" s="13" t="str">
        <f t="shared" si="87"/>
        <v/>
      </c>
      <c r="W1124" s="4" t="str">
        <f t="shared" si="88"/>
        <v/>
      </c>
      <c r="X1124" t="str">
        <f>IF(W1124="","",LOOKUP(_xlfn.CONCAT(P1124,", ",Q1124),'[1]T+S Costs'!$F$2:$F$3138,'[1]T+S Costs'!$N$2:$N$3138))</f>
        <v/>
      </c>
      <c r="Y1124" s="14" t="str">
        <f t="shared" si="89"/>
        <v/>
      </c>
      <c r="Z1124" s="4" t="str">
        <f t="shared" si="90"/>
        <v/>
      </c>
    </row>
    <row r="1125" spans="16:26" x14ac:dyDescent="0.25">
      <c r="P1125" s="10" t="str">
        <f>IF('[1]All Data '!AZ1130="","",'[1]All Data '!AZ1130)</f>
        <v/>
      </c>
      <c r="Q1125" s="10" t="str">
        <f>IF('[1]All Data '!BB1130="","",'[1]All Data '!BB1130)</f>
        <v/>
      </c>
      <c r="R1125" s="10" t="str">
        <f>IF('[1]All Data '!BD1130="","",'[1]All Data '!BD1130)</f>
        <v/>
      </c>
      <c r="S1125" s="11" t="str">
        <f>IF(R1125="","",'[1]All Data '!BE1130)</f>
        <v/>
      </c>
      <c r="T1125" s="12" t="str">
        <f>IF(S1125="","",[1]Inputs_Outputs!$B$8*(1-'LOCH Calc COE Calc'!S1125))</f>
        <v/>
      </c>
      <c r="U1125" s="13" t="str">
        <f t="shared" si="86"/>
        <v/>
      </c>
      <c r="V1125" s="13" t="str">
        <f t="shared" si="87"/>
        <v/>
      </c>
      <c r="W1125" s="4" t="str">
        <f t="shared" si="88"/>
        <v/>
      </c>
      <c r="X1125" t="str">
        <f>IF(W1125="","",LOOKUP(_xlfn.CONCAT(P1125,", ",Q1125),'[1]T+S Costs'!$F$2:$F$3138,'[1]T+S Costs'!$N$2:$N$3138))</f>
        <v/>
      </c>
      <c r="Y1125" s="14" t="str">
        <f t="shared" si="89"/>
        <v/>
      </c>
      <c r="Z1125" s="4" t="str">
        <f t="shared" si="90"/>
        <v/>
      </c>
    </row>
    <row r="1126" spans="16:26" x14ac:dyDescent="0.25">
      <c r="P1126" s="10" t="str">
        <f>IF('[1]All Data '!AZ1131="","",'[1]All Data '!AZ1131)</f>
        <v/>
      </c>
      <c r="Q1126" s="10" t="str">
        <f>IF('[1]All Data '!BB1131="","",'[1]All Data '!BB1131)</f>
        <v/>
      </c>
      <c r="R1126" s="10" t="str">
        <f>IF('[1]All Data '!BD1131="","",'[1]All Data '!BD1131)</f>
        <v/>
      </c>
      <c r="S1126" s="11" t="str">
        <f>IF(R1126="","",'[1]All Data '!BE1131)</f>
        <v/>
      </c>
      <c r="T1126" s="12" t="str">
        <f>IF(S1126="","",[1]Inputs_Outputs!$B$8*(1-'LOCH Calc COE Calc'!S1126))</f>
        <v/>
      </c>
      <c r="U1126" s="13" t="str">
        <f t="shared" si="86"/>
        <v/>
      </c>
      <c r="V1126" s="13" t="str">
        <f t="shared" si="87"/>
        <v/>
      </c>
      <c r="W1126" s="4" t="str">
        <f t="shared" si="88"/>
        <v/>
      </c>
      <c r="X1126" t="str">
        <f>IF(W1126="","",LOOKUP(_xlfn.CONCAT(P1126,", ",Q1126),'[1]T+S Costs'!$F$2:$F$3138,'[1]T+S Costs'!$N$2:$N$3138))</f>
        <v/>
      </c>
      <c r="Y1126" s="14" t="str">
        <f t="shared" si="89"/>
        <v/>
      </c>
      <c r="Z1126" s="4" t="str">
        <f t="shared" si="90"/>
        <v/>
      </c>
    </row>
    <row r="1127" spans="16:26" x14ac:dyDescent="0.25">
      <c r="P1127" s="10" t="str">
        <f>IF('[1]All Data '!AZ1132="","",'[1]All Data '!AZ1132)</f>
        <v/>
      </c>
      <c r="Q1127" s="10" t="str">
        <f>IF('[1]All Data '!BB1132="","",'[1]All Data '!BB1132)</f>
        <v/>
      </c>
      <c r="R1127" s="10" t="str">
        <f>IF('[1]All Data '!BD1132="","",'[1]All Data '!BD1132)</f>
        <v/>
      </c>
      <c r="S1127" s="11" t="str">
        <f>IF(R1127="","",'[1]All Data '!BE1132)</f>
        <v/>
      </c>
      <c r="T1127" s="12" t="str">
        <f>IF(S1127="","",[1]Inputs_Outputs!$B$8*(1-'LOCH Calc COE Calc'!S1127))</f>
        <v/>
      </c>
      <c r="U1127" s="13" t="str">
        <f t="shared" si="86"/>
        <v/>
      </c>
      <c r="V1127" s="13" t="str">
        <f t="shared" si="87"/>
        <v/>
      </c>
      <c r="W1127" s="4" t="str">
        <f t="shared" si="88"/>
        <v/>
      </c>
      <c r="X1127" t="str">
        <f>IF(W1127="","",LOOKUP(_xlfn.CONCAT(P1127,", ",Q1127),'[1]T+S Costs'!$F$2:$F$3138,'[1]T+S Costs'!$N$2:$N$3138))</f>
        <v/>
      </c>
      <c r="Y1127" s="14" t="str">
        <f t="shared" si="89"/>
        <v/>
      </c>
      <c r="Z1127" s="4" t="str">
        <f t="shared" si="90"/>
        <v/>
      </c>
    </row>
    <row r="1128" spans="16:26" x14ac:dyDescent="0.25">
      <c r="P1128" s="10" t="str">
        <f>IF('[1]All Data '!AZ1133="","",'[1]All Data '!AZ1133)</f>
        <v/>
      </c>
      <c r="Q1128" s="10" t="str">
        <f>IF('[1]All Data '!BB1133="","",'[1]All Data '!BB1133)</f>
        <v/>
      </c>
      <c r="R1128" s="10" t="str">
        <f>IF('[1]All Data '!BD1133="","",'[1]All Data '!BD1133)</f>
        <v/>
      </c>
      <c r="S1128" s="11" t="str">
        <f>IF(R1128="","",'[1]All Data '!BE1133)</f>
        <v/>
      </c>
      <c r="T1128" s="12" t="str">
        <f>IF(S1128="","",[1]Inputs_Outputs!$B$8*(1-'LOCH Calc COE Calc'!S1128))</f>
        <v/>
      </c>
      <c r="U1128" s="13" t="str">
        <f t="shared" si="86"/>
        <v/>
      </c>
      <c r="V1128" s="13" t="str">
        <f t="shared" si="87"/>
        <v/>
      </c>
      <c r="W1128" s="4" t="str">
        <f t="shared" si="88"/>
        <v/>
      </c>
      <c r="X1128" t="str">
        <f>IF(W1128="","",LOOKUP(_xlfn.CONCAT(P1128,", ",Q1128),'[1]T+S Costs'!$F$2:$F$3138,'[1]T+S Costs'!$N$2:$N$3138))</f>
        <v/>
      </c>
      <c r="Y1128" s="14" t="str">
        <f t="shared" si="89"/>
        <v/>
      </c>
      <c r="Z1128" s="4" t="str">
        <f t="shared" si="90"/>
        <v/>
      </c>
    </row>
    <row r="1129" spans="16:26" x14ac:dyDescent="0.25">
      <c r="P1129" s="10" t="str">
        <f>IF('[1]All Data '!AZ1134="","",'[1]All Data '!AZ1134)</f>
        <v/>
      </c>
      <c r="Q1129" s="10" t="str">
        <f>IF('[1]All Data '!BB1134="","",'[1]All Data '!BB1134)</f>
        <v/>
      </c>
      <c r="R1129" s="10" t="str">
        <f>IF('[1]All Data '!BD1134="","",'[1]All Data '!BD1134)</f>
        <v/>
      </c>
      <c r="S1129" s="11" t="str">
        <f>IF(R1129="","",'[1]All Data '!BE1134)</f>
        <v/>
      </c>
      <c r="T1129" s="12" t="str">
        <f>IF(S1129="","",[1]Inputs_Outputs!$B$8*(1-'LOCH Calc COE Calc'!S1129))</f>
        <v/>
      </c>
      <c r="U1129" s="13" t="str">
        <f t="shared" si="86"/>
        <v/>
      </c>
      <c r="V1129" s="13" t="str">
        <f t="shared" si="87"/>
        <v/>
      </c>
      <c r="W1129" s="4" t="str">
        <f t="shared" si="88"/>
        <v/>
      </c>
      <c r="X1129" t="str">
        <f>IF(W1129="","",LOOKUP(_xlfn.CONCAT(P1129,", ",Q1129),'[1]T+S Costs'!$F$2:$F$3138,'[1]T+S Costs'!$N$2:$N$3138))</f>
        <v/>
      </c>
      <c r="Y1129" s="14" t="str">
        <f t="shared" si="89"/>
        <v/>
      </c>
      <c r="Z1129" s="4" t="str">
        <f t="shared" si="90"/>
        <v/>
      </c>
    </row>
    <row r="1130" spans="16:26" x14ac:dyDescent="0.25">
      <c r="P1130" s="10" t="str">
        <f>IF('[1]All Data '!AZ1135="","",'[1]All Data '!AZ1135)</f>
        <v/>
      </c>
      <c r="Q1130" s="10" t="str">
        <f>IF('[1]All Data '!BB1135="","",'[1]All Data '!BB1135)</f>
        <v/>
      </c>
      <c r="R1130" s="10" t="str">
        <f>IF('[1]All Data '!BD1135="","",'[1]All Data '!BD1135)</f>
        <v/>
      </c>
      <c r="S1130" s="11" t="str">
        <f>IF(R1130="","",'[1]All Data '!BE1135)</f>
        <v/>
      </c>
      <c r="T1130" s="12" t="str">
        <f>IF(S1130="","",[1]Inputs_Outputs!$B$8*(1-'LOCH Calc COE Calc'!S1130))</f>
        <v/>
      </c>
      <c r="U1130" s="13" t="str">
        <f t="shared" si="86"/>
        <v/>
      </c>
      <c r="V1130" s="13" t="str">
        <f t="shared" si="87"/>
        <v/>
      </c>
      <c r="W1130" s="4" t="str">
        <f t="shared" si="88"/>
        <v/>
      </c>
      <c r="X1130" t="str">
        <f>IF(W1130="","",LOOKUP(_xlfn.CONCAT(P1130,", ",Q1130),'[1]T+S Costs'!$F$2:$F$3138,'[1]T+S Costs'!$N$2:$N$3138))</f>
        <v/>
      </c>
      <c r="Y1130" s="14" t="str">
        <f t="shared" si="89"/>
        <v/>
      </c>
      <c r="Z1130" s="4" t="str">
        <f t="shared" si="90"/>
        <v/>
      </c>
    </row>
    <row r="1131" spans="16:26" x14ac:dyDescent="0.25">
      <c r="P1131" s="10" t="str">
        <f>IF('[1]All Data '!AZ1136="","",'[1]All Data '!AZ1136)</f>
        <v/>
      </c>
      <c r="Q1131" s="10" t="str">
        <f>IF('[1]All Data '!BB1136="","",'[1]All Data '!BB1136)</f>
        <v/>
      </c>
      <c r="R1131" s="10" t="str">
        <f>IF('[1]All Data '!BD1136="","",'[1]All Data '!BD1136)</f>
        <v/>
      </c>
      <c r="S1131" s="11" t="str">
        <f>IF(R1131="","",'[1]All Data '!BE1136)</f>
        <v/>
      </c>
      <c r="T1131" s="12" t="str">
        <f>IF(S1131="","",[1]Inputs_Outputs!$B$8*(1-'LOCH Calc COE Calc'!S1131))</f>
        <v/>
      </c>
      <c r="U1131" s="13" t="str">
        <f t="shared" si="86"/>
        <v/>
      </c>
      <c r="V1131" s="13" t="str">
        <f t="shared" si="87"/>
        <v/>
      </c>
      <c r="W1131" s="4" t="str">
        <f t="shared" si="88"/>
        <v/>
      </c>
      <c r="X1131" t="str">
        <f>IF(W1131="","",LOOKUP(_xlfn.CONCAT(P1131,", ",Q1131),'[1]T+S Costs'!$F$2:$F$3138,'[1]T+S Costs'!$N$2:$N$3138))</f>
        <v/>
      </c>
      <c r="Y1131" s="14" t="str">
        <f t="shared" si="89"/>
        <v/>
      </c>
      <c r="Z1131" s="4" t="str">
        <f t="shared" si="90"/>
        <v/>
      </c>
    </row>
    <row r="1132" spans="16:26" x14ac:dyDescent="0.25">
      <c r="P1132" s="10" t="str">
        <f>IF('[1]All Data '!AZ1137="","",'[1]All Data '!AZ1137)</f>
        <v/>
      </c>
      <c r="Q1132" s="10" t="str">
        <f>IF('[1]All Data '!BB1137="","",'[1]All Data '!BB1137)</f>
        <v/>
      </c>
      <c r="R1132" s="10" t="str">
        <f>IF('[1]All Data '!BD1137="","",'[1]All Data '!BD1137)</f>
        <v/>
      </c>
      <c r="S1132" s="11" t="str">
        <f>IF(R1132="","",'[1]All Data '!BE1137)</f>
        <v/>
      </c>
      <c r="T1132" s="12" t="str">
        <f>IF(S1132="","",[1]Inputs_Outputs!$B$8*(1-'LOCH Calc COE Calc'!S1132))</f>
        <v/>
      </c>
      <c r="U1132" s="13" t="str">
        <f t="shared" si="86"/>
        <v/>
      </c>
      <c r="V1132" s="13" t="str">
        <f t="shared" si="87"/>
        <v/>
      </c>
      <c r="W1132" s="4" t="str">
        <f t="shared" si="88"/>
        <v/>
      </c>
      <c r="X1132" t="str">
        <f>IF(W1132="","",LOOKUP(_xlfn.CONCAT(P1132,", ",Q1132),'[1]T+S Costs'!$F$2:$F$3138,'[1]T+S Costs'!$N$2:$N$3138))</f>
        <v/>
      </c>
      <c r="Y1132" s="14" t="str">
        <f t="shared" si="89"/>
        <v/>
      </c>
      <c r="Z1132" s="4" t="str">
        <f t="shared" si="90"/>
        <v/>
      </c>
    </row>
    <row r="1133" spans="16:26" x14ac:dyDescent="0.25">
      <c r="P1133" s="10" t="str">
        <f>IF('[1]All Data '!AZ1138="","",'[1]All Data '!AZ1138)</f>
        <v/>
      </c>
      <c r="Q1133" s="10" t="str">
        <f>IF('[1]All Data '!BB1138="","",'[1]All Data '!BB1138)</f>
        <v/>
      </c>
      <c r="R1133" s="10" t="str">
        <f>IF('[1]All Data '!BD1138="","",'[1]All Data '!BD1138)</f>
        <v/>
      </c>
      <c r="S1133" s="11" t="str">
        <f>IF(R1133="","",'[1]All Data '!BE1138)</f>
        <v/>
      </c>
      <c r="T1133" s="12" t="str">
        <f>IF(S1133="","",[1]Inputs_Outputs!$B$8*(1-'LOCH Calc COE Calc'!S1133))</f>
        <v/>
      </c>
      <c r="U1133" s="13" t="str">
        <f t="shared" si="86"/>
        <v/>
      </c>
      <c r="V1133" s="13" t="str">
        <f t="shared" si="87"/>
        <v/>
      </c>
      <c r="W1133" s="4" t="str">
        <f t="shared" si="88"/>
        <v/>
      </c>
      <c r="X1133" t="str">
        <f>IF(W1133="","",LOOKUP(_xlfn.CONCAT(P1133,", ",Q1133),'[1]T+S Costs'!$F$2:$F$3138,'[1]T+S Costs'!$N$2:$N$3138))</f>
        <v/>
      </c>
      <c r="Y1133" s="14" t="str">
        <f t="shared" si="89"/>
        <v/>
      </c>
      <c r="Z1133" s="4" t="str">
        <f t="shared" si="90"/>
        <v/>
      </c>
    </row>
    <row r="1134" spans="16:26" x14ac:dyDescent="0.25">
      <c r="P1134" s="10" t="str">
        <f>IF('[1]All Data '!AZ1139="","",'[1]All Data '!AZ1139)</f>
        <v/>
      </c>
      <c r="Q1134" s="10" t="str">
        <f>IF('[1]All Data '!BB1139="","",'[1]All Data '!BB1139)</f>
        <v/>
      </c>
      <c r="R1134" s="10" t="str">
        <f>IF('[1]All Data '!BD1139="","",'[1]All Data '!BD1139)</f>
        <v/>
      </c>
      <c r="S1134" s="11" t="str">
        <f>IF(R1134="","",'[1]All Data '!BE1139)</f>
        <v/>
      </c>
      <c r="T1134" s="12" t="str">
        <f>IF(S1134="","",[1]Inputs_Outputs!$B$8*(1-'LOCH Calc COE Calc'!S1134))</f>
        <v/>
      </c>
      <c r="U1134" s="13" t="str">
        <f t="shared" si="86"/>
        <v/>
      </c>
      <c r="V1134" s="13" t="str">
        <f t="shared" si="87"/>
        <v/>
      </c>
      <c r="W1134" s="4" t="str">
        <f t="shared" si="88"/>
        <v/>
      </c>
      <c r="X1134" t="str">
        <f>IF(W1134="","",LOOKUP(_xlfn.CONCAT(P1134,", ",Q1134),'[1]T+S Costs'!$F$2:$F$3138,'[1]T+S Costs'!$N$2:$N$3138))</f>
        <v/>
      </c>
      <c r="Y1134" s="14" t="str">
        <f t="shared" si="89"/>
        <v/>
      </c>
      <c r="Z1134" s="4" t="str">
        <f t="shared" si="90"/>
        <v/>
      </c>
    </row>
    <row r="1135" spans="16:26" x14ac:dyDescent="0.25">
      <c r="P1135" s="10" t="str">
        <f>IF('[1]All Data '!AZ1140="","",'[1]All Data '!AZ1140)</f>
        <v/>
      </c>
      <c r="Q1135" s="10" t="str">
        <f>IF('[1]All Data '!BB1140="","",'[1]All Data '!BB1140)</f>
        <v/>
      </c>
      <c r="R1135" s="10" t="str">
        <f>IF('[1]All Data '!BD1140="","",'[1]All Data '!BD1140)</f>
        <v/>
      </c>
      <c r="S1135" s="11" t="str">
        <f>IF(R1135="","",'[1]All Data '!BE1140)</f>
        <v/>
      </c>
      <c r="T1135" s="12" t="str">
        <f>IF(S1135="","",[1]Inputs_Outputs!$B$8*(1-'LOCH Calc COE Calc'!S1135))</f>
        <v/>
      </c>
      <c r="U1135" s="13" t="str">
        <f t="shared" si="86"/>
        <v/>
      </c>
      <c r="V1135" s="13" t="str">
        <f t="shared" si="87"/>
        <v/>
      </c>
      <c r="W1135" s="4" t="str">
        <f t="shared" si="88"/>
        <v/>
      </c>
      <c r="X1135" t="str">
        <f>IF(W1135="","",LOOKUP(_xlfn.CONCAT(P1135,", ",Q1135),'[1]T+S Costs'!$F$2:$F$3138,'[1]T+S Costs'!$N$2:$N$3138))</f>
        <v/>
      </c>
      <c r="Y1135" s="14" t="str">
        <f t="shared" si="89"/>
        <v/>
      </c>
      <c r="Z1135" s="4" t="str">
        <f t="shared" si="90"/>
        <v/>
      </c>
    </row>
    <row r="1136" spans="16:26" x14ac:dyDescent="0.25">
      <c r="P1136" s="10" t="str">
        <f>IF('[1]All Data '!AZ1141="","",'[1]All Data '!AZ1141)</f>
        <v/>
      </c>
      <c r="Q1136" s="10" t="str">
        <f>IF('[1]All Data '!BB1141="","",'[1]All Data '!BB1141)</f>
        <v/>
      </c>
      <c r="R1136" s="10" t="str">
        <f>IF('[1]All Data '!BD1141="","",'[1]All Data '!BD1141)</f>
        <v/>
      </c>
      <c r="S1136" s="11" t="str">
        <f>IF(R1136="","",'[1]All Data '!BE1141)</f>
        <v/>
      </c>
      <c r="T1136" s="12" t="str">
        <f>IF(S1136="","",[1]Inputs_Outputs!$B$8*(1-'LOCH Calc COE Calc'!S1136))</f>
        <v/>
      </c>
      <c r="U1136" s="13" t="str">
        <f t="shared" si="86"/>
        <v/>
      </c>
      <c r="V1136" s="13" t="str">
        <f t="shared" si="87"/>
        <v/>
      </c>
      <c r="W1136" s="4" t="str">
        <f t="shared" si="88"/>
        <v/>
      </c>
      <c r="X1136" t="str">
        <f>IF(W1136="","",LOOKUP(_xlfn.CONCAT(P1136,", ",Q1136),'[1]T+S Costs'!$F$2:$F$3138,'[1]T+S Costs'!$N$2:$N$3138))</f>
        <v/>
      </c>
      <c r="Y1136" s="14" t="str">
        <f t="shared" si="89"/>
        <v/>
      </c>
      <c r="Z1136" s="4" t="str">
        <f t="shared" si="90"/>
        <v/>
      </c>
    </row>
    <row r="1137" spans="16:26" x14ac:dyDescent="0.25">
      <c r="P1137" s="10" t="str">
        <f>IF('[1]All Data '!AZ1142="","",'[1]All Data '!AZ1142)</f>
        <v/>
      </c>
      <c r="Q1137" s="10" t="str">
        <f>IF('[1]All Data '!BB1142="","",'[1]All Data '!BB1142)</f>
        <v/>
      </c>
      <c r="R1137" s="10" t="str">
        <f>IF('[1]All Data '!BD1142="","",'[1]All Data '!BD1142)</f>
        <v/>
      </c>
      <c r="S1137" s="11" t="str">
        <f>IF(R1137="","",'[1]All Data '!BE1142)</f>
        <v/>
      </c>
      <c r="T1137" s="12" t="str">
        <f>IF(S1137="","",[1]Inputs_Outputs!$B$8*(1-'LOCH Calc COE Calc'!S1137))</f>
        <v/>
      </c>
      <c r="U1137" s="13" t="str">
        <f t="shared" si="86"/>
        <v/>
      </c>
      <c r="V1137" s="13" t="str">
        <f t="shared" si="87"/>
        <v/>
      </c>
      <c r="W1137" s="4" t="str">
        <f t="shared" si="88"/>
        <v/>
      </c>
      <c r="X1137" t="str">
        <f>IF(W1137="","",LOOKUP(_xlfn.CONCAT(P1137,", ",Q1137),'[1]T+S Costs'!$F$2:$F$3138,'[1]T+S Costs'!$N$2:$N$3138))</f>
        <v/>
      </c>
      <c r="Y1137" s="14" t="str">
        <f t="shared" si="89"/>
        <v/>
      </c>
      <c r="Z1137" s="4" t="str">
        <f t="shared" si="90"/>
        <v/>
      </c>
    </row>
    <row r="1138" spans="16:26" x14ac:dyDescent="0.25">
      <c r="P1138" s="10" t="str">
        <f>IF('[1]All Data '!AZ1143="","",'[1]All Data '!AZ1143)</f>
        <v/>
      </c>
      <c r="Q1138" s="10" t="str">
        <f>IF('[1]All Data '!BB1143="","",'[1]All Data '!BB1143)</f>
        <v/>
      </c>
      <c r="R1138" s="10" t="str">
        <f>IF('[1]All Data '!BD1143="","",'[1]All Data '!BD1143)</f>
        <v/>
      </c>
      <c r="S1138" s="11" t="str">
        <f>IF(R1138="","",'[1]All Data '!BE1143)</f>
        <v/>
      </c>
      <c r="T1138" s="12" t="str">
        <f>IF(S1138="","",[1]Inputs_Outputs!$B$8*(1-'LOCH Calc COE Calc'!S1138))</f>
        <v/>
      </c>
      <c r="U1138" s="13" t="str">
        <f t="shared" si="86"/>
        <v/>
      </c>
      <c r="V1138" s="13" t="str">
        <f t="shared" si="87"/>
        <v/>
      </c>
      <c r="W1138" s="4" t="str">
        <f t="shared" si="88"/>
        <v/>
      </c>
      <c r="X1138" t="str">
        <f>IF(W1138="","",LOOKUP(_xlfn.CONCAT(P1138,", ",Q1138),'[1]T+S Costs'!$F$2:$F$3138,'[1]T+S Costs'!$N$2:$N$3138))</f>
        <v/>
      </c>
      <c r="Y1138" s="14" t="str">
        <f t="shared" si="89"/>
        <v/>
      </c>
      <c r="Z1138" s="4" t="str">
        <f t="shared" si="90"/>
        <v/>
      </c>
    </row>
    <row r="1139" spans="16:26" x14ac:dyDescent="0.25">
      <c r="P1139" s="10" t="str">
        <f>IF('[1]All Data '!AZ1144="","",'[1]All Data '!AZ1144)</f>
        <v/>
      </c>
      <c r="Q1139" s="10" t="str">
        <f>IF('[1]All Data '!BB1144="","",'[1]All Data '!BB1144)</f>
        <v/>
      </c>
      <c r="R1139" s="10" t="str">
        <f>IF('[1]All Data '!BD1144="","",'[1]All Data '!BD1144)</f>
        <v/>
      </c>
      <c r="S1139" s="11" t="str">
        <f>IF(R1139="","",'[1]All Data '!BE1144)</f>
        <v/>
      </c>
      <c r="T1139" s="12" t="str">
        <f>IF(S1139="","",[1]Inputs_Outputs!$B$8*(1-'LOCH Calc COE Calc'!S1139))</f>
        <v/>
      </c>
      <c r="U1139" s="13" t="str">
        <f t="shared" si="86"/>
        <v/>
      </c>
      <c r="V1139" s="13" t="str">
        <f t="shared" si="87"/>
        <v/>
      </c>
      <c r="W1139" s="4" t="str">
        <f t="shared" si="88"/>
        <v/>
      </c>
      <c r="X1139" t="str">
        <f>IF(W1139="","",LOOKUP(_xlfn.CONCAT(P1139,", ",Q1139),'[1]T+S Costs'!$F$2:$F$3138,'[1]T+S Costs'!$N$2:$N$3138))</f>
        <v/>
      </c>
      <c r="Y1139" s="14" t="str">
        <f t="shared" si="89"/>
        <v/>
      </c>
      <c r="Z1139" s="4" t="str">
        <f t="shared" si="90"/>
        <v/>
      </c>
    </row>
    <row r="1140" spans="16:26" x14ac:dyDescent="0.25">
      <c r="P1140" s="10" t="str">
        <f>IF('[1]All Data '!AZ1145="","",'[1]All Data '!AZ1145)</f>
        <v/>
      </c>
      <c r="Q1140" s="10" t="str">
        <f>IF('[1]All Data '!BB1145="","",'[1]All Data '!BB1145)</f>
        <v/>
      </c>
      <c r="R1140" s="10" t="str">
        <f>IF('[1]All Data '!BD1145="","",'[1]All Data '!BD1145)</f>
        <v/>
      </c>
      <c r="S1140" s="11" t="str">
        <f>IF(R1140="","",'[1]All Data '!BE1145)</f>
        <v/>
      </c>
      <c r="T1140" s="12" t="str">
        <f>IF(S1140="","",[1]Inputs_Outputs!$B$8*(1-'LOCH Calc COE Calc'!S1140))</f>
        <v/>
      </c>
      <c r="U1140" s="13" t="str">
        <f t="shared" si="86"/>
        <v/>
      </c>
      <c r="V1140" s="13" t="str">
        <f t="shared" si="87"/>
        <v/>
      </c>
      <c r="W1140" s="4" t="str">
        <f t="shared" si="88"/>
        <v/>
      </c>
      <c r="X1140" t="str">
        <f>IF(W1140="","",LOOKUP(_xlfn.CONCAT(P1140,", ",Q1140),'[1]T+S Costs'!$F$2:$F$3138,'[1]T+S Costs'!$N$2:$N$3138))</f>
        <v/>
      </c>
      <c r="Y1140" s="14" t="str">
        <f t="shared" si="89"/>
        <v/>
      </c>
      <c r="Z1140" s="4" t="str">
        <f t="shared" si="90"/>
        <v/>
      </c>
    </row>
    <row r="1141" spans="16:26" x14ac:dyDescent="0.25">
      <c r="P1141" s="10" t="str">
        <f>IF('[1]All Data '!AZ1146="","",'[1]All Data '!AZ1146)</f>
        <v/>
      </c>
      <c r="Q1141" s="10" t="str">
        <f>IF('[1]All Data '!BB1146="","",'[1]All Data '!BB1146)</f>
        <v/>
      </c>
      <c r="R1141" s="10" t="str">
        <f>IF('[1]All Data '!BD1146="","",'[1]All Data '!BD1146)</f>
        <v/>
      </c>
      <c r="S1141" s="11" t="str">
        <f>IF(R1141="","",'[1]All Data '!BE1146)</f>
        <v/>
      </c>
      <c r="T1141" s="12" t="str">
        <f>IF(S1141="","",[1]Inputs_Outputs!$B$8*(1-'LOCH Calc COE Calc'!S1141))</f>
        <v/>
      </c>
      <c r="U1141" s="13" t="str">
        <f t="shared" si="86"/>
        <v/>
      </c>
      <c r="V1141" s="13" t="str">
        <f t="shared" si="87"/>
        <v/>
      </c>
      <c r="W1141" s="4" t="str">
        <f t="shared" si="88"/>
        <v/>
      </c>
      <c r="X1141" t="str">
        <f>IF(W1141="","",LOOKUP(_xlfn.CONCAT(P1141,", ",Q1141),'[1]T+S Costs'!$F$2:$F$3138,'[1]T+S Costs'!$N$2:$N$3138))</f>
        <v/>
      </c>
      <c r="Y1141" s="14" t="str">
        <f t="shared" si="89"/>
        <v/>
      </c>
      <c r="Z1141" s="4" t="str">
        <f t="shared" si="90"/>
        <v/>
      </c>
    </row>
    <row r="1142" spans="16:26" x14ac:dyDescent="0.25">
      <c r="P1142" s="10" t="str">
        <f>IF('[1]All Data '!AZ1147="","",'[1]All Data '!AZ1147)</f>
        <v/>
      </c>
      <c r="Q1142" s="10" t="str">
        <f>IF('[1]All Data '!BB1147="","",'[1]All Data '!BB1147)</f>
        <v/>
      </c>
      <c r="R1142" s="10" t="str">
        <f>IF('[1]All Data '!BD1147="","",'[1]All Data '!BD1147)</f>
        <v/>
      </c>
      <c r="S1142" s="11" t="str">
        <f>IF(R1142="","",'[1]All Data '!BE1147)</f>
        <v/>
      </c>
      <c r="T1142" s="12" t="str">
        <f>IF(S1142="","",[1]Inputs_Outputs!$B$8*(1-'LOCH Calc COE Calc'!S1142))</f>
        <v/>
      </c>
      <c r="U1142" s="13" t="str">
        <f t="shared" si="86"/>
        <v/>
      </c>
      <c r="V1142" s="13" t="str">
        <f t="shared" si="87"/>
        <v/>
      </c>
      <c r="W1142" s="4" t="str">
        <f t="shared" si="88"/>
        <v/>
      </c>
      <c r="X1142" t="str">
        <f>IF(W1142="","",LOOKUP(_xlfn.CONCAT(P1142,", ",Q1142),'[1]T+S Costs'!$F$2:$F$3138,'[1]T+S Costs'!$N$2:$N$3138))</f>
        <v/>
      </c>
      <c r="Y1142" s="14" t="str">
        <f t="shared" si="89"/>
        <v/>
      </c>
      <c r="Z1142" s="4" t="str">
        <f t="shared" si="90"/>
        <v/>
      </c>
    </row>
    <row r="1143" spans="16:26" x14ac:dyDescent="0.25">
      <c r="P1143" s="10" t="str">
        <f>IF('[1]All Data '!AZ1148="","",'[1]All Data '!AZ1148)</f>
        <v/>
      </c>
      <c r="Q1143" s="10" t="str">
        <f>IF('[1]All Data '!BB1148="","",'[1]All Data '!BB1148)</f>
        <v/>
      </c>
      <c r="R1143" s="10" t="str">
        <f>IF('[1]All Data '!BD1148="","",'[1]All Data '!BD1148)</f>
        <v/>
      </c>
      <c r="S1143" s="11" t="str">
        <f>IF(R1143="","",'[1]All Data '!BE1148)</f>
        <v/>
      </c>
      <c r="T1143" s="12" t="str">
        <f>IF(S1143="","",[1]Inputs_Outputs!$B$8*(1-'LOCH Calc COE Calc'!S1143))</f>
        <v/>
      </c>
      <c r="U1143" s="13" t="str">
        <f t="shared" si="86"/>
        <v/>
      </c>
      <c r="V1143" s="13" t="str">
        <f t="shared" si="87"/>
        <v/>
      </c>
      <c r="W1143" s="4" t="str">
        <f t="shared" si="88"/>
        <v/>
      </c>
      <c r="X1143" t="str">
        <f>IF(W1143="","",LOOKUP(_xlfn.CONCAT(P1143,", ",Q1143),'[1]T+S Costs'!$F$2:$F$3138,'[1]T+S Costs'!$N$2:$N$3138))</f>
        <v/>
      </c>
      <c r="Y1143" s="14" t="str">
        <f t="shared" si="89"/>
        <v/>
      </c>
      <c r="Z1143" s="4" t="str">
        <f t="shared" si="90"/>
        <v/>
      </c>
    </row>
    <row r="1144" spans="16:26" x14ac:dyDescent="0.25">
      <c r="P1144" s="10" t="str">
        <f>IF('[1]All Data '!AZ1149="","",'[1]All Data '!AZ1149)</f>
        <v/>
      </c>
      <c r="Q1144" s="10" t="str">
        <f>IF('[1]All Data '!BB1149="","",'[1]All Data '!BB1149)</f>
        <v/>
      </c>
      <c r="R1144" s="10" t="str">
        <f>IF('[1]All Data '!BD1149="","",'[1]All Data '!BD1149)</f>
        <v/>
      </c>
      <c r="S1144" s="11" t="str">
        <f>IF(R1144="","",'[1]All Data '!BE1149)</f>
        <v/>
      </c>
      <c r="T1144" s="12" t="str">
        <f>IF(S1144="","",[1]Inputs_Outputs!$B$8*(1-'LOCH Calc COE Calc'!S1144))</f>
        <v/>
      </c>
      <c r="U1144" s="13" t="str">
        <f t="shared" si="86"/>
        <v/>
      </c>
      <c r="V1144" s="13" t="str">
        <f t="shared" si="87"/>
        <v/>
      </c>
      <c r="W1144" s="4" t="str">
        <f t="shared" si="88"/>
        <v/>
      </c>
      <c r="X1144" t="str">
        <f>IF(W1144="","",LOOKUP(_xlfn.CONCAT(P1144,", ",Q1144),'[1]T+S Costs'!$F$2:$F$3138,'[1]T+S Costs'!$N$2:$N$3138))</f>
        <v/>
      </c>
      <c r="Y1144" s="14" t="str">
        <f t="shared" si="89"/>
        <v/>
      </c>
      <c r="Z1144" s="4" t="str">
        <f t="shared" si="90"/>
        <v/>
      </c>
    </row>
    <row r="1145" spans="16:26" x14ac:dyDescent="0.25">
      <c r="P1145" s="10" t="str">
        <f>IF('[1]All Data '!AZ1150="","",'[1]All Data '!AZ1150)</f>
        <v/>
      </c>
      <c r="Q1145" s="10" t="str">
        <f>IF('[1]All Data '!BB1150="","",'[1]All Data '!BB1150)</f>
        <v/>
      </c>
      <c r="R1145" s="10" t="str">
        <f>IF('[1]All Data '!BD1150="","",'[1]All Data '!BD1150)</f>
        <v/>
      </c>
      <c r="S1145" s="11" t="str">
        <f>IF(R1145="","",'[1]All Data '!BE1150)</f>
        <v/>
      </c>
      <c r="T1145" s="12" t="str">
        <f>IF(S1145="","",[1]Inputs_Outputs!$B$8*(1-'LOCH Calc COE Calc'!S1145))</f>
        <v/>
      </c>
      <c r="U1145" s="13" t="str">
        <f t="shared" si="86"/>
        <v/>
      </c>
      <c r="V1145" s="13" t="str">
        <f t="shared" si="87"/>
        <v/>
      </c>
      <c r="W1145" s="4" t="str">
        <f t="shared" si="88"/>
        <v/>
      </c>
      <c r="X1145" t="str">
        <f>IF(W1145="","",LOOKUP(_xlfn.CONCAT(P1145,", ",Q1145),'[1]T+S Costs'!$F$2:$F$3138,'[1]T+S Costs'!$N$2:$N$3138))</f>
        <v/>
      </c>
      <c r="Y1145" s="14" t="str">
        <f t="shared" si="89"/>
        <v/>
      </c>
      <c r="Z1145" s="4" t="str">
        <f t="shared" si="90"/>
        <v/>
      </c>
    </row>
    <row r="1146" spans="16:26" x14ac:dyDescent="0.25">
      <c r="P1146" s="10" t="str">
        <f>IF('[1]All Data '!AZ1151="","",'[1]All Data '!AZ1151)</f>
        <v/>
      </c>
      <c r="Q1146" s="10" t="str">
        <f>IF('[1]All Data '!BB1151="","",'[1]All Data '!BB1151)</f>
        <v/>
      </c>
      <c r="R1146" s="10" t="str">
        <f>IF('[1]All Data '!BD1151="","",'[1]All Data '!BD1151)</f>
        <v/>
      </c>
      <c r="S1146" s="11" t="str">
        <f>IF(R1146="","",'[1]All Data '!BE1151)</f>
        <v/>
      </c>
      <c r="T1146" s="12" t="str">
        <f>IF(S1146="","",[1]Inputs_Outputs!$B$8*(1-'LOCH Calc COE Calc'!S1146))</f>
        <v/>
      </c>
      <c r="U1146" s="13" t="str">
        <f t="shared" si="86"/>
        <v/>
      </c>
      <c r="V1146" s="13" t="str">
        <f t="shared" si="87"/>
        <v/>
      </c>
      <c r="W1146" s="4" t="str">
        <f t="shared" si="88"/>
        <v/>
      </c>
      <c r="X1146" t="str">
        <f>IF(W1146="","",LOOKUP(_xlfn.CONCAT(P1146,", ",Q1146),'[1]T+S Costs'!$F$2:$F$3138,'[1]T+S Costs'!$N$2:$N$3138))</f>
        <v/>
      </c>
      <c r="Y1146" s="14" t="str">
        <f t="shared" si="89"/>
        <v/>
      </c>
      <c r="Z1146" s="4" t="str">
        <f t="shared" si="90"/>
        <v/>
      </c>
    </row>
    <row r="1147" spans="16:26" x14ac:dyDescent="0.25">
      <c r="P1147" s="10" t="str">
        <f>IF('[1]All Data '!AZ1152="","",'[1]All Data '!AZ1152)</f>
        <v/>
      </c>
      <c r="Q1147" s="10" t="str">
        <f>IF('[1]All Data '!BB1152="","",'[1]All Data '!BB1152)</f>
        <v/>
      </c>
      <c r="R1147" s="10" t="str">
        <f>IF('[1]All Data '!BD1152="","",'[1]All Data '!BD1152)</f>
        <v/>
      </c>
      <c r="S1147" s="11" t="str">
        <f>IF(R1147="","",'[1]All Data '!BE1152)</f>
        <v/>
      </c>
      <c r="T1147" s="12" t="str">
        <f>IF(S1147="","",[1]Inputs_Outputs!$B$8*(1-'LOCH Calc COE Calc'!S1147))</f>
        <v/>
      </c>
      <c r="U1147" s="13" t="str">
        <f t="shared" si="86"/>
        <v/>
      </c>
      <c r="V1147" s="13" t="str">
        <f t="shared" si="87"/>
        <v/>
      </c>
      <c r="W1147" s="4" t="str">
        <f t="shared" si="88"/>
        <v/>
      </c>
      <c r="X1147" t="str">
        <f>IF(W1147="","",LOOKUP(_xlfn.CONCAT(P1147,", ",Q1147),'[1]T+S Costs'!$F$2:$F$3138,'[1]T+S Costs'!$N$2:$N$3138))</f>
        <v/>
      </c>
      <c r="Y1147" s="14" t="str">
        <f t="shared" si="89"/>
        <v/>
      </c>
      <c r="Z1147" s="4" t="str">
        <f t="shared" si="90"/>
        <v/>
      </c>
    </row>
    <row r="1148" spans="16:26" x14ac:dyDescent="0.25">
      <c r="P1148" s="10" t="str">
        <f>IF('[1]All Data '!AZ1153="","",'[1]All Data '!AZ1153)</f>
        <v/>
      </c>
      <c r="Q1148" s="10" t="str">
        <f>IF('[1]All Data '!BB1153="","",'[1]All Data '!BB1153)</f>
        <v/>
      </c>
      <c r="R1148" s="10" t="str">
        <f>IF('[1]All Data '!BD1153="","",'[1]All Data '!BD1153)</f>
        <v/>
      </c>
      <c r="S1148" s="11" t="str">
        <f>IF(R1148="","",'[1]All Data '!BE1153)</f>
        <v/>
      </c>
      <c r="T1148" s="12" t="str">
        <f>IF(S1148="","",[1]Inputs_Outputs!$B$8*(1-'LOCH Calc COE Calc'!S1148))</f>
        <v/>
      </c>
      <c r="U1148" s="13" t="str">
        <f t="shared" si="86"/>
        <v/>
      </c>
      <c r="V1148" s="13" t="str">
        <f t="shared" si="87"/>
        <v/>
      </c>
      <c r="W1148" s="4" t="str">
        <f t="shared" si="88"/>
        <v/>
      </c>
      <c r="X1148" t="str">
        <f>IF(W1148="","",LOOKUP(_xlfn.CONCAT(P1148,", ",Q1148),'[1]T+S Costs'!$F$2:$F$3138,'[1]T+S Costs'!$N$2:$N$3138))</f>
        <v/>
      </c>
      <c r="Y1148" s="14" t="str">
        <f t="shared" si="89"/>
        <v/>
      </c>
      <c r="Z1148" s="4" t="str">
        <f t="shared" si="90"/>
        <v/>
      </c>
    </row>
    <row r="1149" spans="16:26" x14ac:dyDescent="0.25">
      <c r="P1149" s="10" t="str">
        <f>IF('[1]All Data '!AZ1154="","",'[1]All Data '!AZ1154)</f>
        <v/>
      </c>
      <c r="Q1149" s="10" t="str">
        <f>IF('[1]All Data '!BB1154="","",'[1]All Data '!BB1154)</f>
        <v/>
      </c>
      <c r="R1149" s="10" t="str">
        <f>IF('[1]All Data '!BD1154="","",'[1]All Data '!BD1154)</f>
        <v/>
      </c>
      <c r="S1149" s="11" t="str">
        <f>IF(R1149="","",'[1]All Data '!BE1154)</f>
        <v/>
      </c>
      <c r="T1149" s="12" t="str">
        <f>IF(S1149="","",[1]Inputs_Outputs!$B$8*(1-'LOCH Calc COE Calc'!S1149))</f>
        <v/>
      </c>
      <c r="U1149" s="13" t="str">
        <f t="shared" si="86"/>
        <v/>
      </c>
      <c r="V1149" s="13" t="str">
        <f t="shared" si="87"/>
        <v/>
      </c>
      <c r="W1149" s="4" t="str">
        <f t="shared" si="88"/>
        <v/>
      </c>
      <c r="X1149" t="str">
        <f>IF(W1149="","",LOOKUP(_xlfn.CONCAT(P1149,", ",Q1149),'[1]T+S Costs'!$F$2:$F$3138,'[1]T+S Costs'!$N$2:$N$3138))</f>
        <v/>
      </c>
      <c r="Y1149" s="14" t="str">
        <f t="shared" si="89"/>
        <v/>
      </c>
      <c r="Z1149" s="4" t="str">
        <f t="shared" si="90"/>
        <v/>
      </c>
    </row>
    <row r="1150" spans="16:26" x14ac:dyDescent="0.25">
      <c r="P1150" s="10" t="str">
        <f>IF('[1]All Data '!AZ1155="","",'[1]All Data '!AZ1155)</f>
        <v/>
      </c>
      <c r="Q1150" s="10" t="str">
        <f>IF('[1]All Data '!BB1155="","",'[1]All Data '!BB1155)</f>
        <v/>
      </c>
      <c r="R1150" s="10" t="str">
        <f>IF('[1]All Data '!BD1155="","",'[1]All Data '!BD1155)</f>
        <v/>
      </c>
      <c r="S1150" s="11" t="str">
        <f>IF(R1150="","",'[1]All Data '!BE1155)</f>
        <v/>
      </c>
      <c r="T1150" s="12" t="str">
        <f>IF(S1150="","",[1]Inputs_Outputs!$B$8*(1-'LOCH Calc COE Calc'!S1150))</f>
        <v/>
      </c>
      <c r="U1150" s="13" t="str">
        <f t="shared" si="86"/>
        <v/>
      </c>
      <c r="V1150" s="13" t="str">
        <f t="shared" si="87"/>
        <v/>
      </c>
      <c r="W1150" s="4" t="str">
        <f t="shared" si="88"/>
        <v/>
      </c>
      <c r="X1150" t="str">
        <f>IF(W1150="","",LOOKUP(_xlfn.CONCAT(P1150,", ",Q1150),'[1]T+S Costs'!$F$2:$F$3138,'[1]T+S Costs'!$N$2:$N$3138))</f>
        <v/>
      </c>
      <c r="Y1150" s="14" t="str">
        <f t="shared" si="89"/>
        <v/>
      </c>
      <c r="Z1150" s="4" t="str">
        <f t="shared" si="90"/>
        <v/>
      </c>
    </row>
    <row r="1151" spans="16:26" x14ac:dyDescent="0.25">
      <c r="P1151" s="10" t="str">
        <f>IF('[1]All Data '!AZ1156="","",'[1]All Data '!AZ1156)</f>
        <v/>
      </c>
      <c r="Q1151" s="10" t="str">
        <f>IF('[1]All Data '!BB1156="","",'[1]All Data '!BB1156)</f>
        <v/>
      </c>
      <c r="R1151" s="10" t="str">
        <f>IF('[1]All Data '!BD1156="","",'[1]All Data '!BD1156)</f>
        <v/>
      </c>
      <c r="S1151" s="11" t="str">
        <f>IF(R1151="","",'[1]All Data '!BE1156)</f>
        <v/>
      </c>
      <c r="T1151" s="12" t="str">
        <f>IF(S1151="","",[1]Inputs_Outputs!$B$8*(1-'LOCH Calc COE Calc'!S1151))</f>
        <v/>
      </c>
      <c r="U1151" s="13" t="str">
        <f t="shared" si="86"/>
        <v/>
      </c>
      <c r="V1151" s="13" t="str">
        <f t="shared" si="87"/>
        <v/>
      </c>
      <c r="W1151" s="4" t="str">
        <f t="shared" si="88"/>
        <v/>
      </c>
      <c r="X1151" t="str">
        <f>IF(W1151="","",LOOKUP(_xlfn.CONCAT(P1151,", ",Q1151),'[1]T+S Costs'!$F$2:$F$3138,'[1]T+S Costs'!$N$2:$N$3138))</f>
        <v/>
      </c>
      <c r="Y1151" s="14" t="str">
        <f t="shared" si="89"/>
        <v/>
      </c>
      <c r="Z1151" s="4" t="str">
        <f t="shared" si="90"/>
        <v/>
      </c>
    </row>
    <row r="1152" spans="16:26" x14ac:dyDescent="0.25">
      <c r="P1152" s="10" t="str">
        <f>IF('[1]All Data '!AZ1157="","",'[1]All Data '!AZ1157)</f>
        <v/>
      </c>
      <c r="Q1152" s="10" t="str">
        <f>IF('[1]All Data '!BB1157="","",'[1]All Data '!BB1157)</f>
        <v/>
      </c>
      <c r="R1152" s="10" t="str">
        <f>IF('[1]All Data '!BD1157="","",'[1]All Data '!BD1157)</f>
        <v/>
      </c>
      <c r="S1152" s="11" t="str">
        <f>IF(R1152="","",'[1]All Data '!BE1157)</f>
        <v/>
      </c>
      <c r="T1152" s="12" t="str">
        <f>IF(S1152="","",[1]Inputs_Outputs!$B$8*(1-'LOCH Calc COE Calc'!S1152))</f>
        <v/>
      </c>
      <c r="U1152" s="13" t="str">
        <f t="shared" si="86"/>
        <v/>
      </c>
      <c r="V1152" s="13" t="str">
        <f t="shared" si="87"/>
        <v/>
      </c>
      <c r="W1152" s="4" t="str">
        <f t="shared" si="88"/>
        <v/>
      </c>
      <c r="X1152" t="str">
        <f>IF(W1152="","",LOOKUP(_xlfn.CONCAT(P1152,", ",Q1152),'[1]T+S Costs'!$F$2:$F$3138,'[1]T+S Costs'!$N$2:$N$3138))</f>
        <v/>
      </c>
      <c r="Y1152" s="14" t="str">
        <f t="shared" si="89"/>
        <v/>
      </c>
      <c r="Z1152" s="4" t="str">
        <f t="shared" si="90"/>
        <v/>
      </c>
    </row>
    <row r="1153" spans="16:26" x14ac:dyDescent="0.25">
      <c r="P1153" s="10" t="str">
        <f>IF('[1]All Data '!AZ1158="","",'[1]All Data '!AZ1158)</f>
        <v/>
      </c>
      <c r="Q1153" s="10" t="str">
        <f>IF('[1]All Data '!BB1158="","",'[1]All Data '!BB1158)</f>
        <v/>
      </c>
      <c r="R1153" s="10" t="str">
        <f>IF('[1]All Data '!BD1158="","",'[1]All Data '!BD1158)</f>
        <v/>
      </c>
      <c r="S1153" s="11" t="str">
        <f>IF(R1153="","",'[1]All Data '!BE1158)</f>
        <v/>
      </c>
      <c r="T1153" s="12" t="str">
        <f>IF(S1153="","",[1]Inputs_Outputs!$B$8*(1-'LOCH Calc COE Calc'!S1153))</f>
        <v/>
      </c>
      <c r="U1153" s="13" t="str">
        <f t="shared" si="86"/>
        <v/>
      </c>
      <c r="V1153" s="13" t="str">
        <f t="shared" si="87"/>
        <v/>
      </c>
      <c r="W1153" s="4" t="str">
        <f t="shared" si="88"/>
        <v/>
      </c>
      <c r="X1153" t="str">
        <f>IF(W1153="","",LOOKUP(_xlfn.CONCAT(P1153,", ",Q1153),'[1]T+S Costs'!$F$2:$F$3138,'[1]T+S Costs'!$N$2:$N$3138))</f>
        <v/>
      </c>
      <c r="Y1153" s="14" t="str">
        <f t="shared" si="89"/>
        <v/>
      </c>
      <c r="Z1153" s="4" t="str">
        <f t="shared" si="90"/>
        <v/>
      </c>
    </row>
    <row r="1154" spans="16:26" x14ac:dyDescent="0.25">
      <c r="P1154" s="10" t="str">
        <f>IF('[1]All Data '!AZ1159="","",'[1]All Data '!AZ1159)</f>
        <v/>
      </c>
      <c r="Q1154" s="10" t="str">
        <f>IF('[1]All Data '!BB1159="","",'[1]All Data '!BB1159)</f>
        <v/>
      </c>
      <c r="R1154" s="10" t="str">
        <f>IF('[1]All Data '!BD1159="","",'[1]All Data '!BD1159)</f>
        <v/>
      </c>
      <c r="S1154" s="11" t="str">
        <f>IF(R1154="","",'[1]All Data '!BE1159)</f>
        <v/>
      </c>
      <c r="T1154" s="12" t="str">
        <f>IF(S1154="","",[1]Inputs_Outputs!$B$8*(1-'LOCH Calc COE Calc'!S1154))</f>
        <v/>
      </c>
      <c r="U1154" s="13" t="str">
        <f t="shared" si="86"/>
        <v/>
      </c>
      <c r="V1154" s="13" t="str">
        <f t="shared" si="87"/>
        <v/>
      </c>
      <c r="W1154" s="4" t="str">
        <f t="shared" si="88"/>
        <v/>
      </c>
      <c r="X1154" t="str">
        <f>IF(W1154="","",LOOKUP(_xlfn.CONCAT(P1154,", ",Q1154),'[1]T+S Costs'!$F$2:$F$3138,'[1]T+S Costs'!$N$2:$N$3138))</f>
        <v/>
      </c>
      <c r="Y1154" s="14" t="str">
        <f t="shared" si="89"/>
        <v/>
      </c>
      <c r="Z1154" s="4" t="str">
        <f t="shared" si="90"/>
        <v/>
      </c>
    </row>
    <row r="1155" spans="16:26" x14ac:dyDescent="0.25">
      <c r="P1155" s="10" t="str">
        <f>IF('[1]All Data '!AZ1160="","",'[1]All Data '!AZ1160)</f>
        <v/>
      </c>
      <c r="Q1155" s="10" t="str">
        <f>IF('[1]All Data '!BB1160="","",'[1]All Data '!BB1160)</f>
        <v/>
      </c>
      <c r="R1155" s="10" t="str">
        <f>IF('[1]All Data '!BD1160="","",'[1]All Data '!BD1160)</f>
        <v/>
      </c>
      <c r="S1155" s="11" t="str">
        <f>IF(R1155="","",'[1]All Data '!BE1160)</f>
        <v/>
      </c>
      <c r="T1155" s="12" t="str">
        <f>IF(S1155="","",[1]Inputs_Outputs!$B$8*(1-'LOCH Calc COE Calc'!S1155))</f>
        <v/>
      </c>
      <c r="U1155" s="13" t="str">
        <f t="shared" ref="U1155:U1218" si="91">IF(S1155="","",R1155*T1155*365*$B$19/100)</f>
        <v/>
      </c>
      <c r="V1155" s="13" t="str">
        <f t="shared" ref="V1155:V1218" si="92">IF(S1155="","",(U1155*$B$19)/(($B$28)*$B$19))</f>
        <v/>
      </c>
      <c r="W1155" s="4" t="str">
        <f t="shared" ref="W1155:W1218" si="93">IF(S1155="","",V1155+$C$49+$C$50+$C$51)</f>
        <v/>
      </c>
      <c r="X1155" t="str">
        <f>IF(W1155="","",LOOKUP(_xlfn.CONCAT(P1155,", ",Q1155),'[1]T+S Costs'!$F$2:$F$3138,'[1]T+S Costs'!$N$2:$N$3138))</f>
        <v/>
      </c>
      <c r="Y1155" s="14" t="str">
        <f t="shared" ref="Y1155:Y1218" si="94">IF(X1155="","",((X1155*$B$60/$B$59)*$C$44)/$C$28)</f>
        <v/>
      </c>
      <c r="Z1155" s="4" t="str">
        <f t="shared" ref="Z1155:Z1218" si="95">IF(Y1155="","",W1155+Y1155)</f>
        <v/>
      </c>
    </row>
    <row r="1156" spans="16:26" x14ac:dyDescent="0.25">
      <c r="P1156" s="10" t="str">
        <f>IF('[1]All Data '!AZ1161="","",'[1]All Data '!AZ1161)</f>
        <v/>
      </c>
      <c r="Q1156" s="10" t="str">
        <f>IF('[1]All Data '!BB1161="","",'[1]All Data '!BB1161)</f>
        <v/>
      </c>
      <c r="R1156" s="10" t="str">
        <f>IF('[1]All Data '!BD1161="","",'[1]All Data '!BD1161)</f>
        <v/>
      </c>
      <c r="S1156" s="11" t="str">
        <f>IF(R1156="","",'[1]All Data '!BE1161)</f>
        <v/>
      </c>
      <c r="T1156" s="12" t="str">
        <f>IF(S1156="","",[1]Inputs_Outputs!$B$8*(1-'LOCH Calc COE Calc'!S1156))</f>
        <v/>
      </c>
      <c r="U1156" s="13" t="str">
        <f t="shared" si="91"/>
        <v/>
      </c>
      <c r="V1156" s="13" t="str">
        <f t="shared" si="92"/>
        <v/>
      </c>
      <c r="W1156" s="4" t="str">
        <f t="shared" si="93"/>
        <v/>
      </c>
      <c r="X1156" t="str">
        <f>IF(W1156="","",LOOKUP(_xlfn.CONCAT(P1156,", ",Q1156),'[1]T+S Costs'!$F$2:$F$3138,'[1]T+S Costs'!$N$2:$N$3138))</f>
        <v/>
      </c>
      <c r="Y1156" s="14" t="str">
        <f t="shared" si="94"/>
        <v/>
      </c>
      <c r="Z1156" s="4" t="str">
        <f t="shared" si="95"/>
        <v/>
      </c>
    </row>
    <row r="1157" spans="16:26" x14ac:dyDescent="0.25">
      <c r="P1157" s="10" t="str">
        <f>IF('[1]All Data '!AZ1162="","",'[1]All Data '!AZ1162)</f>
        <v/>
      </c>
      <c r="Q1157" s="10" t="str">
        <f>IF('[1]All Data '!BB1162="","",'[1]All Data '!BB1162)</f>
        <v/>
      </c>
      <c r="R1157" s="10" t="str">
        <f>IF('[1]All Data '!BD1162="","",'[1]All Data '!BD1162)</f>
        <v/>
      </c>
      <c r="S1157" s="11" t="str">
        <f>IF(R1157="","",'[1]All Data '!BE1162)</f>
        <v/>
      </c>
      <c r="T1157" s="12" t="str">
        <f>IF(S1157="","",[1]Inputs_Outputs!$B$8*(1-'LOCH Calc COE Calc'!S1157))</f>
        <v/>
      </c>
      <c r="U1157" s="13" t="str">
        <f t="shared" si="91"/>
        <v/>
      </c>
      <c r="V1157" s="13" t="str">
        <f t="shared" si="92"/>
        <v/>
      </c>
      <c r="W1157" s="4" t="str">
        <f t="shared" si="93"/>
        <v/>
      </c>
      <c r="X1157" t="str">
        <f>IF(W1157="","",LOOKUP(_xlfn.CONCAT(P1157,", ",Q1157),'[1]T+S Costs'!$F$2:$F$3138,'[1]T+S Costs'!$N$2:$N$3138))</f>
        <v/>
      </c>
      <c r="Y1157" s="14" t="str">
        <f t="shared" si="94"/>
        <v/>
      </c>
      <c r="Z1157" s="4" t="str">
        <f t="shared" si="95"/>
        <v/>
      </c>
    </row>
    <row r="1158" spans="16:26" x14ac:dyDescent="0.25">
      <c r="P1158" s="10" t="str">
        <f>IF('[1]All Data '!AZ1163="","",'[1]All Data '!AZ1163)</f>
        <v/>
      </c>
      <c r="Q1158" s="10" t="str">
        <f>IF('[1]All Data '!BB1163="","",'[1]All Data '!BB1163)</f>
        <v/>
      </c>
      <c r="R1158" s="10" t="str">
        <f>IF('[1]All Data '!BD1163="","",'[1]All Data '!BD1163)</f>
        <v/>
      </c>
      <c r="S1158" s="11" t="str">
        <f>IF(R1158="","",'[1]All Data '!BE1163)</f>
        <v/>
      </c>
      <c r="T1158" s="12" t="str">
        <f>IF(S1158="","",[1]Inputs_Outputs!$B$8*(1-'LOCH Calc COE Calc'!S1158))</f>
        <v/>
      </c>
      <c r="U1158" s="13" t="str">
        <f t="shared" si="91"/>
        <v/>
      </c>
      <c r="V1158" s="13" t="str">
        <f t="shared" si="92"/>
        <v/>
      </c>
      <c r="W1158" s="4" t="str">
        <f t="shared" si="93"/>
        <v/>
      </c>
      <c r="X1158" t="str">
        <f>IF(W1158="","",LOOKUP(_xlfn.CONCAT(P1158,", ",Q1158),'[1]T+S Costs'!$F$2:$F$3138,'[1]T+S Costs'!$N$2:$N$3138))</f>
        <v/>
      </c>
      <c r="Y1158" s="14" t="str">
        <f t="shared" si="94"/>
        <v/>
      </c>
      <c r="Z1158" s="4" t="str">
        <f t="shared" si="95"/>
        <v/>
      </c>
    </row>
    <row r="1159" spans="16:26" x14ac:dyDescent="0.25">
      <c r="P1159" s="10" t="str">
        <f>IF('[1]All Data '!AZ1164="","",'[1]All Data '!AZ1164)</f>
        <v/>
      </c>
      <c r="Q1159" s="10" t="str">
        <f>IF('[1]All Data '!BB1164="","",'[1]All Data '!BB1164)</f>
        <v/>
      </c>
      <c r="R1159" s="10" t="str">
        <f>IF('[1]All Data '!BD1164="","",'[1]All Data '!BD1164)</f>
        <v/>
      </c>
      <c r="S1159" s="11" t="str">
        <f>IF(R1159="","",'[1]All Data '!BE1164)</f>
        <v/>
      </c>
      <c r="T1159" s="12" t="str">
        <f>IF(S1159="","",[1]Inputs_Outputs!$B$8*(1-'LOCH Calc COE Calc'!S1159))</f>
        <v/>
      </c>
      <c r="U1159" s="13" t="str">
        <f t="shared" si="91"/>
        <v/>
      </c>
      <c r="V1159" s="13" t="str">
        <f t="shared" si="92"/>
        <v/>
      </c>
      <c r="W1159" s="4" t="str">
        <f t="shared" si="93"/>
        <v/>
      </c>
      <c r="X1159" t="str">
        <f>IF(W1159="","",LOOKUP(_xlfn.CONCAT(P1159,", ",Q1159),'[1]T+S Costs'!$F$2:$F$3138,'[1]T+S Costs'!$N$2:$N$3138))</f>
        <v/>
      </c>
      <c r="Y1159" s="14" t="str">
        <f t="shared" si="94"/>
        <v/>
      </c>
      <c r="Z1159" s="4" t="str">
        <f t="shared" si="95"/>
        <v/>
      </c>
    </row>
    <row r="1160" spans="16:26" x14ac:dyDescent="0.25">
      <c r="P1160" s="10" t="str">
        <f>IF('[1]All Data '!AZ1165="","",'[1]All Data '!AZ1165)</f>
        <v/>
      </c>
      <c r="Q1160" s="10" t="str">
        <f>IF('[1]All Data '!BB1165="","",'[1]All Data '!BB1165)</f>
        <v/>
      </c>
      <c r="R1160" s="10" t="str">
        <f>IF('[1]All Data '!BD1165="","",'[1]All Data '!BD1165)</f>
        <v/>
      </c>
      <c r="S1160" s="11" t="str">
        <f>IF(R1160="","",'[1]All Data '!BE1165)</f>
        <v/>
      </c>
      <c r="T1160" s="12" t="str">
        <f>IF(S1160="","",[1]Inputs_Outputs!$B$8*(1-'LOCH Calc COE Calc'!S1160))</f>
        <v/>
      </c>
      <c r="U1160" s="13" t="str">
        <f t="shared" si="91"/>
        <v/>
      </c>
      <c r="V1160" s="13" t="str">
        <f t="shared" si="92"/>
        <v/>
      </c>
      <c r="W1160" s="4" t="str">
        <f t="shared" si="93"/>
        <v/>
      </c>
      <c r="X1160" t="str">
        <f>IF(W1160="","",LOOKUP(_xlfn.CONCAT(P1160,", ",Q1160),'[1]T+S Costs'!$F$2:$F$3138,'[1]T+S Costs'!$N$2:$N$3138))</f>
        <v/>
      </c>
      <c r="Y1160" s="14" t="str">
        <f t="shared" si="94"/>
        <v/>
      </c>
      <c r="Z1160" s="4" t="str">
        <f t="shared" si="95"/>
        <v/>
      </c>
    </row>
    <row r="1161" spans="16:26" x14ac:dyDescent="0.25">
      <c r="P1161" s="10" t="str">
        <f>IF('[1]All Data '!AZ1166="","",'[1]All Data '!AZ1166)</f>
        <v/>
      </c>
      <c r="Q1161" s="10" t="str">
        <f>IF('[1]All Data '!BB1166="","",'[1]All Data '!BB1166)</f>
        <v/>
      </c>
      <c r="R1161" s="10" t="str">
        <f>IF('[1]All Data '!BD1166="","",'[1]All Data '!BD1166)</f>
        <v/>
      </c>
      <c r="S1161" s="11" t="str">
        <f>IF(R1161="","",'[1]All Data '!BE1166)</f>
        <v/>
      </c>
      <c r="T1161" s="12" t="str">
        <f>IF(S1161="","",[1]Inputs_Outputs!$B$8*(1-'LOCH Calc COE Calc'!S1161))</f>
        <v/>
      </c>
      <c r="U1161" s="13" t="str">
        <f t="shared" si="91"/>
        <v/>
      </c>
      <c r="V1161" s="13" t="str">
        <f t="shared" si="92"/>
        <v/>
      </c>
      <c r="W1161" s="4" t="str">
        <f t="shared" si="93"/>
        <v/>
      </c>
      <c r="X1161" t="str">
        <f>IF(W1161="","",LOOKUP(_xlfn.CONCAT(P1161,", ",Q1161),'[1]T+S Costs'!$F$2:$F$3138,'[1]T+S Costs'!$N$2:$N$3138))</f>
        <v/>
      </c>
      <c r="Y1161" s="14" t="str">
        <f t="shared" si="94"/>
        <v/>
      </c>
      <c r="Z1161" s="4" t="str">
        <f t="shared" si="95"/>
        <v/>
      </c>
    </row>
    <row r="1162" spans="16:26" x14ac:dyDescent="0.25">
      <c r="P1162" s="10" t="str">
        <f>IF('[1]All Data '!AZ1167="","",'[1]All Data '!AZ1167)</f>
        <v/>
      </c>
      <c r="Q1162" s="10" t="str">
        <f>IF('[1]All Data '!BB1167="","",'[1]All Data '!BB1167)</f>
        <v/>
      </c>
      <c r="R1162" s="10" t="str">
        <f>IF('[1]All Data '!BD1167="","",'[1]All Data '!BD1167)</f>
        <v/>
      </c>
      <c r="S1162" s="11" t="str">
        <f>IF(R1162="","",'[1]All Data '!BE1167)</f>
        <v/>
      </c>
      <c r="T1162" s="12" t="str">
        <f>IF(S1162="","",[1]Inputs_Outputs!$B$8*(1-'LOCH Calc COE Calc'!S1162))</f>
        <v/>
      </c>
      <c r="U1162" s="13" t="str">
        <f t="shared" si="91"/>
        <v/>
      </c>
      <c r="V1162" s="13" t="str">
        <f t="shared" si="92"/>
        <v/>
      </c>
      <c r="W1162" s="4" t="str">
        <f t="shared" si="93"/>
        <v/>
      </c>
      <c r="X1162" t="str">
        <f>IF(W1162="","",LOOKUP(_xlfn.CONCAT(P1162,", ",Q1162),'[1]T+S Costs'!$F$2:$F$3138,'[1]T+S Costs'!$N$2:$N$3138))</f>
        <v/>
      </c>
      <c r="Y1162" s="14" t="str">
        <f t="shared" si="94"/>
        <v/>
      </c>
      <c r="Z1162" s="4" t="str">
        <f t="shared" si="95"/>
        <v/>
      </c>
    </row>
    <row r="1163" spans="16:26" x14ac:dyDescent="0.25">
      <c r="P1163" s="10" t="str">
        <f>IF('[1]All Data '!AZ1168="","",'[1]All Data '!AZ1168)</f>
        <v/>
      </c>
      <c r="Q1163" s="10" t="str">
        <f>IF('[1]All Data '!BB1168="","",'[1]All Data '!BB1168)</f>
        <v/>
      </c>
      <c r="R1163" s="10" t="str">
        <f>IF('[1]All Data '!BD1168="","",'[1]All Data '!BD1168)</f>
        <v/>
      </c>
      <c r="S1163" s="11" t="str">
        <f>IF(R1163="","",'[1]All Data '!BE1168)</f>
        <v/>
      </c>
      <c r="T1163" s="12" t="str">
        <f>IF(S1163="","",[1]Inputs_Outputs!$B$8*(1-'LOCH Calc COE Calc'!S1163))</f>
        <v/>
      </c>
      <c r="U1163" s="13" t="str">
        <f t="shared" si="91"/>
        <v/>
      </c>
      <c r="V1163" s="13" t="str">
        <f t="shared" si="92"/>
        <v/>
      </c>
      <c r="W1163" s="4" t="str">
        <f t="shared" si="93"/>
        <v/>
      </c>
      <c r="X1163" t="str">
        <f>IF(W1163="","",LOOKUP(_xlfn.CONCAT(P1163,", ",Q1163),'[1]T+S Costs'!$F$2:$F$3138,'[1]T+S Costs'!$N$2:$N$3138))</f>
        <v/>
      </c>
      <c r="Y1163" s="14" t="str">
        <f t="shared" si="94"/>
        <v/>
      </c>
      <c r="Z1163" s="4" t="str">
        <f t="shared" si="95"/>
        <v/>
      </c>
    </row>
    <row r="1164" spans="16:26" x14ac:dyDescent="0.25">
      <c r="P1164" s="10" t="str">
        <f>IF('[1]All Data '!AZ1169="","",'[1]All Data '!AZ1169)</f>
        <v/>
      </c>
      <c r="Q1164" s="10" t="str">
        <f>IF('[1]All Data '!BB1169="","",'[1]All Data '!BB1169)</f>
        <v/>
      </c>
      <c r="R1164" s="10" t="str">
        <f>IF('[1]All Data '!BD1169="","",'[1]All Data '!BD1169)</f>
        <v/>
      </c>
      <c r="S1164" s="11" t="str">
        <f>IF(R1164="","",'[1]All Data '!BE1169)</f>
        <v/>
      </c>
      <c r="T1164" s="12" t="str">
        <f>IF(S1164="","",[1]Inputs_Outputs!$B$8*(1-'LOCH Calc COE Calc'!S1164))</f>
        <v/>
      </c>
      <c r="U1164" s="13" t="str">
        <f t="shared" si="91"/>
        <v/>
      </c>
      <c r="V1164" s="13" t="str">
        <f t="shared" si="92"/>
        <v/>
      </c>
      <c r="W1164" s="4" t="str">
        <f t="shared" si="93"/>
        <v/>
      </c>
      <c r="X1164" t="str">
        <f>IF(W1164="","",LOOKUP(_xlfn.CONCAT(P1164,", ",Q1164),'[1]T+S Costs'!$F$2:$F$3138,'[1]T+S Costs'!$N$2:$N$3138))</f>
        <v/>
      </c>
      <c r="Y1164" s="14" t="str">
        <f t="shared" si="94"/>
        <v/>
      </c>
      <c r="Z1164" s="4" t="str">
        <f t="shared" si="95"/>
        <v/>
      </c>
    </row>
    <row r="1165" spans="16:26" x14ac:dyDescent="0.25">
      <c r="P1165" s="10" t="str">
        <f>IF('[1]All Data '!AZ1170="","",'[1]All Data '!AZ1170)</f>
        <v/>
      </c>
      <c r="Q1165" s="10" t="str">
        <f>IF('[1]All Data '!BB1170="","",'[1]All Data '!BB1170)</f>
        <v/>
      </c>
      <c r="R1165" s="10" t="str">
        <f>IF('[1]All Data '!BD1170="","",'[1]All Data '!BD1170)</f>
        <v/>
      </c>
      <c r="S1165" s="11" t="str">
        <f>IF(R1165="","",'[1]All Data '!BE1170)</f>
        <v/>
      </c>
      <c r="T1165" s="12" t="str">
        <f>IF(S1165="","",[1]Inputs_Outputs!$B$8*(1-'LOCH Calc COE Calc'!S1165))</f>
        <v/>
      </c>
      <c r="U1165" s="13" t="str">
        <f t="shared" si="91"/>
        <v/>
      </c>
      <c r="V1165" s="13" t="str">
        <f t="shared" si="92"/>
        <v/>
      </c>
      <c r="W1165" s="4" t="str">
        <f t="shared" si="93"/>
        <v/>
      </c>
      <c r="X1165" t="str">
        <f>IF(W1165="","",LOOKUP(_xlfn.CONCAT(P1165,", ",Q1165),'[1]T+S Costs'!$F$2:$F$3138,'[1]T+S Costs'!$N$2:$N$3138))</f>
        <v/>
      </c>
      <c r="Y1165" s="14" t="str">
        <f t="shared" si="94"/>
        <v/>
      </c>
      <c r="Z1165" s="4" t="str">
        <f t="shared" si="95"/>
        <v/>
      </c>
    </row>
    <row r="1166" spans="16:26" x14ac:dyDescent="0.25">
      <c r="P1166" s="10" t="str">
        <f>IF('[1]All Data '!AZ1171="","",'[1]All Data '!AZ1171)</f>
        <v/>
      </c>
      <c r="Q1166" s="10" t="str">
        <f>IF('[1]All Data '!BB1171="","",'[1]All Data '!BB1171)</f>
        <v/>
      </c>
      <c r="R1166" s="10" t="str">
        <f>IF('[1]All Data '!BD1171="","",'[1]All Data '!BD1171)</f>
        <v/>
      </c>
      <c r="S1166" s="11" t="str">
        <f>IF(R1166="","",'[1]All Data '!BE1171)</f>
        <v/>
      </c>
      <c r="T1166" s="12" t="str">
        <f>IF(S1166="","",[1]Inputs_Outputs!$B$8*(1-'LOCH Calc COE Calc'!S1166))</f>
        <v/>
      </c>
      <c r="U1166" s="13" t="str">
        <f t="shared" si="91"/>
        <v/>
      </c>
      <c r="V1166" s="13" t="str">
        <f t="shared" si="92"/>
        <v/>
      </c>
      <c r="W1166" s="4" t="str">
        <f t="shared" si="93"/>
        <v/>
      </c>
      <c r="X1166" t="str">
        <f>IF(W1166="","",LOOKUP(_xlfn.CONCAT(P1166,", ",Q1166),'[1]T+S Costs'!$F$2:$F$3138,'[1]T+S Costs'!$N$2:$N$3138))</f>
        <v/>
      </c>
      <c r="Y1166" s="14" t="str">
        <f t="shared" si="94"/>
        <v/>
      </c>
      <c r="Z1166" s="4" t="str">
        <f t="shared" si="95"/>
        <v/>
      </c>
    </row>
    <row r="1167" spans="16:26" x14ac:dyDescent="0.25">
      <c r="P1167" s="10" t="str">
        <f>IF('[1]All Data '!AZ1172="","",'[1]All Data '!AZ1172)</f>
        <v/>
      </c>
      <c r="Q1167" s="10" t="str">
        <f>IF('[1]All Data '!BB1172="","",'[1]All Data '!BB1172)</f>
        <v/>
      </c>
      <c r="R1167" s="10" t="str">
        <f>IF('[1]All Data '!BD1172="","",'[1]All Data '!BD1172)</f>
        <v/>
      </c>
      <c r="S1167" s="11" t="str">
        <f>IF(R1167="","",'[1]All Data '!BE1172)</f>
        <v/>
      </c>
      <c r="T1167" s="12" t="str">
        <f>IF(S1167="","",[1]Inputs_Outputs!$B$8*(1-'LOCH Calc COE Calc'!S1167))</f>
        <v/>
      </c>
      <c r="U1167" s="13" t="str">
        <f t="shared" si="91"/>
        <v/>
      </c>
      <c r="V1167" s="13" t="str">
        <f t="shared" si="92"/>
        <v/>
      </c>
      <c r="W1167" s="4" t="str">
        <f t="shared" si="93"/>
        <v/>
      </c>
      <c r="X1167" t="str">
        <f>IF(W1167="","",LOOKUP(_xlfn.CONCAT(P1167,", ",Q1167),'[1]T+S Costs'!$F$2:$F$3138,'[1]T+S Costs'!$N$2:$N$3138))</f>
        <v/>
      </c>
      <c r="Y1167" s="14" t="str">
        <f t="shared" si="94"/>
        <v/>
      </c>
      <c r="Z1167" s="4" t="str">
        <f t="shared" si="95"/>
        <v/>
      </c>
    </row>
    <row r="1168" spans="16:26" x14ac:dyDescent="0.25">
      <c r="P1168" s="10" t="str">
        <f>IF('[1]All Data '!AZ1173="","",'[1]All Data '!AZ1173)</f>
        <v/>
      </c>
      <c r="Q1168" s="10" t="str">
        <f>IF('[1]All Data '!BB1173="","",'[1]All Data '!BB1173)</f>
        <v/>
      </c>
      <c r="R1168" s="10" t="str">
        <f>IF('[1]All Data '!BD1173="","",'[1]All Data '!BD1173)</f>
        <v/>
      </c>
      <c r="S1168" s="11" t="str">
        <f>IF(R1168="","",'[1]All Data '!BE1173)</f>
        <v/>
      </c>
      <c r="T1168" s="12" t="str">
        <f>IF(S1168="","",[1]Inputs_Outputs!$B$8*(1-'LOCH Calc COE Calc'!S1168))</f>
        <v/>
      </c>
      <c r="U1168" s="13" t="str">
        <f t="shared" si="91"/>
        <v/>
      </c>
      <c r="V1168" s="13" t="str">
        <f t="shared" si="92"/>
        <v/>
      </c>
      <c r="W1168" s="4" t="str">
        <f t="shared" si="93"/>
        <v/>
      </c>
      <c r="X1168" t="str">
        <f>IF(W1168="","",LOOKUP(_xlfn.CONCAT(P1168,", ",Q1168),'[1]T+S Costs'!$F$2:$F$3138,'[1]T+S Costs'!$N$2:$N$3138))</f>
        <v/>
      </c>
      <c r="Y1168" s="14" t="str">
        <f t="shared" si="94"/>
        <v/>
      </c>
      <c r="Z1168" s="4" t="str">
        <f t="shared" si="95"/>
        <v/>
      </c>
    </row>
    <row r="1169" spans="16:26" x14ac:dyDescent="0.25">
      <c r="P1169" s="10" t="str">
        <f>IF('[1]All Data '!AZ1174="","",'[1]All Data '!AZ1174)</f>
        <v/>
      </c>
      <c r="Q1169" s="10" t="str">
        <f>IF('[1]All Data '!BB1174="","",'[1]All Data '!BB1174)</f>
        <v/>
      </c>
      <c r="R1169" s="10" t="str">
        <f>IF('[1]All Data '!BD1174="","",'[1]All Data '!BD1174)</f>
        <v/>
      </c>
      <c r="S1169" s="11" t="str">
        <f>IF(R1169="","",'[1]All Data '!BE1174)</f>
        <v/>
      </c>
      <c r="T1169" s="12" t="str">
        <f>IF(S1169="","",[1]Inputs_Outputs!$B$8*(1-'LOCH Calc COE Calc'!S1169))</f>
        <v/>
      </c>
      <c r="U1169" s="13" t="str">
        <f t="shared" si="91"/>
        <v/>
      </c>
      <c r="V1169" s="13" t="str">
        <f t="shared" si="92"/>
        <v/>
      </c>
      <c r="W1169" s="4" t="str">
        <f t="shared" si="93"/>
        <v/>
      </c>
      <c r="X1169" t="str">
        <f>IF(W1169="","",LOOKUP(_xlfn.CONCAT(P1169,", ",Q1169),'[1]T+S Costs'!$F$2:$F$3138,'[1]T+S Costs'!$N$2:$N$3138))</f>
        <v/>
      </c>
      <c r="Y1169" s="14" t="str">
        <f t="shared" si="94"/>
        <v/>
      </c>
      <c r="Z1169" s="4" t="str">
        <f t="shared" si="95"/>
        <v/>
      </c>
    </row>
    <row r="1170" spans="16:26" x14ac:dyDescent="0.25">
      <c r="P1170" s="10" t="str">
        <f>IF('[1]All Data '!AZ1175="","",'[1]All Data '!AZ1175)</f>
        <v/>
      </c>
      <c r="Q1170" s="10" t="str">
        <f>IF('[1]All Data '!BB1175="","",'[1]All Data '!BB1175)</f>
        <v/>
      </c>
      <c r="R1170" s="10" t="str">
        <f>IF('[1]All Data '!BD1175="","",'[1]All Data '!BD1175)</f>
        <v/>
      </c>
      <c r="S1170" s="11" t="str">
        <f>IF(R1170="","",'[1]All Data '!BE1175)</f>
        <v/>
      </c>
      <c r="T1170" s="12" t="str">
        <f>IF(S1170="","",[1]Inputs_Outputs!$B$8*(1-'LOCH Calc COE Calc'!S1170))</f>
        <v/>
      </c>
      <c r="U1170" s="13" t="str">
        <f t="shared" si="91"/>
        <v/>
      </c>
      <c r="V1170" s="13" t="str">
        <f t="shared" si="92"/>
        <v/>
      </c>
      <c r="W1170" s="4" t="str">
        <f t="shared" si="93"/>
        <v/>
      </c>
      <c r="X1170" t="str">
        <f>IF(W1170="","",LOOKUP(_xlfn.CONCAT(P1170,", ",Q1170),'[1]T+S Costs'!$F$2:$F$3138,'[1]T+S Costs'!$N$2:$N$3138))</f>
        <v/>
      </c>
      <c r="Y1170" s="14" t="str">
        <f t="shared" si="94"/>
        <v/>
      </c>
      <c r="Z1170" s="4" t="str">
        <f t="shared" si="95"/>
        <v/>
      </c>
    </row>
    <row r="1171" spans="16:26" x14ac:dyDescent="0.25">
      <c r="P1171" s="10" t="str">
        <f>IF('[1]All Data '!AZ1176="","",'[1]All Data '!AZ1176)</f>
        <v/>
      </c>
      <c r="Q1171" s="10" t="str">
        <f>IF('[1]All Data '!BB1176="","",'[1]All Data '!BB1176)</f>
        <v/>
      </c>
      <c r="R1171" s="10" t="str">
        <f>IF('[1]All Data '!BD1176="","",'[1]All Data '!BD1176)</f>
        <v/>
      </c>
      <c r="S1171" s="11" t="str">
        <f>IF(R1171="","",'[1]All Data '!BE1176)</f>
        <v/>
      </c>
      <c r="T1171" s="12" t="str">
        <f>IF(S1171="","",[1]Inputs_Outputs!$B$8*(1-'LOCH Calc COE Calc'!S1171))</f>
        <v/>
      </c>
      <c r="U1171" s="13" t="str">
        <f t="shared" si="91"/>
        <v/>
      </c>
      <c r="V1171" s="13" t="str">
        <f t="shared" si="92"/>
        <v/>
      </c>
      <c r="W1171" s="4" t="str">
        <f t="shared" si="93"/>
        <v/>
      </c>
      <c r="X1171" t="str">
        <f>IF(W1171="","",LOOKUP(_xlfn.CONCAT(P1171,", ",Q1171),'[1]T+S Costs'!$F$2:$F$3138,'[1]T+S Costs'!$N$2:$N$3138))</f>
        <v/>
      </c>
      <c r="Y1171" s="14" t="str">
        <f t="shared" si="94"/>
        <v/>
      </c>
      <c r="Z1171" s="4" t="str">
        <f t="shared" si="95"/>
        <v/>
      </c>
    </row>
    <row r="1172" spans="16:26" x14ac:dyDescent="0.25">
      <c r="P1172" s="10" t="str">
        <f>IF('[1]All Data '!AZ1177="","",'[1]All Data '!AZ1177)</f>
        <v/>
      </c>
      <c r="Q1172" s="10" t="str">
        <f>IF('[1]All Data '!BB1177="","",'[1]All Data '!BB1177)</f>
        <v/>
      </c>
      <c r="R1172" s="10" t="str">
        <f>IF('[1]All Data '!BD1177="","",'[1]All Data '!BD1177)</f>
        <v/>
      </c>
      <c r="S1172" s="11" t="str">
        <f>IF(R1172="","",'[1]All Data '!BE1177)</f>
        <v/>
      </c>
      <c r="T1172" s="12" t="str">
        <f>IF(S1172="","",[1]Inputs_Outputs!$B$8*(1-'LOCH Calc COE Calc'!S1172))</f>
        <v/>
      </c>
      <c r="U1172" s="13" t="str">
        <f t="shared" si="91"/>
        <v/>
      </c>
      <c r="V1172" s="13" t="str">
        <f t="shared" si="92"/>
        <v/>
      </c>
      <c r="W1172" s="4" t="str">
        <f t="shared" si="93"/>
        <v/>
      </c>
      <c r="X1172" t="str">
        <f>IF(W1172="","",LOOKUP(_xlfn.CONCAT(P1172,", ",Q1172),'[1]T+S Costs'!$F$2:$F$3138,'[1]T+S Costs'!$N$2:$N$3138))</f>
        <v/>
      </c>
      <c r="Y1172" s="14" t="str">
        <f t="shared" si="94"/>
        <v/>
      </c>
      <c r="Z1172" s="4" t="str">
        <f t="shared" si="95"/>
        <v/>
      </c>
    </row>
    <row r="1173" spans="16:26" x14ac:dyDescent="0.25">
      <c r="P1173" s="10" t="str">
        <f>IF('[1]All Data '!AZ1178="","",'[1]All Data '!AZ1178)</f>
        <v/>
      </c>
      <c r="Q1173" s="10" t="str">
        <f>IF('[1]All Data '!BB1178="","",'[1]All Data '!BB1178)</f>
        <v/>
      </c>
      <c r="R1173" s="10" t="str">
        <f>IF('[1]All Data '!BD1178="","",'[1]All Data '!BD1178)</f>
        <v/>
      </c>
      <c r="S1173" s="11" t="str">
        <f>IF(R1173="","",'[1]All Data '!BE1178)</f>
        <v/>
      </c>
      <c r="T1173" s="12" t="str">
        <f>IF(S1173="","",[1]Inputs_Outputs!$B$8*(1-'LOCH Calc COE Calc'!S1173))</f>
        <v/>
      </c>
      <c r="U1173" s="13" t="str">
        <f t="shared" si="91"/>
        <v/>
      </c>
      <c r="V1173" s="13" t="str">
        <f t="shared" si="92"/>
        <v/>
      </c>
      <c r="W1173" s="4" t="str">
        <f t="shared" si="93"/>
        <v/>
      </c>
      <c r="X1173" t="str">
        <f>IF(W1173="","",LOOKUP(_xlfn.CONCAT(P1173,", ",Q1173),'[1]T+S Costs'!$F$2:$F$3138,'[1]T+S Costs'!$N$2:$N$3138))</f>
        <v/>
      </c>
      <c r="Y1173" s="14" t="str">
        <f t="shared" si="94"/>
        <v/>
      </c>
      <c r="Z1173" s="4" t="str">
        <f t="shared" si="95"/>
        <v/>
      </c>
    </row>
    <row r="1174" spans="16:26" x14ac:dyDescent="0.25">
      <c r="P1174" s="10" t="str">
        <f>IF('[1]All Data '!AZ1179="","",'[1]All Data '!AZ1179)</f>
        <v/>
      </c>
      <c r="Q1174" s="10" t="str">
        <f>IF('[1]All Data '!BB1179="","",'[1]All Data '!BB1179)</f>
        <v/>
      </c>
      <c r="R1174" s="10" t="str">
        <f>IF('[1]All Data '!BD1179="","",'[1]All Data '!BD1179)</f>
        <v/>
      </c>
      <c r="S1174" s="11" t="str">
        <f>IF(R1174="","",'[1]All Data '!BE1179)</f>
        <v/>
      </c>
      <c r="T1174" s="12" t="str">
        <f>IF(S1174="","",[1]Inputs_Outputs!$B$8*(1-'LOCH Calc COE Calc'!S1174))</f>
        <v/>
      </c>
      <c r="U1174" s="13" t="str">
        <f t="shared" si="91"/>
        <v/>
      </c>
      <c r="V1174" s="13" t="str">
        <f t="shared" si="92"/>
        <v/>
      </c>
      <c r="W1174" s="4" t="str">
        <f t="shared" si="93"/>
        <v/>
      </c>
      <c r="X1174" t="str">
        <f>IF(W1174="","",LOOKUP(_xlfn.CONCAT(P1174,", ",Q1174),'[1]T+S Costs'!$F$2:$F$3138,'[1]T+S Costs'!$N$2:$N$3138))</f>
        <v/>
      </c>
      <c r="Y1174" s="14" t="str">
        <f t="shared" si="94"/>
        <v/>
      </c>
      <c r="Z1174" s="4" t="str">
        <f t="shared" si="95"/>
        <v/>
      </c>
    </row>
    <row r="1175" spans="16:26" x14ac:dyDescent="0.25">
      <c r="P1175" s="10" t="str">
        <f>IF('[1]All Data '!AZ1180="","",'[1]All Data '!AZ1180)</f>
        <v/>
      </c>
      <c r="Q1175" s="10" t="str">
        <f>IF('[1]All Data '!BB1180="","",'[1]All Data '!BB1180)</f>
        <v/>
      </c>
      <c r="R1175" s="10" t="str">
        <f>IF('[1]All Data '!BD1180="","",'[1]All Data '!BD1180)</f>
        <v/>
      </c>
      <c r="S1175" s="11" t="str">
        <f>IF(R1175="","",'[1]All Data '!BE1180)</f>
        <v/>
      </c>
      <c r="T1175" s="12" t="str">
        <f>IF(S1175="","",[1]Inputs_Outputs!$B$8*(1-'LOCH Calc COE Calc'!S1175))</f>
        <v/>
      </c>
      <c r="U1175" s="13" t="str">
        <f t="shared" si="91"/>
        <v/>
      </c>
      <c r="V1175" s="13" t="str">
        <f t="shared" si="92"/>
        <v/>
      </c>
      <c r="W1175" s="4" t="str">
        <f t="shared" si="93"/>
        <v/>
      </c>
      <c r="X1175" t="str">
        <f>IF(W1175="","",LOOKUP(_xlfn.CONCAT(P1175,", ",Q1175),'[1]T+S Costs'!$F$2:$F$3138,'[1]T+S Costs'!$N$2:$N$3138))</f>
        <v/>
      </c>
      <c r="Y1175" s="14" t="str">
        <f t="shared" si="94"/>
        <v/>
      </c>
      <c r="Z1175" s="4" t="str">
        <f t="shared" si="95"/>
        <v/>
      </c>
    </row>
    <row r="1176" spans="16:26" x14ac:dyDescent="0.25">
      <c r="P1176" s="10" t="str">
        <f>IF('[1]All Data '!AZ1181="","",'[1]All Data '!AZ1181)</f>
        <v/>
      </c>
      <c r="Q1176" s="10" t="str">
        <f>IF('[1]All Data '!BB1181="","",'[1]All Data '!BB1181)</f>
        <v/>
      </c>
      <c r="R1176" s="10" t="str">
        <f>IF('[1]All Data '!BD1181="","",'[1]All Data '!BD1181)</f>
        <v/>
      </c>
      <c r="S1176" s="11" t="str">
        <f>IF(R1176="","",'[1]All Data '!BE1181)</f>
        <v/>
      </c>
      <c r="T1176" s="12" t="str">
        <f>IF(S1176="","",[1]Inputs_Outputs!$B$8*(1-'LOCH Calc COE Calc'!S1176))</f>
        <v/>
      </c>
      <c r="U1176" s="13" t="str">
        <f t="shared" si="91"/>
        <v/>
      </c>
      <c r="V1176" s="13" t="str">
        <f t="shared" si="92"/>
        <v/>
      </c>
      <c r="W1176" s="4" t="str">
        <f t="shared" si="93"/>
        <v/>
      </c>
      <c r="X1176" t="str">
        <f>IF(W1176="","",LOOKUP(_xlfn.CONCAT(P1176,", ",Q1176),'[1]T+S Costs'!$F$2:$F$3138,'[1]T+S Costs'!$N$2:$N$3138))</f>
        <v/>
      </c>
      <c r="Y1176" s="14" t="str">
        <f t="shared" si="94"/>
        <v/>
      </c>
      <c r="Z1176" s="4" t="str">
        <f t="shared" si="95"/>
        <v/>
      </c>
    </row>
    <row r="1177" spans="16:26" x14ac:dyDescent="0.25">
      <c r="P1177" s="10" t="str">
        <f>IF('[1]All Data '!AZ1182="","",'[1]All Data '!AZ1182)</f>
        <v/>
      </c>
      <c r="Q1177" s="10" t="str">
        <f>IF('[1]All Data '!BB1182="","",'[1]All Data '!BB1182)</f>
        <v/>
      </c>
      <c r="R1177" s="10" t="str">
        <f>IF('[1]All Data '!BD1182="","",'[1]All Data '!BD1182)</f>
        <v/>
      </c>
      <c r="S1177" s="11" t="str">
        <f>IF(R1177="","",'[1]All Data '!BE1182)</f>
        <v/>
      </c>
      <c r="T1177" s="12" t="str">
        <f>IF(S1177="","",[1]Inputs_Outputs!$B$8*(1-'LOCH Calc COE Calc'!S1177))</f>
        <v/>
      </c>
      <c r="U1177" s="13" t="str">
        <f t="shared" si="91"/>
        <v/>
      </c>
      <c r="V1177" s="13" t="str">
        <f t="shared" si="92"/>
        <v/>
      </c>
      <c r="W1177" s="4" t="str">
        <f t="shared" si="93"/>
        <v/>
      </c>
      <c r="X1177" t="str">
        <f>IF(W1177="","",LOOKUP(_xlfn.CONCAT(P1177,", ",Q1177),'[1]T+S Costs'!$F$2:$F$3138,'[1]T+S Costs'!$N$2:$N$3138))</f>
        <v/>
      </c>
      <c r="Y1177" s="14" t="str">
        <f t="shared" si="94"/>
        <v/>
      </c>
      <c r="Z1177" s="4" t="str">
        <f t="shared" si="95"/>
        <v/>
      </c>
    </row>
    <row r="1178" spans="16:26" x14ac:dyDescent="0.25">
      <c r="P1178" s="10" t="str">
        <f>IF('[1]All Data '!AZ1183="","",'[1]All Data '!AZ1183)</f>
        <v/>
      </c>
      <c r="Q1178" s="10" t="str">
        <f>IF('[1]All Data '!BB1183="","",'[1]All Data '!BB1183)</f>
        <v/>
      </c>
      <c r="R1178" s="10" t="str">
        <f>IF('[1]All Data '!BD1183="","",'[1]All Data '!BD1183)</f>
        <v/>
      </c>
      <c r="S1178" s="11" t="str">
        <f>IF(R1178="","",'[1]All Data '!BE1183)</f>
        <v/>
      </c>
      <c r="T1178" s="12" t="str">
        <f>IF(S1178="","",[1]Inputs_Outputs!$B$8*(1-'LOCH Calc COE Calc'!S1178))</f>
        <v/>
      </c>
      <c r="U1178" s="13" t="str">
        <f t="shared" si="91"/>
        <v/>
      </c>
      <c r="V1178" s="13" t="str">
        <f t="shared" si="92"/>
        <v/>
      </c>
      <c r="W1178" s="4" t="str">
        <f t="shared" si="93"/>
        <v/>
      </c>
      <c r="X1178" t="str">
        <f>IF(W1178="","",LOOKUP(_xlfn.CONCAT(P1178,", ",Q1178),'[1]T+S Costs'!$F$2:$F$3138,'[1]T+S Costs'!$N$2:$N$3138))</f>
        <v/>
      </c>
      <c r="Y1178" s="14" t="str">
        <f t="shared" si="94"/>
        <v/>
      </c>
      <c r="Z1178" s="4" t="str">
        <f t="shared" si="95"/>
        <v/>
      </c>
    </row>
    <row r="1179" spans="16:26" x14ac:dyDescent="0.25">
      <c r="P1179" s="10" t="str">
        <f>IF('[1]All Data '!AZ1184="","",'[1]All Data '!AZ1184)</f>
        <v/>
      </c>
      <c r="Q1179" s="10" t="str">
        <f>IF('[1]All Data '!BB1184="","",'[1]All Data '!BB1184)</f>
        <v/>
      </c>
      <c r="R1179" s="10" t="str">
        <f>IF('[1]All Data '!BD1184="","",'[1]All Data '!BD1184)</f>
        <v/>
      </c>
      <c r="S1179" s="11" t="str">
        <f>IF(R1179="","",'[1]All Data '!BE1184)</f>
        <v/>
      </c>
      <c r="T1179" s="12" t="str">
        <f>IF(S1179="","",[1]Inputs_Outputs!$B$8*(1-'LOCH Calc COE Calc'!S1179))</f>
        <v/>
      </c>
      <c r="U1179" s="13" t="str">
        <f t="shared" si="91"/>
        <v/>
      </c>
      <c r="V1179" s="13" t="str">
        <f t="shared" si="92"/>
        <v/>
      </c>
      <c r="W1179" s="4" t="str">
        <f t="shared" si="93"/>
        <v/>
      </c>
      <c r="X1179" t="str">
        <f>IF(W1179="","",LOOKUP(_xlfn.CONCAT(P1179,", ",Q1179),'[1]T+S Costs'!$F$2:$F$3138,'[1]T+S Costs'!$N$2:$N$3138))</f>
        <v/>
      </c>
      <c r="Y1179" s="14" t="str">
        <f t="shared" si="94"/>
        <v/>
      </c>
      <c r="Z1179" s="4" t="str">
        <f t="shared" si="95"/>
        <v/>
      </c>
    </row>
    <row r="1180" spans="16:26" x14ac:dyDescent="0.25">
      <c r="P1180" s="10" t="str">
        <f>IF('[1]All Data '!AZ1185="","",'[1]All Data '!AZ1185)</f>
        <v/>
      </c>
      <c r="Q1180" s="10" t="str">
        <f>IF('[1]All Data '!BB1185="","",'[1]All Data '!BB1185)</f>
        <v/>
      </c>
      <c r="R1180" s="10" t="str">
        <f>IF('[1]All Data '!BD1185="","",'[1]All Data '!BD1185)</f>
        <v/>
      </c>
      <c r="S1180" s="11" t="str">
        <f>IF(R1180="","",'[1]All Data '!BE1185)</f>
        <v/>
      </c>
      <c r="T1180" s="12" t="str">
        <f>IF(S1180="","",[1]Inputs_Outputs!$B$8*(1-'LOCH Calc COE Calc'!S1180))</f>
        <v/>
      </c>
      <c r="U1180" s="13" t="str">
        <f t="shared" si="91"/>
        <v/>
      </c>
      <c r="V1180" s="13" t="str">
        <f t="shared" si="92"/>
        <v/>
      </c>
      <c r="W1180" s="4" t="str">
        <f t="shared" si="93"/>
        <v/>
      </c>
      <c r="X1180" t="str">
        <f>IF(W1180="","",LOOKUP(_xlfn.CONCAT(P1180,", ",Q1180),'[1]T+S Costs'!$F$2:$F$3138,'[1]T+S Costs'!$N$2:$N$3138))</f>
        <v/>
      </c>
      <c r="Y1180" s="14" t="str">
        <f t="shared" si="94"/>
        <v/>
      </c>
      <c r="Z1180" s="4" t="str">
        <f t="shared" si="95"/>
        <v/>
      </c>
    </row>
    <row r="1181" spans="16:26" x14ac:dyDescent="0.25">
      <c r="P1181" s="10" t="str">
        <f>IF('[1]All Data '!AZ1186="","",'[1]All Data '!AZ1186)</f>
        <v/>
      </c>
      <c r="Q1181" s="10" t="str">
        <f>IF('[1]All Data '!BB1186="","",'[1]All Data '!BB1186)</f>
        <v/>
      </c>
      <c r="R1181" s="10" t="str">
        <f>IF('[1]All Data '!BD1186="","",'[1]All Data '!BD1186)</f>
        <v/>
      </c>
      <c r="S1181" s="11" t="str">
        <f>IF(R1181="","",'[1]All Data '!BE1186)</f>
        <v/>
      </c>
      <c r="T1181" s="12" t="str">
        <f>IF(S1181="","",[1]Inputs_Outputs!$B$8*(1-'LOCH Calc COE Calc'!S1181))</f>
        <v/>
      </c>
      <c r="U1181" s="13" t="str">
        <f t="shared" si="91"/>
        <v/>
      </c>
      <c r="V1181" s="13" t="str">
        <f t="shared" si="92"/>
        <v/>
      </c>
      <c r="W1181" s="4" t="str">
        <f t="shared" si="93"/>
        <v/>
      </c>
      <c r="X1181" t="str">
        <f>IF(W1181="","",LOOKUP(_xlfn.CONCAT(P1181,", ",Q1181),'[1]T+S Costs'!$F$2:$F$3138,'[1]T+S Costs'!$N$2:$N$3138))</f>
        <v/>
      </c>
      <c r="Y1181" s="14" t="str">
        <f t="shared" si="94"/>
        <v/>
      </c>
      <c r="Z1181" s="4" t="str">
        <f t="shared" si="95"/>
        <v/>
      </c>
    </row>
    <row r="1182" spans="16:26" x14ac:dyDescent="0.25">
      <c r="P1182" s="10" t="str">
        <f>IF('[1]All Data '!AZ1187="","",'[1]All Data '!AZ1187)</f>
        <v/>
      </c>
      <c r="Q1182" s="10" t="str">
        <f>IF('[1]All Data '!BB1187="","",'[1]All Data '!BB1187)</f>
        <v/>
      </c>
      <c r="R1182" s="10" t="str">
        <f>IF('[1]All Data '!BD1187="","",'[1]All Data '!BD1187)</f>
        <v/>
      </c>
      <c r="S1182" s="11" t="str">
        <f>IF(R1182="","",'[1]All Data '!BE1187)</f>
        <v/>
      </c>
      <c r="T1182" s="12" t="str">
        <f>IF(S1182="","",[1]Inputs_Outputs!$B$8*(1-'LOCH Calc COE Calc'!S1182))</f>
        <v/>
      </c>
      <c r="U1182" s="13" t="str">
        <f t="shared" si="91"/>
        <v/>
      </c>
      <c r="V1182" s="13" t="str">
        <f t="shared" si="92"/>
        <v/>
      </c>
      <c r="W1182" s="4" t="str">
        <f t="shared" si="93"/>
        <v/>
      </c>
      <c r="X1182" t="str">
        <f>IF(W1182="","",LOOKUP(_xlfn.CONCAT(P1182,", ",Q1182),'[1]T+S Costs'!$F$2:$F$3138,'[1]T+S Costs'!$N$2:$N$3138))</f>
        <v/>
      </c>
      <c r="Y1182" s="14" t="str">
        <f t="shared" si="94"/>
        <v/>
      </c>
      <c r="Z1182" s="4" t="str">
        <f t="shared" si="95"/>
        <v/>
      </c>
    </row>
    <row r="1183" spans="16:26" x14ac:dyDescent="0.25">
      <c r="P1183" s="10" t="str">
        <f>IF('[1]All Data '!AZ1188="","",'[1]All Data '!AZ1188)</f>
        <v/>
      </c>
      <c r="Q1183" s="10" t="str">
        <f>IF('[1]All Data '!BB1188="","",'[1]All Data '!BB1188)</f>
        <v/>
      </c>
      <c r="R1183" s="10" t="str">
        <f>IF('[1]All Data '!BD1188="","",'[1]All Data '!BD1188)</f>
        <v/>
      </c>
      <c r="S1183" s="11" t="str">
        <f>IF(R1183="","",'[1]All Data '!BE1188)</f>
        <v/>
      </c>
      <c r="T1183" s="12" t="str">
        <f>IF(S1183="","",[1]Inputs_Outputs!$B$8*(1-'LOCH Calc COE Calc'!S1183))</f>
        <v/>
      </c>
      <c r="U1183" s="13" t="str">
        <f t="shared" si="91"/>
        <v/>
      </c>
      <c r="V1183" s="13" t="str">
        <f t="shared" si="92"/>
        <v/>
      </c>
      <c r="W1183" s="4" t="str">
        <f t="shared" si="93"/>
        <v/>
      </c>
      <c r="X1183" t="str">
        <f>IF(W1183="","",LOOKUP(_xlfn.CONCAT(P1183,", ",Q1183),'[1]T+S Costs'!$F$2:$F$3138,'[1]T+S Costs'!$N$2:$N$3138))</f>
        <v/>
      </c>
      <c r="Y1183" s="14" t="str">
        <f t="shared" si="94"/>
        <v/>
      </c>
      <c r="Z1183" s="4" t="str">
        <f t="shared" si="95"/>
        <v/>
      </c>
    </row>
    <row r="1184" spans="16:26" x14ac:dyDescent="0.25">
      <c r="P1184" s="10" t="str">
        <f>IF('[1]All Data '!AZ1189="","",'[1]All Data '!AZ1189)</f>
        <v/>
      </c>
      <c r="Q1184" s="10" t="str">
        <f>IF('[1]All Data '!BB1189="","",'[1]All Data '!BB1189)</f>
        <v/>
      </c>
      <c r="R1184" s="10" t="str">
        <f>IF('[1]All Data '!BD1189="","",'[1]All Data '!BD1189)</f>
        <v/>
      </c>
      <c r="S1184" s="11" t="str">
        <f>IF(R1184="","",'[1]All Data '!BE1189)</f>
        <v/>
      </c>
      <c r="T1184" s="12" t="str">
        <f>IF(S1184="","",[1]Inputs_Outputs!$B$8*(1-'LOCH Calc COE Calc'!S1184))</f>
        <v/>
      </c>
      <c r="U1184" s="13" t="str">
        <f t="shared" si="91"/>
        <v/>
      </c>
      <c r="V1184" s="13" t="str">
        <f t="shared" si="92"/>
        <v/>
      </c>
      <c r="W1184" s="4" t="str">
        <f t="shared" si="93"/>
        <v/>
      </c>
      <c r="X1184" t="str">
        <f>IF(W1184="","",LOOKUP(_xlfn.CONCAT(P1184,", ",Q1184),'[1]T+S Costs'!$F$2:$F$3138,'[1]T+S Costs'!$N$2:$N$3138))</f>
        <v/>
      </c>
      <c r="Y1184" s="14" t="str">
        <f t="shared" si="94"/>
        <v/>
      </c>
      <c r="Z1184" s="4" t="str">
        <f t="shared" si="95"/>
        <v/>
      </c>
    </row>
    <row r="1185" spans="16:26" x14ac:dyDescent="0.25">
      <c r="P1185" s="10" t="str">
        <f>IF('[1]All Data '!AZ1190="","",'[1]All Data '!AZ1190)</f>
        <v/>
      </c>
      <c r="Q1185" s="10" t="str">
        <f>IF('[1]All Data '!BB1190="","",'[1]All Data '!BB1190)</f>
        <v/>
      </c>
      <c r="R1185" s="10" t="str">
        <f>IF('[1]All Data '!BD1190="","",'[1]All Data '!BD1190)</f>
        <v/>
      </c>
      <c r="S1185" s="11" t="str">
        <f>IF(R1185="","",'[1]All Data '!BE1190)</f>
        <v/>
      </c>
      <c r="T1185" s="12" t="str">
        <f>IF(S1185="","",[1]Inputs_Outputs!$B$8*(1-'LOCH Calc COE Calc'!S1185))</f>
        <v/>
      </c>
      <c r="U1185" s="13" t="str">
        <f t="shared" si="91"/>
        <v/>
      </c>
      <c r="V1185" s="13" t="str">
        <f t="shared" si="92"/>
        <v/>
      </c>
      <c r="W1185" s="4" t="str">
        <f t="shared" si="93"/>
        <v/>
      </c>
      <c r="X1185" t="str">
        <f>IF(W1185="","",LOOKUP(_xlfn.CONCAT(P1185,", ",Q1185),'[1]T+S Costs'!$F$2:$F$3138,'[1]T+S Costs'!$N$2:$N$3138))</f>
        <v/>
      </c>
      <c r="Y1185" s="14" t="str">
        <f t="shared" si="94"/>
        <v/>
      </c>
      <c r="Z1185" s="4" t="str">
        <f t="shared" si="95"/>
        <v/>
      </c>
    </row>
    <row r="1186" spans="16:26" x14ac:dyDescent="0.25">
      <c r="P1186" s="10" t="str">
        <f>IF('[1]All Data '!AZ1191="","",'[1]All Data '!AZ1191)</f>
        <v/>
      </c>
      <c r="Q1186" s="10" t="str">
        <f>IF('[1]All Data '!BB1191="","",'[1]All Data '!BB1191)</f>
        <v/>
      </c>
      <c r="R1186" s="10" t="str">
        <f>IF('[1]All Data '!BD1191="","",'[1]All Data '!BD1191)</f>
        <v/>
      </c>
      <c r="S1186" s="11" t="str">
        <f>IF(R1186="","",'[1]All Data '!BE1191)</f>
        <v/>
      </c>
      <c r="T1186" s="12" t="str">
        <f>IF(S1186="","",[1]Inputs_Outputs!$B$8*(1-'LOCH Calc COE Calc'!S1186))</f>
        <v/>
      </c>
      <c r="U1186" s="13" t="str">
        <f t="shared" si="91"/>
        <v/>
      </c>
      <c r="V1186" s="13" t="str">
        <f t="shared" si="92"/>
        <v/>
      </c>
      <c r="W1186" s="4" t="str">
        <f t="shared" si="93"/>
        <v/>
      </c>
      <c r="X1186" t="str">
        <f>IF(W1186="","",LOOKUP(_xlfn.CONCAT(P1186,", ",Q1186),'[1]T+S Costs'!$F$2:$F$3138,'[1]T+S Costs'!$N$2:$N$3138))</f>
        <v/>
      </c>
      <c r="Y1186" s="14" t="str">
        <f t="shared" si="94"/>
        <v/>
      </c>
      <c r="Z1186" s="4" t="str">
        <f t="shared" si="95"/>
        <v/>
      </c>
    </row>
    <row r="1187" spans="16:26" x14ac:dyDescent="0.25">
      <c r="P1187" s="10" t="str">
        <f>IF('[1]All Data '!AZ1192="","",'[1]All Data '!AZ1192)</f>
        <v/>
      </c>
      <c r="Q1187" s="10" t="str">
        <f>IF('[1]All Data '!BB1192="","",'[1]All Data '!BB1192)</f>
        <v/>
      </c>
      <c r="R1187" s="10" t="str">
        <f>IF('[1]All Data '!BD1192="","",'[1]All Data '!BD1192)</f>
        <v/>
      </c>
      <c r="S1187" s="11" t="str">
        <f>IF(R1187="","",'[1]All Data '!BE1192)</f>
        <v/>
      </c>
      <c r="T1187" s="12" t="str">
        <f>IF(S1187="","",[1]Inputs_Outputs!$B$8*(1-'LOCH Calc COE Calc'!S1187))</f>
        <v/>
      </c>
      <c r="U1187" s="13" t="str">
        <f t="shared" si="91"/>
        <v/>
      </c>
      <c r="V1187" s="13" t="str">
        <f t="shared" si="92"/>
        <v/>
      </c>
      <c r="W1187" s="4" t="str">
        <f t="shared" si="93"/>
        <v/>
      </c>
      <c r="X1187" t="str">
        <f>IF(W1187="","",LOOKUP(_xlfn.CONCAT(P1187,", ",Q1187),'[1]T+S Costs'!$F$2:$F$3138,'[1]T+S Costs'!$N$2:$N$3138))</f>
        <v/>
      </c>
      <c r="Y1187" s="14" t="str">
        <f t="shared" si="94"/>
        <v/>
      </c>
      <c r="Z1187" s="4" t="str">
        <f t="shared" si="95"/>
        <v/>
      </c>
    </row>
    <row r="1188" spans="16:26" x14ac:dyDescent="0.25">
      <c r="P1188" s="10" t="str">
        <f>IF('[1]All Data '!AZ1193="","",'[1]All Data '!AZ1193)</f>
        <v/>
      </c>
      <c r="Q1188" s="10" t="str">
        <f>IF('[1]All Data '!BB1193="","",'[1]All Data '!BB1193)</f>
        <v/>
      </c>
      <c r="R1188" s="10" t="str">
        <f>IF('[1]All Data '!BD1193="","",'[1]All Data '!BD1193)</f>
        <v/>
      </c>
      <c r="S1188" s="11" t="str">
        <f>IF(R1188="","",'[1]All Data '!BE1193)</f>
        <v/>
      </c>
      <c r="T1188" s="12" t="str">
        <f>IF(S1188="","",[1]Inputs_Outputs!$B$8*(1-'LOCH Calc COE Calc'!S1188))</f>
        <v/>
      </c>
      <c r="U1188" s="13" t="str">
        <f t="shared" si="91"/>
        <v/>
      </c>
      <c r="V1188" s="13" t="str">
        <f t="shared" si="92"/>
        <v/>
      </c>
      <c r="W1188" s="4" t="str">
        <f t="shared" si="93"/>
        <v/>
      </c>
      <c r="X1188" t="str">
        <f>IF(W1188="","",LOOKUP(_xlfn.CONCAT(P1188,", ",Q1188),'[1]T+S Costs'!$F$2:$F$3138,'[1]T+S Costs'!$N$2:$N$3138))</f>
        <v/>
      </c>
      <c r="Y1188" s="14" t="str">
        <f t="shared" si="94"/>
        <v/>
      </c>
      <c r="Z1188" s="4" t="str">
        <f t="shared" si="95"/>
        <v/>
      </c>
    </row>
    <row r="1189" spans="16:26" x14ac:dyDescent="0.25">
      <c r="P1189" s="10" t="str">
        <f>IF('[1]All Data '!AZ1194="","",'[1]All Data '!AZ1194)</f>
        <v/>
      </c>
      <c r="Q1189" s="10" t="str">
        <f>IF('[1]All Data '!BB1194="","",'[1]All Data '!BB1194)</f>
        <v/>
      </c>
      <c r="R1189" s="10" t="str">
        <f>IF('[1]All Data '!BD1194="","",'[1]All Data '!BD1194)</f>
        <v/>
      </c>
      <c r="S1189" s="11" t="str">
        <f>IF(R1189="","",'[1]All Data '!BE1194)</f>
        <v/>
      </c>
      <c r="T1189" s="12" t="str">
        <f>IF(S1189="","",[1]Inputs_Outputs!$B$8*(1-'LOCH Calc COE Calc'!S1189))</f>
        <v/>
      </c>
      <c r="U1189" s="13" t="str">
        <f t="shared" si="91"/>
        <v/>
      </c>
      <c r="V1189" s="13" t="str">
        <f t="shared" si="92"/>
        <v/>
      </c>
      <c r="W1189" s="4" t="str">
        <f t="shared" si="93"/>
        <v/>
      </c>
      <c r="X1189" t="str">
        <f>IF(W1189="","",LOOKUP(_xlfn.CONCAT(P1189,", ",Q1189),'[1]T+S Costs'!$F$2:$F$3138,'[1]T+S Costs'!$N$2:$N$3138))</f>
        <v/>
      </c>
      <c r="Y1189" s="14" t="str">
        <f t="shared" si="94"/>
        <v/>
      </c>
      <c r="Z1189" s="4" t="str">
        <f t="shared" si="95"/>
        <v/>
      </c>
    </row>
    <row r="1190" spans="16:26" x14ac:dyDescent="0.25">
      <c r="P1190" s="10" t="str">
        <f>IF('[1]All Data '!AZ1195="","",'[1]All Data '!AZ1195)</f>
        <v/>
      </c>
      <c r="Q1190" s="10" t="str">
        <f>IF('[1]All Data '!BB1195="","",'[1]All Data '!BB1195)</f>
        <v/>
      </c>
      <c r="R1190" s="10" t="str">
        <f>IF('[1]All Data '!BD1195="","",'[1]All Data '!BD1195)</f>
        <v/>
      </c>
      <c r="S1190" s="11" t="str">
        <f>IF(R1190="","",'[1]All Data '!BE1195)</f>
        <v/>
      </c>
      <c r="T1190" s="12" t="str">
        <f>IF(S1190="","",[1]Inputs_Outputs!$B$8*(1-'LOCH Calc COE Calc'!S1190))</f>
        <v/>
      </c>
      <c r="U1190" s="13" t="str">
        <f t="shared" si="91"/>
        <v/>
      </c>
      <c r="V1190" s="13" t="str">
        <f t="shared" si="92"/>
        <v/>
      </c>
      <c r="W1190" s="4" t="str">
        <f t="shared" si="93"/>
        <v/>
      </c>
      <c r="X1190" t="str">
        <f>IF(W1190="","",LOOKUP(_xlfn.CONCAT(P1190,", ",Q1190),'[1]T+S Costs'!$F$2:$F$3138,'[1]T+S Costs'!$N$2:$N$3138))</f>
        <v/>
      </c>
      <c r="Y1190" s="14" t="str">
        <f t="shared" si="94"/>
        <v/>
      </c>
      <c r="Z1190" s="4" t="str">
        <f t="shared" si="95"/>
        <v/>
      </c>
    </row>
    <row r="1191" spans="16:26" x14ac:dyDescent="0.25">
      <c r="P1191" s="10" t="str">
        <f>IF('[1]All Data '!AZ1196="","",'[1]All Data '!AZ1196)</f>
        <v/>
      </c>
      <c r="Q1191" s="10" t="str">
        <f>IF('[1]All Data '!BB1196="","",'[1]All Data '!BB1196)</f>
        <v/>
      </c>
      <c r="R1191" s="10" t="str">
        <f>IF('[1]All Data '!BD1196="","",'[1]All Data '!BD1196)</f>
        <v/>
      </c>
      <c r="S1191" s="11" t="str">
        <f>IF(R1191="","",'[1]All Data '!BE1196)</f>
        <v/>
      </c>
      <c r="T1191" s="12" t="str">
        <f>IF(S1191="","",[1]Inputs_Outputs!$B$8*(1-'LOCH Calc COE Calc'!S1191))</f>
        <v/>
      </c>
      <c r="U1191" s="13" t="str">
        <f t="shared" si="91"/>
        <v/>
      </c>
      <c r="V1191" s="13" t="str">
        <f t="shared" si="92"/>
        <v/>
      </c>
      <c r="W1191" s="4" t="str">
        <f t="shared" si="93"/>
        <v/>
      </c>
      <c r="X1191" t="str">
        <f>IF(W1191="","",LOOKUP(_xlfn.CONCAT(P1191,", ",Q1191),'[1]T+S Costs'!$F$2:$F$3138,'[1]T+S Costs'!$N$2:$N$3138))</f>
        <v/>
      </c>
      <c r="Y1191" s="14" t="str">
        <f t="shared" si="94"/>
        <v/>
      </c>
      <c r="Z1191" s="4" t="str">
        <f t="shared" si="95"/>
        <v/>
      </c>
    </row>
    <row r="1192" spans="16:26" x14ac:dyDescent="0.25">
      <c r="P1192" s="10" t="str">
        <f>IF('[1]All Data '!AZ1197="","",'[1]All Data '!AZ1197)</f>
        <v/>
      </c>
      <c r="Q1192" s="10" t="str">
        <f>IF('[1]All Data '!BB1197="","",'[1]All Data '!BB1197)</f>
        <v/>
      </c>
      <c r="R1192" s="10" t="str">
        <f>IF('[1]All Data '!BD1197="","",'[1]All Data '!BD1197)</f>
        <v/>
      </c>
      <c r="S1192" s="11" t="str">
        <f>IF(R1192="","",'[1]All Data '!BE1197)</f>
        <v/>
      </c>
      <c r="T1192" s="12" t="str">
        <f>IF(S1192="","",[1]Inputs_Outputs!$B$8*(1-'LOCH Calc COE Calc'!S1192))</f>
        <v/>
      </c>
      <c r="U1192" s="13" t="str">
        <f t="shared" si="91"/>
        <v/>
      </c>
      <c r="V1192" s="13" t="str">
        <f t="shared" si="92"/>
        <v/>
      </c>
      <c r="W1192" s="4" t="str">
        <f t="shared" si="93"/>
        <v/>
      </c>
      <c r="X1192" t="str">
        <f>IF(W1192="","",LOOKUP(_xlfn.CONCAT(P1192,", ",Q1192),'[1]T+S Costs'!$F$2:$F$3138,'[1]T+S Costs'!$N$2:$N$3138))</f>
        <v/>
      </c>
      <c r="Y1192" s="14" t="str">
        <f t="shared" si="94"/>
        <v/>
      </c>
      <c r="Z1192" s="4" t="str">
        <f t="shared" si="95"/>
        <v/>
      </c>
    </row>
    <row r="1193" spans="16:26" x14ac:dyDescent="0.25">
      <c r="P1193" s="10" t="str">
        <f>IF('[1]All Data '!AZ1198="","",'[1]All Data '!AZ1198)</f>
        <v/>
      </c>
      <c r="Q1193" s="10" t="str">
        <f>IF('[1]All Data '!BB1198="","",'[1]All Data '!BB1198)</f>
        <v/>
      </c>
      <c r="R1193" s="10" t="str">
        <f>IF('[1]All Data '!BD1198="","",'[1]All Data '!BD1198)</f>
        <v/>
      </c>
      <c r="S1193" s="11" t="str">
        <f>IF(R1193="","",'[1]All Data '!BE1198)</f>
        <v/>
      </c>
      <c r="T1193" s="12" t="str">
        <f>IF(S1193="","",[1]Inputs_Outputs!$B$8*(1-'LOCH Calc COE Calc'!S1193))</f>
        <v/>
      </c>
      <c r="U1193" s="13" t="str">
        <f t="shared" si="91"/>
        <v/>
      </c>
      <c r="V1193" s="13" t="str">
        <f t="shared" si="92"/>
        <v/>
      </c>
      <c r="W1193" s="4" t="str">
        <f t="shared" si="93"/>
        <v/>
      </c>
      <c r="X1193" t="str">
        <f>IF(W1193="","",LOOKUP(_xlfn.CONCAT(P1193,", ",Q1193),'[1]T+S Costs'!$F$2:$F$3138,'[1]T+S Costs'!$N$2:$N$3138))</f>
        <v/>
      </c>
      <c r="Y1193" s="14" t="str">
        <f t="shared" si="94"/>
        <v/>
      </c>
      <c r="Z1193" s="4" t="str">
        <f t="shared" si="95"/>
        <v/>
      </c>
    </row>
    <row r="1194" spans="16:26" x14ac:dyDescent="0.25">
      <c r="P1194" s="10" t="str">
        <f>IF('[1]All Data '!AZ1199="","",'[1]All Data '!AZ1199)</f>
        <v/>
      </c>
      <c r="Q1194" s="10" t="str">
        <f>IF('[1]All Data '!BB1199="","",'[1]All Data '!BB1199)</f>
        <v/>
      </c>
      <c r="R1194" s="10" t="str">
        <f>IF('[1]All Data '!BD1199="","",'[1]All Data '!BD1199)</f>
        <v/>
      </c>
      <c r="S1194" s="11" t="str">
        <f>IF(R1194="","",'[1]All Data '!BE1199)</f>
        <v/>
      </c>
      <c r="T1194" s="12" t="str">
        <f>IF(S1194="","",[1]Inputs_Outputs!$B$8*(1-'LOCH Calc COE Calc'!S1194))</f>
        <v/>
      </c>
      <c r="U1194" s="13" t="str">
        <f t="shared" si="91"/>
        <v/>
      </c>
      <c r="V1194" s="13" t="str">
        <f t="shared" si="92"/>
        <v/>
      </c>
      <c r="W1194" s="4" t="str">
        <f t="shared" si="93"/>
        <v/>
      </c>
      <c r="X1194" t="str">
        <f>IF(W1194="","",LOOKUP(_xlfn.CONCAT(P1194,", ",Q1194),'[1]T+S Costs'!$F$2:$F$3138,'[1]T+S Costs'!$N$2:$N$3138))</f>
        <v/>
      </c>
      <c r="Y1194" s="14" t="str">
        <f t="shared" si="94"/>
        <v/>
      </c>
      <c r="Z1194" s="4" t="str">
        <f t="shared" si="95"/>
        <v/>
      </c>
    </row>
    <row r="1195" spans="16:26" x14ac:dyDescent="0.25">
      <c r="P1195" s="10" t="str">
        <f>IF('[1]All Data '!AZ1200="","",'[1]All Data '!AZ1200)</f>
        <v/>
      </c>
      <c r="Q1195" s="10" t="str">
        <f>IF('[1]All Data '!BB1200="","",'[1]All Data '!BB1200)</f>
        <v/>
      </c>
      <c r="R1195" s="10" t="str">
        <f>IF('[1]All Data '!BD1200="","",'[1]All Data '!BD1200)</f>
        <v/>
      </c>
      <c r="S1195" s="11" t="str">
        <f>IF(R1195="","",'[1]All Data '!BE1200)</f>
        <v/>
      </c>
      <c r="T1195" s="12" t="str">
        <f>IF(S1195="","",[1]Inputs_Outputs!$B$8*(1-'LOCH Calc COE Calc'!S1195))</f>
        <v/>
      </c>
      <c r="U1195" s="13" t="str">
        <f t="shared" si="91"/>
        <v/>
      </c>
      <c r="V1195" s="13" t="str">
        <f t="shared" si="92"/>
        <v/>
      </c>
      <c r="W1195" s="4" t="str">
        <f t="shared" si="93"/>
        <v/>
      </c>
      <c r="X1195" t="str">
        <f>IF(W1195="","",LOOKUP(_xlfn.CONCAT(P1195,", ",Q1195),'[1]T+S Costs'!$F$2:$F$3138,'[1]T+S Costs'!$N$2:$N$3138))</f>
        <v/>
      </c>
      <c r="Y1195" s="14" t="str">
        <f t="shared" si="94"/>
        <v/>
      </c>
      <c r="Z1195" s="4" t="str">
        <f t="shared" si="95"/>
        <v/>
      </c>
    </row>
    <row r="1196" spans="16:26" x14ac:dyDescent="0.25">
      <c r="P1196" s="10" t="str">
        <f>IF('[1]All Data '!AZ1201="","",'[1]All Data '!AZ1201)</f>
        <v/>
      </c>
      <c r="Q1196" s="10" t="str">
        <f>IF('[1]All Data '!BB1201="","",'[1]All Data '!BB1201)</f>
        <v/>
      </c>
      <c r="R1196" s="10" t="str">
        <f>IF('[1]All Data '!BD1201="","",'[1]All Data '!BD1201)</f>
        <v/>
      </c>
      <c r="S1196" s="11" t="str">
        <f>IF(R1196="","",'[1]All Data '!BE1201)</f>
        <v/>
      </c>
      <c r="T1196" s="12" t="str">
        <f>IF(S1196="","",[1]Inputs_Outputs!$B$8*(1-'LOCH Calc COE Calc'!S1196))</f>
        <v/>
      </c>
      <c r="U1196" s="13" t="str">
        <f t="shared" si="91"/>
        <v/>
      </c>
      <c r="V1196" s="13" t="str">
        <f t="shared" si="92"/>
        <v/>
      </c>
      <c r="W1196" s="4" t="str">
        <f t="shared" si="93"/>
        <v/>
      </c>
      <c r="X1196" t="str">
        <f>IF(W1196="","",LOOKUP(_xlfn.CONCAT(P1196,", ",Q1196),'[1]T+S Costs'!$F$2:$F$3138,'[1]T+S Costs'!$N$2:$N$3138))</f>
        <v/>
      </c>
      <c r="Y1196" s="14" t="str">
        <f t="shared" si="94"/>
        <v/>
      </c>
      <c r="Z1196" s="4" t="str">
        <f t="shared" si="95"/>
        <v/>
      </c>
    </row>
    <row r="1197" spans="16:26" x14ac:dyDescent="0.25">
      <c r="P1197" s="10" t="str">
        <f>IF('[1]All Data '!AZ1202="","",'[1]All Data '!AZ1202)</f>
        <v/>
      </c>
      <c r="Q1197" s="10" t="str">
        <f>IF('[1]All Data '!BB1202="","",'[1]All Data '!BB1202)</f>
        <v/>
      </c>
      <c r="R1197" s="10" t="str">
        <f>IF('[1]All Data '!BD1202="","",'[1]All Data '!BD1202)</f>
        <v/>
      </c>
      <c r="S1197" s="11" t="str">
        <f>IF(R1197="","",'[1]All Data '!BE1202)</f>
        <v/>
      </c>
      <c r="T1197" s="12" t="str">
        <f>IF(S1197="","",[1]Inputs_Outputs!$B$8*(1-'LOCH Calc COE Calc'!S1197))</f>
        <v/>
      </c>
      <c r="U1197" s="13" t="str">
        <f t="shared" si="91"/>
        <v/>
      </c>
      <c r="V1197" s="13" t="str">
        <f t="shared" si="92"/>
        <v/>
      </c>
      <c r="W1197" s="4" t="str">
        <f t="shared" si="93"/>
        <v/>
      </c>
      <c r="X1197" t="str">
        <f>IF(W1197="","",LOOKUP(_xlfn.CONCAT(P1197,", ",Q1197),'[1]T+S Costs'!$F$2:$F$3138,'[1]T+S Costs'!$N$2:$N$3138))</f>
        <v/>
      </c>
      <c r="Y1197" s="14" t="str">
        <f t="shared" si="94"/>
        <v/>
      </c>
      <c r="Z1197" s="4" t="str">
        <f t="shared" si="95"/>
        <v/>
      </c>
    </row>
    <row r="1198" spans="16:26" x14ac:dyDescent="0.25">
      <c r="P1198" s="10" t="str">
        <f>IF('[1]All Data '!AZ1203="","",'[1]All Data '!AZ1203)</f>
        <v/>
      </c>
      <c r="Q1198" s="10" t="str">
        <f>IF('[1]All Data '!BB1203="","",'[1]All Data '!BB1203)</f>
        <v/>
      </c>
      <c r="R1198" s="10" t="str">
        <f>IF('[1]All Data '!BD1203="","",'[1]All Data '!BD1203)</f>
        <v/>
      </c>
      <c r="S1198" s="11" t="str">
        <f>IF(R1198="","",'[1]All Data '!BE1203)</f>
        <v/>
      </c>
      <c r="T1198" s="12" t="str">
        <f>IF(S1198="","",[1]Inputs_Outputs!$B$8*(1-'LOCH Calc COE Calc'!S1198))</f>
        <v/>
      </c>
      <c r="U1198" s="13" t="str">
        <f t="shared" si="91"/>
        <v/>
      </c>
      <c r="V1198" s="13" t="str">
        <f t="shared" si="92"/>
        <v/>
      </c>
      <c r="W1198" s="4" t="str">
        <f t="shared" si="93"/>
        <v/>
      </c>
      <c r="X1198" t="str">
        <f>IF(W1198="","",LOOKUP(_xlfn.CONCAT(P1198,", ",Q1198),'[1]T+S Costs'!$F$2:$F$3138,'[1]T+S Costs'!$N$2:$N$3138))</f>
        <v/>
      </c>
      <c r="Y1198" s="14" t="str">
        <f t="shared" si="94"/>
        <v/>
      </c>
      <c r="Z1198" s="4" t="str">
        <f t="shared" si="95"/>
        <v/>
      </c>
    </row>
    <row r="1199" spans="16:26" x14ac:dyDescent="0.25">
      <c r="P1199" s="10" t="str">
        <f>IF('[1]All Data '!AZ1204="","",'[1]All Data '!AZ1204)</f>
        <v/>
      </c>
      <c r="Q1199" s="10" t="str">
        <f>IF('[1]All Data '!BB1204="","",'[1]All Data '!BB1204)</f>
        <v/>
      </c>
      <c r="R1199" s="10" t="str">
        <f>IF('[1]All Data '!BD1204="","",'[1]All Data '!BD1204)</f>
        <v/>
      </c>
      <c r="S1199" s="11" t="str">
        <f>IF(R1199="","",'[1]All Data '!BE1204)</f>
        <v/>
      </c>
      <c r="T1199" s="12" t="str">
        <f>IF(S1199="","",[1]Inputs_Outputs!$B$8*(1-'LOCH Calc COE Calc'!S1199))</f>
        <v/>
      </c>
      <c r="U1199" s="13" t="str">
        <f t="shared" si="91"/>
        <v/>
      </c>
      <c r="V1199" s="13" t="str">
        <f t="shared" si="92"/>
        <v/>
      </c>
      <c r="W1199" s="4" t="str">
        <f t="shared" si="93"/>
        <v/>
      </c>
      <c r="X1199" t="str">
        <f>IF(W1199="","",LOOKUP(_xlfn.CONCAT(P1199,", ",Q1199),'[1]T+S Costs'!$F$2:$F$3138,'[1]T+S Costs'!$N$2:$N$3138))</f>
        <v/>
      </c>
      <c r="Y1199" s="14" t="str">
        <f t="shared" si="94"/>
        <v/>
      </c>
      <c r="Z1199" s="4" t="str">
        <f t="shared" si="95"/>
        <v/>
      </c>
    </row>
    <row r="1200" spans="16:26" x14ac:dyDescent="0.25">
      <c r="P1200" s="10" t="str">
        <f>IF('[1]All Data '!AZ1205="","",'[1]All Data '!AZ1205)</f>
        <v/>
      </c>
      <c r="Q1200" s="10" t="str">
        <f>IF('[1]All Data '!BB1205="","",'[1]All Data '!BB1205)</f>
        <v/>
      </c>
      <c r="R1200" s="10" t="str">
        <f>IF('[1]All Data '!BD1205="","",'[1]All Data '!BD1205)</f>
        <v/>
      </c>
      <c r="S1200" s="11" t="str">
        <f>IF(R1200="","",'[1]All Data '!BE1205)</f>
        <v/>
      </c>
      <c r="T1200" s="12" t="str">
        <f>IF(S1200="","",[1]Inputs_Outputs!$B$8*(1-'LOCH Calc COE Calc'!S1200))</f>
        <v/>
      </c>
      <c r="U1200" s="13" t="str">
        <f t="shared" si="91"/>
        <v/>
      </c>
      <c r="V1200" s="13" t="str">
        <f t="shared" si="92"/>
        <v/>
      </c>
      <c r="W1200" s="4" t="str">
        <f t="shared" si="93"/>
        <v/>
      </c>
      <c r="X1200" t="str">
        <f>IF(W1200="","",LOOKUP(_xlfn.CONCAT(P1200,", ",Q1200),'[1]T+S Costs'!$F$2:$F$3138,'[1]T+S Costs'!$N$2:$N$3138))</f>
        <v/>
      </c>
      <c r="Y1200" s="14" t="str">
        <f t="shared" si="94"/>
        <v/>
      </c>
      <c r="Z1200" s="4" t="str">
        <f t="shared" si="95"/>
        <v/>
      </c>
    </row>
    <row r="1201" spans="16:26" x14ac:dyDescent="0.25">
      <c r="P1201" s="10" t="str">
        <f>IF('[1]All Data '!AZ1206="","",'[1]All Data '!AZ1206)</f>
        <v/>
      </c>
      <c r="Q1201" s="10" t="str">
        <f>IF('[1]All Data '!BB1206="","",'[1]All Data '!BB1206)</f>
        <v/>
      </c>
      <c r="R1201" s="10" t="str">
        <f>IF('[1]All Data '!BD1206="","",'[1]All Data '!BD1206)</f>
        <v/>
      </c>
      <c r="S1201" s="11" t="str">
        <f>IF(R1201="","",'[1]All Data '!BE1206)</f>
        <v/>
      </c>
      <c r="T1201" s="12" t="str">
        <f>IF(S1201="","",[1]Inputs_Outputs!$B$8*(1-'LOCH Calc COE Calc'!S1201))</f>
        <v/>
      </c>
      <c r="U1201" s="13" t="str">
        <f t="shared" si="91"/>
        <v/>
      </c>
      <c r="V1201" s="13" t="str">
        <f t="shared" si="92"/>
        <v/>
      </c>
      <c r="W1201" s="4" t="str">
        <f t="shared" si="93"/>
        <v/>
      </c>
      <c r="X1201" t="str">
        <f>IF(W1201="","",LOOKUP(_xlfn.CONCAT(P1201,", ",Q1201),'[1]T+S Costs'!$F$2:$F$3138,'[1]T+S Costs'!$N$2:$N$3138))</f>
        <v/>
      </c>
      <c r="Y1201" s="14" t="str">
        <f t="shared" si="94"/>
        <v/>
      </c>
      <c r="Z1201" s="4" t="str">
        <f t="shared" si="95"/>
        <v/>
      </c>
    </row>
    <row r="1202" spans="16:26" x14ac:dyDescent="0.25">
      <c r="P1202" s="10" t="str">
        <f>IF('[1]All Data '!AZ1207="","",'[1]All Data '!AZ1207)</f>
        <v/>
      </c>
      <c r="Q1202" s="10" t="str">
        <f>IF('[1]All Data '!BB1207="","",'[1]All Data '!BB1207)</f>
        <v/>
      </c>
      <c r="R1202" s="10" t="str">
        <f>IF('[1]All Data '!BD1207="","",'[1]All Data '!BD1207)</f>
        <v/>
      </c>
      <c r="S1202" s="11" t="str">
        <f>IF(R1202="","",'[1]All Data '!BE1207)</f>
        <v/>
      </c>
      <c r="T1202" s="12" t="str">
        <f>IF(S1202="","",[1]Inputs_Outputs!$B$8*(1-'LOCH Calc COE Calc'!S1202))</f>
        <v/>
      </c>
      <c r="U1202" s="13" t="str">
        <f t="shared" si="91"/>
        <v/>
      </c>
      <c r="V1202" s="13" t="str">
        <f t="shared" si="92"/>
        <v/>
      </c>
      <c r="W1202" s="4" t="str">
        <f t="shared" si="93"/>
        <v/>
      </c>
      <c r="X1202" t="str">
        <f>IF(W1202="","",LOOKUP(_xlfn.CONCAT(P1202,", ",Q1202),'[1]T+S Costs'!$F$2:$F$3138,'[1]T+S Costs'!$N$2:$N$3138))</f>
        <v/>
      </c>
      <c r="Y1202" s="14" t="str">
        <f t="shared" si="94"/>
        <v/>
      </c>
      <c r="Z1202" s="4" t="str">
        <f t="shared" si="95"/>
        <v/>
      </c>
    </row>
    <row r="1203" spans="16:26" x14ac:dyDescent="0.25">
      <c r="P1203" s="10" t="str">
        <f>IF('[1]All Data '!AZ1208="","",'[1]All Data '!AZ1208)</f>
        <v/>
      </c>
      <c r="Q1203" s="10" t="str">
        <f>IF('[1]All Data '!BB1208="","",'[1]All Data '!BB1208)</f>
        <v/>
      </c>
      <c r="R1203" s="10" t="str">
        <f>IF('[1]All Data '!BD1208="","",'[1]All Data '!BD1208)</f>
        <v/>
      </c>
      <c r="S1203" s="11" t="str">
        <f>IF(R1203="","",'[1]All Data '!BE1208)</f>
        <v/>
      </c>
      <c r="T1203" s="12" t="str">
        <f>IF(S1203="","",[1]Inputs_Outputs!$B$8*(1-'LOCH Calc COE Calc'!S1203))</f>
        <v/>
      </c>
      <c r="U1203" s="13" t="str">
        <f t="shared" si="91"/>
        <v/>
      </c>
      <c r="V1203" s="13" t="str">
        <f t="shared" si="92"/>
        <v/>
      </c>
      <c r="W1203" s="4" t="str">
        <f t="shared" si="93"/>
        <v/>
      </c>
      <c r="X1203" t="str">
        <f>IF(W1203="","",LOOKUP(_xlfn.CONCAT(P1203,", ",Q1203),'[1]T+S Costs'!$F$2:$F$3138,'[1]T+S Costs'!$N$2:$N$3138))</f>
        <v/>
      </c>
      <c r="Y1203" s="14" t="str">
        <f t="shared" si="94"/>
        <v/>
      </c>
      <c r="Z1203" s="4" t="str">
        <f t="shared" si="95"/>
        <v/>
      </c>
    </row>
    <row r="1204" spans="16:26" x14ac:dyDescent="0.25">
      <c r="P1204" s="10" t="str">
        <f>IF('[1]All Data '!AZ1209="","",'[1]All Data '!AZ1209)</f>
        <v/>
      </c>
      <c r="Q1204" s="10" t="str">
        <f>IF('[1]All Data '!BB1209="","",'[1]All Data '!BB1209)</f>
        <v/>
      </c>
      <c r="R1204" s="10" t="str">
        <f>IF('[1]All Data '!BD1209="","",'[1]All Data '!BD1209)</f>
        <v/>
      </c>
      <c r="S1204" s="11" t="str">
        <f>IF(R1204="","",'[1]All Data '!BE1209)</f>
        <v/>
      </c>
      <c r="T1204" s="12" t="str">
        <f>IF(S1204="","",[1]Inputs_Outputs!$B$8*(1-'LOCH Calc COE Calc'!S1204))</f>
        <v/>
      </c>
      <c r="U1204" s="13" t="str">
        <f t="shared" si="91"/>
        <v/>
      </c>
      <c r="V1204" s="13" t="str">
        <f t="shared" si="92"/>
        <v/>
      </c>
      <c r="W1204" s="4" t="str">
        <f t="shared" si="93"/>
        <v/>
      </c>
      <c r="X1204" t="str">
        <f>IF(W1204="","",LOOKUP(_xlfn.CONCAT(P1204,", ",Q1204),'[1]T+S Costs'!$F$2:$F$3138,'[1]T+S Costs'!$N$2:$N$3138))</f>
        <v/>
      </c>
      <c r="Y1204" s="14" t="str">
        <f t="shared" si="94"/>
        <v/>
      </c>
      <c r="Z1204" s="4" t="str">
        <f t="shared" si="95"/>
        <v/>
      </c>
    </row>
    <row r="1205" spans="16:26" x14ac:dyDescent="0.25">
      <c r="P1205" s="10" t="str">
        <f>IF('[1]All Data '!AZ1210="","",'[1]All Data '!AZ1210)</f>
        <v/>
      </c>
      <c r="Q1205" s="10" t="str">
        <f>IF('[1]All Data '!BB1210="","",'[1]All Data '!BB1210)</f>
        <v/>
      </c>
      <c r="R1205" s="10" t="str">
        <f>IF('[1]All Data '!BD1210="","",'[1]All Data '!BD1210)</f>
        <v/>
      </c>
      <c r="S1205" s="11" t="str">
        <f>IF(R1205="","",'[1]All Data '!BE1210)</f>
        <v/>
      </c>
      <c r="T1205" s="12" t="str">
        <f>IF(S1205="","",[1]Inputs_Outputs!$B$8*(1-'LOCH Calc COE Calc'!S1205))</f>
        <v/>
      </c>
      <c r="U1205" s="13" t="str">
        <f t="shared" si="91"/>
        <v/>
      </c>
      <c r="V1205" s="13" t="str">
        <f t="shared" si="92"/>
        <v/>
      </c>
      <c r="W1205" s="4" t="str">
        <f t="shared" si="93"/>
        <v/>
      </c>
      <c r="X1205" t="str">
        <f>IF(W1205="","",LOOKUP(_xlfn.CONCAT(P1205,", ",Q1205),'[1]T+S Costs'!$F$2:$F$3138,'[1]T+S Costs'!$N$2:$N$3138))</f>
        <v/>
      </c>
      <c r="Y1205" s="14" t="str">
        <f t="shared" si="94"/>
        <v/>
      </c>
      <c r="Z1205" s="4" t="str">
        <f t="shared" si="95"/>
        <v/>
      </c>
    </row>
    <row r="1206" spans="16:26" x14ac:dyDescent="0.25">
      <c r="P1206" s="10" t="str">
        <f>IF('[1]All Data '!AZ1211="","",'[1]All Data '!AZ1211)</f>
        <v/>
      </c>
      <c r="Q1206" s="10" t="str">
        <f>IF('[1]All Data '!BB1211="","",'[1]All Data '!BB1211)</f>
        <v/>
      </c>
      <c r="R1206" s="10" t="str">
        <f>IF('[1]All Data '!BD1211="","",'[1]All Data '!BD1211)</f>
        <v/>
      </c>
      <c r="S1206" s="11" t="str">
        <f>IF(R1206="","",'[1]All Data '!BE1211)</f>
        <v/>
      </c>
      <c r="T1206" s="12" t="str">
        <f>IF(S1206="","",[1]Inputs_Outputs!$B$8*(1-'LOCH Calc COE Calc'!S1206))</f>
        <v/>
      </c>
      <c r="U1206" s="13" t="str">
        <f t="shared" si="91"/>
        <v/>
      </c>
      <c r="V1206" s="13" t="str">
        <f t="shared" si="92"/>
        <v/>
      </c>
      <c r="W1206" s="4" t="str">
        <f t="shared" si="93"/>
        <v/>
      </c>
      <c r="X1206" t="str">
        <f>IF(W1206="","",LOOKUP(_xlfn.CONCAT(P1206,", ",Q1206),'[1]T+S Costs'!$F$2:$F$3138,'[1]T+S Costs'!$N$2:$N$3138))</f>
        <v/>
      </c>
      <c r="Y1206" s="14" t="str">
        <f t="shared" si="94"/>
        <v/>
      </c>
      <c r="Z1206" s="4" t="str">
        <f t="shared" si="95"/>
        <v/>
      </c>
    </row>
    <row r="1207" spans="16:26" x14ac:dyDescent="0.25">
      <c r="P1207" s="10" t="str">
        <f>IF('[1]All Data '!AZ1212="","",'[1]All Data '!AZ1212)</f>
        <v/>
      </c>
      <c r="Q1207" s="10" t="str">
        <f>IF('[1]All Data '!BB1212="","",'[1]All Data '!BB1212)</f>
        <v/>
      </c>
      <c r="R1207" s="10" t="str">
        <f>IF('[1]All Data '!BD1212="","",'[1]All Data '!BD1212)</f>
        <v/>
      </c>
      <c r="S1207" s="11" t="str">
        <f>IF(R1207="","",'[1]All Data '!BE1212)</f>
        <v/>
      </c>
      <c r="T1207" s="12" t="str">
        <f>IF(S1207="","",[1]Inputs_Outputs!$B$8*(1-'LOCH Calc COE Calc'!S1207))</f>
        <v/>
      </c>
      <c r="U1207" s="13" t="str">
        <f t="shared" si="91"/>
        <v/>
      </c>
      <c r="V1207" s="13" t="str">
        <f t="shared" si="92"/>
        <v/>
      </c>
      <c r="W1207" s="4" t="str">
        <f t="shared" si="93"/>
        <v/>
      </c>
      <c r="X1207" t="str">
        <f>IF(W1207="","",LOOKUP(_xlfn.CONCAT(P1207,", ",Q1207),'[1]T+S Costs'!$F$2:$F$3138,'[1]T+S Costs'!$N$2:$N$3138))</f>
        <v/>
      </c>
      <c r="Y1207" s="14" t="str">
        <f t="shared" si="94"/>
        <v/>
      </c>
      <c r="Z1207" s="4" t="str">
        <f t="shared" si="95"/>
        <v/>
      </c>
    </row>
    <row r="1208" spans="16:26" x14ac:dyDescent="0.25">
      <c r="P1208" s="10" t="str">
        <f>IF('[1]All Data '!AZ1213="","",'[1]All Data '!AZ1213)</f>
        <v/>
      </c>
      <c r="Q1208" s="10" t="str">
        <f>IF('[1]All Data '!BB1213="","",'[1]All Data '!BB1213)</f>
        <v/>
      </c>
      <c r="R1208" s="10" t="str">
        <f>IF('[1]All Data '!BD1213="","",'[1]All Data '!BD1213)</f>
        <v/>
      </c>
      <c r="S1208" s="11" t="str">
        <f>IF(R1208="","",'[1]All Data '!BE1213)</f>
        <v/>
      </c>
      <c r="T1208" s="12" t="str">
        <f>IF(S1208="","",[1]Inputs_Outputs!$B$8*(1-'LOCH Calc COE Calc'!S1208))</f>
        <v/>
      </c>
      <c r="U1208" s="13" t="str">
        <f t="shared" si="91"/>
        <v/>
      </c>
      <c r="V1208" s="13" t="str">
        <f t="shared" si="92"/>
        <v/>
      </c>
      <c r="W1208" s="4" t="str">
        <f t="shared" si="93"/>
        <v/>
      </c>
      <c r="X1208" t="str">
        <f>IF(W1208="","",LOOKUP(_xlfn.CONCAT(P1208,", ",Q1208),'[1]T+S Costs'!$F$2:$F$3138,'[1]T+S Costs'!$N$2:$N$3138))</f>
        <v/>
      </c>
      <c r="Y1208" s="14" t="str">
        <f t="shared" si="94"/>
        <v/>
      </c>
      <c r="Z1208" s="4" t="str">
        <f t="shared" si="95"/>
        <v/>
      </c>
    </row>
    <row r="1209" spans="16:26" x14ac:dyDescent="0.25">
      <c r="P1209" s="10" t="str">
        <f>IF('[1]All Data '!AZ1214="","",'[1]All Data '!AZ1214)</f>
        <v/>
      </c>
      <c r="Q1209" s="10" t="str">
        <f>IF('[1]All Data '!BB1214="","",'[1]All Data '!BB1214)</f>
        <v/>
      </c>
      <c r="R1209" s="10" t="str">
        <f>IF('[1]All Data '!BD1214="","",'[1]All Data '!BD1214)</f>
        <v/>
      </c>
      <c r="S1209" s="11" t="str">
        <f>IF(R1209="","",'[1]All Data '!BE1214)</f>
        <v/>
      </c>
      <c r="T1209" s="12" t="str">
        <f>IF(S1209="","",[1]Inputs_Outputs!$B$8*(1-'LOCH Calc COE Calc'!S1209))</f>
        <v/>
      </c>
      <c r="U1209" s="13" t="str">
        <f t="shared" si="91"/>
        <v/>
      </c>
      <c r="V1209" s="13" t="str">
        <f t="shared" si="92"/>
        <v/>
      </c>
      <c r="W1209" s="4" t="str">
        <f t="shared" si="93"/>
        <v/>
      </c>
      <c r="X1209" t="str">
        <f>IF(W1209="","",LOOKUP(_xlfn.CONCAT(P1209,", ",Q1209),'[1]T+S Costs'!$F$2:$F$3138,'[1]T+S Costs'!$N$2:$N$3138))</f>
        <v/>
      </c>
      <c r="Y1209" s="14" t="str">
        <f t="shared" si="94"/>
        <v/>
      </c>
      <c r="Z1209" s="4" t="str">
        <f t="shared" si="95"/>
        <v/>
      </c>
    </row>
    <row r="1210" spans="16:26" x14ac:dyDescent="0.25">
      <c r="P1210" s="10" t="str">
        <f>IF('[1]All Data '!AZ1215="","",'[1]All Data '!AZ1215)</f>
        <v/>
      </c>
      <c r="Q1210" s="10" t="str">
        <f>IF('[1]All Data '!BB1215="","",'[1]All Data '!BB1215)</f>
        <v/>
      </c>
      <c r="R1210" s="10" t="str">
        <f>IF('[1]All Data '!BD1215="","",'[1]All Data '!BD1215)</f>
        <v/>
      </c>
      <c r="S1210" s="11" t="str">
        <f>IF(R1210="","",'[1]All Data '!BE1215)</f>
        <v/>
      </c>
      <c r="T1210" s="12" t="str">
        <f>IF(S1210="","",[1]Inputs_Outputs!$B$8*(1-'LOCH Calc COE Calc'!S1210))</f>
        <v/>
      </c>
      <c r="U1210" s="13" t="str">
        <f t="shared" si="91"/>
        <v/>
      </c>
      <c r="V1210" s="13" t="str">
        <f t="shared" si="92"/>
        <v/>
      </c>
      <c r="W1210" s="4" t="str">
        <f t="shared" si="93"/>
        <v/>
      </c>
      <c r="X1210" t="str">
        <f>IF(W1210="","",LOOKUP(_xlfn.CONCAT(P1210,", ",Q1210),'[1]T+S Costs'!$F$2:$F$3138,'[1]T+S Costs'!$N$2:$N$3138))</f>
        <v/>
      </c>
      <c r="Y1210" s="14" t="str">
        <f t="shared" si="94"/>
        <v/>
      </c>
      <c r="Z1210" s="4" t="str">
        <f t="shared" si="95"/>
        <v/>
      </c>
    </row>
    <row r="1211" spans="16:26" x14ac:dyDescent="0.25">
      <c r="P1211" s="10" t="str">
        <f>IF('[1]All Data '!AZ1216="","",'[1]All Data '!AZ1216)</f>
        <v/>
      </c>
      <c r="Q1211" s="10" t="str">
        <f>IF('[1]All Data '!BB1216="","",'[1]All Data '!BB1216)</f>
        <v/>
      </c>
      <c r="R1211" s="10" t="str">
        <f>IF('[1]All Data '!BD1216="","",'[1]All Data '!BD1216)</f>
        <v/>
      </c>
      <c r="S1211" s="11" t="str">
        <f>IF(R1211="","",'[1]All Data '!BE1216)</f>
        <v/>
      </c>
      <c r="T1211" s="12" t="str">
        <f>IF(S1211="","",[1]Inputs_Outputs!$B$8*(1-'LOCH Calc COE Calc'!S1211))</f>
        <v/>
      </c>
      <c r="U1211" s="13" t="str">
        <f t="shared" si="91"/>
        <v/>
      </c>
      <c r="V1211" s="13" t="str">
        <f t="shared" si="92"/>
        <v/>
      </c>
      <c r="W1211" s="4" t="str">
        <f t="shared" si="93"/>
        <v/>
      </c>
      <c r="X1211" t="str">
        <f>IF(W1211="","",LOOKUP(_xlfn.CONCAT(P1211,", ",Q1211),'[1]T+S Costs'!$F$2:$F$3138,'[1]T+S Costs'!$N$2:$N$3138))</f>
        <v/>
      </c>
      <c r="Y1211" s="14" t="str">
        <f t="shared" si="94"/>
        <v/>
      </c>
      <c r="Z1211" s="4" t="str">
        <f t="shared" si="95"/>
        <v/>
      </c>
    </row>
    <row r="1212" spans="16:26" x14ac:dyDescent="0.25">
      <c r="P1212" s="10" t="str">
        <f>IF('[1]All Data '!AZ1217="","",'[1]All Data '!AZ1217)</f>
        <v/>
      </c>
      <c r="Q1212" s="10" t="str">
        <f>IF('[1]All Data '!BB1217="","",'[1]All Data '!BB1217)</f>
        <v/>
      </c>
      <c r="R1212" s="10" t="str">
        <f>IF('[1]All Data '!BD1217="","",'[1]All Data '!BD1217)</f>
        <v/>
      </c>
      <c r="S1212" s="11" t="str">
        <f>IF(R1212="","",'[1]All Data '!BE1217)</f>
        <v/>
      </c>
      <c r="T1212" s="12" t="str">
        <f>IF(S1212="","",[1]Inputs_Outputs!$B$8*(1-'LOCH Calc COE Calc'!S1212))</f>
        <v/>
      </c>
      <c r="U1212" s="13" t="str">
        <f t="shared" si="91"/>
        <v/>
      </c>
      <c r="V1212" s="13" t="str">
        <f t="shared" si="92"/>
        <v/>
      </c>
      <c r="W1212" s="4" t="str">
        <f t="shared" si="93"/>
        <v/>
      </c>
      <c r="X1212" t="str">
        <f>IF(W1212="","",LOOKUP(_xlfn.CONCAT(P1212,", ",Q1212),'[1]T+S Costs'!$F$2:$F$3138,'[1]T+S Costs'!$N$2:$N$3138))</f>
        <v/>
      </c>
      <c r="Y1212" s="14" t="str">
        <f t="shared" si="94"/>
        <v/>
      </c>
      <c r="Z1212" s="4" t="str">
        <f t="shared" si="95"/>
        <v/>
      </c>
    </row>
    <row r="1213" spans="16:26" x14ac:dyDescent="0.25">
      <c r="P1213" s="10" t="str">
        <f>IF('[1]All Data '!AZ1218="","",'[1]All Data '!AZ1218)</f>
        <v/>
      </c>
      <c r="Q1213" s="10" t="str">
        <f>IF('[1]All Data '!BB1218="","",'[1]All Data '!BB1218)</f>
        <v/>
      </c>
      <c r="R1213" s="10" t="str">
        <f>IF('[1]All Data '!BD1218="","",'[1]All Data '!BD1218)</f>
        <v/>
      </c>
      <c r="S1213" s="11" t="str">
        <f>IF(R1213="","",'[1]All Data '!BE1218)</f>
        <v/>
      </c>
      <c r="T1213" s="12" t="str">
        <f>IF(S1213="","",[1]Inputs_Outputs!$B$8*(1-'LOCH Calc COE Calc'!S1213))</f>
        <v/>
      </c>
      <c r="U1213" s="13" t="str">
        <f t="shared" si="91"/>
        <v/>
      </c>
      <c r="V1213" s="13" t="str">
        <f t="shared" si="92"/>
        <v/>
      </c>
      <c r="W1213" s="4" t="str">
        <f t="shared" si="93"/>
        <v/>
      </c>
      <c r="X1213" t="str">
        <f>IF(W1213="","",LOOKUP(_xlfn.CONCAT(P1213,", ",Q1213),'[1]T+S Costs'!$F$2:$F$3138,'[1]T+S Costs'!$N$2:$N$3138))</f>
        <v/>
      </c>
      <c r="Y1213" s="14" t="str">
        <f t="shared" si="94"/>
        <v/>
      </c>
      <c r="Z1213" s="4" t="str">
        <f t="shared" si="95"/>
        <v/>
      </c>
    </row>
    <row r="1214" spans="16:26" x14ac:dyDescent="0.25">
      <c r="P1214" s="10" t="str">
        <f>IF('[1]All Data '!AZ1219="","",'[1]All Data '!AZ1219)</f>
        <v/>
      </c>
      <c r="Q1214" s="10" t="str">
        <f>IF('[1]All Data '!BB1219="","",'[1]All Data '!BB1219)</f>
        <v/>
      </c>
      <c r="R1214" s="10" t="str">
        <f>IF('[1]All Data '!BD1219="","",'[1]All Data '!BD1219)</f>
        <v/>
      </c>
      <c r="S1214" s="11" t="str">
        <f>IF(R1214="","",'[1]All Data '!BE1219)</f>
        <v/>
      </c>
      <c r="T1214" s="12" t="str">
        <f>IF(S1214="","",[1]Inputs_Outputs!$B$8*(1-'LOCH Calc COE Calc'!S1214))</f>
        <v/>
      </c>
      <c r="U1214" s="13" t="str">
        <f t="shared" si="91"/>
        <v/>
      </c>
      <c r="V1214" s="13" t="str">
        <f t="shared" si="92"/>
        <v/>
      </c>
      <c r="W1214" s="4" t="str">
        <f t="shared" si="93"/>
        <v/>
      </c>
      <c r="X1214" t="str">
        <f>IF(W1214="","",LOOKUP(_xlfn.CONCAT(P1214,", ",Q1214),'[1]T+S Costs'!$F$2:$F$3138,'[1]T+S Costs'!$N$2:$N$3138))</f>
        <v/>
      </c>
      <c r="Y1214" s="14" t="str">
        <f t="shared" si="94"/>
        <v/>
      </c>
      <c r="Z1214" s="4" t="str">
        <f t="shared" si="95"/>
        <v/>
      </c>
    </row>
    <row r="1215" spans="16:26" x14ac:dyDescent="0.25">
      <c r="P1215" s="10" t="str">
        <f>IF('[1]All Data '!AZ1220="","",'[1]All Data '!AZ1220)</f>
        <v/>
      </c>
      <c r="Q1215" s="10" t="str">
        <f>IF('[1]All Data '!BB1220="","",'[1]All Data '!BB1220)</f>
        <v/>
      </c>
      <c r="R1215" s="10" t="str">
        <f>IF('[1]All Data '!BD1220="","",'[1]All Data '!BD1220)</f>
        <v/>
      </c>
      <c r="S1215" s="11" t="str">
        <f>IF(R1215="","",'[1]All Data '!BE1220)</f>
        <v/>
      </c>
      <c r="T1215" s="12" t="str">
        <f>IF(S1215="","",[1]Inputs_Outputs!$B$8*(1-'LOCH Calc COE Calc'!S1215))</f>
        <v/>
      </c>
      <c r="U1215" s="13" t="str">
        <f t="shared" si="91"/>
        <v/>
      </c>
      <c r="V1215" s="13" t="str">
        <f t="shared" si="92"/>
        <v/>
      </c>
      <c r="W1215" s="4" t="str">
        <f t="shared" si="93"/>
        <v/>
      </c>
      <c r="X1215" t="str">
        <f>IF(W1215="","",LOOKUP(_xlfn.CONCAT(P1215,", ",Q1215),'[1]T+S Costs'!$F$2:$F$3138,'[1]T+S Costs'!$N$2:$N$3138))</f>
        <v/>
      </c>
      <c r="Y1215" s="14" t="str">
        <f t="shared" si="94"/>
        <v/>
      </c>
      <c r="Z1215" s="4" t="str">
        <f t="shared" si="95"/>
        <v/>
      </c>
    </row>
    <row r="1216" spans="16:26" x14ac:dyDescent="0.25">
      <c r="P1216" s="10" t="str">
        <f>IF('[1]All Data '!AZ1221="","",'[1]All Data '!AZ1221)</f>
        <v/>
      </c>
      <c r="Q1216" s="10" t="str">
        <f>IF('[1]All Data '!BB1221="","",'[1]All Data '!BB1221)</f>
        <v/>
      </c>
      <c r="R1216" s="10" t="str">
        <f>IF('[1]All Data '!BD1221="","",'[1]All Data '!BD1221)</f>
        <v/>
      </c>
      <c r="S1216" s="11" t="str">
        <f>IF(R1216="","",'[1]All Data '!BE1221)</f>
        <v/>
      </c>
      <c r="T1216" s="12" t="str">
        <f>IF(S1216="","",[1]Inputs_Outputs!$B$8*(1-'LOCH Calc COE Calc'!S1216))</f>
        <v/>
      </c>
      <c r="U1216" s="13" t="str">
        <f t="shared" si="91"/>
        <v/>
      </c>
      <c r="V1216" s="13" t="str">
        <f t="shared" si="92"/>
        <v/>
      </c>
      <c r="W1216" s="4" t="str">
        <f t="shared" si="93"/>
        <v/>
      </c>
      <c r="X1216" t="str">
        <f>IF(W1216="","",LOOKUP(_xlfn.CONCAT(P1216,", ",Q1216),'[1]T+S Costs'!$F$2:$F$3138,'[1]T+S Costs'!$N$2:$N$3138))</f>
        <v/>
      </c>
      <c r="Y1216" s="14" t="str">
        <f t="shared" si="94"/>
        <v/>
      </c>
      <c r="Z1216" s="4" t="str">
        <f t="shared" si="95"/>
        <v/>
      </c>
    </row>
    <row r="1217" spans="16:26" x14ac:dyDescent="0.25">
      <c r="P1217" s="10" t="str">
        <f>IF('[1]All Data '!AZ1222="","",'[1]All Data '!AZ1222)</f>
        <v/>
      </c>
      <c r="Q1217" s="10" t="str">
        <f>IF('[1]All Data '!BB1222="","",'[1]All Data '!BB1222)</f>
        <v/>
      </c>
      <c r="R1217" s="10" t="str">
        <f>IF('[1]All Data '!BD1222="","",'[1]All Data '!BD1222)</f>
        <v/>
      </c>
      <c r="S1217" s="11" t="str">
        <f>IF(R1217="","",'[1]All Data '!BE1222)</f>
        <v/>
      </c>
      <c r="T1217" s="12" t="str">
        <f>IF(S1217="","",[1]Inputs_Outputs!$B$8*(1-'LOCH Calc COE Calc'!S1217))</f>
        <v/>
      </c>
      <c r="U1217" s="13" t="str">
        <f t="shared" si="91"/>
        <v/>
      </c>
      <c r="V1217" s="13" t="str">
        <f t="shared" si="92"/>
        <v/>
      </c>
      <c r="W1217" s="4" t="str">
        <f t="shared" si="93"/>
        <v/>
      </c>
      <c r="X1217" t="str">
        <f>IF(W1217="","",LOOKUP(_xlfn.CONCAT(P1217,", ",Q1217),'[1]T+S Costs'!$F$2:$F$3138,'[1]T+S Costs'!$N$2:$N$3138))</f>
        <v/>
      </c>
      <c r="Y1217" s="14" t="str">
        <f t="shared" si="94"/>
        <v/>
      </c>
      <c r="Z1217" s="4" t="str">
        <f t="shared" si="95"/>
        <v/>
      </c>
    </row>
    <row r="1218" spans="16:26" x14ac:dyDescent="0.25">
      <c r="P1218" s="10" t="str">
        <f>IF('[1]All Data '!AZ1223="","",'[1]All Data '!AZ1223)</f>
        <v/>
      </c>
      <c r="Q1218" s="10" t="str">
        <f>IF('[1]All Data '!BB1223="","",'[1]All Data '!BB1223)</f>
        <v/>
      </c>
      <c r="R1218" s="10" t="str">
        <f>IF('[1]All Data '!BD1223="","",'[1]All Data '!BD1223)</f>
        <v/>
      </c>
      <c r="S1218" s="11" t="str">
        <f>IF(R1218="","",'[1]All Data '!BE1223)</f>
        <v/>
      </c>
      <c r="T1218" s="12" t="str">
        <f>IF(S1218="","",[1]Inputs_Outputs!$B$8*(1-'LOCH Calc COE Calc'!S1218))</f>
        <v/>
      </c>
      <c r="U1218" s="13" t="str">
        <f t="shared" si="91"/>
        <v/>
      </c>
      <c r="V1218" s="13" t="str">
        <f t="shared" si="92"/>
        <v/>
      </c>
      <c r="W1218" s="4" t="str">
        <f t="shared" si="93"/>
        <v/>
      </c>
      <c r="X1218" t="str">
        <f>IF(W1218="","",LOOKUP(_xlfn.CONCAT(P1218,", ",Q1218),'[1]T+S Costs'!$F$2:$F$3138,'[1]T+S Costs'!$N$2:$N$3138))</f>
        <v/>
      </c>
      <c r="Y1218" s="14" t="str">
        <f t="shared" si="94"/>
        <v/>
      </c>
      <c r="Z1218" s="4" t="str">
        <f t="shared" si="95"/>
        <v/>
      </c>
    </row>
    <row r="1219" spans="16:26" x14ac:dyDescent="0.25">
      <c r="P1219" s="10" t="str">
        <f>IF('[1]All Data '!AZ1224="","",'[1]All Data '!AZ1224)</f>
        <v/>
      </c>
      <c r="Q1219" s="10" t="str">
        <f>IF('[1]All Data '!BB1224="","",'[1]All Data '!BB1224)</f>
        <v/>
      </c>
      <c r="R1219" s="10" t="str">
        <f>IF('[1]All Data '!BD1224="","",'[1]All Data '!BD1224)</f>
        <v/>
      </c>
      <c r="S1219" s="11" t="str">
        <f>IF(R1219="","",'[1]All Data '!BE1224)</f>
        <v/>
      </c>
      <c r="T1219" s="12" t="str">
        <f>IF(S1219="","",[1]Inputs_Outputs!$B$8*(1-'LOCH Calc COE Calc'!S1219))</f>
        <v/>
      </c>
      <c r="U1219" s="13" t="str">
        <f t="shared" ref="U1219:U1282" si="96">IF(S1219="","",R1219*T1219*365*$B$19/100)</f>
        <v/>
      </c>
      <c r="V1219" s="13" t="str">
        <f t="shared" ref="V1219:V1282" si="97">IF(S1219="","",(U1219*$B$19)/(($B$28)*$B$19))</f>
        <v/>
      </c>
      <c r="W1219" s="4" t="str">
        <f t="shared" ref="W1219:W1282" si="98">IF(S1219="","",V1219+$C$49+$C$50+$C$51)</f>
        <v/>
      </c>
      <c r="X1219" t="str">
        <f>IF(W1219="","",LOOKUP(_xlfn.CONCAT(P1219,", ",Q1219),'[1]T+S Costs'!$F$2:$F$3138,'[1]T+S Costs'!$N$2:$N$3138))</f>
        <v/>
      </c>
      <c r="Y1219" s="14" t="str">
        <f t="shared" ref="Y1219:Y1282" si="99">IF(X1219="","",((X1219*$B$60/$B$59)*$C$44)/$C$28)</f>
        <v/>
      </c>
      <c r="Z1219" s="4" t="str">
        <f t="shared" ref="Z1219:Z1282" si="100">IF(Y1219="","",W1219+Y1219)</f>
        <v/>
      </c>
    </row>
    <row r="1220" spans="16:26" x14ac:dyDescent="0.25">
      <c r="P1220" s="10" t="str">
        <f>IF('[1]All Data '!AZ1225="","",'[1]All Data '!AZ1225)</f>
        <v/>
      </c>
      <c r="Q1220" s="10" t="str">
        <f>IF('[1]All Data '!BB1225="","",'[1]All Data '!BB1225)</f>
        <v/>
      </c>
      <c r="R1220" s="10" t="str">
        <f>IF('[1]All Data '!BD1225="","",'[1]All Data '!BD1225)</f>
        <v/>
      </c>
      <c r="S1220" s="11" t="str">
        <f>IF(R1220="","",'[1]All Data '!BE1225)</f>
        <v/>
      </c>
      <c r="T1220" s="12" t="str">
        <f>IF(S1220="","",[1]Inputs_Outputs!$B$8*(1-'LOCH Calc COE Calc'!S1220))</f>
        <v/>
      </c>
      <c r="U1220" s="13" t="str">
        <f t="shared" si="96"/>
        <v/>
      </c>
      <c r="V1220" s="13" t="str">
        <f t="shared" si="97"/>
        <v/>
      </c>
      <c r="W1220" s="4" t="str">
        <f t="shared" si="98"/>
        <v/>
      </c>
      <c r="X1220" t="str">
        <f>IF(W1220="","",LOOKUP(_xlfn.CONCAT(P1220,", ",Q1220),'[1]T+S Costs'!$F$2:$F$3138,'[1]T+S Costs'!$N$2:$N$3138))</f>
        <v/>
      </c>
      <c r="Y1220" s="14" t="str">
        <f t="shared" si="99"/>
        <v/>
      </c>
      <c r="Z1220" s="4" t="str">
        <f t="shared" si="100"/>
        <v/>
      </c>
    </row>
    <row r="1221" spans="16:26" x14ac:dyDescent="0.25">
      <c r="P1221" s="10" t="str">
        <f>IF('[1]All Data '!AZ1226="","",'[1]All Data '!AZ1226)</f>
        <v/>
      </c>
      <c r="Q1221" s="10" t="str">
        <f>IF('[1]All Data '!BB1226="","",'[1]All Data '!BB1226)</f>
        <v/>
      </c>
      <c r="R1221" s="10" t="str">
        <f>IF('[1]All Data '!BD1226="","",'[1]All Data '!BD1226)</f>
        <v/>
      </c>
      <c r="S1221" s="11" t="str">
        <f>IF(R1221="","",'[1]All Data '!BE1226)</f>
        <v/>
      </c>
      <c r="T1221" s="12" t="str">
        <f>IF(S1221="","",[1]Inputs_Outputs!$B$8*(1-'LOCH Calc COE Calc'!S1221))</f>
        <v/>
      </c>
      <c r="U1221" s="13" t="str">
        <f t="shared" si="96"/>
        <v/>
      </c>
      <c r="V1221" s="13" t="str">
        <f t="shared" si="97"/>
        <v/>
      </c>
      <c r="W1221" s="4" t="str">
        <f t="shared" si="98"/>
        <v/>
      </c>
      <c r="X1221" t="str">
        <f>IF(W1221="","",LOOKUP(_xlfn.CONCAT(P1221,", ",Q1221),'[1]T+S Costs'!$F$2:$F$3138,'[1]T+S Costs'!$N$2:$N$3138))</f>
        <v/>
      </c>
      <c r="Y1221" s="14" t="str">
        <f t="shared" si="99"/>
        <v/>
      </c>
      <c r="Z1221" s="4" t="str">
        <f t="shared" si="100"/>
        <v/>
      </c>
    </row>
    <row r="1222" spans="16:26" x14ac:dyDescent="0.25">
      <c r="P1222" s="10" t="str">
        <f>IF('[1]All Data '!AZ1227="","",'[1]All Data '!AZ1227)</f>
        <v/>
      </c>
      <c r="Q1222" s="10" t="str">
        <f>IF('[1]All Data '!BB1227="","",'[1]All Data '!BB1227)</f>
        <v/>
      </c>
      <c r="R1222" s="10" t="str">
        <f>IF('[1]All Data '!BD1227="","",'[1]All Data '!BD1227)</f>
        <v/>
      </c>
      <c r="S1222" s="11" t="str">
        <f>IF(R1222="","",'[1]All Data '!BE1227)</f>
        <v/>
      </c>
      <c r="T1222" s="12" t="str">
        <f>IF(S1222="","",[1]Inputs_Outputs!$B$8*(1-'LOCH Calc COE Calc'!S1222))</f>
        <v/>
      </c>
      <c r="U1222" s="13" t="str">
        <f t="shared" si="96"/>
        <v/>
      </c>
      <c r="V1222" s="13" t="str">
        <f t="shared" si="97"/>
        <v/>
      </c>
      <c r="W1222" s="4" t="str">
        <f t="shared" si="98"/>
        <v/>
      </c>
      <c r="X1222" t="str">
        <f>IF(W1222="","",LOOKUP(_xlfn.CONCAT(P1222,", ",Q1222),'[1]T+S Costs'!$F$2:$F$3138,'[1]T+S Costs'!$N$2:$N$3138))</f>
        <v/>
      </c>
      <c r="Y1222" s="14" t="str">
        <f t="shared" si="99"/>
        <v/>
      </c>
      <c r="Z1222" s="4" t="str">
        <f t="shared" si="100"/>
        <v/>
      </c>
    </row>
    <row r="1223" spans="16:26" x14ac:dyDescent="0.25">
      <c r="P1223" s="10" t="str">
        <f>IF('[1]All Data '!AZ1228="","",'[1]All Data '!AZ1228)</f>
        <v/>
      </c>
      <c r="Q1223" s="10" t="str">
        <f>IF('[1]All Data '!BB1228="","",'[1]All Data '!BB1228)</f>
        <v/>
      </c>
      <c r="R1223" s="10" t="str">
        <f>IF('[1]All Data '!BD1228="","",'[1]All Data '!BD1228)</f>
        <v/>
      </c>
      <c r="S1223" s="11" t="str">
        <f>IF(R1223="","",'[1]All Data '!BE1228)</f>
        <v/>
      </c>
      <c r="T1223" s="12" t="str">
        <f>IF(S1223="","",[1]Inputs_Outputs!$B$8*(1-'LOCH Calc COE Calc'!S1223))</f>
        <v/>
      </c>
      <c r="U1223" s="13" t="str">
        <f t="shared" si="96"/>
        <v/>
      </c>
      <c r="V1223" s="13" t="str">
        <f t="shared" si="97"/>
        <v/>
      </c>
      <c r="W1223" s="4" t="str">
        <f t="shared" si="98"/>
        <v/>
      </c>
      <c r="X1223" t="str">
        <f>IF(W1223="","",LOOKUP(_xlfn.CONCAT(P1223,", ",Q1223),'[1]T+S Costs'!$F$2:$F$3138,'[1]T+S Costs'!$N$2:$N$3138))</f>
        <v/>
      </c>
      <c r="Y1223" s="14" t="str">
        <f t="shared" si="99"/>
        <v/>
      </c>
      <c r="Z1223" s="4" t="str">
        <f t="shared" si="100"/>
        <v/>
      </c>
    </row>
    <row r="1224" spans="16:26" x14ac:dyDescent="0.25">
      <c r="P1224" s="10" t="str">
        <f>IF('[1]All Data '!AZ1229="","",'[1]All Data '!AZ1229)</f>
        <v/>
      </c>
      <c r="Q1224" s="10" t="str">
        <f>IF('[1]All Data '!BB1229="","",'[1]All Data '!BB1229)</f>
        <v/>
      </c>
      <c r="R1224" s="10" t="str">
        <f>IF('[1]All Data '!BD1229="","",'[1]All Data '!BD1229)</f>
        <v/>
      </c>
      <c r="S1224" s="11" t="str">
        <f>IF(R1224="","",'[1]All Data '!BE1229)</f>
        <v/>
      </c>
      <c r="T1224" s="12" t="str">
        <f>IF(S1224="","",[1]Inputs_Outputs!$B$8*(1-'LOCH Calc COE Calc'!S1224))</f>
        <v/>
      </c>
      <c r="U1224" s="13" t="str">
        <f t="shared" si="96"/>
        <v/>
      </c>
      <c r="V1224" s="13" t="str">
        <f t="shared" si="97"/>
        <v/>
      </c>
      <c r="W1224" s="4" t="str">
        <f t="shared" si="98"/>
        <v/>
      </c>
      <c r="X1224" t="str">
        <f>IF(W1224="","",LOOKUP(_xlfn.CONCAT(P1224,", ",Q1224),'[1]T+S Costs'!$F$2:$F$3138,'[1]T+S Costs'!$N$2:$N$3138))</f>
        <v/>
      </c>
      <c r="Y1224" s="14" t="str">
        <f t="shared" si="99"/>
        <v/>
      </c>
      <c r="Z1224" s="4" t="str">
        <f t="shared" si="100"/>
        <v/>
      </c>
    </row>
    <row r="1225" spans="16:26" x14ac:dyDescent="0.25">
      <c r="P1225" s="10" t="str">
        <f>IF('[1]All Data '!AZ1230="","",'[1]All Data '!AZ1230)</f>
        <v/>
      </c>
      <c r="Q1225" s="10" t="str">
        <f>IF('[1]All Data '!BB1230="","",'[1]All Data '!BB1230)</f>
        <v/>
      </c>
      <c r="R1225" s="10" t="str">
        <f>IF('[1]All Data '!BD1230="","",'[1]All Data '!BD1230)</f>
        <v/>
      </c>
      <c r="S1225" s="11" t="str">
        <f>IF(R1225="","",'[1]All Data '!BE1230)</f>
        <v/>
      </c>
      <c r="T1225" s="12" t="str">
        <f>IF(S1225="","",[1]Inputs_Outputs!$B$8*(1-'LOCH Calc COE Calc'!S1225))</f>
        <v/>
      </c>
      <c r="U1225" s="13" t="str">
        <f t="shared" si="96"/>
        <v/>
      </c>
      <c r="V1225" s="13" t="str">
        <f t="shared" si="97"/>
        <v/>
      </c>
      <c r="W1225" s="4" t="str">
        <f t="shared" si="98"/>
        <v/>
      </c>
      <c r="X1225" t="str">
        <f>IF(W1225="","",LOOKUP(_xlfn.CONCAT(P1225,", ",Q1225),'[1]T+S Costs'!$F$2:$F$3138,'[1]T+S Costs'!$N$2:$N$3138))</f>
        <v/>
      </c>
      <c r="Y1225" s="14" t="str">
        <f t="shared" si="99"/>
        <v/>
      </c>
      <c r="Z1225" s="4" t="str">
        <f t="shared" si="100"/>
        <v/>
      </c>
    </row>
    <row r="1226" spans="16:26" x14ac:dyDescent="0.25">
      <c r="P1226" s="10" t="str">
        <f>IF('[1]All Data '!AZ1231="","",'[1]All Data '!AZ1231)</f>
        <v/>
      </c>
      <c r="Q1226" s="10" t="str">
        <f>IF('[1]All Data '!BB1231="","",'[1]All Data '!BB1231)</f>
        <v/>
      </c>
      <c r="R1226" s="10" t="str">
        <f>IF('[1]All Data '!BD1231="","",'[1]All Data '!BD1231)</f>
        <v/>
      </c>
      <c r="S1226" s="11" t="str">
        <f>IF(R1226="","",'[1]All Data '!BE1231)</f>
        <v/>
      </c>
      <c r="T1226" s="12" t="str">
        <f>IF(S1226="","",[1]Inputs_Outputs!$B$8*(1-'LOCH Calc COE Calc'!S1226))</f>
        <v/>
      </c>
      <c r="U1226" s="13" t="str">
        <f t="shared" si="96"/>
        <v/>
      </c>
      <c r="V1226" s="13" t="str">
        <f t="shared" si="97"/>
        <v/>
      </c>
      <c r="W1226" s="4" t="str">
        <f t="shared" si="98"/>
        <v/>
      </c>
      <c r="X1226" t="str">
        <f>IF(W1226="","",LOOKUP(_xlfn.CONCAT(P1226,", ",Q1226),'[1]T+S Costs'!$F$2:$F$3138,'[1]T+S Costs'!$N$2:$N$3138))</f>
        <v/>
      </c>
      <c r="Y1226" s="14" t="str">
        <f t="shared" si="99"/>
        <v/>
      </c>
      <c r="Z1226" s="4" t="str">
        <f t="shared" si="100"/>
        <v/>
      </c>
    </row>
    <row r="1227" spans="16:26" x14ac:dyDescent="0.25">
      <c r="P1227" s="10" t="str">
        <f>IF('[1]All Data '!AZ1232="","",'[1]All Data '!AZ1232)</f>
        <v/>
      </c>
      <c r="Q1227" s="10" t="str">
        <f>IF('[1]All Data '!BB1232="","",'[1]All Data '!BB1232)</f>
        <v/>
      </c>
      <c r="R1227" s="10" t="str">
        <f>IF('[1]All Data '!BD1232="","",'[1]All Data '!BD1232)</f>
        <v/>
      </c>
      <c r="S1227" s="11" t="str">
        <f>IF(R1227="","",'[1]All Data '!BE1232)</f>
        <v/>
      </c>
      <c r="T1227" s="12" t="str">
        <f>IF(S1227="","",[1]Inputs_Outputs!$B$8*(1-'LOCH Calc COE Calc'!S1227))</f>
        <v/>
      </c>
      <c r="U1227" s="13" t="str">
        <f t="shared" si="96"/>
        <v/>
      </c>
      <c r="V1227" s="13" t="str">
        <f t="shared" si="97"/>
        <v/>
      </c>
      <c r="W1227" s="4" t="str">
        <f t="shared" si="98"/>
        <v/>
      </c>
      <c r="X1227" t="str">
        <f>IF(W1227="","",LOOKUP(_xlfn.CONCAT(P1227,", ",Q1227),'[1]T+S Costs'!$F$2:$F$3138,'[1]T+S Costs'!$N$2:$N$3138))</f>
        <v/>
      </c>
      <c r="Y1227" s="14" t="str">
        <f t="shared" si="99"/>
        <v/>
      </c>
      <c r="Z1227" s="4" t="str">
        <f t="shared" si="100"/>
        <v/>
      </c>
    </row>
    <row r="1228" spans="16:26" x14ac:dyDescent="0.25">
      <c r="P1228" s="10" t="str">
        <f>IF('[1]All Data '!AZ1233="","",'[1]All Data '!AZ1233)</f>
        <v/>
      </c>
      <c r="Q1228" s="10" t="str">
        <f>IF('[1]All Data '!BB1233="","",'[1]All Data '!BB1233)</f>
        <v/>
      </c>
      <c r="R1228" s="10" t="str">
        <f>IF('[1]All Data '!BD1233="","",'[1]All Data '!BD1233)</f>
        <v/>
      </c>
      <c r="S1228" s="11" t="str">
        <f>IF(R1228="","",'[1]All Data '!BE1233)</f>
        <v/>
      </c>
      <c r="T1228" s="12" t="str">
        <f>IF(S1228="","",[1]Inputs_Outputs!$B$8*(1-'LOCH Calc COE Calc'!S1228))</f>
        <v/>
      </c>
      <c r="U1228" s="13" t="str">
        <f t="shared" si="96"/>
        <v/>
      </c>
      <c r="V1228" s="13" t="str">
        <f t="shared" si="97"/>
        <v/>
      </c>
      <c r="W1228" s="4" t="str">
        <f t="shared" si="98"/>
        <v/>
      </c>
      <c r="X1228" t="str">
        <f>IF(W1228="","",LOOKUP(_xlfn.CONCAT(P1228,", ",Q1228),'[1]T+S Costs'!$F$2:$F$3138,'[1]T+S Costs'!$N$2:$N$3138))</f>
        <v/>
      </c>
      <c r="Y1228" s="14" t="str">
        <f t="shared" si="99"/>
        <v/>
      </c>
      <c r="Z1228" s="4" t="str">
        <f t="shared" si="100"/>
        <v/>
      </c>
    </row>
    <row r="1229" spans="16:26" x14ac:dyDescent="0.25">
      <c r="P1229" s="10" t="str">
        <f>IF('[1]All Data '!AZ1234="","",'[1]All Data '!AZ1234)</f>
        <v/>
      </c>
      <c r="Q1229" s="10" t="str">
        <f>IF('[1]All Data '!BB1234="","",'[1]All Data '!BB1234)</f>
        <v/>
      </c>
      <c r="R1229" s="10" t="str">
        <f>IF('[1]All Data '!BD1234="","",'[1]All Data '!BD1234)</f>
        <v/>
      </c>
      <c r="S1229" s="11" t="str">
        <f>IF(R1229="","",'[1]All Data '!BE1234)</f>
        <v/>
      </c>
      <c r="T1229" s="12" t="str">
        <f>IF(S1229="","",[1]Inputs_Outputs!$B$8*(1-'LOCH Calc COE Calc'!S1229))</f>
        <v/>
      </c>
      <c r="U1229" s="13" t="str">
        <f t="shared" si="96"/>
        <v/>
      </c>
      <c r="V1229" s="13" t="str">
        <f t="shared" si="97"/>
        <v/>
      </c>
      <c r="W1229" s="4" t="str">
        <f t="shared" si="98"/>
        <v/>
      </c>
      <c r="X1229" t="str">
        <f>IF(W1229="","",LOOKUP(_xlfn.CONCAT(P1229,", ",Q1229),'[1]T+S Costs'!$F$2:$F$3138,'[1]T+S Costs'!$N$2:$N$3138))</f>
        <v/>
      </c>
      <c r="Y1229" s="14" t="str">
        <f t="shared" si="99"/>
        <v/>
      </c>
      <c r="Z1229" s="4" t="str">
        <f t="shared" si="100"/>
        <v/>
      </c>
    </row>
    <row r="1230" spans="16:26" x14ac:dyDescent="0.25">
      <c r="P1230" s="10" t="str">
        <f>IF('[1]All Data '!AZ1235="","",'[1]All Data '!AZ1235)</f>
        <v/>
      </c>
      <c r="Q1230" s="10" t="str">
        <f>IF('[1]All Data '!BB1235="","",'[1]All Data '!BB1235)</f>
        <v/>
      </c>
      <c r="R1230" s="10" t="str">
        <f>IF('[1]All Data '!BD1235="","",'[1]All Data '!BD1235)</f>
        <v/>
      </c>
      <c r="S1230" s="11" t="str">
        <f>IF(R1230="","",'[1]All Data '!BE1235)</f>
        <v/>
      </c>
      <c r="T1230" s="12" t="str">
        <f>IF(S1230="","",[1]Inputs_Outputs!$B$8*(1-'LOCH Calc COE Calc'!S1230))</f>
        <v/>
      </c>
      <c r="U1230" s="13" t="str">
        <f t="shared" si="96"/>
        <v/>
      </c>
      <c r="V1230" s="13" t="str">
        <f t="shared" si="97"/>
        <v/>
      </c>
      <c r="W1230" s="4" t="str">
        <f t="shared" si="98"/>
        <v/>
      </c>
      <c r="X1230" t="str">
        <f>IF(W1230="","",LOOKUP(_xlfn.CONCAT(P1230,", ",Q1230),'[1]T+S Costs'!$F$2:$F$3138,'[1]T+S Costs'!$N$2:$N$3138))</f>
        <v/>
      </c>
      <c r="Y1230" s="14" t="str">
        <f t="shared" si="99"/>
        <v/>
      </c>
      <c r="Z1230" s="4" t="str">
        <f t="shared" si="100"/>
        <v/>
      </c>
    </row>
    <row r="1231" spans="16:26" x14ac:dyDescent="0.25">
      <c r="P1231" s="10" t="str">
        <f>IF('[1]All Data '!AZ1236="","",'[1]All Data '!AZ1236)</f>
        <v/>
      </c>
      <c r="Q1231" s="10" t="str">
        <f>IF('[1]All Data '!BB1236="","",'[1]All Data '!BB1236)</f>
        <v/>
      </c>
      <c r="R1231" s="10" t="str">
        <f>IF('[1]All Data '!BD1236="","",'[1]All Data '!BD1236)</f>
        <v/>
      </c>
      <c r="S1231" s="11" t="str">
        <f>IF(R1231="","",'[1]All Data '!BE1236)</f>
        <v/>
      </c>
      <c r="T1231" s="12" t="str">
        <f>IF(S1231="","",[1]Inputs_Outputs!$B$8*(1-'LOCH Calc COE Calc'!S1231))</f>
        <v/>
      </c>
      <c r="U1231" s="13" t="str">
        <f t="shared" si="96"/>
        <v/>
      </c>
      <c r="V1231" s="13" t="str">
        <f t="shared" si="97"/>
        <v/>
      </c>
      <c r="W1231" s="4" t="str">
        <f t="shared" si="98"/>
        <v/>
      </c>
      <c r="X1231" t="str">
        <f>IF(W1231="","",LOOKUP(_xlfn.CONCAT(P1231,", ",Q1231),'[1]T+S Costs'!$F$2:$F$3138,'[1]T+S Costs'!$N$2:$N$3138))</f>
        <v/>
      </c>
      <c r="Y1231" s="14" t="str">
        <f t="shared" si="99"/>
        <v/>
      </c>
      <c r="Z1231" s="4" t="str">
        <f t="shared" si="100"/>
        <v/>
      </c>
    </row>
    <row r="1232" spans="16:26" x14ac:dyDescent="0.25">
      <c r="P1232" s="10" t="str">
        <f>IF('[1]All Data '!AZ1237="","",'[1]All Data '!AZ1237)</f>
        <v/>
      </c>
      <c r="Q1232" s="10" t="str">
        <f>IF('[1]All Data '!BB1237="","",'[1]All Data '!BB1237)</f>
        <v/>
      </c>
      <c r="R1232" s="10" t="str">
        <f>IF('[1]All Data '!BD1237="","",'[1]All Data '!BD1237)</f>
        <v/>
      </c>
      <c r="S1232" s="11" t="str">
        <f>IF(R1232="","",'[1]All Data '!BE1237)</f>
        <v/>
      </c>
      <c r="T1232" s="12" t="str">
        <f>IF(S1232="","",[1]Inputs_Outputs!$B$8*(1-'LOCH Calc COE Calc'!S1232))</f>
        <v/>
      </c>
      <c r="U1232" s="13" t="str">
        <f t="shared" si="96"/>
        <v/>
      </c>
      <c r="V1232" s="13" t="str">
        <f t="shared" si="97"/>
        <v/>
      </c>
      <c r="W1232" s="4" t="str">
        <f t="shared" si="98"/>
        <v/>
      </c>
      <c r="X1232" t="str">
        <f>IF(W1232="","",LOOKUP(_xlfn.CONCAT(P1232,", ",Q1232),'[1]T+S Costs'!$F$2:$F$3138,'[1]T+S Costs'!$N$2:$N$3138))</f>
        <v/>
      </c>
      <c r="Y1232" s="14" t="str">
        <f t="shared" si="99"/>
        <v/>
      </c>
      <c r="Z1232" s="4" t="str">
        <f t="shared" si="100"/>
        <v/>
      </c>
    </row>
    <row r="1233" spans="16:26" x14ac:dyDescent="0.25">
      <c r="P1233" s="10" t="str">
        <f>IF('[1]All Data '!AZ1238="","",'[1]All Data '!AZ1238)</f>
        <v/>
      </c>
      <c r="Q1233" s="10" t="str">
        <f>IF('[1]All Data '!BB1238="","",'[1]All Data '!BB1238)</f>
        <v/>
      </c>
      <c r="R1233" s="10" t="str">
        <f>IF('[1]All Data '!BD1238="","",'[1]All Data '!BD1238)</f>
        <v/>
      </c>
      <c r="S1233" s="11" t="str">
        <f>IF(R1233="","",'[1]All Data '!BE1238)</f>
        <v/>
      </c>
      <c r="T1233" s="12" t="str">
        <f>IF(S1233="","",[1]Inputs_Outputs!$B$8*(1-'LOCH Calc COE Calc'!S1233))</f>
        <v/>
      </c>
      <c r="U1233" s="13" t="str">
        <f t="shared" si="96"/>
        <v/>
      </c>
      <c r="V1233" s="13" t="str">
        <f t="shared" si="97"/>
        <v/>
      </c>
      <c r="W1233" s="4" t="str">
        <f t="shared" si="98"/>
        <v/>
      </c>
      <c r="X1233" t="str">
        <f>IF(W1233="","",LOOKUP(_xlfn.CONCAT(P1233,", ",Q1233),'[1]T+S Costs'!$F$2:$F$3138,'[1]T+S Costs'!$N$2:$N$3138))</f>
        <v/>
      </c>
      <c r="Y1233" s="14" t="str">
        <f t="shared" si="99"/>
        <v/>
      </c>
      <c r="Z1233" s="4" t="str">
        <f t="shared" si="100"/>
        <v/>
      </c>
    </row>
    <row r="1234" spans="16:26" x14ac:dyDescent="0.25">
      <c r="P1234" s="10" t="str">
        <f>IF('[1]All Data '!AZ1239="","",'[1]All Data '!AZ1239)</f>
        <v/>
      </c>
      <c r="Q1234" s="10" t="str">
        <f>IF('[1]All Data '!BB1239="","",'[1]All Data '!BB1239)</f>
        <v/>
      </c>
      <c r="R1234" s="10" t="str">
        <f>IF('[1]All Data '!BD1239="","",'[1]All Data '!BD1239)</f>
        <v/>
      </c>
      <c r="S1234" s="11" t="str">
        <f>IF(R1234="","",'[1]All Data '!BE1239)</f>
        <v/>
      </c>
      <c r="T1234" s="12" t="str">
        <f>IF(S1234="","",[1]Inputs_Outputs!$B$8*(1-'LOCH Calc COE Calc'!S1234))</f>
        <v/>
      </c>
      <c r="U1234" s="13" t="str">
        <f t="shared" si="96"/>
        <v/>
      </c>
      <c r="V1234" s="13" t="str">
        <f t="shared" si="97"/>
        <v/>
      </c>
      <c r="W1234" s="4" t="str">
        <f t="shared" si="98"/>
        <v/>
      </c>
      <c r="X1234" t="str">
        <f>IF(W1234="","",LOOKUP(_xlfn.CONCAT(P1234,", ",Q1234),'[1]T+S Costs'!$F$2:$F$3138,'[1]T+S Costs'!$N$2:$N$3138))</f>
        <v/>
      </c>
      <c r="Y1234" s="14" t="str">
        <f t="shared" si="99"/>
        <v/>
      </c>
      <c r="Z1234" s="4" t="str">
        <f t="shared" si="100"/>
        <v/>
      </c>
    </row>
    <row r="1235" spans="16:26" x14ac:dyDescent="0.25">
      <c r="P1235" s="10" t="str">
        <f>IF('[1]All Data '!AZ1240="","",'[1]All Data '!AZ1240)</f>
        <v/>
      </c>
      <c r="Q1235" s="10" t="str">
        <f>IF('[1]All Data '!BB1240="","",'[1]All Data '!BB1240)</f>
        <v/>
      </c>
      <c r="R1235" s="10" t="str">
        <f>IF('[1]All Data '!BD1240="","",'[1]All Data '!BD1240)</f>
        <v/>
      </c>
      <c r="S1235" s="11" t="str">
        <f>IF(R1235="","",'[1]All Data '!BE1240)</f>
        <v/>
      </c>
      <c r="T1235" s="12" t="str">
        <f>IF(S1235="","",[1]Inputs_Outputs!$B$8*(1-'LOCH Calc COE Calc'!S1235))</f>
        <v/>
      </c>
      <c r="U1235" s="13" t="str">
        <f t="shared" si="96"/>
        <v/>
      </c>
      <c r="V1235" s="13" t="str">
        <f t="shared" si="97"/>
        <v/>
      </c>
      <c r="W1235" s="4" t="str">
        <f t="shared" si="98"/>
        <v/>
      </c>
      <c r="X1235" t="str">
        <f>IF(W1235="","",LOOKUP(_xlfn.CONCAT(P1235,", ",Q1235),'[1]T+S Costs'!$F$2:$F$3138,'[1]T+S Costs'!$N$2:$N$3138))</f>
        <v/>
      </c>
      <c r="Y1235" s="14" t="str">
        <f t="shared" si="99"/>
        <v/>
      </c>
      <c r="Z1235" s="4" t="str">
        <f t="shared" si="100"/>
        <v/>
      </c>
    </row>
    <row r="1236" spans="16:26" x14ac:dyDescent="0.25">
      <c r="P1236" s="10" t="str">
        <f>IF('[1]All Data '!AZ1241="","",'[1]All Data '!AZ1241)</f>
        <v/>
      </c>
      <c r="Q1236" s="10" t="str">
        <f>IF('[1]All Data '!BB1241="","",'[1]All Data '!BB1241)</f>
        <v/>
      </c>
      <c r="R1236" s="10" t="str">
        <f>IF('[1]All Data '!BD1241="","",'[1]All Data '!BD1241)</f>
        <v/>
      </c>
      <c r="S1236" s="11" t="str">
        <f>IF(R1236="","",'[1]All Data '!BE1241)</f>
        <v/>
      </c>
      <c r="T1236" s="12" t="str">
        <f>IF(S1236="","",[1]Inputs_Outputs!$B$8*(1-'LOCH Calc COE Calc'!S1236))</f>
        <v/>
      </c>
      <c r="U1236" s="13" t="str">
        <f t="shared" si="96"/>
        <v/>
      </c>
      <c r="V1236" s="13" t="str">
        <f t="shared" si="97"/>
        <v/>
      </c>
      <c r="W1236" s="4" t="str">
        <f t="shared" si="98"/>
        <v/>
      </c>
      <c r="X1236" t="str">
        <f>IF(W1236="","",LOOKUP(_xlfn.CONCAT(P1236,", ",Q1236),'[1]T+S Costs'!$F$2:$F$3138,'[1]T+S Costs'!$N$2:$N$3138))</f>
        <v/>
      </c>
      <c r="Y1236" s="14" t="str">
        <f t="shared" si="99"/>
        <v/>
      </c>
      <c r="Z1236" s="4" t="str">
        <f t="shared" si="100"/>
        <v/>
      </c>
    </row>
    <row r="1237" spans="16:26" x14ac:dyDescent="0.25">
      <c r="P1237" s="10" t="str">
        <f>IF('[1]All Data '!AZ1242="","",'[1]All Data '!AZ1242)</f>
        <v/>
      </c>
      <c r="Q1237" s="10" t="str">
        <f>IF('[1]All Data '!BB1242="","",'[1]All Data '!BB1242)</f>
        <v/>
      </c>
      <c r="R1237" s="10" t="str">
        <f>IF('[1]All Data '!BD1242="","",'[1]All Data '!BD1242)</f>
        <v/>
      </c>
      <c r="S1237" s="11" t="str">
        <f>IF(R1237="","",'[1]All Data '!BE1242)</f>
        <v/>
      </c>
      <c r="T1237" s="12" t="str">
        <f>IF(S1237="","",[1]Inputs_Outputs!$B$8*(1-'LOCH Calc COE Calc'!S1237))</f>
        <v/>
      </c>
      <c r="U1237" s="13" t="str">
        <f t="shared" si="96"/>
        <v/>
      </c>
      <c r="V1237" s="13" t="str">
        <f t="shared" si="97"/>
        <v/>
      </c>
      <c r="W1237" s="4" t="str">
        <f t="shared" si="98"/>
        <v/>
      </c>
      <c r="X1237" t="str">
        <f>IF(W1237="","",LOOKUP(_xlfn.CONCAT(P1237,", ",Q1237),'[1]T+S Costs'!$F$2:$F$3138,'[1]T+S Costs'!$N$2:$N$3138))</f>
        <v/>
      </c>
      <c r="Y1237" s="14" t="str">
        <f t="shared" si="99"/>
        <v/>
      </c>
      <c r="Z1237" s="4" t="str">
        <f t="shared" si="100"/>
        <v/>
      </c>
    </row>
    <row r="1238" spans="16:26" x14ac:dyDescent="0.25">
      <c r="P1238" s="10" t="str">
        <f>IF('[1]All Data '!AZ1243="","",'[1]All Data '!AZ1243)</f>
        <v/>
      </c>
      <c r="Q1238" s="10" t="str">
        <f>IF('[1]All Data '!BB1243="","",'[1]All Data '!BB1243)</f>
        <v/>
      </c>
      <c r="R1238" s="10" t="str">
        <f>IF('[1]All Data '!BD1243="","",'[1]All Data '!BD1243)</f>
        <v/>
      </c>
      <c r="S1238" s="11" t="str">
        <f>IF(R1238="","",'[1]All Data '!BE1243)</f>
        <v/>
      </c>
      <c r="T1238" s="12" t="str">
        <f>IF(S1238="","",[1]Inputs_Outputs!$B$8*(1-'LOCH Calc COE Calc'!S1238))</f>
        <v/>
      </c>
      <c r="U1238" s="13" t="str">
        <f t="shared" si="96"/>
        <v/>
      </c>
      <c r="V1238" s="13" t="str">
        <f t="shared" si="97"/>
        <v/>
      </c>
      <c r="W1238" s="4" t="str">
        <f t="shared" si="98"/>
        <v/>
      </c>
      <c r="X1238" t="str">
        <f>IF(W1238="","",LOOKUP(_xlfn.CONCAT(P1238,", ",Q1238),'[1]T+S Costs'!$F$2:$F$3138,'[1]T+S Costs'!$N$2:$N$3138))</f>
        <v/>
      </c>
      <c r="Y1238" s="14" t="str">
        <f t="shared" si="99"/>
        <v/>
      </c>
      <c r="Z1238" s="4" t="str">
        <f t="shared" si="100"/>
        <v/>
      </c>
    </row>
    <row r="1239" spans="16:26" x14ac:dyDescent="0.25">
      <c r="P1239" s="10" t="str">
        <f>IF('[1]All Data '!AZ1244="","",'[1]All Data '!AZ1244)</f>
        <v/>
      </c>
      <c r="Q1239" s="10" t="str">
        <f>IF('[1]All Data '!BB1244="","",'[1]All Data '!BB1244)</f>
        <v/>
      </c>
      <c r="R1239" s="10" t="str">
        <f>IF('[1]All Data '!BD1244="","",'[1]All Data '!BD1244)</f>
        <v/>
      </c>
      <c r="S1239" s="11" t="str">
        <f>IF(R1239="","",'[1]All Data '!BE1244)</f>
        <v/>
      </c>
      <c r="T1239" s="12" t="str">
        <f>IF(S1239="","",[1]Inputs_Outputs!$B$8*(1-'LOCH Calc COE Calc'!S1239))</f>
        <v/>
      </c>
      <c r="U1239" s="13" t="str">
        <f t="shared" si="96"/>
        <v/>
      </c>
      <c r="V1239" s="13" t="str">
        <f t="shared" si="97"/>
        <v/>
      </c>
      <c r="W1239" s="4" t="str">
        <f t="shared" si="98"/>
        <v/>
      </c>
      <c r="X1239" t="str">
        <f>IF(W1239="","",LOOKUP(_xlfn.CONCAT(P1239,", ",Q1239),'[1]T+S Costs'!$F$2:$F$3138,'[1]T+S Costs'!$N$2:$N$3138))</f>
        <v/>
      </c>
      <c r="Y1239" s="14" t="str">
        <f t="shared" si="99"/>
        <v/>
      </c>
      <c r="Z1239" s="4" t="str">
        <f t="shared" si="100"/>
        <v/>
      </c>
    </row>
    <row r="1240" spans="16:26" x14ac:dyDescent="0.25">
      <c r="P1240" s="10" t="str">
        <f>IF('[1]All Data '!AZ1245="","",'[1]All Data '!AZ1245)</f>
        <v/>
      </c>
      <c r="Q1240" s="10" t="str">
        <f>IF('[1]All Data '!BB1245="","",'[1]All Data '!BB1245)</f>
        <v/>
      </c>
      <c r="R1240" s="10" t="str">
        <f>IF('[1]All Data '!BD1245="","",'[1]All Data '!BD1245)</f>
        <v/>
      </c>
      <c r="S1240" s="11" t="str">
        <f>IF(R1240="","",'[1]All Data '!BE1245)</f>
        <v/>
      </c>
      <c r="T1240" s="12" t="str">
        <f>IF(S1240="","",[1]Inputs_Outputs!$B$8*(1-'LOCH Calc COE Calc'!S1240))</f>
        <v/>
      </c>
      <c r="U1240" s="13" t="str">
        <f t="shared" si="96"/>
        <v/>
      </c>
      <c r="V1240" s="13" t="str">
        <f t="shared" si="97"/>
        <v/>
      </c>
      <c r="W1240" s="4" t="str">
        <f t="shared" si="98"/>
        <v/>
      </c>
      <c r="X1240" t="str">
        <f>IF(W1240="","",LOOKUP(_xlfn.CONCAT(P1240,", ",Q1240),'[1]T+S Costs'!$F$2:$F$3138,'[1]T+S Costs'!$N$2:$N$3138))</f>
        <v/>
      </c>
      <c r="Y1240" s="14" t="str">
        <f t="shared" si="99"/>
        <v/>
      </c>
      <c r="Z1240" s="4" t="str">
        <f t="shared" si="100"/>
        <v/>
      </c>
    </row>
    <row r="1241" spans="16:26" x14ac:dyDescent="0.25">
      <c r="P1241" s="10" t="str">
        <f>IF('[1]All Data '!AZ1246="","",'[1]All Data '!AZ1246)</f>
        <v/>
      </c>
      <c r="Q1241" s="10" t="str">
        <f>IF('[1]All Data '!BB1246="","",'[1]All Data '!BB1246)</f>
        <v/>
      </c>
      <c r="R1241" s="10" t="str">
        <f>IF('[1]All Data '!BD1246="","",'[1]All Data '!BD1246)</f>
        <v/>
      </c>
      <c r="S1241" s="11" t="str">
        <f>IF(R1241="","",'[1]All Data '!BE1246)</f>
        <v/>
      </c>
      <c r="T1241" s="12" t="str">
        <f>IF(S1241="","",[1]Inputs_Outputs!$B$8*(1-'LOCH Calc COE Calc'!S1241))</f>
        <v/>
      </c>
      <c r="U1241" s="13" t="str">
        <f t="shared" si="96"/>
        <v/>
      </c>
      <c r="V1241" s="13" t="str">
        <f t="shared" si="97"/>
        <v/>
      </c>
      <c r="W1241" s="4" t="str">
        <f t="shared" si="98"/>
        <v/>
      </c>
      <c r="X1241" t="str">
        <f>IF(W1241="","",LOOKUP(_xlfn.CONCAT(P1241,", ",Q1241),'[1]T+S Costs'!$F$2:$F$3138,'[1]T+S Costs'!$N$2:$N$3138))</f>
        <v/>
      </c>
      <c r="Y1241" s="14" t="str">
        <f t="shared" si="99"/>
        <v/>
      </c>
      <c r="Z1241" s="4" t="str">
        <f t="shared" si="100"/>
        <v/>
      </c>
    </row>
    <row r="1242" spans="16:26" x14ac:dyDescent="0.25">
      <c r="P1242" s="10" t="str">
        <f>IF('[1]All Data '!AZ1247="","",'[1]All Data '!AZ1247)</f>
        <v/>
      </c>
      <c r="Q1242" s="10" t="str">
        <f>IF('[1]All Data '!BB1247="","",'[1]All Data '!BB1247)</f>
        <v/>
      </c>
      <c r="R1242" s="10" t="str">
        <f>IF('[1]All Data '!BD1247="","",'[1]All Data '!BD1247)</f>
        <v/>
      </c>
      <c r="S1242" s="11" t="str">
        <f>IF(R1242="","",'[1]All Data '!BE1247)</f>
        <v/>
      </c>
      <c r="T1242" s="12" t="str">
        <f>IF(S1242="","",[1]Inputs_Outputs!$B$8*(1-'LOCH Calc COE Calc'!S1242))</f>
        <v/>
      </c>
      <c r="U1242" s="13" t="str">
        <f t="shared" si="96"/>
        <v/>
      </c>
      <c r="V1242" s="13" t="str">
        <f t="shared" si="97"/>
        <v/>
      </c>
      <c r="W1242" s="4" t="str">
        <f t="shared" si="98"/>
        <v/>
      </c>
      <c r="X1242" t="str">
        <f>IF(W1242="","",LOOKUP(_xlfn.CONCAT(P1242,", ",Q1242),'[1]T+S Costs'!$F$2:$F$3138,'[1]T+S Costs'!$N$2:$N$3138))</f>
        <v/>
      </c>
      <c r="Y1242" s="14" t="str">
        <f t="shared" si="99"/>
        <v/>
      </c>
      <c r="Z1242" s="4" t="str">
        <f t="shared" si="100"/>
        <v/>
      </c>
    </row>
    <row r="1243" spans="16:26" x14ac:dyDescent="0.25">
      <c r="P1243" s="10" t="str">
        <f>IF('[1]All Data '!AZ1248="","",'[1]All Data '!AZ1248)</f>
        <v/>
      </c>
      <c r="Q1243" s="10" t="str">
        <f>IF('[1]All Data '!BB1248="","",'[1]All Data '!BB1248)</f>
        <v/>
      </c>
      <c r="R1243" s="10" t="str">
        <f>IF('[1]All Data '!BD1248="","",'[1]All Data '!BD1248)</f>
        <v/>
      </c>
      <c r="S1243" s="11" t="str">
        <f>IF(R1243="","",'[1]All Data '!BE1248)</f>
        <v/>
      </c>
      <c r="T1243" s="12" t="str">
        <f>IF(S1243="","",[1]Inputs_Outputs!$B$8*(1-'LOCH Calc COE Calc'!S1243))</f>
        <v/>
      </c>
      <c r="U1243" s="13" t="str">
        <f t="shared" si="96"/>
        <v/>
      </c>
      <c r="V1243" s="13" t="str">
        <f t="shared" si="97"/>
        <v/>
      </c>
      <c r="W1243" s="4" t="str">
        <f t="shared" si="98"/>
        <v/>
      </c>
      <c r="X1243" t="str">
        <f>IF(W1243="","",LOOKUP(_xlfn.CONCAT(P1243,", ",Q1243),'[1]T+S Costs'!$F$2:$F$3138,'[1]T+S Costs'!$N$2:$N$3138))</f>
        <v/>
      </c>
      <c r="Y1243" s="14" t="str">
        <f t="shared" si="99"/>
        <v/>
      </c>
      <c r="Z1243" s="4" t="str">
        <f t="shared" si="100"/>
        <v/>
      </c>
    </row>
    <row r="1244" spans="16:26" x14ac:dyDescent="0.25">
      <c r="P1244" s="10" t="str">
        <f>IF('[1]All Data '!AZ1249="","",'[1]All Data '!AZ1249)</f>
        <v/>
      </c>
      <c r="Q1244" s="10" t="str">
        <f>IF('[1]All Data '!BB1249="","",'[1]All Data '!BB1249)</f>
        <v/>
      </c>
      <c r="R1244" s="10" t="str">
        <f>IF('[1]All Data '!BD1249="","",'[1]All Data '!BD1249)</f>
        <v/>
      </c>
      <c r="S1244" s="11" t="str">
        <f>IF(R1244="","",'[1]All Data '!BE1249)</f>
        <v/>
      </c>
      <c r="T1244" s="12" t="str">
        <f>IF(S1244="","",[1]Inputs_Outputs!$B$8*(1-'LOCH Calc COE Calc'!S1244))</f>
        <v/>
      </c>
      <c r="U1244" s="13" t="str">
        <f t="shared" si="96"/>
        <v/>
      </c>
      <c r="V1244" s="13" t="str">
        <f t="shared" si="97"/>
        <v/>
      </c>
      <c r="W1244" s="4" t="str">
        <f t="shared" si="98"/>
        <v/>
      </c>
      <c r="X1244" t="str">
        <f>IF(W1244="","",LOOKUP(_xlfn.CONCAT(P1244,", ",Q1244),'[1]T+S Costs'!$F$2:$F$3138,'[1]T+S Costs'!$N$2:$N$3138))</f>
        <v/>
      </c>
      <c r="Y1244" s="14" t="str">
        <f t="shared" si="99"/>
        <v/>
      </c>
      <c r="Z1244" s="4" t="str">
        <f t="shared" si="100"/>
        <v/>
      </c>
    </row>
    <row r="1245" spans="16:26" x14ac:dyDescent="0.25">
      <c r="P1245" s="10" t="str">
        <f>IF('[1]All Data '!AZ1250="","",'[1]All Data '!AZ1250)</f>
        <v/>
      </c>
      <c r="Q1245" s="10" t="str">
        <f>IF('[1]All Data '!BB1250="","",'[1]All Data '!BB1250)</f>
        <v/>
      </c>
      <c r="R1245" s="10" t="str">
        <f>IF('[1]All Data '!BD1250="","",'[1]All Data '!BD1250)</f>
        <v/>
      </c>
      <c r="S1245" s="11" t="str">
        <f>IF(R1245="","",'[1]All Data '!BE1250)</f>
        <v/>
      </c>
      <c r="T1245" s="12" t="str">
        <f>IF(S1245="","",[1]Inputs_Outputs!$B$8*(1-'LOCH Calc COE Calc'!S1245))</f>
        <v/>
      </c>
      <c r="U1245" s="13" t="str">
        <f t="shared" si="96"/>
        <v/>
      </c>
      <c r="V1245" s="13" t="str">
        <f t="shared" si="97"/>
        <v/>
      </c>
      <c r="W1245" s="4" t="str">
        <f t="shared" si="98"/>
        <v/>
      </c>
      <c r="X1245" t="str">
        <f>IF(W1245="","",LOOKUP(_xlfn.CONCAT(P1245,", ",Q1245),'[1]T+S Costs'!$F$2:$F$3138,'[1]T+S Costs'!$N$2:$N$3138))</f>
        <v/>
      </c>
      <c r="Y1245" s="14" t="str">
        <f t="shared" si="99"/>
        <v/>
      </c>
      <c r="Z1245" s="4" t="str">
        <f t="shared" si="100"/>
        <v/>
      </c>
    </row>
    <row r="1246" spans="16:26" x14ac:dyDescent="0.25">
      <c r="P1246" s="10" t="str">
        <f>IF('[1]All Data '!AZ1251="","",'[1]All Data '!AZ1251)</f>
        <v/>
      </c>
      <c r="Q1246" s="10" t="str">
        <f>IF('[1]All Data '!BB1251="","",'[1]All Data '!BB1251)</f>
        <v/>
      </c>
      <c r="R1246" s="10" t="str">
        <f>IF('[1]All Data '!BD1251="","",'[1]All Data '!BD1251)</f>
        <v/>
      </c>
      <c r="S1246" s="11" t="str">
        <f>IF(R1246="","",'[1]All Data '!BE1251)</f>
        <v/>
      </c>
      <c r="T1246" s="12" t="str">
        <f>IF(S1246="","",[1]Inputs_Outputs!$B$8*(1-'LOCH Calc COE Calc'!S1246))</f>
        <v/>
      </c>
      <c r="U1246" s="13" t="str">
        <f t="shared" si="96"/>
        <v/>
      </c>
      <c r="V1246" s="13" t="str">
        <f t="shared" si="97"/>
        <v/>
      </c>
      <c r="W1246" s="4" t="str">
        <f t="shared" si="98"/>
        <v/>
      </c>
      <c r="X1246" t="str">
        <f>IF(W1246="","",LOOKUP(_xlfn.CONCAT(P1246,", ",Q1246),'[1]T+S Costs'!$F$2:$F$3138,'[1]T+S Costs'!$N$2:$N$3138))</f>
        <v/>
      </c>
      <c r="Y1246" s="14" t="str">
        <f t="shared" si="99"/>
        <v/>
      </c>
      <c r="Z1246" s="4" t="str">
        <f t="shared" si="100"/>
        <v/>
      </c>
    </row>
    <row r="1247" spans="16:26" x14ac:dyDescent="0.25">
      <c r="P1247" s="10" t="str">
        <f>IF('[1]All Data '!AZ1252="","",'[1]All Data '!AZ1252)</f>
        <v/>
      </c>
      <c r="Q1247" s="10" t="str">
        <f>IF('[1]All Data '!BB1252="","",'[1]All Data '!BB1252)</f>
        <v/>
      </c>
      <c r="R1247" s="10" t="str">
        <f>IF('[1]All Data '!BD1252="","",'[1]All Data '!BD1252)</f>
        <v/>
      </c>
      <c r="S1247" s="11" t="str">
        <f>IF(R1247="","",'[1]All Data '!BE1252)</f>
        <v/>
      </c>
      <c r="T1247" s="12" t="str">
        <f>IF(S1247="","",[1]Inputs_Outputs!$B$8*(1-'LOCH Calc COE Calc'!S1247))</f>
        <v/>
      </c>
      <c r="U1247" s="13" t="str">
        <f t="shared" si="96"/>
        <v/>
      </c>
      <c r="V1247" s="13" t="str">
        <f t="shared" si="97"/>
        <v/>
      </c>
      <c r="W1247" s="4" t="str">
        <f t="shared" si="98"/>
        <v/>
      </c>
      <c r="X1247" t="str">
        <f>IF(W1247="","",LOOKUP(_xlfn.CONCAT(P1247,", ",Q1247),'[1]T+S Costs'!$F$2:$F$3138,'[1]T+S Costs'!$N$2:$N$3138))</f>
        <v/>
      </c>
      <c r="Y1247" s="14" t="str">
        <f t="shared" si="99"/>
        <v/>
      </c>
      <c r="Z1247" s="4" t="str">
        <f t="shared" si="100"/>
        <v/>
      </c>
    </row>
    <row r="1248" spans="16:26" x14ac:dyDescent="0.25">
      <c r="P1248" s="10" t="str">
        <f>IF('[1]All Data '!AZ1253="","",'[1]All Data '!AZ1253)</f>
        <v/>
      </c>
      <c r="Q1248" s="10" t="str">
        <f>IF('[1]All Data '!BB1253="","",'[1]All Data '!BB1253)</f>
        <v/>
      </c>
      <c r="R1248" s="10" t="str">
        <f>IF('[1]All Data '!BD1253="","",'[1]All Data '!BD1253)</f>
        <v/>
      </c>
      <c r="S1248" s="11" t="str">
        <f>IF(R1248="","",'[1]All Data '!BE1253)</f>
        <v/>
      </c>
      <c r="T1248" s="12" t="str">
        <f>IF(S1248="","",[1]Inputs_Outputs!$B$8*(1-'LOCH Calc COE Calc'!S1248))</f>
        <v/>
      </c>
      <c r="U1248" s="13" t="str">
        <f t="shared" si="96"/>
        <v/>
      </c>
      <c r="V1248" s="13" t="str">
        <f t="shared" si="97"/>
        <v/>
      </c>
      <c r="W1248" s="4" t="str">
        <f t="shared" si="98"/>
        <v/>
      </c>
      <c r="X1248" t="str">
        <f>IF(W1248="","",LOOKUP(_xlfn.CONCAT(P1248,", ",Q1248),'[1]T+S Costs'!$F$2:$F$3138,'[1]T+S Costs'!$N$2:$N$3138))</f>
        <v/>
      </c>
      <c r="Y1248" s="14" t="str">
        <f t="shared" si="99"/>
        <v/>
      </c>
      <c r="Z1248" s="4" t="str">
        <f t="shared" si="100"/>
        <v/>
      </c>
    </row>
    <row r="1249" spans="16:26" x14ac:dyDescent="0.25">
      <c r="P1249" s="10" t="str">
        <f>IF('[1]All Data '!AZ1254="","",'[1]All Data '!AZ1254)</f>
        <v/>
      </c>
      <c r="Q1249" s="10" t="str">
        <f>IF('[1]All Data '!BB1254="","",'[1]All Data '!BB1254)</f>
        <v/>
      </c>
      <c r="R1249" s="10" t="str">
        <f>IF('[1]All Data '!BD1254="","",'[1]All Data '!BD1254)</f>
        <v/>
      </c>
      <c r="S1249" s="11" t="str">
        <f>IF(R1249="","",'[1]All Data '!BE1254)</f>
        <v/>
      </c>
      <c r="T1249" s="12" t="str">
        <f>IF(S1249="","",[1]Inputs_Outputs!$B$8*(1-'LOCH Calc COE Calc'!S1249))</f>
        <v/>
      </c>
      <c r="U1249" s="13" t="str">
        <f t="shared" si="96"/>
        <v/>
      </c>
      <c r="V1249" s="13" t="str">
        <f t="shared" si="97"/>
        <v/>
      </c>
      <c r="W1249" s="4" t="str">
        <f t="shared" si="98"/>
        <v/>
      </c>
      <c r="X1249" t="str">
        <f>IF(W1249="","",LOOKUP(_xlfn.CONCAT(P1249,", ",Q1249),'[1]T+S Costs'!$F$2:$F$3138,'[1]T+S Costs'!$N$2:$N$3138))</f>
        <v/>
      </c>
      <c r="Y1249" s="14" t="str">
        <f t="shared" si="99"/>
        <v/>
      </c>
      <c r="Z1249" s="4" t="str">
        <f t="shared" si="100"/>
        <v/>
      </c>
    </row>
    <row r="1250" spans="16:26" x14ac:dyDescent="0.25">
      <c r="P1250" s="10" t="str">
        <f>IF('[1]All Data '!AZ1255="","",'[1]All Data '!AZ1255)</f>
        <v/>
      </c>
      <c r="Q1250" s="10" t="str">
        <f>IF('[1]All Data '!BB1255="","",'[1]All Data '!BB1255)</f>
        <v/>
      </c>
      <c r="R1250" s="10" t="str">
        <f>IF('[1]All Data '!BD1255="","",'[1]All Data '!BD1255)</f>
        <v/>
      </c>
      <c r="S1250" s="11" t="str">
        <f>IF(R1250="","",'[1]All Data '!BE1255)</f>
        <v/>
      </c>
      <c r="T1250" s="12" t="str">
        <f>IF(S1250="","",[1]Inputs_Outputs!$B$8*(1-'LOCH Calc COE Calc'!S1250))</f>
        <v/>
      </c>
      <c r="U1250" s="13" t="str">
        <f t="shared" si="96"/>
        <v/>
      </c>
      <c r="V1250" s="13" t="str">
        <f t="shared" si="97"/>
        <v/>
      </c>
      <c r="W1250" s="4" t="str">
        <f t="shared" si="98"/>
        <v/>
      </c>
      <c r="X1250" t="str">
        <f>IF(W1250="","",LOOKUP(_xlfn.CONCAT(P1250,", ",Q1250),'[1]T+S Costs'!$F$2:$F$3138,'[1]T+S Costs'!$N$2:$N$3138))</f>
        <v/>
      </c>
      <c r="Y1250" s="14" t="str">
        <f t="shared" si="99"/>
        <v/>
      </c>
      <c r="Z1250" s="4" t="str">
        <f t="shared" si="100"/>
        <v/>
      </c>
    </row>
    <row r="1251" spans="16:26" x14ac:dyDescent="0.25">
      <c r="P1251" s="10" t="str">
        <f>IF('[1]All Data '!AZ1256="","",'[1]All Data '!AZ1256)</f>
        <v/>
      </c>
      <c r="Q1251" s="10" t="str">
        <f>IF('[1]All Data '!BB1256="","",'[1]All Data '!BB1256)</f>
        <v/>
      </c>
      <c r="R1251" s="10" t="str">
        <f>IF('[1]All Data '!BD1256="","",'[1]All Data '!BD1256)</f>
        <v/>
      </c>
      <c r="S1251" s="11" t="str">
        <f>IF(R1251="","",'[1]All Data '!BE1256)</f>
        <v/>
      </c>
      <c r="T1251" s="12" t="str">
        <f>IF(S1251="","",[1]Inputs_Outputs!$B$8*(1-'LOCH Calc COE Calc'!S1251))</f>
        <v/>
      </c>
      <c r="U1251" s="13" t="str">
        <f t="shared" si="96"/>
        <v/>
      </c>
      <c r="V1251" s="13" t="str">
        <f t="shared" si="97"/>
        <v/>
      </c>
      <c r="W1251" s="4" t="str">
        <f t="shared" si="98"/>
        <v/>
      </c>
      <c r="X1251" t="str">
        <f>IF(W1251="","",LOOKUP(_xlfn.CONCAT(P1251,", ",Q1251),'[1]T+S Costs'!$F$2:$F$3138,'[1]T+S Costs'!$N$2:$N$3138))</f>
        <v/>
      </c>
      <c r="Y1251" s="14" t="str">
        <f t="shared" si="99"/>
        <v/>
      </c>
      <c r="Z1251" s="4" t="str">
        <f t="shared" si="100"/>
        <v/>
      </c>
    </row>
    <row r="1252" spans="16:26" x14ac:dyDescent="0.25">
      <c r="P1252" s="10" t="str">
        <f>IF('[1]All Data '!AZ1257="","",'[1]All Data '!AZ1257)</f>
        <v/>
      </c>
      <c r="Q1252" s="10" t="str">
        <f>IF('[1]All Data '!BB1257="","",'[1]All Data '!BB1257)</f>
        <v/>
      </c>
      <c r="R1252" s="10" t="str">
        <f>IF('[1]All Data '!BD1257="","",'[1]All Data '!BD1257)</f>
        <v/>
      </c>
      <c r="S1252" s="11" t="str">
        <f>IF(R1252="","",'[1]All Data '!BE1257)</f>
        <v/>
      </c>
      <c r="T1252" s="12" t="str">
        <f>IF(S1252="","",[1]Inputs_Outputs!$B$8*(1-'LOCH Calc COE Calc'!S1252))</f>
        <v/>
      </c>
      <c r="U1252" s="13" t="str">
        <f t="shared" si="96"/>
        <v/>
      </c>
      <c r="V1252" s="13" t="str">
        <f t="shared" si="97"/>
        <v/>
      </c>
      <c r="W1252" s="4" t="str">
        <f t="shared" si="98"/>
        <v/>
      </c>
      <c r="X1252" t="str">
        <f>IF(W1252="","",LOOKUP(_xlfn.CONCAT(P1252,", ",Q1252),'[1]T+S Costs'!$F$2:$F$3138,'[1]T+S Costs'!$N$2:$N$3138))</f>
        <v/>
      </c>
      <c r="Y1252" s="14" t="str">
        <f t="shared" si="99"/>
        <v/>
      </c>
      <c r="Z1252" s="4" t="str">
        <f t="shared" si="100"/>
        <v/>
      </c>
    </row>
    <row r="1253" spans="16:26" x14ac:dyDescent="0.25">
      <c r="P1253" s="10" t="str">
        <f>IF('[1]All Data '!AZ1258="","",'[1]All Data '!AZ1258)</f>
        <v/>
      </c>
      <c r="Q1253" s="10" t="str">
        <f>IF('[1]All Data '!BB1258="","",'[1]All Data '!BB1258)</f>
        <v/>
      </c>
      <c r="R1253" s="10" t="str">
        <f>IF('[1]All Data '!BD1258="","",'[1]All Data '!BD1258)</f>
        <v/>
      </c>
      <c r="S1253" s="11" t="str">
        <f>IF(R1253="","",'[1]All Data '!BE1258)</f>
        <v/>
      </c>
      <c r="T1253" s="12" t="str">
        <f>IF(S1253="","",[1]Inputs_Outputs!$B$8*(1-'LOCH Calc COE Calc'!S1253))</f>
        <v/>
      </c>
      <c r="U1253" s="13" t="str">
        <f t="shared" si="96"/>
        <v/>
      </c>
      <c r="V1253" s="13" t="str">
        <f t="shared" si="97"/>
        <v/>
      </c>
      <c r="W1253" s="4" t="str">
        <f t="shared" si="98"/>
        <v/>
      </c>
      <c r="X1253" t="str">
        <f>IF(W1253="","",LOOKUP(_xlfn.CONCAT(P1253,", ",Q1253),'[1]T+S Costs'!$F$2:$F$3138,'[1]T+S Costs'!$N$2:$N$3138))</f>
        <v/>
      </c>
      <c r="Y1253" s="14" t="str">
        <f t="shared" si="99"/>
        <v/>
      </c>
      <c r="Z1253" s="4" t="str">
        <f t="shared" si="100"/>
        <v/>
      </c>
    </row>
    <row r="1254" spans="16:26" x14ac:dyDescent="0.25">
      <c r="P1254" s="10" t="str">
        <f>IF('[1]All Data '!AZ1259="","",'[1]All Data '!AZ1259)</f>
        <v/>
      </c>
      <c r="Q1254" s="10" t="str">
        <f>IF('[1]All Data '!BB1259="","",'[1]All Data '!BB1259)</f>
        <v/>
      </c>
      <c r="R1254" s="10" t="str">
        <f>IF('[1]All Data '!BD1259="","",'[1]All Data '!BD1259)</f>
        <v/>
      </c>
      <c r="S1254" s="11" t="str">
        <f>IF(R1254="","",'[1]All Data '!BE1259)</f>
        <v/>
      </c>
      <c r="T1254" s="12" t="str">
        <f>IF(S1254="","",[1]Inputs_Outputs!$B$8*(1-'LOCH Calc COE Calc'!S1254))</f>
        <v/>
      </c>
      <c r="U1254" s="13" t="str">
        <f t="shared" si="96"/>
        <v/>
      </c>
      <c r="V1254" s="13" t="str">
        <f t="shared" si="97"/>
        <v/>
      </c>
      <c r="W1254" s="4" t="str">
        <f t="shared" si="98"/>
        <v/>
      </c>
      <c r="X1254" t="str">
        <f>IF(W1254="","",LOOKUP(_xlfn.CONCAT(P1254,", ",Q1254),'[1]T+S Costs'!$F$2:$F$3138,'[1]T+S Costs'!$N$2:$N$3138))</f>
        <v/>
      </c>
      <c r="Y1254" s="14" t="str">
        <f t="shared" si="99"/>
        <v/>
      </c>
      <c r="Z1254" s="4" t="str">
        <f t="shared" si="100"/>
        <v/>
      </c>
    </row>
    <row r="1255" spans="16:26" x14ac:dyDescent="0.25">
      <c r="P1255" s="10" t="str">
        <f>IF('[1]All Data '!AZ1260="","",'[1]All Data '!AZ1260)</f>
        <v/>
      </c>
      <c r="Q1255" s="10" t="str">
        <f>IF('[1]All Data '!BB1260="","",'[1]All Data '!BB1260)</f>
        <v/>
      </c>
      <c r="R1255" s="10" t="str">
        <f>IF('[1]All Data '!BD1260="","",'[1]All Data '!BD1260)</f>
        <v/>
      </c>
      <c r="S1255" s="11" t="str">
        <f>IF(R1255="","",'[1]All Data '!BE1260)</f>
        <v/>
      </c>
      <c r="T1255" s="12" t="str">
        <f>IF(S1255="","",[1]Inputs_Outputs!$B$8*(1-'LOCH Calc COE Calc'!S1255))</f>
        <v/>
      </c>
      <c r="U1255" s="13" t="str">
        <f t="shared" si="96"/>
        <v/>
      </c>
      <c r="V1255" s="13" t="str">
        <f t="shared" si="97"/>
        <v/>
      </c>
      <c r="W1255" s="4" t="str">
        <f t="shared" si="98"/>
        <v/>
      </c>
      <c r="X1255" t="str">
        <f>IF(W1255="","",LOOKUP(_xlfn.CONCAT(P1255,", ",Q1255),'[1]T+S Costs'!$F$2:$F$3138,'[1]T+S Costs'!$N$2:$N$3138))</f>
        <v/>
      </c>
      <c r="Y1255" s="14" t="str">
        <f t="shared" si="99"/>
        <v/>
      </c>
      <c r="Z1255" s="4" t="str">
        <f t="shared" si="100"/>
        <v/>
      </c>
    </row>
    <row r="1256" spans="16:26" x14ac:dyDescent="0.25">
      <c r="P1256" s="10" t="str">
        <f>IF('[1]All Data '!AZ1261="","",'[1]All Data '!AZ1261)</f>
        <v/>
      </c>
      <c r="Q1256" s="10" t="str">
        <f>IF('[1]All Data '!BB1261="","",'[1]All Data '!BB1261)</f>
        <v/>
      </c>
      <c r="R1256" s="10" t="str">
        <f>IF('[1]All Data '!BD1261="","",'[1]All Data '!BD1261)</f>
        <v/>
      </c>
      <c r="S1256" s="11" t="str">
        <f>IF(R1256="","",'[1]All Data '!BE1261)</f>
        <v/>
      </c>
      <c r="T1256" s="12" t="str">
        <f>IF(S1256="","",[1]Inputs_Outputs!$B$8*(1-'LOCH Calc COE Calc'!S1256))</f>
        <v/>
      </c>
      <c r="U1256" s="13" t="str">
        <f t="shared" si="96"/>
        <v/>
      </c>
      <c r="V1256" s="13" t="str">
        <f t="shared" si="97"/>
        <v/>
      </c>
      <c r="W1256" s="4" t="str">
        <f t="shared" si="98"/>
        <v/>
      </c>
      <c r="X1256" t="str">
        <f>IF(W1256="","",LOOKUP(_xlfn.CONCAT(P1256,", ",Q1256),'[1]T+S Costs'!$F$2:$F$3138,'[1]T+S Costs'!$N$2:$N$3138))</f>
        <v/>
      </c>
      <c r="Y1256" s="14" t="str">
        <f t="shared" si="99"/>
        <v/>
      </c>
      <c r="Z1256" s="4" t="str">
        <f t="shared" si="100"/>
        <v/>
      </c>
    </row>
    <row r="1257" spans="16:26" x14ac:dyDescent="0.25">
      <c r="P1257" s="10" t="str">
        <f>IF('[1]All Data '!AZ1262="","",'[1]All Data '!AZ1262)</f>
        <v/>
      </c>
      <c r="Q1257" s="10" t="str">
        <f>IF('[1]All Data '!BB1262="","",'[1]All Data '!BB1262)</f>
        <v/>
      </c>
      <c r="R1257" s="10" t="str">
        <f>IF('[1]All Data '!BD1262="","",'[1]All Data '!BD1262)</f>
        <v/>
      </c>
      <c r="S1257" s="11" t="str">
        <f>IF(R1257="","",'[1]All Data '!BE1262)</f>
        <v/>
      </c>
      <c r="T1257" s="12" t="str">
        <f>IF(S1257="","",[1]Inputs_Outputs!$B$8*(1-'LOCH Calc COE Calc'!S1257))</f>
        <v/>
      </c>
      <c r="U1257" s="13" t="str">
        <f t="shared" si="96"/>
        <v/>
      </c>
      <c r="V1257" s="13" t="str">
        <f t="shared" si="97"/>
        <v/>
      </c>
      <c r="W1257" s="4" t="str">
        <f t="shared" si="98"/>
        <v/>
      </c>
      <c r="X1257" t="str">
        <f>IF(W1257="","",LOOKUP(_xlfn.CONCAT(P1257,", ",Q1257),'[1]T+S Costs'!$F$2:$F$3138,'[1]T+S Costs'!$N$2:$N$3138))</f>
        <v/>
      </c>
      <c r="Y1257" s="14" t="str">
        <f t="shared" si="99"/>
        <v/>
      </c>
      <c r="Z1257" s="4" t="str">
        <f t="shared" si="100"/>
        <v/>
      </c>
    </row>
    <row r="1258" spans="16:26" x14ac:dyDescent="0.25">
      <c r="P1258" s="10" t="str">
        <f>IF('[1]All Data '!AZ1263="","",'[1]All Data '!AZ1263)</f>
        <v/>
      </c>
      <c r="Q1258" s="10" t="str">
        <f>IF('[1]All Data '!BB1263="","",'[1]All Data '!BB1263)</f>
        <v/>
      </c>
      <c r="R1258" s="10" t="str">
        <f>IF('[1]All Data '!BD1263="","",'[1]All Data '!BD1263)</f>
        <v/>
      </c>
      <c r="S1258" s="11" t="str">
        <f>IF(R1258="","",'[1]All Data '!BE1263)</f>
        <v/>
      </c>
      <c r="T1258" s="12" t="str">
        <f>IF(S1258="","",[1]Inputs_Outputs!$B$8*(1-'LOCH Calc COE Calc'!S1258))</f>
        <v/>
      </c>
      <c r="U1258" s="13" t="str">
        <f t="shared" si="96"/>
        <v/>
      </c>
      <c r="V1258" s="13" t="str">
        <f t="shared" si="97"/>
        <v/>
      </c>
      <c r="W1258" s="4" t="str">
        <f t="shared" si="98"/>
        <v/>
      </c>
      <c r="X1258" t="str">
        <f>IF(W1258="","",LOOKUP(_xlfn.CONCAT(P1258,", ",Q1258),'[1]T+S Costs'!$F$2:$F$3138,'[1]T+S Costs'!$N$2:$N$3138))</f>
        <v/>
      </c>
      <c r="Y1258" s="14" t="str">
        <f t="shared" si="99"/>
        <v/>
      </c>
      <c r="Z1258" s="4" t="str">
        <f t="shared" si="100"/>
        <v/>
      </c>
    </row>
    <row r="1259" spans="16:26" x14ac:dyDescent="0.25">
      <c r="P1259" s="10" t="str">
        <f>IF('[1]All Data '!AZ1264="","",'[1]All Data '!AZ1264)</f>
        <v/>
      </c>
      <c r="Q1259" s="10" t="str">
        <f>IF('[1]All Data '!BB1264="","",'[1]All Data '!BB1264)</f>
        <v/>
      </c>
      <c r="R1259" s="10" t="str">
        <f>IF('[1]All Data '!BD1264="","",'[1]All Data '!BD1264)</f>
        <v/>
      </c>
      <c r="S1259" s="11" t="str">
        <f>IF(R1259="","",'[1]All Data '!BE1264)</f>
        <v/>
      </c>
      <c r="T1259" s="12" t="str">
        <f>IF(S1259="","",[1]Inputs_Outputs!$B$8*(1-'LOCH Calc COE Calc'!S1259))</f>
        <v/>
      </c>
      <c r="U1259" s="13" t="str">
        <f t="shared" si="96"/>
        <v/>
      </c>
      <c r="V1259" s="13" t="str">
        <f t="shared" si="97"/>
        <v/>
      </c>
      <c r="W1259" s="4" t="str">
        <f t="shared" si="98"/>
        <v/>
      </c>
      <c r="X1259" t="str">
        <f>IF(W1259="","",LOOKUP(_xlfn.CONCAT(P1259,", ",Q1259),'[1]T+S Costs'!$F$2:$F$3138,'[1]T+S Costs'!$N$2:$N$3138))</f>
        <v/>
      </c>
      <c r="Y1259" s="14" t="str">
        <f t="shared" si="99"/>
        <v/>
      </c>
      <c r="Z1259" s="4" t="str">
        <f t="shared" si="100"/>
        <v/>
      </c>
    </row>
    <row r="1260" spans="16:26" x14ac:dyDescent="0.25">
      <c r="P1260" s="10" t="str">
        <f>IF('[1]All Data '!AZ1265="","",'[1]All Data '!AZ1265)</f>
        <v/>
      </c>
      <c r="Q1260" s="10" t="str">
        <f>IF('[1]All Data '!BB1265="","",'[1]All Data '!BB1265)</f>
        <v/>
      </c>
      <c r="R1260" s="10" t="str">
        <f>IF('[1]All Data '!BD1265="","",'[1]All Data '!BD1265)</f>
        <v/>
      </c>
      <c r="S1260" s="11" t="str">
        <f>IF(R1260="","",'[1]All Data '!BE1265)</f>
        <v/>
      </c>
      <c r="T1260" s="12" t="str">
        <f>IF(S1260="","",[1]Inputs_Outputs!$B$8*(1-'LOCH Calc COE Calc'!S1260))</f>
        <v/>
      </c>
      <c r="U1260" s="13" t="str">
        <f t="shared" si="96"/>
        <v/>
      </c>
      <c r="V1260" s="13" t="str">
        <f t="shared" si="97"/>
        <v/>
      </c>
      <c r="W1260" s="4" t="str">
        <f t="shared" si="98"/>
        <v/>
      </c>
      <c r="X1260" t="str">
        <f>IF(W1260="","",LOOKUP(_xlfn.CONCAT(P1260,", ",Q1260),'[1]T+S Costs'!$F$2:$F$3138,'[1]T+S Costs'!$N$2:$N$3138))</f>
        <v/>
      </c>
      <c r="Y1260" s="14" t="str">
        <f t="shared" si="99"/>
        <v/>
      </c>
      <c r="Z1260" s="4" t="str">
        <f t="shared" si="100"/>
        <v/>
      </c>
    </row>
    <row r="1261" spans="16:26" x14ac:dyDescent="0.25">
      <c r="P1261" s="10" t="str">
        <f>IF('[1]All Data '!AZ1266="","",'[1]All Data '!AZ1266)</f>
        <v/>
      </c>
      <c r="Q1261" s="10" t="str">
        <f>IF('[1]All Data '!BB1266="","",'[1]All Data '!BB1266)</f>
        <v/>
      </c>
      <c r="R1261" s="10" t="str">
        <f>IF('[1]All Data '!BD1266="","",'[1]All Data '!BD1266)</f>
        <v/>
      </c>
      <c r="S1261" s="11" t="str">
        <f>IF(R1261="","",'[1]All Data '!BE1266)</f>
        <v/>
      </c>
      <c r="T1261" s="12" t="str">
        <f>IF(S1261="","",[1]Inputs_Outputs!$B$8*(1-'LOCH Calc COE Calc'!S1261))</f>
        <v/>
      </c>
      <c r="U1261" s="13" t="str">
        <f t="shared" si="96"/>
        <v/>
      </c>
      <c r="V1261" s="13" t="str">
        <f t="shared" si="97"/>
        <v/>
      </c>
      <c r="W1261" s="4" t="str">
        <f t="shared" si="98"/>
        <v/>
      </c>
      <c r="X1261" t="str">
        <f>IF(W1261="","",LOOKUP(_xlfn.CONCAT(P1261,", ",Q1261),'[1]T+S Costs'!$F$2:$F$3138,'[1]T+S Costs'!$N$2:$N$3138))</f>
        <v/>
      </c>
      <c r="Y1261" s="14" t="str">
        <f t="shared" si="99"/>
        <v/>
      </c>
      <c r="Z1261" s="4" t="str">
        <f t="shared" si="100"/>
        <v/>
      </c>
    </row>
    <row r="1262" spans="16:26" x14ac:dyDescent="0.25">
      <c r="P1262" s="10" t="str">
        <f>IF('[1]All Data '!AZ1267="","",'[1]All Data '!AZ1267)</f>
        <v/>
      </c>
      <c r="Q1262" s="10" t="str">
        <f>IF('[1]All Data '!BB1267="","",'[1]All Data '!BB1267)</f>
        <v/>
      </c>
      <c r="R1262" s="10" t="str">
        <f>IF('[1]All Data '!BD1267="","",'[1]All Data '!BD1267)</f>
        <v/>
      </c>
      <c r="S1262" s="11" t="str">
        <f>IF(R1262="","",'[1]All Data '!BE1267)</f>
        <v/>
      </c>
      <c r="T1262" s="12" t="str">
        <f>IF(S1262="","",[1]Inputs_Outputs!$B$8*(1-'LOCH Calc COE Calc'!S1262))</f>
        <v/>
      </c>
      <c r="U1262" s="13" t="str">
        <f t="shared" si="96"/>
        <v/>
      </c>
      <c r="V1262" s="13" t="str">
        <f t="shared" si="97"/>
        <v/>
      </c>
      <c r="W1262" s="4" t="str">
        <f t="shared" si="98"/>
        <v/>
      </c>
      <c r="X1262" t="str">
        <f>IF(W1262="","",LOOKUP(_xlfn.CONCAT(P1262,", ",Q1262),'[1]T+S Costs'!$F$2:$F$3138,'[1]T+S Costs'!$N$2:$N$3138))</f>
        <v/>
      </c>
      <c r="Y1262" s="14" t="str">
        <f t="shared" si="99"/>
        <v/>
      </c>
      <c r="Z1262" s="4" t="str">
        <f t="shared" si="100"/>
        <v/>
      </c>
    </row>
    <row r="1263" spans="16:26" x14ac:dyDescent="0.25">
      <c r="P1263" s="10" t="str">
        <f>IF('[1]All Data '!AZ1268="","",'[1]All Data '!AZ1268)</f>
        <v/>
      </c>
      <c r="Q1263" s="10" t="str">
        <f>IF('[1]All Data '!BB1268="","",'[1]All Data '!BB1268)</f>
        <v/>
      </c>
      <c r="R1263" s="10" t="str">
        <f>IF('[1]All Data '!BD1268="","",'[1]All Data '!BD1268)</f>
        <v/>
      </c>
      <c r="S1263" s="11" t="str">
        <f>IF(R1263="","",'[1]All Data '!BE1268)</f>
        <v/>
      </c>
      <c r="T1263" s="12" t="str">
        <f>IF(S1263="","",[1]Inputs_Outputs!$B$8*(1-'LOCH Calc COE Calc'!S1263))</f>
        <v/>
      </c>
      <c r="U1263" s="13" t="str">
        <f t="shared" si="96"/>
        <v/>
      </c>
      <c r="V1263" s="13" t="str">
        <f t="shared" si="97"/>
        <v/>
      </c>
      <c r="W1263" s="4" t="str">
        <f t="shared" si="98"/>
        <v/>
      </c>
      <c r="X1263" t="str">
        <f>IF(W1263="","",LOOKUP(_xlfn.CONCAT(P1263,", ",Q1263),'[1]T+S Costs'!$F$2:$F$3138,'[1]T+S Costs'!$N$2:$N$3138))</f>
        <v/>
      </c>
      <c r="Y1263" s="14" t="str">
        <f t="shared" si="99"/>
        <v/>
      </c>
      <c r="Z1263" s="4" t="str">
        <f t="shared" si="100"/>
        <v/>
      </c>
    </row>
    <row r="1264" spans="16:26" x14ac:dyDescent="0.25">
      <c r="P1264" s="10" t="str">
        <f>IF('[1]All Data '!AZ1269="","",'[1]All Data '!AZ1269)</f>
        <v/>
      </c>
      <c r="Q1264" s="10" t="str">
        <f>IF('[1]All Data '!BB1269="","",'[1]All Data '!BB1269)</f>
        <v/>
      </c>
      <c r="R1264" s="10" t="str">
        <f>IF('[1]All Data '!BD1269="","",'[1]All Data '!BD1269)</f>
        <v/>
      </c>
      <c r="S1264" s="11" t="str">
        <f>IF(R1264="","",'[1]All Data '!BE1269)</f>
        <v/>
      </c>
      <c r="T1264" s="12" t="str">
        <f>IF(S1264="","",[1]Inputs_Outputs!$B$8*(1-'LOCH Calc COE Calc'!S1264))</f>
        <v/>
      </c>
      <c r="U1264" s="13" t="str">
        <f t="shared" si="96"/>
        <v/>
      </c>
      <c r="V1264" s="13" t="str">
        <f t="shared" si="97"/>
        <v/>
      </c>
      <c r="W1264" s="4" t="str">
        <f t="shared" si="98"/>
        <v/>
      </c>
      <c r="X1264" t="str">
        <f>IF(W1264="","",LOOKUP(_xlfn.CONCAT(P1264,", ",Q1264),'[1]T+S Costs'!$F$2:$F$3138,'[1]T+S Costs'!$N$2:$N$3138))</f>
        <v/>
      </c>
      <c r="Y1264" s="14" t="str">
        <f t="shared" si="99"/>
        <v/>
      </c>
      <c r="Z1264" s="4" t="str">
        <f t="shared" si="100"/>
        <v/>
      </c>
    </row>
    <row r="1265" spans="16:26" x14ac:dyDescent="0.25">
      <c r="P1265" s="10" t="str">
        <f>IF('[1]All Data '!AZ1270="","",'[1]All Data '!AZ1270)</f>
        <v/>
      </c>
      <c r="Q1265" s="10" t="str">
        <f>IF('[1]All Data '!BB1270="","",'[1]All Data '!BB1270)</f>
        <v/>
      </c>
      <c r="R1265" s="10" t="str">
        <f>IF('[1]All Data '!BD1270="","",'[1]All Data '!BD1270)</f>
        <v/>
      </c>
      <c r="S1265" s="11" t="str">
        <f>IF(R1265="","",'[1]All Data '!BE1270)</f>
        <v/>
      </c>
      <c r="T1265" s="12" t="str">
        <f>IF(S1265="","",[1]Inputs_Outputs!$B$8*(1-'LOCH Calc COE Calc'!S1265))</f>
        <v/>
      </c>
      <c r="U1265" s="13" t="str">
        <f t="shared" si="96"/>
        <v/>
      </c>
      <c r="V1265" s="13" t="str">
        <f t="shared" si="97"/>
        <v/>
      </c>
      <c r="W1265" s="4" t="str">
        <f t="shared" si="98"/>
        <v/>
      </c>
      <c r="X1265" t="str">
        <f>IF(W1265="","",LOOKUP(_xlfn.CONCAT(P1265,", ",Q1265),'[1]T+S Costs'!$F$2:$F$3138,'[1]T+S Costs'!$N$2:$N$3138))</f>
        <v/>
      </c>
      <c r="Y1265" s="14" t="str">
        <f t="shared" si="99"/>
        <v/>
      </c>
      <c r="Z1265" s="4" t="str">
        <f t="shared" si="100"/>
        <v/>
      </c>
    </row>
    <row r="1266" spans="16:26" x14ac:dyDescent="0.25">
      <c r="P1266" s="10" t="str">
        <f>IF('[1]All Data '!AZ1271="","",'[1]All Data '!AZ1271)</f>
        <v/>
      </c>
      <c r="Q1266" s="10" t="str">
        <f>IF('[1]All Data '!BB1271="","",'[1]All Data '!BB1271)</f>
        <v/>
      </c>
      <c r="R1266" s="10" t="str">
        <f>IF('[1]All Data '!BD1271="","",'[1]All Data '!BD1271)</f>
        <v/>
      </c>
      <c r="S1266" s="11" t="str">
        <f>IF(R1266="","",'[1]All Data '!BE1271)</f>
        <v/>
      </c>
      <c r="T1266" s="12" t="str">
        <f>IF(S1266="","",[1]Inputs_Outputs!$B$8*(1-'LOCH Calc COE Calc'!S1266))</f>
        <v/>
      </c>
      <c r="U1266" s="13" t="str">
        <f t="shared" si="96"/>
        <v/>
      </c>
      <c r="V1266" s="13" t="str">
        <f t="shared" si="97"/>
        <v/>
      </c>
      <c r="W1266" s="4" t="str">
        <f t="shared" si="98"/>
        <v/>
      </c>
      <c r="X1266" t="str">
        <f>IF(W1266="","",LOOKUP(_xlfn.CONCAT(P1266,", ",Q1266),'[1]T+S Costs'!$F$2:$F$3138,'[1]T+S Costs'!$N$2:$N$3138))</f>
        <v/>
      </c>
      <c r="Y1266" s="14" t="str">
        <f t="shared" si="99"/>
        <v/>
      </c>
      <c r="Z1266" s="4" t="str">
        <f t="shared" si="100"/>
        <v/>
      </c>
    </row>
    <row r="1267" spans="16:26" x14ac:dyDescent="0.25">
      <c r="P1267" s="10" t="str">
        <f>IF('[1]All Data '!AZ1272="","",'[1]All Data '!AZ1272)</f>
        <v/>
      </c>
      <c r="Q1267" s="10" t="str">
        <f>IF('[1]All Data '!BB1272="","",'[1]All Data '!BB1272)</f>
        <v/>
      </c>
      <c r="R1267" s="10" t="str">
        <f>IF('[1]All Data '!BD1272="","",'[1]All Data '!BD1272)</f>
        <v/>
      </c>
      <c r="S1267" s="11" t="str">
        <f>IF(R1267="","",'[1]All Data '!BE1272)</f>
        <v/>
      </c>
      <c r="T1267" s="12" t="str">
        <f>IF(S1267="","",[1]Inputs_Outputs!$B$8*(1-'LOCH Calc COE Calc'!S1267))</f>
        <v/>
      </c>
      <c r="U1267" s="13" t="str">
        <f t="shared" si="96"/>
        <v/>
      </c>
      <c r="V1267" s="13" t="str">
        <f t="shared" si="97"/>
        <v/>
      </c>
      <c r="W1267" s="4" t="str">
        <f t="shared" si="98"/>
        <v/>
      </c>
      <c r="X1267" t="str">
        <f>IF(W1267="","",LOOKUP(_xlfn.CONCAT(P1267,", ",Q1267),'[1]T+S Costs'!$F$2:$F$3138,'[1]T+S Costs'!$N$2:$N$3138))</f>
        <v/>
      </c>
      <c r="Y1267" s="14" t="str">
        <f t="shared" si="99"/>
        <v/>
      </c>
      <c r="Z1267" s="4" t="str">
        <f t="shared" si="100"/>
        <v/>
      </c>
    </row>
    <row r="1268" spans="16:26" x14ac:dyDescent="0.25">
      <c r="P1268" s="10" t="str">
        <f>IF('[1]All Data '!AZ1273="","",'[1]All Data '!AZ1273)</f>
        <v/>
      </c>
      <c r="Q1268" s="10" t="str">
        <f>IF('[1]All Data '!BB1273="","",'[1]All Data '!BB1273)</f>
        <v/>
      </c>
      <c r="R1268" s="10" t="str">
        <f>IF('[1]All Data '!BD1273="","",'[1]All Data '!BD1273)</f>
        <v/>
      </c>
      <c r="S1268" s="11" t="str">
        <f>IF(R1268="","",'[1]All Data '!BE1273)</f>
        <v/>
      </c>
      <c r="T1268" s="12" t="str">
        <f>IF(S1268="","",[1]Inputs_Outputs!$B$8*(1-'LOCH Calc COE Calc'!S1268))</f>
        <v/>
      </c>
      <c r="U1268" s="13" t="str">
        <f t="shared" si="96"/>
        <v/>
      </c>
      <c r="V1268" s="13" t="str">
        <f t="shared" si="97"/>
        <v/>
      </c>
      <c r="W1268" s="4" t="str">
        <f t="shared" si="98"/>
        <v/>
      </c>
      <c r="X1268" t="str">
        <f>IF(W1268="","",LOOKUP(_xlfn.CONCAT(P1268,", ",Q1268),'[1]T+S Costs'!$F$2:$F$3138,'[1]T+S Costs'!$N$2:$N$3138))</f>
        <v/>
      </c>
      <c r="Y1268" s="14" t="str">
        <f t="shared" si="99"/>
        <v/>
      </c>
      <c r="Z1268" s="4" t="str">
        <f t="shared" si="100"/>
        <v/>
      </c>
    </row>
    <row r="1269" spans="16:26" x14ac:dyDescent="0.25">
      <c r="P1269" s="10" t="str">
        <f>IF('[1]All Data '!AZ1274="","",'[1]All Data '!AZ1274)</f>
        <v/>
      </c>
      <c r="Q1269" s="10" t="str">
        <f>IF('[1]All Data '!BB1274="","",'[1]All Data '!BB1274)</f>
        <v/>
      </c>
      <c r="R1269" s="10" t="str">
        <f>IF('[1]All Data '!BD1274="","",'[1]All Data '!BD1274)</f>
        <v/>
      </c>
      <c r="S1269" s="11" t="str">
        <f>IF(R1269="","",'[1]All Data '!BE1274)</f>
        <v/>
      </c>
      <c r="T1269" s="12" t="str">
        <f>IF(S1269="","",[1]Inputs_Outputs!$B$8*(1-'LOCH Calc COE Calc'!S1269))</f>
        <v/>
      </c>
      <c r="U1269" s="13" t="str">
        <f t="shared" si="96"/>
        <v/>
      </c>
      <c r="V1269" s="13" t="str">
        <f t="shared" si="97"/>
        <v/>
      </c>
      <c r="W1269" s="4" t="str">
        <f t="shared" si="98"/>
        <v/>
      </c>
      <c r="X1269" t="str">
        <f>IF(W1269="","",LOOKUP(_xlfn.CONCAT(P1269,", ",Q1269),'[1]T+S Costs'!$F$2:$F$3138,'[1]T+S Costs'!$N$2:$N$3138))</f>
        <v/>
      </c>
      <c r="Y1269" s="14" t="str">
        <f t="shared" si="99"/>
        <v/>
      </c>
      <c r="Z1269" s="4" t="str">
        <f t="shared" si="100"/>
        <v/>
      </c>
    </row>
    <row r="1270" spans="16:26" x14ac:dyDescent="0.25">
      <c r="P1270" s="10" t="str">
        <f>IF('[1]All Data '!AZ1275="","",'[1]All Data '!AZ1275)</f>
        <v/>
      </c>
      <c r="Q1270" s="10" t="str">
        <f>IF('[1]All Data '!BB1275="","",'[1]All Data '!BB1275)</f>
        <v/>
      </c>
      <c r="R1270" s="10" t="str">
        <f>IF('[1]All Data '!BD1275="","",'[1]All Data '!BD1275)</f>
        <v/>
      </c>
      <c r="S1270" s="11" t="str">
        <f>IF(R1270="","",'[1]All Data '!BE1275)</f>
        <v/>
      </c>
      <c r="T1270" s="12" t="str">
        <f>IF(S1270="","",[1]Inputs_Outputs!$B$8*(1-'LOCH Calc COE Calc'!S1270))</f>
        <v/>
      </c>
      <c r="U1270" s="13" t="str">
        <f t="shared" si="96"/>
        <v/>
      </c>
      <c r="V1270" s="13" t="str">
        <f t="shared" si="97"/>
        <v/>
      </c>
      <c r="W1270" s="4" t="str">
        <f t="shared" si="98"/>
        <v/>
      </c>
      <c r="X1270" t="str">
        <f>IF(W1270="","",LOOKUP(_xlfn.CONCAT(P1270,", ",Q1270),'[1]T+S Costs'!$F$2:$F$3138,'[1]T+S Costs'!$N$2:$N$3138))</f>
        <v/>
      </c>
      <c r="Y1270" s="14" t="str">
        <f t="shared" si="99"/>
        <v/>
      </c>
      <c r="Z1270" s="4" t="str">
        <f t="shared" si="100"/>
        <v/>
      </c>
    </row>
    <row r="1271" spans="16:26" x14ac:dyDescent="0.25">
      <c r="P1271" s="10" t="str">
        <f>IF('[1]All Data '!AZ1276="","",'[1]All Data '!AZ1276)</f>
        <v/>
      </c>
      <c r="Q1271" s="10" t="str">
        <f>IF('[1]All Data '!BB1276="","",'[1]All Data '!BB1276)</f>
        <v/>
      </c>
      <c r="R1271" s="10" t="str">
        <f>IF('[1]All Data '!BD1276="","",'[1]All Data '!BD1276)</f>
        <v/>
      </c>
      <c r="S1271" s="11" t="str">
        <f>IF(R1271="","",'[1]All Data '!BE1276)</f>
        <v/>
      </c>
      <c r="T1271" s="12" t="str">
        <f>IF(S1271="","",[1]Inputs_Outputs!$B$8*(1-'LOCH Calc COE Calc'!S1271))</f>
        <v/>
      </c>
      <c r="U1271" s="13" t="str">
        <f t="shared" si="96"/>
        <v/>
      </c>
      <c r="V1271" s="13" t="str">
        <f t="shared" si="97"/>
        <v/>
      </c>
      <c r="W1271" s="4" t="str">
        <f t="shared" si="98"/>
        <v/>
      </c>
      <c r="X1271" t="str">
        <f>IF(W1271="","",LOOKUP(_xlfn.CONCAT(P1271,", ",Q1271),'[1]T+S Costs'!$F$2:$F$3138,'[1]T+S Costs'!$N$2:$N$3138))</f>
        <v/>
      </c>
      <c r="Y1271" s="14" t="str">
        <f t="shared" si="99"/>
        <v/>
      </c>
      <c r="Z1271" s="4" t="str">
        <f t="shared" si="100"/>
        <v/>
      </c>
    </row>
    <row r="1272" spans="16:26" x14ac:dyDescent="0.25">
      <c r="P1272" s="10" t="str">
        <f>IF('[1]All Data '!AZ1277="","",'[1]All Data '!AZ1277)</f>
        <v/>
      </c>
      <c r="Q1272" s="10" t="str">
        <f>IF('[1]All Data '!BB1277="","",'[1]All Data '!BB1277)</f>
        <v/>
      </c>
      <c r="R1272" s="10" t="str">
        <f>IF('[1]All Data '!BD1277="","",'[1]All Data '!BD1277)</f>
        <v/>
      </c>
      <c r="S1272" s="11" t="str">
        <f>IF(R1272="","",'[1]All Data '!BE1277)</f>
        <v/>
      </c>
      <c r="T1272" s="12" t="str">
        <f>IF(S1272="","",[1]Inputs_Outputs!$B$8*(1-'LOCH Calc COE Calc'!S1272))</f>
        <v/>
      </c>
      <c r="U1272" s="13" t="str">
        <f t="shared" si="96"/>
        <v/>
      </c>
      <c r="V1272" s="13" t="str">
        <f t="shared" si="97"/>
        <v/>
      </c>
      <c r="W1272" s="4" t="str">
        <f t="shared" si="98"/>
        <v/>
      </c>
      <c r="X1272" t="str">
        <f>IF(W1272="","",LOOKUP(_xlfn.CONCAT(P1272,", ",Q1272),'[1]T+S Costs'!$F$2:$F$3138,'[1]T+S Costs'!$N$2:$N$3138))</f>
        <v/>
      </c>
      <c r="Y1272" s="14" t="str">
        <f t="shared" si="99"/>
        <v/>
      </c>
      <c r="Z1272" s="4" t="str">
        <f t="shared" si="100"/>
        <v/>
      </c>
    </row>
    <row r="1273" spans="16:26" x14ac:dyDescent="0.25">
      <c r="P1273" s="10" t="str">
        <f>IF('[1]All Data '!AZ1278="","",'[1]All Data '!AZ1278)</f>
        <v/>
      </c>
      <c r="Q1273" s="10" t="str">
        <f>IF('[1]All Data '!BB1278="","",'[1]All Data '!BB1278)</f>
        <v/>
      </c>
      <c r="R1273" s="10" t="str">
        <f>IF('[1]All Data '!BD1278="","",'[1]All Data '!BD1278)</f>
        <v/>
      </c>
      <c r="S1273" s="11" t="str">
        <f>IF(R1273="","",'[1]All Data '!BE1278)</f>
        <v/>
      </c>
      <c r="T1273" s="12" t="str">
        <f>IF(S1273="","",[1]Inputs_Outputs!$B$8*(1-'LOCH Calc COE Calc'!S1273))</f>
        <v/>
      </c>
      <c r="U1273" s="13" t="str">
        <f t="shared" si="96"/>
        <v/>
      </c>
      <c r="V1273" s="13" t="str">
        <f t="shared" si="97"/>
        <v/>
      </c>
      <c r="W1273" s="4" t="str">
        <f t="shared" si="98"/>
        <v/>
      </c>
      <c r="X1273" t="str">
        <f>IF(W1273="","",LOOKUP(_xlfn.CONCAT(P1273,", ",Q1273),'[1]T+S Costs'!$F$2:$F$3138,'[1]T+S Costs'!$N$2:$N$3138))</f>
        <v/>
      </c>
      <c r="Y1273" s="14" t="str">
        <f t="shared" si="99"/>
        <v/>
      </c>
      <c r="Z1273" s="4" t="str">
        <f t="shared" si="100"/>
        <v/>
      </c>
    </row>
    <row r="1274" spans="16:26" x14ac:dyDescent="0.25">
      <c r="P1274" s="10" t="str">
        <f>IF('[1]All Data '!AZ1279="","",'[1]All Data '!AZ1279)</f>
        <v/>
      </c>
      <c r="Q1274" s="10" t="str">
        <f>IF('[1]All Data '!BB1279="","",'[1]All Data '!BB1279)</f>
        <v/>
      </c>
      <c r="R1274" s="10" t="str">
        <f>IF('[1]All Data '!BD1279="","",'[1]All Data '!BD1279)</f>
        <v/>
      </c>
      <c r="S1274" s="11" t="str">
        <f>IF(R1274="","",'[1]All Data '!BE1279)</f>
        <v/>
      </c>
      <c r="T1274" s="12" t="str">
        <f>IF(S1274="","",[1]Inputs_Outputs!$B$8*(1-'LOCH Calc COE Calc'!S1274))</f>
        <v/>
      </c>
      <c r="U1274" s="13" t="str">
        <f t="shared" si="96"/>
        <v/>
      </c>
      <c r="V1274" s="13" t="str">
        <f t="shared" si="97"/>
        <v/>
      </c>
      <c r="W1274" s="4" t="str">
        <f t="shared" si="98"/>
        <v/>
      </c>
      <c r="X1274" t="str">
        <f>IF(W1274="","",LOOKUP(_xlfn.CONCAT(P1274,", ",Q1274),'[1]T+S Costs'!$F$2:$F$3138,'[1]T+S Costs'!$N$2:$N$3138))</f>
        <v/>
      </c>
      <c r="Y1274" s="14" t="str">
        <f t="shared" si="99"/>
        <v/>
      </c>
      <c r="Z1274" s="4" t="str">
        <f t="shared" si="100"/>
        <v/>
      </c>
    </row>
    <row r="1275" spans="16:26" x14ac:dyDescent="0.25">
      <c r="P1275" s="10" t="str">
        <f>IF('[1]All Data '!AZ1280="","",'[1]All Data '!AZ1280)</f>
        <v/>
      </c>
      <c r="Q1275" s="10" t="str">
        <f>IF('[1]All Data '!BB1280="","",'[1]All Data '!BB1280)</f>
        <v/>
      </c>
      <c r="R1275" s="10" t="str">
        <f>IF('[1]All Data '!BD1280="","",'[1]All Data '!BD1280)</f>
        <v/>
      </c>
      <c r="S1275" s="11" t="str">
        <f>IF(R1275="","",'[1]All Data '!BE1280)</f>
        <v/>
      </c>
      <c r="T1275" s="12" t="str">
        <f>IF(S1275="","",[1]Inputs_Outputs!$B$8*(1-'LOCH Calc COE Calc'!S1275))</f>
        <v/>
      </c>
      <c r="U1275" s="13" t="str">
        <f t="shared" si="96"/>
        <v/>
      </c>
      <c r="V1275" s="13" t="str">
        <f t="shared" si="97"/>
        <v/>
      </c>
      <c r="W1275" s="4" t="str">
        <f t="shared" si="98"/>
        <v/>
      </c>
      <c r="X1275" t="str">
        <f>IF(W1275="","",LOOKUP(_xlfn.CONCAT(P1275,", ",Q1275),'[1]T+S Costs'!$F$2:$F$3138,'[1]T+S Costs'!$N$2:$N$3138))</f>
        <v/>
      </c>
      <c r="Y1275" s="14" t="str">
        <f t="shared" si="99"/>
        <v/>
      </c>
      <c r="Z1275" s="4" t="str">
        <f t="shared" si="100"/>
        <v/>
      </c>
    </row>
    <row r="1276" spans="16:26" x14ac:dyDescent="0.25">
      <c r="P1276" s="10" t="str">
        <f>IF('[1]All Data '!AZ1281="","",'[1]All Data '!AZ1281)</f>
        <v/>
      </c>
      <c r="Q1276" s="10" t="str">
        <f>IF('[1]All Data '!BB1281="","",'[1]All Data '!BB1281)</f>
        <v/>
      </c>
      <c r="R1276" s="10" t="str">
        <f>IF('[1]All Data '!BD1281="","",'[1]All Data '!BD1281)</f>
        <v/>
      </c>
      <c r="S1276" s="11" t="str">
        <f>IF(R1276="","",'[1]All Data '!BE1281)</f>
        <v/>
      </c>
      <c r="T1276" s="12" t="str">
        <f>IF(S1276="","",[1]Inputs_Outputs!$B$8*(1-'LOCH Calc COE Calc'!S1276))</f>
        <v/>
      </c>
      <c r="U1276" s="13" t="str">
        <f t="shared" si="96"/>
        <v/>
      </c>
      <c r="V1276" s="13" t="str">
        <f t="shared" si="97"/>
        <v/>
      </c>
      <c r="W1276" s="4" t="str">
        <f t="shared" si="98"/>
        <v/>
      </c>
      <c r="X1276" t="str">
        <f>IF(W1276="","",LOOKUP(_xlfn.CONCAT(P1276,", ",Q1276),'[1]T+S Costs'!$F$2:$F$3138,'[1]T+S Costs'!$N$2:$N$3138))</f>
        <v/>
      </c>
      <c r="Y1276" s="14" t="str">
        <f t="shared" si="99"/>
        <v/>
      </c>
      <c r="Z1276" s="4" t="str">
        <f t="shared" si="100"/>
        <v/>
      </c>
    </row>
    <row r="1277" spans="16:26" x14ac:dyDescent="0.25">
      <c r="P1277" s="10" t="str">
        <f>IF('[1]All Data '!AZ1282="","",'[1]All Data '!AZ1282)</f>
        <v/>
      </c>
      <c r="Q1277" s="10" t="str">
        <f>IF('[1]All Data '!BB1282="","",'[1]All Data '!BB1282)</f>
        <v/>
      </c>
      <c r="R1277" s="10" t="str">
        <f>IF('[1]All Data '!BD1282="","",'[1]All Data '!BD1282)</f>
        <v/>
      </c>
      <c r="S1277" s="11" t="str">
        <f>IF(R1277="","",'[1]All Data '!BE1282)</f>
        <v/>
      </c>
      <c r="T1277" s="12" t="str">
        <f>IF(S1277="","",[1]Inputs_Outputs!$B$8*(1-'LOCH Calc COE Calc'!S1277))</f>
        <v/>
      </c>
      <c r="U1277" s="13" t="str">
        <f t="shared" si="96"/>
        <v/>
      </c>
      <c r="V1277" s="13" t="str">
        <f t="shared" si="97"/>
        <v/>
      </c>
      <c r="W1277" s="4" t="str">
        <f t="shared" si="98"/>
        <v/>
      </c>
      <c r="X1277" t="str">
        <f>IF(W1277="","",LOOKUP(_xlfn.CONCAT(P1277,", ",Q1277),'[1]T+S Costs'!$F$2:$F$3138,'[1]T+S Costs'!$N$2:$N$3138))</f>
        <v/>
      </c>
      <c r="Y1277" s="14" t="str">
        <f t="shared" si="99"/>
        <v/>
      </c>
      <c r="Z1277" s="4" t="str">
        <f t="shared" si="100"/>
        <v/>
      </c>
    </row>
    <row r="1278" spans="16:26" x14ac:dyDescent="0.25">
      <c r="P1278" s="10" t="str">
        <f>IF('[1]All Data '!AZ1283="","",'[1]All Data '!AZ1283)</f>
        <v/>
      </c>
      <c r="Q1278" s="10" t="str">
        <f>IF('[1]All Data '!BB1283="","",'[1]All Data '!BB1283)</f>
        <v/>
      </c>
      <c r="R1278" s="10" t="str">
        <f>IF('[1]All Data '!BD1283="","",'[1]All Data '!BD1283)</f>
        <v/>
      </c>
      <c r="S1278" s="11" t="str">
        <f>IF(R1278="","",'[1]All Data '!BE1283)</f>
        <v/>
      </c>
      <c r="T1278" s="12" t="str">
        <f>IF(S1278="","",[1]Inputs_Outputs!$B$8*(1-'LOCH Calc COE Calc'!S1278))</f>
        <v/>
      </c>
      <c r="U1278" s="13" t="str">
        <f t="shared" si="96"/>
        <v/>
      </c>
      <c r="V1278" s="13" t="str">
        <f t="shared" si="97"/>
        <v/>
      </c>
      <c r="W1278" s="4" t="str">
        <f t="shared" si="98"/>
        <v/>
      </c>
      <c r="X1278" t="str">
        <f>IF(W1278="","",LOOKUP(_xlfn.CONCAT(P1278,", ",Q1278),'[1]T+S Costs'!$F$2:$F$3138,'[1]T+S Costs'!$N$2:$N$3138))</f>
        <v/>
      </c>
      <c r="Y1278" s="14" t="str">
        <f t="shared" si="99"/>
        <v/>
      </c>
      <c r="Z1278" s="4" t="str">
        <f t="shared" si="100"/>
        <v/>
      </c>
    </row>
    <row r="1279" spans="16:26" x14ac:dyDescent="0.25">
      <c r="P1279" s="10" t="str">
        <f>IF('[1]All Data '!AZ1284="","",'[1]All Data '!AZ1284)</f>
        <v/>
      </c>
      <c r="Q1279" s="10" t="str">
        <f>IF('[1]All Data '!BB1284="","",'[1]All Data '!BB1284)</f>
        <v/>
      </c>
      <c r="R1279" s="10" t="str">
        <f>IF('[1]All Data '!BD1284="","",'[1]All Data '!BD1284)</f>
        <v/>
      </c>
      <c r="S1279" s="11" t="str">
        <f>IF(R1279="","",'[1]All Data '!BE1284)</f>
        <v/>
      </c>
      <c r="T1279" s="12" t="str">
        <f>IF(S1279="","",[1]Inputs_Outputs!$B$8*(1-'LOCH Calc COE Calc'!S1279))</f>
        <v/>
      </c>
      <c r="U1279" s="13" t="str">
        <f t="shared" si="96"/>
        <v/>
      </c>
      <c r="V1279" s="13" t="str">
        <f t="shared" si="97"/>
        <v/>
      </c>
      <c r="W1279" s="4" t="str">
        <f t="shared" si="98"/>
        <v/>
      </c>
      <c r="X1279" t="str">
        <f>IF(W1279="","",LOOKUP(_xlfn.CONCAT(P1279,", ",Q1279),'[1]T+S Costs'!$F$2:$F$3138,'[1]T+S Costs'!$N$2:$N$3138))</f>
        <v/>
      </c>
      <c r="Y1279" s="14" t="str">
        <f t="shared" si="99"/>
        <v/>
      </c>
      <c r="Z1279" s="4" t="str">
        <f t="shared" si="100"/>
        <v/>
      </c>
    </row>
    <row r="1280" spans="16:26" x14ac:dyDescent="0.25">
      <c r="P1280" s="10" t="str">
        <f>IF('[1]All Data '!AZ1285="","",'[1]All Data '!AZ1285)</f>
        <v/>
      </c>
      <c r="Q1280" s="10" t="str">
        <f>IF('[1]All Data '!BB1285="","",'[1]All Data '!BB1285)</f>
        <v/>
      </c>
      <c r="R1280" s="10" t="str">
        <f>IF('[1]All Data '!BD1285="","",'[1]All Data '!BD1285)</f>
        <v/>
      </c>
      <c r="S1280" s="11" t="str">
        <f>IF(R1280="","",'[1]All Data '!BE1285)</f>
        <v/>
      </c>
      <c r="T1280" s="12" t="str">
        <f>IF(S1280="","",[1]Inputs_Outputs!$B$8*(1-'LOCH Calc COE Calc'!S1280))</f>
        <v/>
      </c>
      <c r="U1280" s="13" t="str">
        <f t="shared" si="96"/>
        <v/>
      </c>
      <c r="V1280" s="13" t="str">
        <f t="shared" si="97"/>
        <v/>
      </c>
      <c r="W1280" s="4" t="str">
        <f t="shared" si="98"/>
        <v/>
      </c>
      <c r="X1280" t="str">
        <f>IF(W1280="","",LOOKUP(_xlfn.CONCAT(P1280,", ",Q1280),'[1]T+S Costs'!$F$2:$F$3138,'[1]T+S Costs'!$N$2:$N$3138))</f>
        <v/>
      </c>
      <c r="Y1280" s="14" t="str">
        <f t="shared" si="99"/>
        <v/>
      </c>
      <c r="Z1280" s="4" t="str">
        <f t="shared" si="100"/>
        <v/>
      </c>
    </row>
    <row r="1281" spans="16:26" x14ac:dyDescent="0.25">
      <c r="P1281" s="10" t="str">
        <f>IF('[1]All Data '!AZ1286="","",'[1]All Data '!AZ1286)</f>
        <v/>
      </c>
      <c r="Q1281" s="10" t="str">
        <f>IF('[1]All Data '!BB1286="","",'[1]All Data '!BB1286)</f>
        <v/>
      </c>
      <c r="R1281" s="10" t="str">
        <f>IF('[1]All Data '!BD1286="","",'[1]All Data '!BD1286)</f>
        <v/>
      </c>
      <c r="S1281" s="11" t="str">
        <f>IF(R1281="","",'[1]All Data '!BE1286)</f>
        <v/>
      </c>
      <c r="T1281" s="12" t="str">
        <f>IF(S1281="","",[1]Inputs_Outputs!$B$8*(1-'LOCH Calc COE Calc'!S1281))</f>
        <v/>
      </c>
      <c r="U1281" s="13" t="str">
        <f t="shared" si="96"/>
        <v/>
      </c>
      <c r="V1281" s="13" t="str">
        <f t="shared" si="97"/>
        <v/>
      </c>
      <c r="W1281" s="4" t="str">
        <f t="shared" si="98"/>
        <v/>
      </c>
      <c r="X1281" t="str">
        <f>IF(W1281="","",LOOKUP(_xlfn.CONCAT(P1281,", ",Q1281),'[1]T+S Costs'!$F$2:$F$3138,'[1]T+S Costs'!$N$2:$N$3138))</f>
        <v/>
      </c>
      <c r="Y1281" s="14" t="str">
        <f t="shared" si="99"/>
        <v/>
      </c>
      <c r="Z1281" s="4" t="str">
        <f t="shared" si="100"/>
        <v/>
      </c>
    </row>
    <row r="1282" spans="16:26" x14ac:dyDescent="0.25">
      <c r="P1282" s="10" t="str">
        <f>IF('[1]All Data '!AZ1287="","",'[1]All Data '!AZ1287)</f>
        <v/>
      </c>
      <c r="Q1282" s="10" t="str">
        <f>IF('[1]All Data '!BB1287="","",'[1]All Data '!BB1287)</f>
        <v/>
      </c>
      <c r="R1282" s="10" t="str">
        <f>IF('[1]All Data '!BD1287="","",'[1]All Data '!BD1287)</f>
        <v/>
      </c>
      <c r="S1282" s="11" t="str">
        <f>IF(R1282="","",'[1]All Data '!BE1287)</f>
        <v/>
      </c>
      <c r="T1282" s="12" t="str">
        <f>IF(S1282="","",[1]Inputs_Outputs!$B$8*(1-'LOCH Calc COE Calc'!S1282))</f>
        <v/>
      </c>
      <c r="U1282" s="13" t="str">
        <f t="shared" si="96"/>
        <v/>
      </c>
      <c r="V1282" s="13" t="str">
        <f t="shared" si="97"/>
        <v/>
      </c>
      <c r="W1282" s="4" t="str">
        <f t="shared" si="98"/>
        <v/>
      </c>
      <c r="X1282" t="str">
        <f>IF(W1282="","",LOOKUP(_xlfn.CONCAT(P1282,", ",Q1282),'[1]T+S Costs'!$F$2:$F$3138,'[1]T+S Costs'!$N$2:$N$3138))</f>
        <v/>
      </c>
      <c r="Y1282" s="14" t="str">
        <f t="shared" si="99"/>
        <v/>
      </c>
      <c r="Z1282" s="4" t="str">
        <f t="shared" si="100"/>
        <v/>
      </c>
    </row>
    <row r="1283" spans="16:26" x14ac:dyDescent="0.25">
      <c r="P1283" s="10" t="str">
        <f>IF('[1]All Data '!AZ1288="","",'[1]All Data '!AZ1288)</f>
        <v/>
      </c>
      <c r="Q1283" s="10" t="str">
        <f>IF('[1]All Data '!BB1288="","",'[1]All Data '!BB1288)</f>
        <v/>
      </c>
      <c r="R1283" s="10" t="str">
        <f>IF('[1]All Data '!BD1288="","",'[1]All Data '!BD1288)</f>
        <v/>
      </c>
      <c r="S1283" s="11" t="str">
        <f>IF(R1283="","",'[1]All Data '!BE1288)</f>
        <v/>
      </c>
      <c r="T1283" s="12" t="str">
        <f>IF(S1283="","",[1]Inputs_Outputs!$B$8*(1-'LOCH Calc COE Calc'!S1283))</f>
        <v/>
      </c>
      <c r="U1283" s="13" t="str">
        <f t="shared" ref="U1283:U1346" si="101">IF(S1283="","",R1283*T1283*365*$B$19/100)</f>
        <v/>
      </c>
      <c r="V1283" s="13" t="str">
        <f t="shared" ref="V1283:V1346" si="102">IF(S1283="","",(U1283*$B$19)/(($B$28)*$B$19))</f>
        <v/>
      </c>
      <c r="W1283" s="4" t="str">
        <f t="shared" ref="W1283:W1346" si="103">IF(S1283="","",V1283+$C$49+$C$50+$C$51)</f>
        <v/>
      </c>
      <c r="X1283" t="str">
        <f>IF(W1283="","",LOOKUP(_xlfn.CONCAT(P1283,", ",Q1283),'[1]T+S Costs'!$F$2:$F$3138,'[1]T+S Costs'!$N$2:$N$3138))</f>
        <v/>
      </c>
      <c r="Y1283" s="14" t="str">
        <f t="shared" ref="Y1283:Y1346" si="104">IF(X1283="","",((X1283*$B$60/$B$59)*$C$44)/$C$28)</f>
        <v/>
      </c>
      <c r="Z1283" s="4" t="str">
        <f t="shared" ref="Z1283:Z1346" si="105">IF(Y1283="","",W1283+Y1283)</f>
        <v/>
      </c>
    </row>
    <row r="1284" spans="16:26" x14ac:dyDescent="0.25">
      <c r="P1284" s="10" t="str">
        <f>IF('[1]All Data '!AZ1289="","",'[1]All Data '!AZ1289)</f>
        <v/>
      </c>
      <c r="Q1284" s="10" t="str">
        <f>IF('[1]All Data '!BB1289="","",'[1]All Data '!BB1289)</f>
        <v/>
      </c>
      <c r="R1284" s="10" t="str">
        <f>IF('[1]All Data '!BD1289="","",'[1]All Data '!BD1289)</f>
        <v/>
      </c>
      <c r="S1284" s="11" t="str">
        <f>IF(R1284="","",'[1]All Data '!BE1289)</f>
        <v/>
      </c>
      <c r="T1284" s="12" t="str">
        <f>IF(S1284="","",[1]Inputs_Outputs!$B$8*(1-'LOCH Calc COE Calc'!S1284))</f>
        <v/>
      </c>
      <c r="U1284" s="13" t="str">
        <f t="shared" si="101"/>
        <v/>
      </c>
      <c r="V1284" s="13" t="str">
        <f t="shared" si="102"/>
        <v/>
      </c>
      <c r="W1284" s="4" t="str">
        <f t="shared" si="103"/>
        <v/>
      </c>
      <c r="X1284" t="str">
        <f>IF(W1284="","",LOOKUP(_xlfn.CONCAT(P1284,", ",Q1284),'[1]T+S Costs'!$F$2:$F$3138,'[1]T+S Costs'!$N$2:$N$3138))</f>
        <v/>
      </c>
      <c r="Y1284" s="14" t="str">
        <f t="shared" si="104"/>
        <v/>
      </c>
      <c r="Z1284" s="4" t="str">
        <f t="shared" si="105"/>
        <v/>
      </c>
    </row>
    <row r="1285" spans="16:26" x14ac:dyDescent="0.25">
      <c r="P1285" s="10" t="str">
        <f>IF('[1]All Data '!AZ1290="","",'[1]All Data '!AZ1290)</f>
        <v/>
      </c>
      <c r="Q1285" s="10" t="str">
        <f>IF('[1]All Data '!BB1290="","",'[1]All Data '!BB1290)</f>
        <v/>
      </c>
      <c r="R1285" s="10" t="str">
        <f>IF('[1]All Data '!BD1290="","",'[1]All Data '!BD1290)</f>
        <v/>
      </c>
      <c r="S1285" s="11" t="str">
        <f>IF(R1285="","",'[1]All Data '!BE1290)</f>
        <v/>
      </c>
      <c r="T1285" s="12" t="str">
        <f>IF(S1285="","",[1]Inputs_Outputs!$B$8*(1-'LOCH Calc COE Calc'!S1285))</f>
        <v/>
      </c>
      <c r="U1285" s="13" t="str">
        <f t="shared" si="101"/>
        <v/>
      </c>
      <c r="V1285" s="13" t="str">
        <f t="shared" si="102"/>
        <v/>
      </c>
      <c r="W1285" s="4" t="str">
        <f t="shared" si="103"/>
        <v/>
      </c>
      <c r="X1285" t="str">
        <f>IF(W1285="","",LOOKUP(_xlfn.CONCAT(P1285,", ",Q1285),'[1]T+S Costs'!$F$2:$F$3138,'[1]T+S Costs'!$N$2:$N$3138))</f>
        <v/>
      </c>
      <c r="Y1285" s="14" t="str">
        <f t="shared" si="104"/>
        <v/>
      </c>
      <c r="Z1285" s="4" t="str">
        <f t="shared" si="105"/>
        <v/>
      </c>
    </row>
    <row r="1286" spans="16:26" x14ac:dyDescent="0.25">
      <c r="P1286" s="10" t="str">
        <f>IF('[1]All Data '!AZ1291="","",'[1]All Data '!AZ1291)</f>
        <v/>
      </c>
      <c r="Q1286" s="10" t="str">
        <f>IF('[1]All Data '!BB1291="","",'[1]All Data '!BB1291)</f>
        <v/>
      </c>
      <c r="R1286" s="10" t="str">
        <f>IF('[1]All Data '!BD1291="","",'[1]All Data '!BD1291)</f>
        <v/>
      </c>
      <c r="S1286" s="11" t="str">
        <f>IF(R1286="","",'[1]All Data '!BE1291)</f>
        <v/>
      </c>
      <c r="T1286" s="12" t="str">
        <f>IF(S1286="","",[1]Inputs_Outputs!$B$8*(1-'LOCH Calc COE Calc'!S1286))</f>
        <v/>
      </c>
      <c r="U1286" s="13" t="str">
        <f t="shared" si="101"/>
        <v/>
      </c>
      <c r="V1286" s="13" t="str">
        <f t="shared" si="102"/>
        <v/>
      </c>
      <c r="W1286" s="4" t="str">
        <f t="shared" si="103"/>
        <v/>
      </c>
      <c r="X1286" t="str">
        <f>IF(W1286="","",LOOKUP(_xlfn.CONCAT(P1286,", ",Q1286),'[1]T+S Costs'!$F$2:$F$3138,'[1]T+S Costs'!$N$2:$N$3138))</f>
        <v/>
      </c>
      <c r="Y1286" s="14" t="str">
        <f t="shared" si="104"/>
        <v/>
      </c>
      <c r="Z1286" s="4" t="str">
        <f t="shared" si="105"/>
        <v/>
      </c>
    </row>
    <row r="1287" spans="16:26" x14ac:dyDescent="0.25">
      <c r="P1287" s="10" t="str">
        <f>IF('[1]All Data '!AZ1292="","",'[1]All Data '!AZ1292)</f>
        <v/>
      </c>
      <c r="Q1287" s="10" t="str">
        <f>IF('[1]All Data '!BB1292="","",'[1]All Data '!BB1292)</f>
        <v/>
      </c>
      <c r="R1287" s="10" t="str">
        <f>IF('[1]All Data '!BD1292="","",'[1]All Data '!BD1292)</f>
        <v/>
      </c>
      <c r="S1287" s="11" t="str">
        <f>IF(R1287="","",'[1]All Data '!BE1292)</f>
        <v/>
      </c>
      <c r="T1287" s="12" t="str">
        <f>IF(S1287="","",[1]Inputs_Outputs!$B$8*(1-'LOCH Calc COE Calc'!S1287))</f>
        <v/>
      </c>
      <c r="U1287" s="13" t="str">
        <f t="shared" si="101"/>
        <v/>
      </c>
      <c r="V1287" s="13" t="str">
        <f t="shared" si="102"/>
        <v/>
      </c>
      <c r="W1287" s="4" t="str">
        <f t="shared" si="103"/>
        <v/>
      </c>
      <c r="X1287" t="str">
        <f>IF(W1287="","",LOOKUP(_xlfn.CONCAT(P1287,", ",Q1287),'[1]T+S Costs'!$F$2:$F$3138,'[1]T+S Costs'!$N$2:$N$3138))</f>
        <v/>
      </c>
      <c r="Y1287" s="14" t="str">
        <f t="shared" si="104"/>
        <v/>
      </c>
      <c r="Z1287" s="4" t="str">
        <f t="shared" si="105"/>
        <v/>
      </c>
    </row>
    <row r="1288" spans="16:26" x14ac:dyDescent="0.25">
      <c r="P1288" s="10" t="str">
        <f>IF('[1]All Data '!AZ1293="","",'[1]All Data '!AZ1293)</f>
        <v/>
      </c>
      <c r="Q1288" s="10" t="str">
        <f>IF('[1]All Data '!BB1293="","",'[1]All Data '!BB1293)</f>
        <v/>
      </c>
      <c r="R1288" s="10" t="str">
        <f>IF('[1]All Data '!BD1293="","",'[1]All Data '!BD1293)</f>
        <v/>
      </c>
      <c r="S1288" s="11" t="str">
        <f>IF(R1288="","",'[1]All Data '!BE1293)</f>
        <v/>
      </c>
      <c r="T1288" s="12" t="str">
        <f>IF(S1288="","",[1]Inputs_Outputs!$B$8*(1-'LOCH Calc COE Calc'!S1288))</f>
        <v/>
      </c>
      <c r="U1288" s="13" t="str">
        <f t="shared" si="101"/>
        <v/>
      </c>
      <c r="V1288" s="13" t="str">
        <f t="shared" si="102"/>
        <v/>
      </c>
      <c r="W1288" s="4" t="str">
        <f t="shared" si="103"/>
        <v/>
      </c>
      <c r="X1288" t="str">
        <f>IF(W1288="","",LOOKUP(_xlfn.CONCAT(P1288,", ",Q1288),'[1]T+S Costs'!$F$2:$F$3138,'[1]T+S Costs'!$N$2:$N$3138))</f>
        <v/>
      </c>
      <c r="Y1288" s="14" t="str">
        <f t="shared" si="104"/>
        <v/>
      </c>
      <c r="Z1288" s="4" t="str">
        <f t="shared" si="105"/>
        <v/>
      </c>
    </row>
    <row r="1289" spans="16:26" x14ac:dyDescent="0.25">
      <c r="P1289" s="10" t="str">
        <f>IF('[1]All Data '!AZ1294="","",'[1]All Data '!AZ1294)</f>
        <v/>
      </c>
      <c r="Q1289" s="10" t="str">
        <f>IF('[1]All Data '!BB1294="","",'[1]All Data '!BB1294)</f>
        <v/>
      </c>
      <c r="R1289" s="10" t="str">
        <f>IF('[1]All Data '!BD1294="","",'[1]All Data '!BD1294)</f>
        <v/>
      </c>
      <c r="S1289" s="11" t="str">
        <f>IF(R1289="","",'[1]All Data '!BE1294)</f>
        <v/>
      </c>
      <c r="T1289" s="12" t="str">
        <f>IF(S1289="","",[1]Inputs_Outputs!$B$8*(1-'LOCH Calc COE Calc'!S1289))</f>
        <v/>
      </c>
      <c r="U1289" s="13" t="str">
        <f t="shared" si="101"/>
        <v/>
      </c>
      <c r="V1289" s="13" t="str">
        <f t="shared" si="102"/>
        <v/>
      </c>
      <c r="W1289" s="4" t="str">
        <f t="shared" si="103"/>
        <v/>
      </c>
      <c r="X1289" t="str">
        <f>IF(W1289="","",LOOKUP(_xlfn.CONCAT(P1289,", ",Q1289),'[1]T+S Costs'!$F$2:$F$3138,'[1]T+S Costs'!$N$2:$N$3138))</f>
        <v/>
      </c>
      <c r="Y1289" s="14" t="str">
        <f t="shared" si="104"/>
        <v/>
      </c>
      <c r="Z1289" s="4" t="str">
        <f t="shared" si="105"/>
        <v/>
      </c>
    </row>
    <row r="1290" spans="16:26" x14ac:dyDescent="0.25">
      <c r="P1290" s="10" t="str">
        <f>IF('[1]All Data '!AZ1295="","",'[1]All Data '!AZ1295)</f>
        <v/>
      </c>
      <c r="Q1290" s="10" t="str">
        <f>IF('[1]All Data '!BB1295="","",'[1]All Data '!BB1295)</f>
        <v/>
      </c>
      <c r="R1290" s="10" t="str">
        <f>IF('[1]All Data '!BD1295="","",'[1]All Data '!BD1295)</f>
        <v/>
      </c>
      <c r="S1290" s="11" t="str">
        <f>IF(R1290="","",'[1]All Data '!BE1295)</f>
        <v/>
      </c>
      <c r="T1290" s="12" t="str">
        <f>IF(S1290="","",[1]Inputs_Outputs!$B$8*(1-'LOCH Calc COE Calc'!S1290))</f>
        <v/>
      </c>
      <c r="U1290" s="13" t="str">
        <f t="shared" si="101"/>
        <v/>
      </c>
      <c r="V1290" s="13" t="str">
        <f t="shared" si="102"/>
        <v/>
      </c>
      <c r="W1290" s="4" t="str">
        <f t="shared" si="103"/>
        <v/>
      </c>
      <c r="X1290" t="str">
        <f>IF(W1290="","",LOOKUP(_xlfn.CONCAT(P1290,", ",Q1290),'[1]T+S Costs'!$F$2:$F$3138,'[1]T+S Costs'!$N$2:$N$3138))</f>
        <v/>
      </c>
      <c r="Y1290" s="14" t="str">
        <f t="shared" si="104"/>
        <v/>
      </c>
      <c r="Z1290" s="4" t="str">
        <f t="shared" si="105"/>
        <v/>
      </c>
    </row>
    <row r="1291" spans="16:26" x14ac:dyDescent="0.25">
      <c r="P1291" s="10" t="str">
        <f>IF('[1]All Data '!AZ1296="","",'[1]All Data '!AZ1296)</f>
        <v/>
      </c>
      <c r="Q1291" s="10" t="str">
        <f>IF('[1]All Data '!BB1296="","",'[1]All Data '!BB1296)</f>
        <v/>
      </c>
      <c r="R1291" s="10" t="str">
        <f>IF('[1]All Data '!BD1296="","",'[1]All Data '!BD1296)</f>
        <v/>
      </c>
      <c r="S1291" s="11" t="str">
        <f>IF(R1291="","",'[1]All Data '!BE1296)</f>
        <v/>
      </c>
      <c r="T1291" s="12" t="str">
        <f>IF(S1291="","",[1]Inputs_Outputs!$B$8*(1-'LOCH Calc COE Calc'!S1291))</f>
        <v/>
      </c>
      <c r="U1291" s="13" t="str">
        <f t="shared" si="101"/>
        <v/>
      </c>
      <c r="V1291" s="13" t="str">
        <f t="shared" si="102"/>
        <v/>
      </c>
      <c r="W1291" s="4" t="str">
        <f t="shared" si="103"/>
        <v/>
      </c>
      <c r="X1291" t="str">
        <f>IF(W1291="","",LOOKUP(_xlfn.CONCAT(P1291,", ",Q1291),'[1]T+S Costs'!$F$2:$F$3138,'[1]T+S Costs'!$N$2:$N$3138))</f>
        <v/>
      </c>
      <c r="Y1291" s="14" t="str">
        <f t="shared" si="104"/>
        <v/>
      </c>
      <c r="Z1291" s="4" t="str">
        <f t="shared" si="105"/>
        <v/>
      </c>
    </row>
    <row r="1292" spans="16:26" x14ac:dyDescent="0.25">
      <c r="P1292" s="10" t="str">
        <f>IF('[1]All Data '!AZ1297="","",'[1]All Data '!AZ1297)</f>
        <v/>
      </c>
      <c r="Q1292" s="10" t="str">
        <f>IF('[1]All Data '!BB1297="","",'[1]All Data '!BB1297)</f>
        <v/>
      </c>
      <c r="R1292" s="10" t="str">
        <f>IF('[1]All Data '!BD1297="","",'[1]All Data '!BD1297)</f>
        <v/>
      </c>
      <c r="S1292" s="11" t="str">
        <f>IF(R1292="","",'[1]All Data '!BE1297)</f>
        <v/>
      </c>
      <c r="T1292" s="12" t="str">
        <f>IF(S1292="","",[1]Inputs_Outputs!$B$8*(1-'LOCH Calc COE Calc'!S1292))</f>
        <v/>
      </c>
      <c r="U1292" s="13" t="str">
        <f t="shared" si="101"/>
        <v/>
      </c>
      <c r="V1292" s="13" t="str">
        <f t="shared" si="102"/>
        <v/>
      </c>
      <c r="W1292" s="4" t="str">
        <f t="shared" si="103"/>
        <v/>
      </c>
      <c r="X1292" t="str">
        <f>IF(W1292="","",LOOKUP(_xlfn.CONCAT(P1292,", ",Q1292),'[1]T+S Costs'!$F$2:$F$3138,'[1]T+S Costs'!$N$2:$N$3138))</f>
        <v/>
      </c>
      <c r="Y1292" s="14" t="str">
        <f t="shared" si="104"/>
        <v/>
      </c>
      <c r="Z1292" s="4" t="str">
        <f t="shared" si="105"/>
        <v/>
      </c>
    </row>
    <row r="1293" spans="16:26" x14ac:dyDescent="0.25">
      <c r="P1293" s="10" t="str">
        <f>IF('[1]All Data '!AZ1298="","",'[1]All Data '!AZ1298)</f>
        <v/>
      </c>
      <c r="Q1293" s="10" t="str">
        <f>IF('[1]All Data '!BB1298="","",'[1]All Data '!BB1298)</f>
        <v/>
      </c>
      <c r="R1293" s="10" t="str">
        <f>IF('[1]All Data '!BD1298="","",'[1]All Data '!BD1298)</f>
        <v/>
      </c>
      <c r="S1293" s="11" t="str">
        <f>IF(R1293="","",'[1]All Data '!BE1298)</f>
        <v/>
      </c>
      <c r="T1293" s="12" t="str">
        <f>IF(S1293="","",[1]Inputs_Outputs!$B$8*(1-'LOCH Calc COE Calc'!S1293))</f>
        <v/>
      </c>
      <c r="U1293" s="13" t="str">
        <f t="shared" si="101"/>
        <v/>
      </c>
      <c r="V1293" s="13" t="str">
        <f t="shared" si="102"/>
        <v/>
      </c>
      <c r="W1293" s="4" t="str">
        <f t="shared" si="103"/>
        <v/>
      </c>
      <c r="X1293" t="str">
        <f>IF(W1293="","",LOOKUP(_xlfn.CONCAT(P1293,", ",Q1293),'[1]T+S Costs'!$F$2:$F$3138,'[1]T+S Costs'!$N$2:$N$3138))</f>
        <v/>
      </c>
      <c r="Y1293" s="14" t="str">
        <f t="shared" si="104"/>
        <v/>
      </c>
      <c r="Z1293" s="4" t="str">
        <f t="shared" si="105"/>
        <v/>
      </c>
    </row>
    <row r="1294" spans="16:26" x14ac:dyDescent="0.25">
      <c r="P1294" s="10" t="str">
        <f>IF('[1]All Data '!AZ1299="","",'[1]All Data '!AZ1299)</f>
        <v/>
      </c>
      <c r="Q1294" s="10" t="str">
        <f>IF('[1]All Data '!BB1299="","",'[1]All Data '!BB1299)</f>
        <v/>
      </c>
      <c r="R1294" s="10" t="str">
        <f>IF('[1]All Data '!BD1299="","",'[1]All Data '!BD1299)</f>
        <v/>
      </c>
      <c r="S1294" s="11" t="str">
        <f>IF(R1294="","",'[1]All Data '!BE1299)</f>
        <v/>
      </c>
      <c r="T1294" s="12" t="str">
        <f>IF(S1294="","",[1]Inputs_Outputs!$B$8*(1-'LOCH Calc COE Calc'!S1294))</f>
        <v/>
      </c>
      <c r="U1294" s="13" t="str">
        <f t="shared" si="101"/>
        <v/>
      </c>
      <c r="V1294" s="13" t="str">
        <f t="shared" si="102"/>
        <v/>
      </c>
      <c r="W1294" s="4" t="str">
        <f t="shared" si="103"/>
        <v/>
      </c>
      <c r="X1294" t="str">
        <f>IF(W1294="","",LOOKUP(_xlfn.CONCAT(P1294,", ",Q1294),'[1]T+S Costs'!$F$2:$F$3138,'[1]T+S Costs'!$N$2:$N$3138))</f>
        <v/>
      </c>
      <c r="Y1294" s="14" t="str">
        <f t="shared" si="104"/>
        <v/>
      </c>
      <c r="Z1294" s="4" t="str">
        <f t="shared" si="105"/>
        <v/>
      </c>
    </row>
    <row r="1295" spans="16:26" x14ac:dyDescent="0.25">
      <c r="P1295" s="10" t="str">
        <f>IF('[1]All Data '!AZ1300="","",'[1]All Data '!AZ1300)</f>
        <v/>
      </c>
      <c r="Q1295" s="10" t="str">
        <f>IF('[1]All Data '!BB1300="","",'[1]All Data '!BB1300)</f>
        <v/>
      </c>
      <c r="R1295" s="10" t="str">
        <f>IF('[1]All Data '!BD1300="","",'[1]All Data '!BD1300)</f>
        <v/>
      </c>
      <c r="S1295" s="11" t="str">
        <f>IF(R1295="","",'[1]All Data '!BE1300)</f>
        <v/>
      </c>
      <c r="T1295" s="12" t="str">
        <f>IF(S1295="","",[1]Inputs_Outputs!$B$8*(1-'LOCH Calc COE Calc'!S1295))</f>
        <v/>
      </c>
      <c r="U1295" s="13" t="str">
        <f t="shared" si="101"/>
        <v/>
      </c>
      <c r="V1295" s="13" t="str">
        <f t="shared" si="102"/>
        <v/>
      </c>
      <c r="W1295" s="4" t="str">
        <f t="shared" si="103"/>
        <v/>
      </c>
      <c r="X1295" t="str">
        <f>IF(W1295="","",LOOKUP(_xlfn.CONCAT(P1295,", ",Q1295),'[1]T+S Costs'!$F$2:$F$3138,'[1]T+S Costs'!$N$2:$N$3138))</f>
        <v/>
      </c>
      <c r="Y1295" s="14" t="str">
        <f t="shared" si="104"/>
        <v/>
      </c>
      <c r="Z1295" s="4" t="str">
        <f t="shared" si="105"/>
        <v/>
      </c>
    </row>
    <row r="1296" spans="16:26" x14ac:dyDescent="0.25">
      <c r="P1296" s="10" t="str">
        <f>IF('[1]All Data '!AZ1301="","",'[1]All Data '!AZ1301)</f>
        <v/>
      </c>
      <c r="Q1296" s="10" t="str">
        <f>IF('[1]All Data '!BB1301="","",'[1]All Data '!BB1301)</f>
        <v/>
      </c>
      <c r="R1296" s="10" t="str">
        <f>IF('[1]All Data '!BD1301="","",'[1]All Data '!BD1301)</f>
        <v/>
      </c>
      <c r="S1296" s="11" t="str">
        <f>IF(R1296="","",'[1]All Data '!BE1301)</f>
        <v/>
      </c>
      <c r="T1296" s="12" t="str">
        <f>IF(S1296="","",[1]Inputs_Outputs!$B$8*(1-'LOCH Calc COE Calc'!S1296))</f>
        <v/>
      </c>
      <c r="U1296" s="13" t="str">
        <f t="shared" si="101"/>
        <v/>
      </c>
      <c r="V1296" s="13" t="str">
        <f t="shared" si="102"/>
        <v/>
      </c>
      <c r="W1296" s="4" t="str">
        <f t="shared" si="103"/>
        <v/>
      </c>
      <c r="X1296" t="str">
        <f>IF(W1296="","",LOOKUP(_xlfn.CONCAT(P1296,", ",Q1296),'[1]T+S Costs'!$F$2:$F$3138,'[1]T+S Costs'!$N$2:$N$3138))</f>
        <v/>
      </c>
      <c r="Y1296" s="14" t="str">
        <f t="shared" si="104"/>
        <v/>
      </c>
      <c r="Z1296" s="4" t="str">
        <f t="shared" si="105"/>
        <v/>
      </c>
    </row>
    <row r="1297" spans="16:26" x14ac:dyDescent="0.25">
      <c r="P1297" s="10" t="str">
        <f>IF('[1]All Data '!AZ1302="","",'[1]All Data '!AZ1302)</f>
        <v/>
      </c>
      <c r="Q1297" s="10" t="str">
        <f>IF('[1]All Data '!BB1302="","",'[1]All Data '!BB1302)</f>
        <v/>
      </c>
      <c r="R1297" s="10" t="str">
        <f>IF('[1]All Data '!BD1302="","",'[1]All Data '!BD1302)</f>
        <v/>
      </c>
      <c r="S1297" s="11" t="str">
        <f>IF(R1297="","",'[1]All Data '!BE1302)</f>
        <v/>
      </c>
      <c r="T1297" s="12" t="str">
        <f>IF(S1297="","",[1]Inputs_Outputs!$B$8*(1-'LOCH Calc COE Calc'!S1297))</f>
        <v/>
      </c>
      <c r="U1297" s="13" t="str">
        <f t="shared" si="101"/>
        <v/>
      </c>
      <c r="V1297" s="13" t="str">
        <f t="shared" si="102"/>
        <v/>
      </c>
      <c r="W1297" s="4" t="str">
        <f t="shared" si="103"/>
        <v/>
      </c>
      <c r="X1297" t="str">
        <f>IF(W1297="","",LOOKUP(_xlfn.CONCAT(P1297,", ",Q1297),'[1]T+S Costs'!$F$2:$F$3138,'[1]T+S Costs'!$N$2:$N$3138))</f>
        <v/>
      </c>
      <c r="Y1297" s="14" t="str">
        <f t="shared" si="104"/>
        <v/>
      </c>
      <c r="Z1297" s="4" t="str">
        <f t="shared" si="105"/>
        <v/>
      </c>
    </row>
    <row r="1298" spans="16:26" x14ac:dyDescent="0.25">
      <c r="P1298" s="10" t="str">
        <f>IF('[1]All Data '!AZ1303="","",'[1]All Data '!AZ1303)</f>
        <v/>
      </c>
      <c r="Q1298" s="10" t="str">
        <f>IF('[1]All Data '!BB1303="","",'[1]All Data '!BB1303)</f>
        <v/>
      </c>
      <c r="R1298" s="10" t="str">
        <f>IF('[1]All Data '!BD1303="","",'[1]All Data '!BD1303)</f>
        <v/>
      </c>
      <c r="S1298" s="11" t="str">
        <f>IF(R1298="","",'[1]All Data '!BE1303)</f>
        <v/>
      </c>
      <c r="T1298" s="12" t="str">
        <f>IF(S1298="","",[1]Inputs_Outputs!$B$8*(1-'LOCH Calc COE Calc'!S1298))</f>
        <v/>
      </c>
      <c r="U1298" s="13" t="str">
        <f t="shared" si="101"/>
        <v/>
      </c>
      <c r="V1298" s="13" t="str">
        <f t="shared" si="102"/>
        <v/>
      </c>
      <c r="W1298" s="4" t="str">
        <f t="shared" si="103"/>
        <v/>
      </c>
      <c r="X1298" t="str">
        <f>IF(W1298="","",LOOKUP(_xlfn.CONCAT(P1298,", ",Q1298),'[1]T+S Costs'!$F$2:$F$3138,'[1]T+S Costs'!$N$2:$N$3138))</f>
        <v/>
      </c>
      <c r="Y1298" s="14" t="str">
        <f t="shared" si="104"/>
        <v/>
      </c>
      <c r="Z1298" s="4" t="str">
        <f t="shared" si="105"/>
        <v/>
      </c>
    </row>
    <row r="1299" spans="16:26" x14ac:dyDescent="0.25">
      <c r="P1299" s="10" t="str">
        <f>IF('[1]All Data '!AZ1304="","",'[1]All Data '!AZ1304)</f>
        <v/>
      </c>
      <c r="Q1299" s="10" t="str">
        <f>IF('[1]All Data '!BB1304="","",'[1]All Data '!BB1304)</f>
        <v/>
      </c>
      <c r="R1299" s="10" t="str">
        <f>IF('[1]All Data '!BD1304="","",'[1]All Data '!BD1304)</f>
        <v/>
      </c>
      <c r="S1299" s="11" t="str">
        <f>IF(R1299="","",'[1]All Data '!BE1304)</f>
        <v/>
      </c>
      <c r="T1299" s="12" t="str">
        <f>IF(S1299="","",[1]Inputs_Outputs!$B$8*(1-'LOCH Calc COE Calc'!S1299))</f>
        <v/>
      </c>
      <c r="U1299" s="13" t="str">
        <f t="shared" si="101"/>
        <v/>
      </c>
      <c r="V1299" s="13" t="str">
        <f t="shared" si="102"/>
        <v/>
      </c>
      <c r="W1299" s="4" t="str">
        <f t="shared" si="103"/>
        <v/>
      </c>
      <c r="X1299" t="str">
        <f>IF(W1299="","",LOOKUP(_xlfn.CONCAT(P1299,", ",Q1299),'[1]T+S Costs'!$F$2:$F$3138,'[1]T+S Costs'!$N$2:$N$3138))</f>
        <v/>
      </c>
      <c r="Y1299" s="14" t="str">
        <f t="shared" si="104"/>
        <v/>
      </c>
      <c r="Z1299" s="4" t="str">
        <f t="shared" si="105"/>
        <v/>
      </c>
    </row>
    <row r="1300" spans="16:26" x14ac:dyDescent="0.25">
      <c r="P1300" s="10" t="str">
        <f>IF('[1]All Data '!AZ1305="","",'[1]All Data '!AZ1305)</f>
        <v/>
      </c>
      <c r="Q1300" s="10" t="str">
        <f>IF('[1]All Data '!BB1305="","",'[1]All Data '!BB1305)</f>
        <v/>
      </c>
      <c r="R1300" s="10" t="str">
        <f>IF('[1]All Data '!BD1305="","",'[1]All Data '!BD1305)</f>
        <v/>
      </c>
      <c r="S1300" s="11" t="str">
        <f>IF(R1300="","",'[1]All Data '!BE1305)</f>
        <v/>
      </c>
      <c r="T1300" s="12" t="str">
        <f>IF(S1300="","",[1]Inputs_Outputs!$B$8*(1-'LOCH Calc COE Calc'!S1300))</f>
        <v/>
      </c>
      <c r="U1300" s="13" t="str">
        <f t="shared" si="101"/>
        <v/>
      </c>
      <c r="V1300" s="13" t="str">
        <f t="shared" si="102"/>
        <v/>
      </c>
      <c r="W1300" s="4" t="str">
        <f t="shared" si="103"/>
        <v/>
      </c>
      <c r="X1300" t="str">
        <f>IF(W1300="","",LOOKUP(_xlfn.CONCAT(P1300,", ",Q1300),'[1]T+S Costs'!$F$2:$F$3138,'[1]T+S Costs'!$N$2:$N$3138))</f>
        <v/>
      </c>
      <c r="Y1300" s="14" t="str">
        <f t="shared" si="104"/>
        <v/>
      </c>
      <c r="Z1300" s="4" t="str">
        <f t="shared" si="105"/>
        <v/>
      </c>
    </row>
    <row r="1301" spans="16:26" x14ac:dyDescent="0.25">
      <c r="P1301" s="10" t="str">
        <f>IF('[1]All Data '!AZ1306="","",'[1]All Data '!AZ1306)</f>
        <v/>
      </c>
      <c r="Q1301" s="10" t="str">
        <f>IF('[1]All Data '!BB1306="","",'[1]All Data '!BB1306)</f>
        <v/>
      </c>
      <c r="R1301" s="10" t="str">
        <f>IF('[1]All Data '!BD1306="","",'[1]All Data '!BD1306)</f>
        <v/>
      </c>
      <c r="S1301" s="11" t="str">
        <f>IF(R1301="","",'[1]All Data '!BE1306)</f>
        <v/>
      </c>
      <c r="T1301" s="12" t="str">
        <f>IF(S1301="","",[1]Inputs_Outputs!$B$8*(1-'LOCH Calc COE Calc'!S1301))</f>
        <v/>
      </c>
      <c r="U1301" s="13" t="str">
        <f t="shared" si="101"/>
        <v/>
      </c>
      <c r="V1301" s="13" t="str">
        <f t="shared" si="102"/>
        <v/>
      </c>
      <c r="W1301" s="4" t="str">
        <f t="shared" si="103"/>
        <v/>
      </c>
      <c r="X1301" t="str">
        <f>IF(W1301="","",LOOKUP(_xlfn.CONCAT(P1301,", ",Q1301),'[1]T+S Costs'!$F$2:$F$3138,'[1]T+S Costs'!$N$2:$N$3138))</f>
        <v/>
      </c>
      <c r="Y1301" s="14" t="str">
        <f t="shared" si="104"/>
        <v/>
      </c>
      <c r="Z1301" s="4" t="str">
        <f t="shared" si="105"/>
        <v/>
      </c>
    </row>
    <row r="1302" spans="16:26" x14ac:dyDescent="0.25">
      <c r="P1302" s="10" t="str">
        <f>IF('[1]All Data '!AZ1307="","",'[1]All Data '!AZ1307)</f>
        <v/>
      </c>
      <c r="Q1302" s="10" t="str">
        <f>IF('[1]All Data '!BB1307="","",'[1]All Data '!BB1307)</f>
        <v/>
      </c>
      <c r="R1302" s="10" t="str">
        <f>IF('[1]All Data '!BD1307="","",'[1]All Data '!BD1307)</f>
        <v/>
      </c>
      <c r="S1302" s="11" t="str">
        <f>IF(R1302="","",'[1]All Data '!BE1307)</f>
        <v/>
      </c>
      <c r="T1302" s="12" t="str">
        <f>IF(S1302="","",[1]Inputs_Outputs!$B$8*(1-'LOCH Calc COE Calc'!S1302))</f>
        <v/>
      </c>
      <c r="U1302" s="13" t="str">
        <f t="shared" si="101"/>
        <v/>
      </c>
      <c r="V1302" s="13" t="str">
        <f t="shared" si="102"/>
        <v/>
      </c>
      <c r="W1302" s="4" t="str">
        <f t="shared" si="103"/>
        <v/>
      </c>
      <c r="X1302" t="str">
        <f>IF(W1302="","",LOOKUP(_xlfn.CONCAT(P1302,", ",Q1302),'[1]T+S Costs'!$F$2:$F$3138,'[1]T+S Costs'!$N$2:$N$3138))</f>
        <v/>
      </c>
      <c r="Y1302" s="14" t="str">
        <f t="shared" si="104"/>
        <v/>
      </c>
      <c r="Z1302" s="4" t="str">
        <f t="shared" si="105"/>
        <v/>
      </c>
    </row>
    <row r="1303" spans="16:26" x14ac:dyDescent="0.25">
      <c r="P1303" s="10" t="str">
        <f>IF('[1]All Data '!AZ1308="","",'[1]All Data '!AZ1308)</f>
        <v/>
      </c>
      <c r="Q1303" s="10" t="str">
        <f>IF('[1]All Data '!BB1308="","",'[1]All Data '!BB1308)</f>
        <v/>
      </c>
      <c r="R1303" s="10" t="str">
        <f>IF('[1]All Data '!BD1308="","",'[1]All Data '!BD1308)</f>
        <v/>
      </c>
      <c r="S1303" s="11" t="str">
        <f>IF(R1303="","",'[1]All Data '!BE1308)</f>
        <v/>
      </c>
      <c r="T1303" s="12" t="str">
        <f>IF(S1303="","",[1]Inputs_Outputs!$B$8*(1-'LOCH Calc COE Calc'!S1303))</f>
        <v/>
      </c>
      <c r="U1303" s="13" t="str">
        <f t="shared" si="101"/>
        <v/>
      </c>
      <c r="V1303" s="13" t="str">
        <f t="shared" si="102"/>
        <v/>
      </c>
      <c r="W1303" s="4" t="str">
        <f t="shared" si="103"/>
        <v/>
      </c>
      <c r="X1303" t="str">
        <f>IF(W1303="","",LOOKUP(_xlfn.CONCAT(P1303,", ",Q1303),'[1]T+S Costs'!$F$2:$F$3138,'[1]T+S Costs'!$N$2:$N$3138))</f>
        <v/>
      </c>
      <c r="Y1303" s="14" t="str">
        <f t="shared" si="104"/>
        <v/>
      </c>
      <c r="Z1303" s="4" t="str">
        <f t="shared" si="105"/>
        <v/>
      </c>
    </row>
    <row r="1304" spans="16:26" x14ac:dyDescent="0.25">
      <c r="P1304" s="10" t="str">
        <f>IF('[1]All Data '!AZ1309="","",'[1]All Data '!AZ1309)</f>
        <v/>
      </c>
      <c r="Q1304" s="10" t="str">
        <f>IF('[1]All Data '!BB1309="","",'[1]All Data '!BB1309)</f>
        <v/>
      </c>
      <c r="R1304" s="10" t="str">
        <f>IF('[1]All Data '!BD1309="","",'[1]All Data '!BD1309)</f>
        <v/>
      </c>
      <c r="S1304" s="11" t="str">
        <f>IF(R1304="","",'[1]All Data '!BE1309)</f>
        <v/>
      </c>
      <c r="T1304" s="12" t="str">
        <f>IF(S1304="","",[1]Inputs_Outputs!$B$8*(1-'LOCH Calc COE Calc'!S1304))</f>
        <v/>
      </c>
      <c r="U1304" s="13" t="str">
        <f t="shared" si="101"/>
        <v/>
      </c>
      <c r="V1304" s="13" t="str">
        <f t="shared" si="102"/>
        <v/>
      </c>
      <c r="W1304" s="4" t="str">
        <f t="shared" si="103"/>
        <v/>
      </c>
      <c r="X1304" t="str">
        <f>IF(W1304="","",LOOKUP(_xlfn.CONCAT(P1304,", ",Q1304),'[1]T+S Costs'!$F$2:$F$3138,'[1]T+S Costs'!$N$2:$N$3138))</f>
        <v/>
      </c>
      <c r="Y1304" s="14" t="str">
        <f t="shared" si="104"/>
        <v/>
      </c>
      <c r="Z1304" s="4" t="str">
        <f t="shared" si="105"/>
        <v/>
      </c>
    </row>
    <row r="1305" spans="16:26" x14ac:dyDescent="0.25">
      <c r="P1305" s="10" t="str">
        <f>IF('[1]All Data '!AZ1310="","",'[1]All Data '!AZ1310)</f>
        <v/>
      </c>
      <c r="Q1305" s="10" t="str">
        <f>IF('[1]All Data '!BB1310="","",'[1]All Data '!BB1310)</f>
        <v/>
      </c>
      <c r="R1305" s="10" t="str">
        <f>IF('[1]All Data '!BD1310="","",'[1]All Data '!BD1310)</f>
        <v/>
      </c>
      <c r="S1305" s="11" t="str">
        <f>IF(R1305="","",'[1]All Data '!BE1310)</f>
        <v/>
      </c>
      <c r="T1305" s="12" t="str">
        <f>IF(S1305="","",[1]Inputs_Outputs!$B$8*(1-'LOCH Calc COE Calc'!S1305))</f>
        <v/>
      </c>
      <c r="U1305" s="13" t="str">
        <f t="shared" si="101"/>
        <v/>
      </c>
      <c r="V1305" s="13" t="str">
        <f t="shared" si="102"/>
        <v/>
      </c>
      <c r="W1305" s="4" t="str">
        <f t="shared" si="103"/>
        <v/>
      </c>
      <c r="X1305" t="str">
        <f>IF(W1305="","",LOOKUP(_xlfn.CONCAT(P1305,", ",Q1305),'[1]T+S Costs'!$F$2:$F$3138,'[1]T+S Costs'!$N$2:$N$3138))</f>
        <v/>
      </c>
      <c r="Y1305" s="14" t="str">
        <f t="shared" si="104"/>
        <v/>
      </c>
      <c r="Z1305" s="4" t="str">
        <f t="shared" si="105"/>
        <v/>
      </c>
    </row>
    <row r="1306" spans="16:26" x14ac:dyDescent="0.25">
      <c r="P1306" s="10" t="str">
        <f>IF('[1]All Data '!AZ1311="","",'[1]All Data '!AZ1311)</f>
        <v/>
      </c>
      <c r="Q1306" s="10" t="str">
        <f>IF('[1]All Data '!BB1311="","",'[1]All Data '!BB1311)</f>
        <v/>
      </c>
      <c r="R1306" s="10" t="str">
        <f>IF('[1]All Data '!BD1311="","",'[1]All Data '!BD1311)</f>
        <v/>
      </c>
      <c r="S1306" s="11" t="str">
        <f>IF(R1306="","",'[1]All Data '!BE1311)</f>
        <v/>
      </c>
      <c r="T1306" s="12" t="str">
        <f>IF(S1306="","",[1]Inputs_Outputs!$B$8*(1-'LOCH Calc COE Calc'!S1306))</f>
        <v/>
      </c>
      <c r="U1306" s="13" t="str">
        <f t="shared" si="101"/>
        <v/>
      </c>
      <c r="V1306" s="13" t="str">
        <f t="shared" si="102"/>
        <v/>
      </c>
      <c r="W1306" s="4" t="str">
        <f t="shared" si="103"/>
        <v/>
      </c>
      <c r="X1306" t="str">
        <f>IF(W1306="","",LOOKUP(_xlfn.CONCAT(P1306,", ",Q1306),'[1]T+S Costs'!$F$2:$F$3138,'[1]T+S Costs'!$N$2:$N$3138))</f>
        <v/>
      </c>
      <c r="Y1306" s="14" t="str">
        <f t="shared" si="104"/>
        <v/>
      </c>
      <c r="Z1306" s="4" t="str">
        <f t="shared" si="105"/>
        <v/>
      </c>
    </row>
    <row r="1307" spans="16:26" x14ac:dyDescent="0.25">
      <c r="P1307" s="10" t="str">
        <f>IF('[1]All Data '!AZ1312="","",'[1]All Data '!AZ1312)</f>
        <v/>
      </c>
      <c r="Q1307" s="10" t="str">
        <f>IF('[1]All Data '!BB1312="","",'[1]All Data '!BB1312)</f>
        <v/>
      </c>
      <c r="R1307" s="10" t="str">
        <f>IF('[1]All Data '!BD1312="","",'[1]All Data '!BD1312)</f>
        <v/>
      </c>
      <c r="S1307" s="11" t="str">
        <f>IF(R1307="","",'[1]All Data '!BE1312)</f>
        <v/>
      </c>
      <c r="T1307" s="12" t="str">
        <f>IF(S1307="","",[1]Inputs_Outputs!$B$8*(1-'LOCH Calc COE Calc'!S1307))</f>
        <v/>
      </c>
      <c r="U1307" s="13" t="str">
        <f t="shared" si="101"/>
        <v/>
      </c>
      <c r="V1307" s="13" t="str">
        <f t="shared" si="102"/>
        <v/>
      </c>
      <c r="W1307" s="4" t="str">
        <f t="shared" si="103"/>
        <v/>
      </c>
      <c r="X1307" t="str">
        <f>IF(W1307="","",LOOKUP(_xlfn.CONCAT(P1307,", ",Q1307),'[1]T+S Costs'!$F$2:$F$3138,'[1]T+S Costs'!$N$2:$N$3138))</f>
        <v/>
      </c>
      <c r="Y1307" s="14" t="str">
        <f t="shared" si="104"/>
        <v/>
      </c>
      <c r="Z1307" s="4" t="str">
        <f t="shared" si="105"/>
        <v/>
      </c>
    </row>
    <row r="1308" spans="16:26" x14ac:dyDescent="0.25">
      <c r="P1308" s="10" t="str">
        <f>IF('[1]All Data '!AZ1313="","",'[1]All Data '!AZ1313)</f>
        <v/>
      </c>
      <c r="Q1308" s="10" t="str">
        <f>IF('[1]All Data '!BB1313="","",'[1]All Data '!BB1313)</f>
        <v/>
      </c>
      <c r="R1308" s="10" t="str">
        <f>IF('[1]All Data '!BD1313="","",'[1]All Data '!BD1313)</f>
        <v/>
      </c>
      <c r="S1308" s="11" t="str">
        <f>IF(R1308="","",'[1]All Data '!BE1313)</f>
        <v/>
      </c>
      <c r="T1308" s="12" t="str">
        <f>IF(S1308="","",[1]Inputs_Outputs!$B$8*(1-'LOCH Calc COE Calc'!S1308))</f>
        <v/>
      </c>
      <c r="U1308" s="13" t="str">
        <f t="shared" si="101"/>
        <v/>
      </c>
      <c r="V1308" s="13" t="str">
        <f t="shared" si="102"/>
        <v/>
      </c>
      <c r="W1308" s="4" t="str">
        <f t="shared" si="103"/>
        <v/>
      </c>
      <c r="X1308" t="str">
        <f>IF(W1308="","",LOOKUP(_xlfn.CONCAT(P1308,", ",Q1308),'[1]T+S Costs'!$F$2:$F$3138,'[1]T+S Costs'!$N$2:$N$3138))</f>
        <v/>
      </c>
      <c r="Y1308" s="14" t="str">
        <f t="shared" si="104"/>
        <v/>
      </c>
      <c r="Z1308" s="4" t="str">
        <f t="shared" si="105"/>
        <v/>
      </c>
    </row>
    <row r="1309" spans="16:26" x14ac:dyDescent="0.25">
      <c r="P1309" s="10" t="str">
        <f>IF('[1]All Data '!AZ1314="","",'[1]All Data '!AZ1314)</f>
        <v/>
      </c>
      <c r="Q1309" s="10" t="str">
        <f>IF('[1]All Data '!BB1314="","",'[1]All Data '!BB1314)</f>
        <v/>
      </c>
      <c r="R1309" s="10" t="str">
        <f>IF('[1]All Data '!BD1314="","",'[1]All Data '!BD1314)</f>
        <v/>
      </c>
      <c r="S1309" s="11" t="str">
        <f>IF(R1309="","",'[1]All Data '!BE1314)</f>
        <v/>
      </c>
      <c r="T1309" s="12" t="str">
        <f>IF(S1309="","",[1]Inputs_Outputs!$B$8*(1-'LOCH Calc COE Calc'!S1309))</f>
        <v/>
      </c>
      <c r="U1309" s="13" t="str">
        <f t="shared" si="101"/>
        <v/>
      </c>
      <c r="V1309" s="13" t="str">
        <f t="shared" si="102"/>
        <v/>
      </c>
      <c r="W1309" s="4" t="str">
        <f t="shared" si="103"/>
        <v/>
      </c>
      <c r="X1309" t="str">
        <f>IF(W1309="","",LOOKUP(_xlfn.CONCAT(P1309,", ",Q1309),'[1]T+S Costs'!$F$2:$F$3138,'[1]T+S Costs'!$N$2:$N$3138))</f>
        <v/>
      </c>
      <c r="Y1309" s="14" t="str">
        <f t="shared" si="104"/>
        <v/>
      </c>
      <c r="Z1309" s="4" t="str">
        <f t="shared" si="105"/>
        <v/>
      </c>
    </row>
    <row r="1310" spans="16:26" x14ac:dyDescent="0.25">
      <c r="P1310" s="10" t="str">
        <f>IF('[1]All Data '!AZ1315="","",'[1]All Data '!AZ1315)</f>
        <v/>
      </c>
      <c r="Q1310" s="10" t="str">
        <f>IF('[1]All Data '!BB1315="","",'[1]All Data '!BB1315)</f>
        <v/>
      </c>
      <c r="R1310" s="10" t="str">
        <f>IF('[1]All Data '!BD1315="","",'[1]All Data '!BD1315)</f>
        <v/>
      </c>
      <c r="S1310" s="11" t="str">
        <f>IF(R1310="","",'[1]All Data '!BE1315)</f>
        <v/>
      </c>
      <c r="T1310" s="12" t="str">
        <f>IF(S1310="","",[1]Inputs_Outputs!$B$8*(1-'LOCH Calc COE Calc'!S1310))</f>
        <v/>
      </c>
      <c r="U1310" s="13" t="str">
        <f t="shared" si="101"/>
        <v/>
      </c>
      <c r="V1310" s="13" t="str">
        <f t="shared" si="102"/>
        <v/>
      </c>
      <c r="W1310" s="4" t="str">
        <f t="shared" si="103"/>
        <v/>
      </c>
      <c r="X1310" t="str">
        <f>IF(W1310="","",LOOKUP(_xlfn.CONCAT(P1310,", ",Q1310),'[1]T+S Costs'!$F$2:$F$3138,'[1]T+S Costs'!$N$2:$N$3138))</f>
        <v/>
      </c>
      <c r="Y1310" s="14" t="str">
        <f t="shared" si="104"/>
        <v/>
      </c>
      <c r="Z1310" s="4" t="str">
        <f t="shared" si="105"/>
        <v/>
      </c>
    </row>
    <row r="1311" spans="16:26" x14ac:dyDescent="0.25">
      <c r="P1311" s="10" t="str">
        <f>IF('[1]All Data '!AZ1316="","",'[1]All Data '!AZ1316)</f>
        <v/>
      </c>
      <c r="Q1311" s="10" t="str">
        <f>IF('[1]All Data '!BB1316="","",'[1]All Data '!BB1316)</f>
        <v/>
      </c>
      <c r="R1311" s="10" t="str">
        <f>IF('[1]All Data '!BD1316="","",'[1]All Data '!BD1316)</f>
        <v/>
      </c>
      <c r="S1311" s="11" t="str">
        <f>IF(R1311="","",'[1]All Data '!BE1316)</f>
        <v/>
      </c>
      <c r="T1311" s="12" t="str">
        <f>IF(S1311="","",[1]Inputs_Outputs!$B$8*(1-'LOCH Calc COE Calc'!S1311))</f>
        <v/>
      </c>
      <c r="U1311" s="13" t="str">
        <f t="shared" si="101"/>
        <v/>
      </c>
      <c r="V1311" s="13" t="str">
        <f t="shared" si="102"/>
        <v/>
      </c>
      <c r="W1311" s="4" t="str">
        <f t="shared" si="103"/>
        <v/>
      </c>
      <c r="X1311" t="str">
        <f>IF(W1311="","",LOOKUP(_xlfn.CONCAT(P1311,", ",Q1311),'[1]T+S Costs'!$F$2:$F$3138,'[1]T+S Costs'!$N$2:$N$3138))</f>
        <v/>
      </c>
      <c r="Y1311" s="14" t="str">
        <f t="shared" si="104"/>
        <v/>
      </c>
      <c r="Z1311" s="4" t="str">
        <f t="shared" si="105"/>
        <v/>
      </c>
    </row>
    <row r="1312" spans="16:26" x14ac:dyDescent="0.25">
      <c r="P1312" s="10" t="str">
        <f>IF('[1]All Data '!AZ1317="","",'[1]All Data '!AZ1317)</f>
        <v/>
      </c>
      <c r="Q1312" s="10" t="str">
        <f>IF('[1]All Data '!BB1317="","",'[1]All Data '!BB1317)</f>
        <v/>
      </c>
      <c r="R1312" s="10" t="str">
        <f>IF('[1]All Data '!BD1317="","",'[1]All Data '!BD1317)</f>
        <v/>
      </c>
      <c r="S1312" s="11" t="str">
        <f>IF(R1312="","",'[1]All Data '!BE1317)</f>
        <v/>
      </c>
      <c r="T1312" s="12" t="str">
        <f>IF(S1312="","",[1]Inputs_Outputs!$B$8*(1-'LOCH Calc COE Calc'!S1312))</f>
        <v/>
      </c>
      <c r="U1312" s="13" t="str">
        <f t="shared" si="101"/>
        <v/>
      </c>
      <c r="V1312" s="13" t="str">
        <f t="shared" si="102"/>
        <v/>
      </c>
      <c r="W1312" s="4" t="str">
        <f t="shared" si="103"/>
        <v/>
      </c>
      <c r="X1312" t="str">
        <f>IF(W1312="","",LOOKUP(_xlfn.CONCAT(P1312,", ",Q1312),'[1]T+S Costs'!$F$2:$F$3138,'[1]T+S Costs'!$N$2:$N$3138))</f>
        <v/>
      </c>
      <c r="Y1312" s="14" t="str">
        <f t="shared" si="104"/>
        <v/>
      </c>
      <c r="Z1312" s="4" t="str">
        <f t="shared" si="105"/>
        <v/>
      </c>
    </row>
    <row r="1313" spans="16:26" x14ac:dyDescent="0.25">
      <c r="P1313" s="10" t="str">
        <f>IF('[1]All Data '!AZ1318="","",'[1]All Data '!AZ1318)</f>
        <v/>
      </c>
      <c r="Q1313" s="10" t="str">
        <f>IF('[1]All Data '!BB1318="","",'[1]All Data '!BB1318)</f>
        <v/>
      </c>
      <c r="R1313" s="10" t="str">
        <f>IF('[1]All Data '!BD1318="","",'[1]All Data '!BD1318)</f>
        <v/>
      </c>
      <c r="S1313" s="11" t="str">
        <f>IF(R1313="","",'[1]All Data '!BE1318)</f>
        <v/>
      </c>
      <c r="T1313" s="12" t="str">
        <f>IF(S1313="","",[1]Inputs_Outputs!$B$8*(1-'LOCH Calc COE Calc'!S1313))</f>
        <v/>
      </c>
      <c r="U1313" s="13" t="str">
        <f t="shared" si="101"/>
        <v/>
      </c>
      <c r="V1313" s="13" t="str">
        <f t="shared" si="102"/>
        <v/>
      </c>
      <c r="W1313" s="4" t="str">
        <f t="shared" si="103"/>
        <v/>
      </c>
      <c r="X1313" t="str">
        <f>IF(W1313="","",LOOKUP(_xlfn.CONCAT(P1313,", ",Q1313),'[1]T+S Costs'!$F$2:$F$3138,'[1]T+S Costs'!$N$2:$N$3138))</f>
        <v/>
      </c>
      <c r="Y1313" s="14" t="str">
        <f t="shared" si="104"/>
        <v/>
      </c>
      <c r="Z1313" s="4" t="str">
        <f t="shared" si="105"/>
        <v/>
      </c>
    </row>
    <row r="1314" spans="16:26" x14ac:dyDescent="0.25">
      <c r="P1314" s="10" t="str">
        <f>IF('[1]All Data '!AZ1319="","",'[1]All Data '!AZ1319)</f>
        <v/>
      </c>
      <c r="Q1314" s="10" t="str">
        <f>IF('[1]All Data '!BB1319="","",'[1]All Data '!BB1319)</f>
        <v/>
      </c>
      <c r="R1314" s="10" t="str">
        <f>IF('[1]All Data '!BD1319="","",'[1]All Data '!BD1319)</f>
        <v/>
      </c>
      <c r="S1314" s="11" t="str">
        <f>IF(R1314="","",'[1]All Data '!BE1319)</f>
        <v/>
      </c>
      <c r="T1314" s="12" t="str">
        <f>IF(S1314="","",[1]Inputs_Outputs!$B$8*(1-'LOCH Calc COE Calc'!S1314))</f>
        <v/>
      </c>
      <c r="U1314" s="13" t="str">
        <f t="shared" si="101"/>
        <v/>
      </c>
      <c r="V1314" s="13" t="str">
        <f t="shared" si="102"/>
        <v/>
      </c>
      <c r="W1314" s="4" t="str">
        <f t="shared" si="103"/>
        <v/>
      </c>
      <c r="X1314" t="str">
        <f>IF(W1314="","",LOOKUP(_xlfn.CONCAT(P1314,", ",Q1314),'[1]T+S Costs'!$F$2:$F$3138,'[1]T+S Costs'!$N$2:$N$3138))</f>
        <v/>
      </c>
      <c r="Y1314" s="14" t="str">
        <f t="shared" si="104"/>
        <v/>
      </c>
      <c r="Z1314" s="4" t="str">
        <f t="shared" si="105"/>
        <v/>
      </c>
    </row>
    <row r="1315" spans="16:26" x14ac:dyDescent="0.25">
      <c r="P1315" s="10" t="str">
        <f>IF('[1]All Data '!AZ1320="","",'[1]All Data '!AZ1320)</f>
        <v/>
      </c>
      <c r="Q1315" s="10" t="str">
        <f>IF('[1]All Data '!BB1320="","",'[1]All Data '!BB1320)</f>
        <v/>
      </c>
      <c r="R1315" s="10" t="str">
        <f>IF('[1]All Data '!BD1320="","",'[1]All Data '!BD1320)</f>
        <v/>
      </c>
      <c r="S1315" s="11" t="str">
        <f>IF(R1315="","",'[1]All Data '!BE1320)</f>
        <v/>
      </c>
      <c r="T1315" s="12" t="str">
        <f>IF(S1315="","",[1]Inputs_Outputs!$B$8*(1-'LOCH Calc COE Calc'!S1315))</f>
        <v/>
      </c>
      <c r="U1315" s="13" t="str">
        <f t="shared" si="101"/>
        <v/>
      </c>
      <c r="V1315" s="13" t="str">
        <f t="shared" si="102"/>
        <v/>
      </c>
      <c r="W1315" s="4" t="str">
        <f t="shared" si="103"/>
        <v/>
      </c>
      <c r="X1315" t="str">
        <f>IF(W1315="","",LOOKUP(_xlfn.CONCAT(P1315,", ",Q1315),'[1]T+S Costs'!$F$2:$F$3138,'[1]T+S Costs'!$N$2:$N$3138))</f>
        <v/>
      </c>
      <c r="Y1315" s="14" t="str">
        <f t="shared" si="104"/>
        <v/>
      </c>
      <c r="Z1315" s="4" t="str">
        <f t="shared" si="105"/>
        <v/>
      </c>
    </row>
    <row r="1316" spans="16:26" x14ac:dyDescent="0.25">
      <c r="P1316" s="10" t="str">
        <f>IF('[1]All Data '!AZ1321="","",'[1]All Data '!AZ1321)</f>
        <v/>
      </c>
      <c r="Q1316" s="10" t="str">
        <f>IF('[1]All Data '!BB1321="","",'[1]All Data '!BB1321)</f>
        <v/>
      </c>
      <c r="R1316" s="10" t="str">
        <f>IF('[1]All Data '!BD1321="","",'[1]All Data '!BD1321)</f>
        <v/>
      </c>
      <c r="S1316" s="11" t="str">
        <f>IF(R1316="","",'[1]All Data '!BE1321)</f>
        <v/>
      </c>
      <c r="T1316" s="12" t="str">
        <f>IF(S1316="","",[1]Inputs_Outputs!$B$8*(1-'LOCH Calc COE Calc'!S1316))</f>
        <v/>
      </c>
      <c r="U1316" s="13" t="str">
        <f t="shared" si="101"/>
        <v/>
      </c>
      <c r="V1316" s="13" t="str">
        <f t="shared" si="102"/>
        <v/>
      </c>
      <c r="W1316" s="4" t="str">
        <f t="shared" si="103"/>
        <v/>
      </c>
      <c r="X1316" t="str">
        <f>IF(W1316="","",LOOKUP(_xlfn.CONCAT(P1316,", ",Q1316),'[1]T+S Costs'!$F$2:$F$3138,'[1]T+S Costs'!$N$2:$N$3138))</f>
        <v/>
      </c>
      <c r="Y1316" s="14" t="str">
        <f t="shared" si="104"/>
        <v/>
      </c>
      <c r="Z1316" s="4" t="str">
        <f t="shared" si="105"/>
        <v/>
      </c>
    </row>
    <row r="1317" spans="16:26" x14ac:dyDescent="0.25">
      <c r="P1317" s="10" t="str">
        <f>IF('[1]All Data '!AZ1322="","",'[1]All Data '!AZ1322)</f>
        <v/>
      </c>
      <c r="Q1317" s="10" t="str">
        <f>IF('[1]All Data '!BB1322="","",'[1]All Data '!BB1322)</f>
        <v/>
      </c>
      <c r="R1317" s="10" t="str">
        <f>IF('[1]All Data '!BD1322="","",'[1]All Data '!BD1322)</f>
        <v/>
      </c>
      <c r="S1317" s="11" t="str">
        <f>IF(R1317="","",'[1]All Data '!BE1322)</f>
        <v/>
      </c>
      <c r="T1317" s="12" t="str">
        <f>IF(S1317="","",[1]Inputs_Outputs!$B$8*(1-'LOCH Calc COE Calc'!S1317))</f>
        <v/>
      </c>
      <c r="U1317" s="13" t="str">
        <f t="shared" si="101"/>
        <v/>
      </c>
      <c r="V1317" s="13" t="str">
        <f t="shared" si="102"/>
        <v/>
      </c>
      <c r="W1317" s="4" t="str">
        <f t="shared" si="103"/>
        <v/>
      </c>
      <c r="X1317" t="str">
        <f>IF(W1317="","",LOOKUP(_xlfn.CONCAT(P1317,", ",Q1317),'[1]T+S Costs'!$F$2:$F$3138,'[1]T+S Costs'!$N$2:$N$3138))</f>
        <v/>
      </c>
      <c r="Y1317" s="14" t="str">
        <f t="shared" si="104"/>
        <v/>
      </c>
      <c r="Z1317" s="4" t="str">
        <f t="shared" si="105"/>
        <v/>
      </c>
    </row>
    <row r="1318" spans="16:26" x14ac:dyDescent="0.25">
      <c r="P1318" s="10" t="str">
        <f>IF('[1]All Data '!AZ1323="","",'[1]All Data '!AZ1323)</f>
        <v/>
      </c>
      <c r="Q1318" s="10" t="str">
        <f>IF('[1]All Data '!BB1323="","",'[1]All Data '!BB1323)</f>
        <v/>
      </c>
      <c r="R1318" s="10" t="str">
        <f>IF('[1]All Data '!BD1323="","",'[1]All Data '!BD1323)</f>
        <v/>
      </c>
      <c r="S1318" s="11" t="str">
        <f>IF(R1318="","",'[1]All Data '!BE1323)</f>
        <v/>
      </c>
      <c r="T1318" s="12" t="str">
        <f>IF(S1318="","",[1]Inputs_Outputs!$B$8*(1-'LOCH Calc COE Calc'!S1318))</f>
        <v/>
      </c>
      <c r="U1318" s="13" t="str">
        <f t="shared" si="101"/>
        <v/>
      </c>
      <c r="V1318" s="13" t="str">
        <f t="shared" si="102"/>
        <v/>
      </c>
      <c r="W1318" s="4" t="str">
        <f t="shared" si="103"/>
        <v/>
      </c>
      <c r="X1318" t="str">
        <f>IF(W1318="","",LOOKUP(_xlfn.CONCAT(P1318,", ",Q1318),'[1]T+S Costs'!$F$2:$F$3138,'[1]T+S Costs'!$N$2:$N$3138))</f>
        <v/>
      </c>
      <c r="Y1318" s="14" t="str">
        <f t="shared" si="104"/>
        <v/>
      </c>
      <c r="Z1318" s="4" t="str">
        <f t="shared" si="105"/>
        <v/>
      </c>
    </row>
    <row r="1319" spans="16:26" x14ac:dyDescent="0.25">
      <c r="P1319" s="10" t="str">
        <f>IF('[1]All Data '!AZ1324="","",'[1]All Data '!AZ1324)</f>
        <v/>
      </c>
      <c r="Q1319" s="10" t="str">
        <f>IF('[1]All Data '!BB1324="","",'[1]All Data '!BB1324)</f>
        <v/>
      </c>
      <c r="R1319" s="10" t="str">
        <f>IF('[1]All Data '!BD1324="","",'[1]All Data '!BD1324)</f>
        <v/>
      </c>
      <c r="S1319" s="11" t="str">
        <f>IF(R1319="","",'[1]All Data '!BE1324)</f>
        <v/>
      </c>
      <c r="T1319" s="12" t="str">
        <f>IF(S1319="","",[1]Inputs_Outputs!$B$8*(1-'LOCH Calc COE Calc'!S1319))</f>
        <v/>
      </c>
      <c r="U1319" s="13" t="str">
        <f t="shared" si="101"/>
        <v/>
      </c>
      <c r="V1319" s="13" t="str">
        <f t="shared" si="102"/>
        <v/>
      </c>
      <c r="W1319" s="4" t="str">
        <f t="shared" si="103"/>
        <v/>
      </c>
      <c r="X1319" t="str">
        <f>IF(W1319="","",LOOKUP(_xlfn.CONCAT(P1319,", ",Q1319),'[1]T+S Costs'!$F$2:$F$3138,'[1]T+S Costs'!$N$2:$N$3138))</f>
        <v/>
      </c>
      <c r="Y1319" s="14" t="str">
        <f t="shared" si="104"/>
        <v/>
      </c>
      <c r="Z1319" s="4" t="str">
        <f t="shared" si="105"/>
        <v/>
      </c>
    </row>
    <row r="1320" spans="16:26" x14ac:dyDescent="0.25">
      <c r="P1320" s="10" t="str">
        <f>IF('[1]All Data '!AZ1325="","",'[1]All Data '!AZ1325)</f>
        <v/>
      </c>
      <c r="Q1320" s="10" t="str">
        <f>IF('[1]All Data '!BB1325="","",'[1]All Data '!BB1325)</f>
        <v/>
      </c>
      <c r="R1320" s="10" t="str">
        <f>IF('[1]All Data '!BD1325="","",'[1]All Data '!BD1325)</f>
        <v/>
      </c>
      <c r="S1320" s="11" t="str">
        <f>IF(R1320="","",'[1]All Data '!BE1325)</f>
        <v/>
      </c>
      <c r="T1320" s="12" t="str">
        <f>IF(S1320="","",[1]Inputs_Outputs!$B$8*(1-'LOCH Calc COE Calc'!S1320))</f>
        <v/>
      </c>
      <c r="U1320" s="13" t="str">
        <f t="shared" si="101"/>
        <v/>
      </c>
      <c r="V1320" s="13" t="str">
        <f t="shared" si="102"/>
        <v/>
      </c>
      <c r="W1320" s="4" t="str">
        <f t="shared" si="103"/>
        <v/>
      </c>
      <c r="X1320" t="str">
        <f>IF(W1320="","",LOOKUP(_xlfn.CONCAT(P1320,", ",Q1320),'[1]T+S Costs'!$F$2:$F$3138,'[1]T+S Costs'!$N$2:$N$3138))</f>
        <v/>
      </c>
      <c r="Y1320" s="14" t="str">
        <f t="shared" si="104"/>
        <v/>
      </c>
      <c r="Z1320" s="4" t="str">
        <f t="shared" si="105"/>
        <v/>
      </c>
    </row>
    <row r="1321" spans="16:26" x14ac:dyDescent="0.25">
      <c r="P1321" s="10" t="str">
        <f>IF('[1]All Data '!AZ1326="","",'[1]All Data '!AZ1326)</f>
        <v/>
      </c>
      <c r="Q1321" s="10" t="str">
        <f>IF('[1]All Data '!BB1326="","",'[1]All Data '!BB1326)</f>
        <v/>
      </c>
      <c r="R1321" s="10" t="str">
        <f>IF('[1]All Data '!BD1326="","",'[1]All Data '!BD1326)</f>
        <v/>
      </c>
      <c r="S1321" s="11" t="str">
        <f>IF(R1321="","",'[1]All Data '!BE1326)</f>
        <v/>
      </c>
      <c r="T1321" s="12" t="str">
        <f>IF(S1321="","",[1]Inputs_Outputs!$B$8*(1-'LOCH Calc COE Calc'!S1321))</f>
        <v/>
      </c>
      <c r="U1321" s="13" t="str">
        <f t="shared" si="101"/>
        <v/>
      </c>
      <c r="V1321" s="13" t="str">
        <f t="shared" si="102"/>
        <v/>
      </c>
      <c r="W1321" s="4" t="str">
        <f t="shared" si="103"/>
        <v/>
      </c>
      <c r="X1321" t="str">
        <f>IF(W1321="","",LOOKUP(_xlfn.CONCAT(P1321,", ",Q1321),'[1]T+S Costs'!$F$2:$F$3138,'[1]T+S Costs'!$N$2:$N$3138))</f>
        <v/>
      </c>
      <c r="Y1321" s="14" t="str">
        <f t="shared" si="104"/>
        <v/>
      </c>
      <c r="Z1321" s="4" t="str">
        <f t="shared" si="105"/>
        <v/>
      </c>
    </row>
    <row r="1322" spans="16:26" x14ac:dyDescent="0.25">
      <c r="P1322" s="10" t="str">
        <f>IF('[1]All Data '!AZ1327="","",'[1]All Data '!AZ1327)</f>
        <v/>
      </c>
      <c r="Q1322" s="10" t="str">
        <f>IF('[1]All Data '!BB1327="","",'[1]All Data '!BB1327)</f>
        <v/>
      </c>
      <c r="R1322" s="10" t="str">
        <f>IF('[1]All Data '!BD1327="","",'[1]All Data '!BD1327)</f>
        <v/>
      </c>
      <c r="S1322" s="11" t="str">
        <f>IF(R1322="","",'[1]All Data '!BE1327)</f>
        <v/>
      </c>
      <c r="T1322" s="12" t="str">
        <f>IF(S1322="","",[1]Inputs_Outputs!$B$8*(1-'LOCH Calc COE Calc'!S1322))</f>
        <v/>
      </c>
      <c r="U1322" s="13" t="str">
        <f t="shared" si="101"/>
        <v/>
      </c>
      <c r="V1322" s="13" t="str">
        <f t="shared" si="102"/>
        <v/>
      </c>
      <c r="W1322" s="4" t="str">
        <f t="shared" si="103"/>
        <v/>
      </c>
      <c r="X1322" t="str">
        <f>IF(W1322="","",LOOKUP(_xlfn.CONCAT(P1322,", ",Q1322),'[1]T+S Costs'!$F$2:$F$3138,'[1]T+S Costs'!$N$2:$N$3138))</f>
        <v/>
      </c>
      <c r="Y1322" s="14" t="str">
        <f t="shared" si="104"/>
        <v/>
      </c>
      <c r="Z1322" s="4" t="str">
        <f t="shared" si="105"/>
        <v/>
      </c>
    </row>
    <row r="1323" spans="16:26" x14ac:dyDescent="0.25">
      <c r="P1323" s="10" t="str">
        <f>IF('[1]All Data '!AZ1328="","",'[1]All Data '!AZ1328)</f>
        <v/>
      </c>
      <c r="Q1323" s="10" t="str">
        <f>IF('[1]All Data '!BB1328="","",'[1]All Data '!BB1328)</f>
        <v/>
      </c>
      <c r="R1323" s="10" t="str">
        <f>IF('[1]All Data '!BD1328="","",'[1]All Data '!BD1328)</f>
        <v/>
      </c>
      <c r="S1323" s="11" t="str">
        <f>IF(R1323="","",'[1]All Data '!BE1328)</f>
        <v/>
      </c>
      <c r="T1323" s="12" t="str">
        <f>IF(S1323="","",[1]Inputs_Outputs!$B$8*(1-'LOCH Calc COE Calc'!S1323))</f>
        <v/>
      </c>
      <c r="U1323" s="13" t="str">
        <f t="shared" si="101"/>
        <v/>
      </c>
      <c r="V1323" s="13" t="str">
        <f t="shared" si="102"/>
        <v/>
      </c>
      <c r="W1323" s="4" t="str">
        <f t="shared" si="103"/>
        <v/>
      </c>
      <c r="X1323" t="str">
        <f>IF(W1323="","",LOOKUP(_xlfn.CONCAT(P1323,", ",Q1323),'[1]T+S Costs'!$F$2:$F$3138,'[1]T+S Costs'!$N$2:$N$3138))</f>
        <v/>
      </c>
      <c r="Y1323" s="14" t="str">
        <f t="shared" si="104"/>
        <v/>
      </c>
      <c r="Z1323" s="4" t="str">
        <f t="shared" si="105"/>
        <v/>
      </c>
    </row>
    <row r="1324" spans="16:26" x14ac:dyDescent="0.25">
      <c r="P1324" s="10" t="str">
        <f>IF('[1]All Data '!AZ1329="","",'[1]All Data '!AZ1329)</f>
        <v/>
      </c>
      <c r="Q1324" s="10" t="str">
        <f>IF('[1]All Data '!BB1329="","",'[1]All Data '!BB1329)</f>
        <v/>
      </c>
      <c r="R1324" s="10" t="str">
        <f>IF('[1]All Data '!BD1329="","",'[1]All Data '!BD1329)</f>
        <v/>
      </c>
      <c r="S1324" s="11" t="str">
        <f>IF(R1324="","",'[1]All Data '!BE1329)</f>
        <v/>
      </c>
      <c r="T1324" s="12" t="str">
        <f>IF(S1324="","",[1]Inputs_Outputs!$B$8*(1-'LOCH Calc COE Calc'!S1324))</f>
        <v/>
      </c>
      <c r="U1324" s="13" t="str">
        <f t="shared" si="101"/>
        <v/>
      </c>
      <c r="V1324" s="13" t="str">
        <f t="shared" si="102"/>
        <v/>
      </c>
      <c r="W1324" s="4" t="str">
        <f t="shared" si="103"/>
        <v/>
      </c>
      <c r="X1324" t="str">
        <f>IF(W1324="","",LOOKUP(_xlfn.CONCAT(P1324,", ",Q1324),'[1]T+S Costs'!$F$2:$F$3138,'[1]T+S Costs'!$N$2:$N$3138))</f>
        <v/>
      </c>
      <c r="Y1324" s="14" t="str">
        <f t="shared" si="104"/>
        <v/>
      </c>
      <c r="Z1324" s="4" t="str">
        <f t="shared" si="105"/>
        <v/>
      </c>
    </row>
    <row r="1325" spans="16:26" x14ac:dyDescent="0.25">
      <c r="P1325" s="10" t="str">
        <f>IF('[1]All Data '!AZ1330="","",'[1]All Data '!AZ1330)</f>
        <v/>
      </c>
      <c r="Q1325" s="10" t="str">
        <f>IF('[1]All Data '!BB1330="","",'[1]All Data '!BB1330)</f>
        <v/>
      </c>
      <c r="R1325" s="10" t="str">
        <f>IF('[1]All Data '!BD1330="","",'[1]All Data '!BD1330)</f>
        <v/>
      </c>
      <c r="S1325" s="11" t="str">
        <f>IF(R1325="","",'[1]All Data '!BE1330)</f>
        <v/>
      </c>
      <c r="T1325" s="12" t="str">
        <f>IF(S1325="","",[1]Inputs_Outputs!$B$8*(1-'LOCH Calc COE Calc'!S1325))</f>
        <v/>
      </c>
      <c r="U1325" s="13" t="str">
        <f t="shared" si="101"/>
        <v/>
      </c>
      <c r="V1325" s="13" t="str">
        <f t="shared" si="102"/>
        <v/>
      </c>
      <c r="W1325" s="4" t="str">
        <f t="shared" si="103"/>
        <v/>
      </c>
      <c r="X1325" t="str">
        <f>IF(W1325="","",LOOKUP(_xlfn.CONCAT(P1325,", ",Q1325),'[1]T+S Costs'!$F$2:$F$3138,'[1]T+S Costs'!$N$2:$N$3138))</f>
        <v/>
      </c>
      <c r="Y1325" s="14" t="str">
        <f t="shared" si="104"/>
        <v/>
      </c>
      <c r="Z1325" s="4" t="str">
        <f t="shared" si="105"/>
        <v/>
      </c>
    </row>
    <row r="1326" spans="16:26" x14ac:dyDescent="0.25">
      <c r="P1326" s="10" t="str">
        <f>IF('[1]All Data '!AZ1331="","",'[1]All Data '!AZ1331)</f>
        <v/>
      </c>
      <c r="Q1326" s="10" t="str">
        <f>IF('[1]All Data '!BB1331="","",'[1]All Data '!BB1331)</f>
        <v/>
      </c>
      <c r="R1326" s="10" t="str">
        <f>IF('[1]All Data '!BD1331="","",'[1]All Data '!BD1331)</f>
        <v/>
      </c>
      <c r="S1326" s="11" t="str">
        <f>IF(R1326="","",'[1]All Data '!BE1331)</f>
        <v/>
      </c>
      <c r="T1326" s="12" t="str">
        <f>IF(S1326="","",[1]Inputs_Outputs!$B$8*(1-'LOCH Calc COE Calc'!S1326))</f>
        <v/>
      </c>
      <c r="U1326" s="13" t="str">
        <f t="shared" si="101"/>
        <v/>
      </c>
      <c r="V1326" s="13" t="str">
        <f t="shared" si="102"/>
        <v/>
      </c>
      <c r="W1326" s="4" t="str">
        <f t="shared" si="103"/>
        <v/>
      </c>
      <c r="X1326" t="str">
        <f>IF(W1326="","",LOOKUP(_xlfn.CONCAT(P1326,", ",Q1326),'[1]T+S Costs'!$F$2:$F$3138,'[1]T+S Costs'!$N$2:$N$3138))</f>
        <v/>
      </c>
      <c r="Y1326" s="14" t="str">
        <f t="shared" si="104"/>
        <v/>
      </c>
      <c r="Z1326" s="4" t="str">
        <f t="shared" si="105"/>
        <v/>
      </c>
    </row>
    <row r="1327" spans="16:26" x14ac:dyDescent="0.25">
      <c r="P1327" s="10" t="str">
        <f>IF('[1]All Data '!AZ1332="","",'[1]All Data '!AZ1332)</f>
        <v/>
      </c>
      <c r="Q1327" s="10" t="str">
        <f>IF('[1]All Data '!BB1332="","",'[1]All Data '!BB1332)</f>
        <v/>
      </c>
      <c r="R1327" s="10" t="str">
        <f>IF('[1]All Data '!BD1332="","",'[1]All Data '!BD1332)</f>
        <v/>
      </c>
      <c r="S1327" s="11" t="str">
        <f>IF(R1327="","",'[1]All Data '!BE1332)</f>
        <v/>
      </c>
      <c r="T1327" s="12" t="str">
        <f>IF(S1327="","",[1]Inputs_Outputs!$B$8*(1-'LOCH Calc COE Calc'!S1327))</f>
        <v/>
      </c>
      <c r="U1327" s="13" t="str">
        <f t="shared" si="101"/>
        <v/>
      </c>
      <c r="V1327" s="13" t="str">
        <f t="shared" si="102"/>
        <v/>
      </c>
      <c r="W1327" s="4" t="str">
        <f t="shared" si="103"/>
        <v/>
      </c>
      <c r="X1327" t="str">
        <f>IF(W1327="","",LOOKUP(_xlfn.CONCAT(P1327,", ",Q1327),'[1]T+S Costs'!$F$2:$F$3138,'[1]T+S Costs'!$N$2:$N$3138))</f>
        <v/>
      </c>
      <c r="Y1327" s="14" t="str">
        <f t="shared" si="104"/>
        <v/>
      </c>
      <c r="Z1327" s="4" t="str">
        <f t="shared" si="105"/>
        <v/>
      </c>
    </row>
    <row r="1328" spans="16:26" x14ac:dyDescent="0.25">
      <c r="P1328" s="10" t="str">
        <f>IF('[1]All Data '!AZ1333="","",'[1]All Data '!AZ1333)</f>
        <v/>
      </c>
      <c r="Q1328" s="10" t="str">
        <f>IF('[1]All Data '!BB1333="","",'[1]All Data '!BB1333)</f>
        <v/>
      </c>
      <c r="R1328" s="10" t="str">
        <f>IF('[1]All Data '!BD1333="","",'[1]All Data '!BD1333)</f>
        <v/>
      </c>
      <c r="S1328" s="11" t="str">
        <f>IF(R1328="","",'[1]All Data '!BE1333)</f>
        <v/>
      </c>
      <c r="T1328" s="12" t="str">
        <f>IF(S1328="","",[1]Inputs_Outputs!$B$8*(1-'LOCH Calc COE Calc'!S1328))</f>
        <v/>
      </c>
      <c r="U1328" s="13" t="str">
        <f t="shared" si="101"/>
        <v/>
      </c>
      <c r="V1328" s="13" t="str">
        <f t="shared" si="102"/>
        <v/>
      </c>
      <c r="W1328" s="4" t="str">
        <f t="shared" si="103"/>
        <v/>
      </c>
      <c r="X1328" t="str">
        <f>IF(W1328="","",LOOKUP(_xlfn.CONCAT(P1328,", ",Q1328),'[1]T+S Costs'!$F$2:$F$3138,'[1]T+S Costs'!$N$2:$N$3138))</f>
        <v/>
      </c>
      <c r="Y1328" s="14" t="str">
        <f t="shared" si="104"/>
        <v/>
      </c>
      <c r="Z1328" s="4" t="str">
        <f t="shared" si="105"/>
        <v/>
      </c>
    </row>
    <row r="1329" spans="16:26" x14ac:dyDescent="0.25">
      <c r="P1329" s="10" t="str">
        <f>IF('[1]All Data '!AZ1334="","",'[1]All Data '!AZ1334)</f>
        <v/>
      </c>
      <c r="Q1329" s="10" t="str">
        <f>IF('[1]All Data '!BB1334="","",'[1]All Data '!BB1334)</f>
        <v/>
      </c>
      <c r="R1329" s="10" t="str">
        <f>IF('[1]All Data '!BD1334="","",'[1]All Data '!BD1334)</f>
        <v/>
      </c>
      <c r="S1329" s="11" t="str">
        <f>IF(R1329="","",'[1]All Data '!BE1334)</f>
        <v/>
      </c>
      <c r="T1329" s="12" t="str">
        <f>IF(S1329="","",[1]Inputs_Outputs!$B$8*(1-'LOCH Calc COE Calc'!S1329))</f>
        <v/>
      </c>
      <c r="U1329" s="13" t="str">
        <f t="shared" si="101"/>
        <v/>
      </c>
      <c r="V1329" s="13" t="str">
        <f t="shared" si="102"/>
        <v/>
      </c>
      <c r="W1329" s="4" t="str">
        <f t="shared" si="103"/>
        <v/>
      </c>
      <c r="X1329" t="str">
        <f>IF(W1329="","",LOOKUP(_xlfn.CONCAT(P1329,", ",Q1329),'[1]T+S Costs'!$F$2:$F$3138,'[1]T+S Costs'!$N$2:$N$3138))</f>
        <v/>
      </c>
      <c r="Y1329" s="14" t="str">
        <f t="shared" si="104"/>
        <v/>
      </c>
      <c r="Z1329" s="4" t="str">
        <f t="shared" si="105"/>
        <v/>
      </c>
    </row>
    <row r="1330" spans="16:26" x14ac:dyDescent="0.25">
      <c r="P1330" s="10" t="str">
        <f>IF('[1]All Data '!AZ1335="","",'[1]All Data '!AZ1335)</f>
        <v/>
      </c>
      <c r="Q1330" s="10" t="str">
        <f>IF('[1]All Data '!BB1335="","",'[1]All Data '!BB1335)</f>
        <v/>
      </c>
      <c r="R1330" s="10" t="str">
        <f>IF('[1]All Data '!BD1335="","",'[1]All Data '!BD1335)</f>
        <v/>
      </c>
      <c r="S1330" s="11" t="str">
        <f>IF(R1330="","",'[1]All Data '!BE1335)</f>
        <v/>
      </c>
      <c r="T1330" s="12" t="str">
        <f>IF(S1330="","",[1]Inputs_Outputs!$B$8*(1-'LOCH Calc COE Calc'!S1330))</f>
        <v/>
      </c>
      <c r="U1330" s="13" t="str">
        <f t="shared" si="101"/>
        <v/>
      </c>
      <c r="V1330" s="13" t="str">
        <f t="shared" si="102"/>
        <v/>
      </c>
      <c r="W1330" s="4" t="str">
        <f t="shared" si="103"/>
        <v/>
      </c>
      <c r="X1330" t="str">
        <f>IF(W1330="","",LOOKUP(_xlfn.CONCAT(P1330,", ",Q1330),'[1]T+S Costs'!$F$2:$F$3138,'[1]T+S Costs'!$N$2:$N$3138))</f>
        <v/>
      </c>
      <c r="Y1330" s="14" t="str">
        <f t="shared" si="104"/>
        <v/>
      </c>
      <c r="Z1330" s="4" t="str">
        <f t="shared" si="105"/>
        <v/>
      </c>
    </row>
    <row r="1331" spans="16:26" x14ac:dyDescent="0.25">
      <c r="P1331" s="10" t="str">
        <f>IF('[1]All Data '!AZ1336="","",'[1]All Data '!AZ1336)</f>
        <v/>
      </c>
      <c r="Q1331" s="10" t="str">
        <f>IF('[1]All Data '!BB1336="","",'[1]All Data '!BB1336)</f>
        <v/>
      </c>
      <c r="R1331" s="10" t="str">
        <f>IF('[1]All Data '!BD1336="","",'[1]All Data '!BD1336)</f>
        <v/>
      </c>
      <c r="S1331" s="11" t="str">
        <f>IF(R1331="","",'[1]All Data '!BE1336)</f>
        <v/>
      </c>
      <c r="T1331" s="12" t="str">
        <f>IF(S1331="","",[1]Inputs_Outputs!$B$8*(1-'LOCH Calc COE Calc'!S1331))</f>
        <v/>
      </c>
      <c r="U1331" s="13" t="str">
        <f t="shared" si="101"/>
        <v/>
      </c>
      <c r="V1331" s="13" t="str">
        <f t="shared" si="102"/>
        <v/>
      </c>
      <c r="W1331" s="4" t="str">
        <f t="shared" si="103"/>
        <v/>
      </c>
      <c r="X1331" t="str">
        <f>IF(W1331="","",LOOKUP(_xlfn.CONCAT(P1331,", ",Q1331),'[1]T+S Costs'!$F$2:$F$3138,'[1]T+S Costs'!$N$2:$N$3138))</f>
        <v/>
      </c>
      <c r="Y1331" s="14" t="str">
        <f t="shared" si="104"/>
        <v/>
      </c>
      <c r="Z1331" s="4" t="str">
        <f t="shared" si="105"/>
        <v/>
      </c>
    </row>
    <row r="1332" spans="16:26" x14ac:dyDescent="0.25">
      <c r="P1332" s="10" t="str">
        <f>IF('[1]All Data '!AZ1337="","",'[1]All Data '!AZ1337)</f>
        <v/>
      </c>
      <c r="Q1332" s="10" t="str">
        <f>IF('[1]All Data '!BB1337="","",'[1]All Data '!BB1337)</f>
        <v/>
      </c>
      <c r="R1332" s="10" t="str">
        <f>IF('[1]All Data '!BD1337="","",'[1]All Data '!BD1337)</f>
        <v/>
      </c>
      <c r="S1332" s="11" t="str">
        <f>IF(R1332="","",'[1]All Data '!BE1337)</f>
        <v/>
      </c>
      <c r="T1332" s="12" t="str">
        <f>IF(S1332="","",[1]Inputs_Outputs!$B$8*(1-'LOCH Calc COE Calc'!S1332))</f>
        <v/>
      </c>
      <c r="U1332" s="13" t="str">
        <f t="shared" si="101"/>
        <v/>
      </c>
      <c r="V1332" s="13" t="str">
        <f t="shared" si="102"/>
        <v/>
      </c>
      <c r="W1332" s="4" t="str">
        <f t="shared" si="103"/>
        <v/>
      </c>
      <c r="X1332" t="str">
        <f>IF(W1332="","",LOOKUP(_xlfn.CONCAT(P1332,", ",Q1332),'[1]T+S Costs'!$F$2:$F$3138,'[1]T+S Costs'!$N$2:$N$3138))</f>
        <v/>
      </c>
      <c r="Y1332" s="14" t="str">
        <f t="shared" si="104"/>
        <v/>
      </c>
      <c r="Z1332" s="4" t="str">
        <f t="shared" si="105"/>
        <v/>
      </c>
    </row>
    <row r="1333" spans="16:26" x14ac:dyDescent="0.25">
      <c r="P1333" s="10" t="str">
        <f>IF('[1]All Data '!AZ1338="","",'[1]All Data '!AZ1338)</f>
        <v/>
      </c>
      <c r="Q1333" s="10" t="str">
        <f>IF('[1]All Data '!BB1338="","",'[1]All Data '!BB1338)</f>
        <v/>
      </c>
      <c r="R1333" s="10" t="str">
        <f>IF('[1]All Data '!BD1338="","",'[1]All Data '!BD1338)</f>
        <v/>
      </c>
      <c r="S1333" s="11" t="str">
        <f>IF(R1333="","",'[1]All Data '!BE1338)</f>
        <v/>
      </c>
      <c r="T1333" s="12" t="str">
        <f>IF(S1333="","",[1]Inputs_Outputs!$B$8*(1-'LOCH Calc COE Calc'!S1333))</f>
        <v/>
      </c>
      <c r="U1333" s="13" t="str">
        <f t="shared" si="101"/>
        <v/>
      </c>
      <c r="V1333" s="13" t="str">
        <f t="shared" si="102"/>
        <v/>
      </c>
      <c r="W1333" s="4" t="str">
        <f t="shared" si="103"/>
        <v/>
      </c>
      <c r="X1333" t="str">
        <f>IF(W1333="","",LOOKUP(_xlfn.CONCAT(P1333,", ",Q1333),'[1]T+S Costs'!$F$2:$F$3138,'[1]T+S Costs'!$N$2:$N$3138))</f>
        <v/>
      </c>
      <c r="Y1333" s="14" t="str">
        <f t="shared" si="104"/>
        <v/>
      </c>
      <c r="Z1333" s="4" t="str">
        <f t="shared" si="105"/>
        <v/>
      </c>
    </row>
    <row r="1334" spans="16:26" x14ac:dyDescent="0.25">
      <c r="P1334" s="10" t="str">
        <f>IF('[1]All Data '!AZ1339="","",'[1]All Data '!AZ1339)</f>
        <v/>
      </c>
      <c r="Q1334" s="10" t="str">
        <f>IF('[1]All Data '!BB1339="","",'[1]All Data '!BB1339)</f>
        <v/>
      </c>
      <c r="R1334" s="10" t="str">
        <f>IF('[1]All Data '!BD1339="","",'[1]All Data '!BD1339)</f>
        <v/>
      </c>
      <c r="S1334" s="11" t="str">
        <f>IF(R1334="","",'[1]All Data '!BE1339)</f>
        <v/>
      </c>
      <c r="T1334" s="12" t="str">
        <f>IF(S1334="","",[1]Inputs_Outputs!$B$8*(1-'LOCH Calc COE Calc'!S1334))</f>
        <v/>
      </c>
      <c r="U1334" s="13" t="str">
        <f t="shared" si="101"/>
        <v/>
      </c>
      <c r="V1334" s="13" t="str">
        <f t="shared" si="102"/>
        <v/>
      </c>
      <c r="W1334" s="4" t="str">
        <f t="shared" si="103"/>
        <v/>
      </c>
      <c r="X1334" t="str">
        <f>IF(W1334="","",LOOKUP(_xlfn.CONCAT(P1334,", ",Q1334),'[1]T+S Costs'!$F$2:$F$3138,'[1]T+S Costs'!$N$2:$N$3138))</f>
        <v/>
      </c>
      <c r="Y1334" s="14" t="str">
        <f t="shared" si="104"/>
        <v/>
      </c>
      <c r="Z1334" s="4" t="str">
        <f t="shared" si="105"/>
        <v/>
      </c>
    </row>
    <row r="1335" spans="16:26" x14ac:dyDescent="0.25">
      <c r="P1335" s="10" t="str">
        <f>IF('[1]All Data '!AZ1340="","",'[1]All Data '!AZ1340)</f>
        <v/>
      </c>
      <c r="Q1335" s="10" t="str">
        <f>IF('[1]All Data '!BB1340="","",'[1]All Data '!BB1340)</f>
        <v/>
      </c>
      <c r="R1335" s="10" t="str">
        <f>IF('[1]All Data '!BD1340="","",'[1]All Data '!BD1340)</f>
        <v/>
      </c>
      <c r="S1335" s="11" t="str">
        <f>IF(R1335="","",'[1]All Data '!BE1340)</f>
        <v/>
      </c>
      <c r="T1335" s="12" t="str">
        <f>IF(S1335="","",[1]Inputs_Outputs!$B$8*(1-'LOCH Calc COE Calc'!S1335))</f>
        <v/>
      </c>
      <c r="U1335" s="13" t="str">
        <f t="shared" si="101"/>
        <v/>
      </c>
      <c r="V1335" s="13" t="str">
        <f t="shared" si="102"/>
        <v/>
      </c>
      <c r="W1335" s="4" t="str">
        <f t="shared" si="103"/>
        <v/>
      </c>
      <c r="X1335" t="str">
        <f>IF(W1335="","",LOOKUP(_xlfn.CONCAT(P1335,", ",Q1335),'[1]T+S Costs'!$F$2:$F$3138,'[1]T+S Costs'!$N$2:$N$3138))</f>
        <v/>
      </c>
      <c r="Y1335" s="14" t="str">
        <f t="shared" si="104"/>
        <v/>
      </c>
      <c r="Z1335" s="4" t="str">
        <f t="shared" si="105"/>
        <v/>
      </c>
    </row>
    <row r="1336" spans="16:26" x14ac:dyDescent="0.25">
      <c r="P1336" s="10" t="str">
        <f>IF('[1]All Data '!AZ1341="","",'[1]All Data '!AZ1341)</f>
        <v/>
      </c>
      <c r="Q1336" s="10" t="str">
        <f>IF('[1]All Data '!BB1341="","",'[1]All Data '!BB1341)</f>
        <v/>
      </c>
      <c r="R1336" s="10" t="str">
        <f>IF('[1]All Data '!BD1341="","",'[1]All Data '!BD1341)</f>
        <v/>
      </c>
      <c r="S1336" s="11" t="str">
        <f>IF(R1336="","",'[1]All Data '!BE1341)</f>
        <v/>
      </c>
      <c r="T1336" s="12" t="str">
        <f>IF(S1336="","",[1]Inputs_Outputs!$B$8*(1-'LOCH Calc COE Calc'!S1336))</f>
        <v/>
      </c>
      <c r="U1336" s="13" t="str">
        <f t="shared" si="101"/>
        <v/>
      </c>
      <c r="V1336" s="13" t="str">
        <f t="shared" si="102"/>
        <v/>
      </c>
      <c r="W1336" s="4" t="str">
        <f t="shared" si="103"/>
        <v/>
      </c>
      <c r="X1336" t="str">
        <f>IF(W1336="","",LOOKUP(_xlfn.CONCAT(P1336,", ",Q1336),'[1]T+S Costs'!$F$2:$F$3138,'[1]T+S Costs'!$N$2:$N$3138))</f>
        <v/>
      </c>
      <c r="Y1336" s="14" t="str">
        <f t="shared" si="104"/>
        <v/>
      </c>
      <c r="Z1336" s="4" t="str">
        <f t="shared" si="105"/>
        <v/>
      </c>
    </row>
    <row r="1337" spans="16:26" x14ac:dyDescent="0.25">
      <c r="P1337" s="10" t="str">
        <f>IF('[1]All Data '!AZ1342="","",'[1]All Data '!AZ1342)</f>
        <v/>
      </c>
      <c r="Q1337" s="10" t="str">
        <f>IF('[1]All Data '!BB1342="","",'[1]All Data '!BB1342)</f>
        <v/>
      </c>
      <c r="R1337" s="10" t="str">
        <f>IF('[1]All Data '!BD1342="","",'[1]All Data '!BD1342)</f>
        <v/>
      </c>
      <c r="S1337" s="11" t="str">
        <f>IF(R1337="","",'[1]All Data '!BE1342)</f>
        <v/>
      </c>
      <c r="T1337" s="12" t="str">
        <f>IF(S1337="","",[1]Inputs_Outputs!$B$8*(1-'LOCH Calc COE Calc'!S1337))</f>
        <v/>
      </c>
      <c r="U1337" s="13" t="str">
        <f t="shared" si="101"/>
        <v/>
      </c>
      <c r="V1337" s="13" t="str">
        <f t="shared" si="102"/>
        <v/>
      </c>
      <c r="W1337" s="4" t="str">
        <f t="shared" si="103"/>
        <v/>
      </c>
      <c r="X1337" t="str">
        <f>IF(W1337="","",LOOKUP(_xlfn.CONCAT(P1337,", ",Q1337),'[1]T+S Costs'!$F$2:$F$3138,'[1]T+S Costs'!$N$2:$N$3138))</f>
        <v/>
      </c>
      <c r="Y1337" s="14" t="str">
        <f t="shared" si="104"/>
        <v/>
      </c>
      <c r="Z1337" s="4" t="str">
        <f t="shared" si="105"/>
        <v/>
      </c>
    </row>
    <row r="1338" spans="16:26" x14ac:dyDescent="0.25">
      <c r="P1338" s="10" t="str">
        <f>IF('[1]All Data '!AZ1343="","",'[1]All Data '!AZ1343)</f>
        <v/>
      </c>
      <c r="Q1338" s="10" t="str">
        <f>IF('[1]All Data '!BB1343="","",'[1]All Data '!BB1343)</f>
        <v/>
      </c>
      <c r="R1338" s="10" t="str">
        <f>IF('[1]All Data '!BD1343="","",'[1]All Data '!BD1343)</f>
        <v/>
      </c>
      <c r="S1338" s="11" t="str">
        <f>IF(R1338="","",'[1]All Data '!BE1343)</f>
        <v/>
      </c>
      <c r="T1338" s="12" t="str">
        <f>IF(S1338="","",[1]Inputs_Outputs!$B$8*(1-'LOCH Calc COE Calc'!S1338))</f>
        <v/>
      </c>
      <c r="U1338" s="13" t="str">
        <f t="shared" si="101"/>
        <v/>
      </c>
      <c r="V1338" s="13" t="str">
        <f t="shared" si="102"/>
        <v/>
      </c>
      <c r="W1338" s="4" t="str">
        <f t="shared" si="103"/>
        <v/>
      </c>
      <c r="X1338" t="str">
        <f>IF(W1338="","",LOOKUP(_xlfn.CONCAT(P1338,", ",Q1338),'[1]T+S Costs'!$F$2:$F$3138,'[1]T+S Costs'!$N$2:$N$3138))</f>
        <v/>
      </c>
      <c r="Y1338" s="14" t="str">
        <f t="shared" si="104"/>
        <v/>
      </c>
      <c r="Z1338" s="4" t="str">
        <f t="shared" si="105"/>
        <v/>
      </c>
    </row>
    <row r="1339" spans="16:26" x14ac:dyDescent="0.25">
      <c r="P1339" s="10" t="str">
        <f>IF('[1]All Data '!AZ1344="","",'[1]All Data '!AZ1344)</f>
        <v/>
      </c>
      <c r="Q1339" s="10" t="str">
        <f>IF('[1]All Data '!BB1344="","",'[1]All Data '!BB1344)</f>
        <v/>
      </c>
      <c r="R1339" s="10" t="str">
        <f>IF('[1]All Data '!BD1344="","",'[1]All Data '!BD1344)</f>
        <v/>
      </c>
      <c r="S1339" s="11" t="str">
        <f>IF(R1339="","",'[1]All Data '!BE1344)</f>
        <v/>
      </c>
      <c r="T1339" s="12" t="str">
        <f>IF(S1339="","",[1]Inputs_Outputs!$B$8*(1-'LOCH Calc COE Calc'!S1339))</f>
        <v/>
      </c>
      <c r="U1339" s="13" t="str">
        <f t="shared" si="101"/>
        <v/>
      </c>
      <c r="V1339" s="13" t="str">
        <f t="shared" si="102"/>
        <v/>
      </c>
      <c r="W1339" s="4" t="str">
        <f t="shared" si="103"/>
        <v/>
      </c>
      <c r="X1339" t="str">
        <f>IF(W1339="","",LOOKUP(_xlfn.CONCAT(P1339,", ",Q1339),'[1]T+S Costs'!$F$2:$F$3138,'[1]T+S Costs'!$N$2:$N$3138))</f>
        <v/>
      </c>
      <c r="Y1339" s="14" t="str">
        <f t="shared" si="104"/>
        <v/>
      </c>
      <c r="Z1339" s="4" t="str">
        <f t="shared" si="105"/>
        <v/>
      </c>
    </row>
    <row r="1340" spans="16:26" x14ac:dyDescent="0.25">
      <c r="P1340" s="10" t="str">
        <f>IF('[1]All Data '!AZ1345="","",'[1]All Data '!AZ1345)</f>
        <v/>
      </c>
      <c r="Q1340" s="10" t="str">
        <f>IF('[1]All Data '!BB1345="","",'[1]All Data '!BB1345)</f>
        <v/>
      </c>
      <c r="R1340" s="10" t="str">
        <f>IF('[1]All Data '!BD1345="","",'[1]All Data '!BD1345)</f>
        <v/>
      </c>
      <c r="S1340" s="11" t="str">
        <f>IF(R1340="","",'[1]All Data '!BE1345)</f>
        <v/>
      </c>
      <c r="T1340" s="12" t="str">
        <f>IF(S1340="","",[1]Inputs_Outputs!$B$8*(1-'LOCH Calc COE Calc'!S1340))</f>
        <v/>
      </c>
      <c r="U1340" s="13" t="str">
        <f t="shared" si="101"/>
        <v/>
      </c>
      <c r="V1340" s="13" t="str">
        <f t="shared" si="102"/>
        <v/>
      </c>
      <c r="W1340" s="4" t="str">
        <f t="shared" si="103"/>
        <v/>
      </c>
      <c r="X1340" t="str">
        <f>IF(W1340="","",LOOKUP(_xlfn.CONCAT(P1340,", ",Q1340),'[1]T+S Costs'!$F$2:$F$3138,'[1]T+S Costs'!$N$2:$N$3138))</f>
        <v/>
      </c>
      <c r="Y1340" s="14" t="str">
        <f t="shared" si="104"/>
        <v/>
      </c>
      <c r="Z1340" s="4" t="str">
        <f t="shared" si="105"/>
        <v/>
      </c>
    </row>
    <row r="1341" spans="16:26" x14ac:dyDescent="0.25">
      <c r="P1341" s="10" t="str">
        <f>IF('[1]All Data '!AZ1346="","",'[1]All Data '!AZ1346)</f>
        <v/>
      </c>
      <c r="Q1341" s="10" t="str">
        <f>IF('[1]All Data '!BB1346="","",'[1]All Data '!BB1346)</f>
        <v/>
      </c>
      <c r="R1341" s="10" t="str">
        <f>IF('[1]All Data '!BD1346="","",'[1]All Data '!BD1346)</f>
        <v/>
      </c>
      <c r="S1341" s="11" t="str">
        <f>IF(R1341="","",'[1]All Data '!BE1346)</f>
        <v/>
      </c>
      <c r="T1341" s="12" t="str">
        <f>IF(S1341="","",[1]Inputs_Outputs!$B$8*(1-'LOCH Calc COE Calc'!S1341))</f>
        <v/>
      </c>
      <c r="U1341" s="13" t="str">
        <f t="shared" si="101"/>
        <v/>
      </c>
      <c r="V1341" s="13" t="str">
        <f t="shared" si="102"/>
        <v/>
      </c>
      <c r="W1341" s="4" t="str">
        <f t="shared" si="103"/>
        <v/>
      </c>
      <c r="X1341" t="str">
        <f>IF(W1341="","",LOOKUP(_xlfn.CONCAT(P1341,", ",Q1341),'[1]T+S Costs'!$F$2:$F$3138,'[1]T+S Costs'!$N$2:$N$3138))</f>
        <v/>
      </c>
      <c r="Y1341" s="14" t="str">
        <f t="shared" si="104"/>
        <v/>
      </c>
      <c r="Z1341" s="4" t="str">
        <f t="shared" si="105"/>
        <v/>
      </c>
    </row>
    <row r="1342" spans="16:26" x14ac:dyDescent="0.25">
      <c r="P1342" s="10" t="str">
        <f>IF('[1]All Data '!AZ1347="","",'[1]All Data '!AZ1347)</f>
        <v/>
      </c>
      <c r="Q1342" s="10" t="str">
        <f>IF('[1]All Data '!BB1347="","",'[1]All Data '!BB1347)</f>
        <v/>
      </c>
      <c r="R1342" s="10" t="str">
        <f>IF('[1]All Data '!BD1347="","",'[1]All Data '!BD1347)</f>
        <v/>
      </c>
      <c r="S1342" s="11" t="str">
        <f>IF(R1342="","",'[1]All Data '!BE1347)</f>
        <v/>
      </c>
      <c r="T1342" s="12" t="str">
        <f>IF(S1342="","",[1]Inputs_Outputs!$B$8*(1-'LOCH Calc COE Calc'!S1342))</f>
        <v/>
      </c>
      <c r="U1342" s="13" t="str">
        <f t="shared" si="101"/>
        <v/>
      </c>
      <c r="V1342" s="13" t="str">
        <f t="shared" si="102"/>
        <v/>
      </c>
      <c r="W1342" s="4" t="str">
        <f t="shared" si="103"/>
        <v/>
      </c>
      <c r="X1342" t="str">
        <f>IF(W1342="","",LOOKUP(_xlfn.CONCAT(P1342,", ",Q1342),'[1]T+S Costs'!$F$2:$F$3138,'[1]T+S Costs'!$N$2:$N$3138))</f>
        <v/>
      </c>
      <c r="Y1342" s="14" t="str">
        <f t="shared" si="104"/>
        <v/>
      </c>
      <c r="Z1342" s="4" t="str">
        <f t="shared" si="105"/>
        <v/>
      </c>
    </row>
    <row r="1343" spans="16:26" x14ac:dyDescent="0.25">
      <c r="P1343" s="10" t="str">
        <f>IF('[1]All Data '!AZ1348="","",'[1]All Data '!AZ1348)</f>
        <v/>
      </c>
      <c r="Q1343" s="10" t="str">
        <f>IF('[1]All Data '!BB1348="","",'[1]All Data '!BB1348)</f>
        <v/>
      </c>
      <c r="R1343" s="10" t="str">
        <f>IF('[1]All Data '!BD1348="","",'[1]All Data '!BD1348)</f>
        <v/>
      </c>
      <c r="S1343" s="11" t="str">
        <f>IF(R1343="","",'[1]All Data '!BE1348)</f>
        <v/>
      </c>
      <c r="T1343" s="12" t="str">
        <f>IF(S1343="","",[1]Inputs_Outputs!$B$8*(1-'LOCH Calc COE Calc'!S1343))</f>
        <v/>
      </c>
      <c r="U1343" s="13" t="str">
        <f t="shared" si="101"/>
        <v/>
      </c>
      <c r="V1343" s="13" t="str">
        <f t="shared" si="102"/>
        <v/>
      </c>
      <c r="W1343" s="4" t="str">
        <f t="shared" si="103"/>
        <v/>
      </c>
      <c r="X1343" t="str">
        <f>IF(W1343="","",LOOKUP(_xlfn.CONCAT(P1343,", ",Q1343),'[1]T+S Costs'!$F$2:$F$3138,'[1]T+S Costs'!$N$2:$N$3138))</f>
        <v/>
      </c>
      <c r="Y1343" s="14" t="str">
        <f t="shared" si="104"/>
        <v/>
      </c>
      <c r="Z1343" s="4" t="str">
        <f t="shared" si="105"/>
        <v/>
      </c>
    </row>
    <row r="1344" spans="16:26" x14ac:dyDescent="0.25">
      <c r="P1344" s="10" t="str">
        <f>IF('[1]All Data '!AZ1349="","",'[1]All Data '!AZ1349)</f>
        <v/>
      </c>
      <c r="Q1344" s="10" t="str">
        <f>IF('[1]All Data '!BB1349="","",'[1]All Data '!BB1349)</f>
        <v/>
      </c>
      <c r="R1344" s="10" t="str">
        <f>IF('[1]All Data '!BD1349="","",'[1]All Data '!BD1349)</f>
        <v/>
      </c>
      <c r="S1344" s="11" t="str">
        <f>IF(R1344="","",'[1]All Data '!BE1349)</f>
        <v/>
      </c>
      <c r="T1344" s="12" t="str">
        <f>IF(S1344="","",[1]Inputs_Outputs!$B$8*(1-'LOCH Calc COE Calc'!S1344))</f>
        <v/>
      </c>
      <c r="U1344" s="13" t="str">
        <f t="shared" si="101"/>
        <v/>
      </c>
      <c r="V1344" s="13" t="str">
        <f t="shared" si="102"/>
        <v/>
      </c>
      <c r="W1344" s="4" t="str">
        <f t="shared" si="103"/>
        <v/>
      </c>
      <c r="X1344" t="str">
        <f>IF(W1344="","",LOOKUP(_xlfn.CONCAT(P1344,", ",Q1344),'[1]T+S Costs'!$F$2:$F$3138,'[1]T+S Costs'!$N$2:$N$3138))</f>
        <v/>
      </c>
      <c r="Y1344" s="14" t="str">
        <f t="shared" si="104"/>
        <v/>
      </c>
      <c r="Z1344" s="4" t="str">
        <f t="shared" si="105"/>
        <v/>
      </c>
    </row>
    <row r="1345" spans="16:26" x14ac:dyDescent="0.25">
      <c r="P1345" s="10" t="str">
        <f>IF('[1]All Data '!AZ1350="","",'[1]All Data '!AZ1350)</f>
        <v/>
      </c>
      <c r="Q1345" s="10" t="str">
        <f>IF('[1]All Data '!BB1350="","",'[1]All Data '!BB1350)</f>
        <v/>
      </c>
      <c r="R1345" s="10" t="str">
        <f>IF('[1]All Data '!BD1350="","",'[1]All Data '!BD1350)</f>
        <v/>
      </c>
      <c r="S1345" s="11" t="str">
        <f>IF(R1345="","",'[1]All Data '!BE1350)</f>
        <v/>
      </c>
      <c r="T1345" s="12" t="str">
        <f>IF(S1345="","",[1]Inputs_Outputs!$B$8*(1-'LOCH Calc COE Calc'!S1345))</f>
        <v/>
      </c>
      <c r="U1345" s="13" t="str">
        <f t="shared" si="101"/>
        <v/>
      </c>
      <c r="V1345" s="13" t="str">
        <f t="shared" si="102"/>
        <v/>
      </c>
      <c r="W1345" s="4" t="str">
        <f t="shared" si="103"/>
        <v/>
      </c>
      <c r="X1345" t="str">
        <f>IF(W1345="","",LOOKUP(_xlfn.CONCAT(P1345,", ",Q1345),'[1]T+S Costs'!$F$2:$F$3138,'[1]T+S Costs'!$N$2:$N$3138))</f>
        <v/>
      </c>
      <c r="Y1345" s="14" t="str">
        <f t="shared" si="104"/>
        <v/>
      </c>
      <c r="Z1345" s="4" t="str">
        <f t="shared" si="105"/>
        <v/>
      </c>
    </row>
    <row r="1346" spans="16:26" x14ac:dyDescent="0.25">
      <c r="P1346" s="10" t="str">
        <f>IF('[1]All Data '!AZ1351="","",'[1]All Data '!AZ1351)</f>
        <v/>
      </c>
      <c r="Q1346" s="10" t="str">
        <f>IF('[1]All Data '!BB1351="","",'[1]All Data '!BB1351)</f>
        <v/>
      </c>
      <c r="R1346" s="10" t="str">
        <f>IF('[1]All Data '!BD1351="","",'[1]All Data '!BD1351)</f>
        <v/>
      </c>
      <c r="S1346" s="11" t="str">
        <f>IF(R1346="","",'[1]All Data '!BE1351)</f>
        <v/>
      </c>
      <c r="T1346" s="12" t="str">
        <f>IF(S1346="","",[1]Inputs_Outputs!$B$8*(1-'LOCH Calc COE Calc'!S1346))</f>
        <v/>
      </c>
      <c r="U1346" s="13" t="str">
        <f t="shared" si="101"/>
        <v/>
      </c>
      <c r="V1346" s="13" t="str">
        <f t="shared" si="102"/>
        <v/>
      </c>
      <c r="W1346" s="4" t="str">
        <f t="shared" si="103"/>
        <v/>
      </c>
      <c r="X1346" t="str">
        <f>IF(W1346="","",LOOKUP(_xlfn.CONCAT(P1346,", ",Q1346),'[1]T+S Costs'!$F$2:$F$3138,'[1]T+S Costs'!$N$2:$N$3138))</f>
        <v/>
      </c>
      <c r="Y1346" s="14" t="str">
        <f t="shared" si="104"/>
        <v/>
      </c>
      <c r="Z1346" s="4" t="str">
        <f t="shared" si="105"/>
        <v/>
      </c>
    </row>
    <row r="1347" spans="16:26" x14ac:dyDescent="0.25">
      <c r="P1347" s="10" t="str">
        <f>IF('[1]All Data '!AZ1352="","",'[1]All Data '!AZ1352)</f>
        <v/>
      </c>
      <c r="Q1347" s="10" t="str">
        <f>IF('[1]All Data '!BB1352="","",'[1]All Data '!BB1352)</f>
        <v/>
      </c>
      <c r="R1347" s="10" t="str">
        <f>IF('[1]All Data '!BD1352="","",'[1]All Data '!BD1352)</f>
        <v/>
      </c>
      <c r="S1347" s="11" t="str">
        <f>IF(R1347="","",'[1]All Data '!BE1352)</f>
        <v/>
      </c>
      <c r="T1347" s="12" t="str">
        <f>IF(S1347="","",[1]Inputs_Outputs!$B$8*(1-'LOCH Calc COE Calc'!S1347))</f>
        <v/>
      </c>
      <c r="U1347" s="13" t="str">
        <f t="shared" ref="U1347:U1410" si="106">IF(S1347="","",R1347*T1347*365*$B$19/100)</f>
        <v/>
      </c>
      <c r="V1347" s="13" t="str">
        <f t="shared" ref="V1347:V1410" si="107">IF(S1347="","",(U1347*$B$19)/(($B$28)*$B$19))</f>
        <v/>
      </c>
      <c r="W1347" s="4" t="str">
        <f t="shared" ref="W1347:W1410" si="108">IF(S1347="","",V1347+$C$49+$C$50+$C$51)</f>
        <v/>
      </c>
      <c r="X1347" t="str">
        <f>IF(W1347="","",LOOKUP(_xlfn.CONCAT(P1347,", ",Q1347),'[1]T+S Costs'!$F$2:$F$3138,'[1]T+S Costs'!$N$2:$N$3138))</f>
        <v/>
      </c>
      <c r="Y1347" s="14" t="str">
        <f t="shared" ref="Y1347:Y1410" si="109">IF(X1347="","",((X1347*$B$60/$B$59)*$C$44)/$C$28)</f>
        <v/>
      </c>
      <c r="Z1347" s="4" t="str">
        <f t="shared" ref="Z1347:Z1410" si="110">IF(Y1347="","",W1347+Y1347)</f>
        <v/>
      </c>
    </row>
    <row r="1348" spans="16:26" x14ac:dyDescent="0.25">
      <c r="P1348" s="10" t="str">
        <f>IF('[1]All Data '!AZ1353="","",'[1]All Data '!AZ1353)</f>
        <v/>
      </c>
      <c r="Q1348" s="10" t="str">
        <f>IF('[1]All Data '!BB1353="","",'[1]All Data '!BB1353)</f>
        <v/>
      </c>
      <c r="R1348" s="10" t="str">
        <f>IF('[1]All Data '!BD1353="","",'[1]All Data '!BD1353)</f>
        <v/>
      </c>
      <c r="S1348" s="11" t="str">
        <f>IF(R1348="","",'[1]All Data '!BE1353)</f>
        <v/>
      </c>
      <c r="T1348" s="12" t="str">
        <f>IF(S1348="","",[1]Inputs_Outputs!$B$8*(1-'LOCH Calc COE Calc'!S1348))</f>
        <v/>
      </c>
      <c r="U1348" s="13" t="str">
        <f t="shared" si="106"/>
        <v/>
      </c>
      <c r="V1348" s="13" t="str">
        <f t="shared" si="107"/>
        <v/>
      </c>
      <c r="W1348" s="4" t="str">
        <f t="shared" si="108"/>
        <v/>
      </c>
      <c r="X1348" t="str">
        <f>IF(W1348="","",LOOKUP(_xlfn.CONCAT(P1348,", ",Q1348),'[1]T+S Costs'!$F$2:$F$3138,'[1]T+S Costs'!$N$2:$N$3138))</f>
        <v/>
      </c>
      <c r="Y1348" s="14" t="str">
        <f t="shared" si="109"/>
        <v/>
      </c>
      <c r="Z1348" s="4" t="str">
        <f t="shared" si="110"/>
        <v/>
      </c>
    </row>
    <row r="1349" spans="16:26" x14ac:dyDescent="0.25">
      <c r="P1349" s="10" t="str">
        <f>IF('[1]All Data '!AZ1354="","",'[1]All Data '!AZ1354)</f>
        <v/>
      </c>
      <c r="Q1349" s="10" t="str">
        <f>IF('[1]All Data '!BB1354="","",'[1]All Data '!BB1354)</f>
        <v/>
      </c>
      <c r="R1349" s="10" t="str">
        <f>IF('[1]All Data '!BD1354="","",'[1]All Data '!BD1354)</f>
        <v/>
      </c>
      <c r="S1349" s="11" t="str">
        <f>IF(R1349="","",'[1]All Data '!BE1354)</f>
        <v/>
      </c>
      <c r="T1349" s="12" t="str">
        <f>IF(S1349="","",[1]Inputs_Outputs!$B$8*(1-'LOCH Calc COE Calc'!S1349))</f>
        <v/>
      </c>
      <c r="U1349" s="13" t="str">
        <f t="shared" si="106"/>
        <v/>
      </c>
      <c r="V1349" s="13" t="str">
        <f t="shared" si="107"/>
        <v/>
      </c>
      <c r="W1349" s="4" t="str">
        <f t="shared" si="108"/>
        <v/>
      </c>
      <c r="X1349" t="str">
        <f>IF(W1349="","",LOOKUP(_xlfn.CONCAT(P1349,", ",Q1349),'[1]T+S Costs'!$F$2:$F$3138,'[1]T+S Costs'!$N$2:$N$3138))</f>
        <v/>
      </c>
      <c r="Y1349" s="14" t="str">
        <f t="shared" si="109"/>
        <v/>
      </c>
      <c r="Z1349" s="4" t="str">
        <f t="shared" si="110"/>
        <v/>
      </c>
    </row>
    <row r="1350" spans="16:26" x14ac:dyDescent="0.25">
      <c r="P1350" s="10" t="str">
        <f>IF('[1]All Data '!AZ1355="","",'[1]All Data '!AZ1355)</f>
        <v/>
      </c>
      <c r="Q1350" s="10" t="str">
        <f>IF('[1]All Data '!BB1355="","",'[1]All Data '!BB1355)</f>
        <v/>
      </c>
      <c r="R1350" s="10" t="str">
        <f>IF('[1]All Data '!BD1355="","",'[1]All Data '!BD1355)</f>
        <v/>
      </c>
      <c r="S1350" s="11" t="str">
        <f>IF(R1350="","",'[1]All Data '!BE1355)</f>
        <v/>
      </c>
      <c r="T1350" s="12" t="str">
        <f>IF(S1350="","",[1]Inputs_Outputs!$B$8*(1-'LOCH Calc COE Calc'!S1350))</f>
        <v/>
      </c>
      <c r="U1350" s="13" t="str">
        <f t="shared" si="106"/>
        <v/>
      </c>
      <c r="V1350" s="13" t="str">
        <f t="shared" si="107"/>
        <v/>
      </c>
      <c r="W1350" s="4" t="str">
        <f t="shared" si="108"/>
        <v/>
      </c>
      <c r="X1350" t="str">
        <f>IF(W1350="","",LOOKUP(_xlfn.CONCAT(P1350,", ",Q1350),'[1]T+S Costs'!$F$2:$F$3138,'[1]T+S Costs'!$N$2:$N$3138))</f>
        <v/>
      </c>
      <c r="Y1350" s="14" t="str">
        <f t="shared" si="109"/>
        <v/>
      </c>
      <c r="Z1350" s="4" t="str">
        <f t="shared" si="110"/>
        <v/>
      </c>
    </row>
    <row r="1351" spans="16:26" x14ac:dyDescent="0.25">
      <c r="P1351" s="10" t="str">
        <f>IF('[1]All Data '!AZ1356="","",'[1]All Data '!AZ1356)</f>
        <v/>
      </c>
      <c r="Q1351" s="10" t="str">
        <f>IF('[1]All Data '!BB1356="","",'[1]All Data '!BB1356)</f>
        <v/>
      </c>
      <c r="R1351" s="10" t="str">
        <f>IF('[1]All Data '!BD1356="","",'[1]All Data '!BD1356)</f>
        <v/>
      </c>
      <c r="S1351" s="11" t="str">
        <f>IF(R1351="","",'[1]All Data '!BE1356)</f>
        <v/>
      </c>
      <c r="T1351" s="12" t="str">
        <f>IF(S1351="","",[1]Inputs_Outputs!$B$8*(1-'LOCH Calc COE Calc'!S1351))</f>
        <v/>
      </c>
      <c r="U1351" s="13" t="str">
        <f t="shared" si="106"/>
        <v/>
      </c>
      <c r="V1351" s="13" t="str">
        <f t="shared" si="107"/>
        <v/>
      </c>
      <c r="W1351" s="4" t="str">
        <f t="shared" si="108"/>
        <v/>
      </c>
      <c r="X1351" t="str">
        <f>IF(W1351="","",LOOKUP(_xlfn.CONCAT(P1351,", ",Q1351),'[1]T+S Costs'!$F$2:$F$3138,'[1]T+S Costs'!$N$2:$N$3138))</f>
        <v/>
      </c>
      <c r="Y1351" s="14" t="str">
        <f t="shared" si="109"/>
        <v/>
      </c>
      <c r="Z1351" s="4" t="str">
        <f t="shared" si="110"/>
        <v/>
      </c>
    </row>
    <row r="1352" spans="16:26" x14ac:dyDescent="0.25">
      <c r="P1352" s="10" t="str">
        <f>IF('[1]All Data '!AZ1357="","",'[1]All Data '!AZ1357)</f>
        <v/>
      </c>
      <c r="Q1352" s="10" t="str">
        <f>IF('[1]All Data '!BB1357="","",'[1]All Data '!BB1357)</f>
        <v/>
      </c>
      <c r="R1352" s="10" t="str">
        <f>IF('[1]All Data '!BD1357="","",'[1]All Data '!BD1357)</f>
        <v/>
      </c>
      <c r="S1352" s="11" t="str">
        <f>IF(R1352="","",'[1]All Data '!BE1357)</f>
        <v/>
      </c>
      <c r="T1352" s="12" t="str">
        <f>IF(S1352="","",[1]Inputs_Outputs!$B$8*(1-'LOCH Calc COE Calc'!S1352))</f>
        <v/>
      </c>
      <c r="U1352" s="13" t="str">
        <f t="shared" si="106"/>
        <v/>
      </c>
      <c r="V1352" s="13" t="str">
        <f t="shared" si="107"/>
        <v/>
      </c>
      <c r="W1352" s="4" t="str">
        <f t="shared" si="108"/>
        <v/>
      </c>
      <c r="X1352" t="str">
        <f>IF(W1352="","",LOOKUP(_xlfn.CONCAT(P1352,", ",Q1352),'[1]T+S Costs'!$F$2:$F$3138,'[1]T+S Costs'!$N$2:$N$3138))</f>
        <v/>
      </c>
      <c r="Y1352" s="14" t="str">
        <f t="shared" si="109"/>
        <v/>
      </c>
      <c r="Z1352" s="4" t="str">
        <f t="shared" si="110"/>
        <v/>
      </c>
    </row>
    <row r="1353" spans="16:26" x14ac:dyDescent="0.25">
      <c r="P1353" s="10" t="str">
        <f>IF('[1]All Data '!AZ1358="","",'[1]All Data '!AZ1358)</f>
        <v/>
      </c>
      <c r="Q1353" s="10" t="str">
        <f>IF('[1]All Data '!BB1358="","",'[1]All Data '!BB1358)</f>
        <v/>
      </c>
      <c r="R1353" s="10" t="str">
        <f>IF('[1]All Data '!BD1358="","",'[1]All Data '!BD1358)</f>
        <v/>
      </c>
      <c r="S1353" s="11" t="str">
        <f>IF(R1353="","",'[1]All Data '!BE1358)</f>
        <v/>
      </c>
      <c r="T1353" s="12" t="str">
        <f>IF(S1353="","",[1]Inputs_Outputs!$B$8*(1-'LOCH Calc COE Calc'!S1353))</f>
        <v/>
      </c>
      <c r="U1353" s="13" t="str">
        <f t="shared" si="106"/>
        <v/>
      </c>
      <c r="V1353" s="13" t="str">
        <f t="shared" si="107"/>
        <v/>
      </c>
      <c r="W1353" s="4" t="str">
        <f t="shared" si="108"/>
        <v/>
      </c>
      <c r="X1353" t="str">
        <f>IF(W1353="","",LOOKUP(_xlfn.CONCAT(P1353,", ",Q1353),'[1]T+S Costs'!$F$2:$F$3138,'[1]T+S Costs'!$N$2:$N$3138))</f>
        <v/>
      </c>
      <c r="Y1353" s="14" t="str">
        <f t="shared" si="109"/>
        <v/>
      </c>
      <c r="Z1353" s="4" t="str">
        <f t="shared" si="110"/>
        <v/>
      </c>
    </row>
    <row r="1354" spans="16:26" x14ac:dyDescent="0.25">
      <c r="P1354" s="10" t="str">
        <f>IF('[1]All Data '!AZ1359="","",'[1]All Data '!AZ1359)</f>
        <v/>
      </c>
      <c r="Q1354" s="10" t="str">
        <f>IF('[1]All Data '!BB1359="","",'[1]All Data '!BB1359)</f>
        <v/>
      </c>
      <c r="R1354" s="10" t="str">
        <f>IF('[1]All Data '!BD1359="","",'[1]All Data '!BD1359)</f>
        <v/>
      </c>
      <c r="S1354" s="11" t="str">
        <f>IF(R1354="","",'[1]All Data '!BE1359)</f>
        <v/>
      </c>
      <c r="T1354" s="12" t="str">
        <f>IF(S1354="","",[1]Inputs_Outputs!$B$8*(1-'LOCH Calc COE Calc'!S1354))</f>
        <v/>
      </c>
      <c r="U1354" s="13" t="str">
        <f t="shared" si="106"/>
        <v/>
      </c>
      <c r="V1354" s="13" t="str">
        <f t="shared" si="107"/>
        <v/>
      </c>
      <c r="W1354" s="4" t="str">
        <f t="shared" si="108"/>
        <v/>
      </c>
      <c r="X1354" t="str">
        <f>IF(W1354="","",LOOKUP(_xlfn.CONCAT(P1354,", ",Q1354),'[1]T+S Costs'!$F$2:$F$3138,'[1]T+S Costs'!$N$2:$N$3138))</f>
        <v/>
      </c>
      <c r="Y1354" s="14" t="str">
        <f t="shared" si="109"/>
        <v/>
      </c>
      <c r="Z1354" s="4" t="str">
        <f t="shared" si="110"/>
        <v/>
      </c>
    </row>
    <row r="1355" spans="16:26" x14ac:dyDescent="0.25">
      <c r="P1355" s="10" t="str">
        <f>IF('[1]All Data '!AZ1360="","",'[1]All Data '!AZ1360)</f>
        <v/>
      </c>
      <c r="Q1355" s="10" t="str">
        <f>IF('[1]All Data '!BB1360="","",'[1]All Data '!BB1360)</f>
        <v/>
      </c>
      <c r="R1355" s="10" t="str">
        <f>IF('[1]All Data '!BD1360="","",'[1]All Data '!BD1360)</f>
        <v/>
      </c>
      <c r="S1355" s="11" t="str">
        <f>IF(R1355="","",'[1]All Data '!BE1360)</f>
        <v/>
      </c>
      <c r="T1355" s="12" t="str">
        <f>IF(S1355="","",[1]Inputs_Outputs!$B$8*(1-'LOCH Calc COE Calc'!S1355))</f>
        <v/>
      </c>
      <c r="U1355" s="13" t="str">
        <f t="shared" si="106"/>
        <v/>
      </c>
      <c r="V1355" s="13" t="str">
        <f t="shared" si="107"/>
        <v/>
      </c>
      <c r="W1355" s="4" t="str">
        <f t="shared" si="108"/>
        <v/>
      </c>
      <c r="X1355" t="str">
        <f>IF(W1355="","",LOOKUP(_xlfn.CONCAT(P1355,", ",Q1355),'[1]T+S Costs'!$F$2:$F$3138,'[1]T+S Costs'!$N$2:$N$3138))</f>
        <v/>
      </c>
      <c r="Y1355" s="14" t="str">
        <f t="shared" si="109"/>
        <v/>
      </c>
      <c r="Z1355" s="4" t="str">
        <f t="shared" si="110"/>
        <v/>
      </c>
    </row>
    <row r="1356" spans="16:26" x14ac:dyDescent="0.25">
      <c r="P1356" s="10" t="str">
        <f>IF('[1]All Data '!AZ1361="","",'[1]All Data '!AZ1361)</f>
        <v/>
      </c>
      <c r="Q1356" s="10" t="str">
        <f>IF('[1]All Data '!BB1361="","",'[1]All Data '!BB1361)</f>
        <v/>
      </c>
      <c r="R1356" s="10" t="str">
        <f>IF('[1]All Data '!BD1361="","",'[1]All Data '!BD1361)</f>
        <v/>
      </c>
      <c r="S1356" s="11" t="str">
        <f>IF(R1356="","",'[1]All Data '!BE1361)</f>
        <v/>
      </c>
      <c r="T1356" s="12" t="str">
        <f>IF(S1356="","",[1]Inputs_Outputs!$B$8*(1-'LOCH Calc COE Calc'!S1356))</f>
        <v/>
      </c>
      <c r="U1356" s="13" t="str">
        <f t="shared" si="106"/>
        <v/>
      </c>
      <c r="V1356" s="13" t="str">
        <f t="shared" si="107"/>
        <v/>
      </c>
      <c r="W1356" s="4" t="str">
        <f t="shared" si="108"/>
        <v/>
      </c>
      <c r="X1356" t="str">
        <f>IF(W1356="","",LOOKUP(_xlfn.CONCAT(P1356,", ",Q1356),'[1]T+S Costs'!$F$2:$F$3138,'[1]T+S Costs'!$N$2:$N$3138))</f>
        <v/>
      </c>
      <c r="Y1356" s="14" t="str">
        <f t="shared" si="109"/>
        <v/>
      </c>
      <c r="Z1356" s="4" t="str">
        <f t="shared" si="110"/>
        <v/>
      </c>
    </row>
    <row r="1357" spans="16:26" x14ac:dyDescent="0.25">
      <c r="P1357" s="10" t="str">
        <f>IF('[1]All Data '!AZ1362="","",'[1]All Data '!AZ1362)</f>
        <v/>
      </c>
      <c r="Q1357" s="10" t="str">
        <f>IF('[1]All Data '!BB1362="","",'[1]All Data '!BB1362)</f>
        <v/>
      </c>
      <c r="R1357" s="10" t="str">
        <f>IF('[1]All Data '!BD1362="","",'[1]All Data '!BD1362)</f>
        <v/>
      </c>
      <c r="S1357" s="11" t="str">
        <f>IF(R1357="","",'[1]All Data '!BE1362)</f>
        <v/>
      </c>
      <c r="T1357" s="12" t="str">
        <f>IF(S1357="","",[1]Inputs_Outputs!$B$8*(1-'LOCH Calc COE Calc'!S1357))</f>
        <v/>
      </c>
      <c r="U1357" s="13" t="str">
        <f t="shared" si="106"/>
        <v/>
      </c>
      <c r="V1357" s="13" t="str">
        <f t="shared" si="107"/>
        <v/>
      </c>
      <c r="W1357" s="4" t="str">
        <f t="shared" si="108"/>
        <v/>
      </c>
      <c r="X1357" t="str">
        <f>IF(W1357="","",LOOKUP(_xlfn.CONCAT(P1357,", ",Q1357),'[1]T+S Costs'!$F$2:$F$3138,'[1]T+S Costs'!$N$2:$N$3138))</f>
        <v/>
      </c>
      <c r="Y1357" s="14" t="str">
        <f t="shared" si="109"/>
        <v/>
      </c>
      <c r="Z1357" s="4" t="str">
        <f t="shared" si="110"/>
        <v/>
      </c>
    </row>
    <row r="1358" spans="16:26" x14ac:dyDescent="0.25">
      <c r="P1358" s="10" t="str">
        <f>IF('[1]All Data '!AZ1363="","",'[1]All Data '!AZ1363)</f>
        <v/>
      </c>
      <c r="Q1358" s="10" t="str">
        <f>IF('[1]All Data '!BB1363="","",'[1]All Data '!BB1363)</f>
        <v/>
      </c>
      <c r="R1358" s="10" t="str">
        <f>IF('[1]All Data '!BD1363="","",'[1]All Data '!BD1363)</f>
        <v/>
      </c>
      <c r="S1358" s="11" t="str">
        <f>IF(R1358="","",'[1]All Data '!BE1363)</f>
        <v/>
      </c>
      <c r="T1358" s="12" t="str">
        <f>IF(S1358="","",[1]Inputs_Outputs!$B$8*(1-'LOCH Calc COE Calc'!S1358))</f>
        <v/>
      </c>
      <c r="U1358" s="13" t="str">
        <f t="shared" si="106"/>
        <v/>
      </c>
      <c r="V1358" s="13" t="str">
        <f t="shared" si="107"/>
        <v/>
      </c>
      <c r="W1358" s="4" t="str">
        <f t="shared" si="108"/>
        <v/>
      </c>
      <c r="X1358" t="str">
        <f>IF(W1358="","",LOOKUP(_xlfn.CONCAT(P1358,", ",Q1358),'[1]T+S Costs'!$F$2:$F$3138,'[1]T+S Costs'!$N$2:$N$3138))</f>
        <v/>
      </c>
      <c r="Y1358" s="14" t="str">
        <f t="shared" si="109"/>
        <v/>
      </c>
      <c r="Z1358" s="4" t="str">
        <f t="shared" si="110"/>
        <v/>
      </c>
    </row>
    <row r="1359" spans="16:26" x14ac:dyDescent="0.25">
      <c r="P1359" s="10" t="str">
        <f>IF('[1]All Data '!AZ1364="","",'[1]All Data '!AZ1364)</f>
        <v/>
      </c>
      <c r="Q1359" s="10" t="str">
        <f>IF('[1]All Data '!BB1364="","",'[1]All Data '!BB1364)</f>
        <v/>
      </c>
      <c r="R1359" s="10" t="str">
        <f>IF('[1]All Data '!BD1364="","",'[1]All Data '!BD1364)</f>
        <v/>
      </c>
      <c r="S1359" s="11" t="str">
        <f>IF(R1359="","",'[1]All Data '!BE1364)</f>
        <v/>
      </c>
      <c r="T1359" s="12" t="str">
        <f>IF(S1359="","",[1]Inputs_Outputs!$B$8*(1-'LOCH Calc COE Calc'!S1359))</f>
        <v/>
      </c>
      <c r="U1359" s="13" t="str">
        <f t="shared" si="106"/>
        <v/>
      </c>
      <c r="V1359" s="13" t="str">
        <f t="shared" si="107"/>
        <v/>
      </c>
      <c r="W1359" s="4" t="str">
        <f t="shared" si="108"/>
        <v/>
      </c>
      <c r="X1359" t="str">
        <f>IF(W1359="","",LOOKUP(_xlfn.CONCAT(P1359,", ",Q1359),'[1]T+S Costs'!$F$2:$F$3138,'[1]T+S Costs'!$N$2:$N$3138))</f>
        <v/>
      </c>
      <c r="Y1359" s="14" t="str">
        <f t="shared" si="109"/>
        <v/>
      </c>
      <c r="Z1359" s="4" t="str">
        <f t="shared" si="110"/>
        <v/>
      </c>
    </row>
    <row r="1360" spans="16:26" x14ac:dyDescent="0.25">
      <c r="P1360" s="10" t="str">
        <f>IF('[1]All Data '!AZ1365="","",'[1]All Data '!AZ1365)</f>
        <v/>
      </c>
      <c r="Q1360" s="10" t="str">
        <f>IF('[1]All Data '!BB1365="","",'[1]All Data '!BB1365)</f>
        <v/>
      </c>
      <c r="R1360" s="10" t="str">
        <f>IF('[1]All Data '!BD1365="","",'[1]All Data '!BD1365)</f>
        <v/>
      </c>
      <c r="S1360" s="11" t="str">
        <f>IF(R1360="","",'[1]All Data '!BE1365)</f>
        <v/>
      </c>
      <c r="T1360" s="12" t="str">
        <f>IF(S1360="","",[1]Inputs_Outputs!$B$8*(1-'LOCH Calc COE Calc'!S1360))</f>
        <v/>
      </c>
      <c r="U1360" s="13" t="str">
        <f t="shared" si="106"/>
        <v/>
      </c>
      <c r="V1360" s="13" t="str">
        <f t="shared" si="107"/>
        <v/>
      </c>
      <c r="W1360" s="4" t="str">
        <f t="shared" si="108"/>
        <v/>
      </c>
      <c r="X1360" t="str">
        <f>IF(W1360="","",LOOKUP(_xlfn.CONCAT(P1360,", ",Q1360),'[1]T+S Costs'!$F$2:$F$3138,'[1]T+S Costs'!$N$2:$N$3138))</f>
        <v/>
      </c>
      <c r="Y1360" s="14" t="str">
        <f t="shared" si="109"/>
        <v/>
      </c>
      <c r="Z1360" s="4" t="str">
        <f t="shared" si="110"/>
        <v/>
      </c>
    </row>
    <row r="1361" spans="16:26" x14ac:dyDescent="0.25">
      <c r="P1361" s="10" t="str">
        <f>IF('[1]All Data '!AZ1366="","",'[1]All Data '!AZ1366)</f>
        <v/>
      </c>
      <c r="Q1361" s="10" t="str">
        <f>IF('[1]All Data '!BB1366="","",'[1]All Data '!BB1366)</f>
        <v/>
      </c>
      <c r="R1361" s="10" t="str">
        <f>IF('[1]All Data '!BD1366="","",'[1]All Data '!BD1366)</f>
        <v/>
      </c>
      <c r="S1361" s="11" t="str">
        <f>IF(R1361="","",'[1]All Data '!BE1366)</f>
        <v/>
      </c>
      <c r="T1361" s="12" t="str">
        <f>IF(S1361="","",[1]Inputs_Outputs!$B$8*(1-'LOCH Calc COE Calc'!S1361))</f>
        <v/>
      </c>
      <c r="U1361" s="13" t="str">
        <f t="shared" si="106"/>
        <v/>
      </c>
      <c r="V1361" s="13" t="str">
        <f t="shared" si="107"/>
        <v/>
      </c>
      <c r="W1361" s="4" t="str">
        <f t="shared" si="108"/>
        <v/>
      </c>
      <c r="X1361" t="str">
        <f>IF(W1361="","",LOOKUP(_xlfn.CONCAT(P1361,", ",Q1361),'[1]T+S Costs'!$F$2:$F$3138,'[1]T+S Costs'!$N$2:$N$3138))</f>
        <v/>
      </c>
      <c r="Y1361" s="14" t="str">
        <f t="shared" si="109"/>
        <v/>
      </c>
      <c r="Z1361" s="4" t="str">
        <f t="shared" si="110"/>
        <v/>
      </c>
    </row>
    <row r="1362" spans="16:26" x14ac:dyDescent="0.25">
      <c r="P1362" s="10" t="str">
        <f>IF('[1]All Data '!AZ1367="","",'[1]All Data '!AZ1367)</f>
        <v/>
      </c>
      <c r="Q1362" s="10" t="str">
        <f>IF('[1]All Data '!BB1367="","",'[1]All Data '!BB1367)</f>
        <v/>
      </c>
      <c r="R1362" s="10" t="str">
        <f>IF('[1]All Data '!BD1367="","",'[1]All Data '!BD1367)</f>
        <v/>
      </c>
      <c r="S1362" s="11" t="str">
        <f>IF(R1362="","",'[1]All Data '!BE1367)</f>
        <v/>
      </c>
      <c r="T1362" s="12" t="str">
        <f>IF(S1362="","",[1]Inputs_Outputs!$B$8*(1-'LOCH Calc COE Calc'!S1362))</f>
        <v/>
      </c>
      <c r="U1362" s="13" t="str">
        <f t="shared" si="106"/>
        <v/>
      </c>
      <c r="V1362" s="13" t="str">
        <f t="shared" si="107"/>
        <v/>
      </c>
      <c r="W1362" s="4" t="str">
        <f t="shared" si="108"/>
        <v/>
      </c>
      <c r="X1362" t="str">
        <f>IF(W1362="","",LOOKUP(_xlfn.CONCAT(P1362,", ",Q1362),'[1]T+S Costs'!$F$2:$F$3138,'[1]T+S Costs'!$N$2:$N$3138))</f>
        <v/>
      </c>
      <c r="Y1362" s="14" t="str">
        <f t="shared" si="109"/>
        <v/>
      </c>
      <c r="Z1362" s="4" t="str">
        <f t="shared" si="110"/>
        <v/>
      </c>
    </row>
    <row r="1363" spans="16:26" x14ac:dyDescent="0.25">
      <c r="P1363" s="10" t="str">
        <f>IF('[1]All Data '!AZ1368="","",'[1]All Data '!AZ1368)</f>
        <v/>
      </c>
      <c r="Q1363" s="10" t="str">
        <f>IF('[1]All Data '!BB1368="","",'[1]All Data '!BB1368)</f>
        <v/>
      </c>
      <c r="R1363" s="10" t="str">
        <f>IF('[1]All Data '!BD1368="","",'[1]All Data '!BD1368)</f>
        <v/>
      </c>
      <c r="S1363" s="11" t="str">
        <f>IF(R1363="","",'[1]All Data '!BE1368)</f>
        <v/>
      </c>
      <c r="T1363" s="12" t="str">
        <f>IF(S1363="","",[1]Inputs_Outputs!$B$8*(1-'LOCH Calc COE Calc'!S1363))</f>
        <v/>
      </c>
      <c r="U1363" s="13" t="str">
        <f t="shared" si="106"/>
        <v/>
      </c>
      <c r="V1363" s="13" t="str">
        <f t="shared" si="107"/>
        <v/>
      </c>
      <c r="W1363" s="4" t="str">
        <f t="shared" si="108"/>
        <v/>
      </c>
      <c r="X1363" t="str">
        <f>IF(W1363="","",LOOKUP(_xlfn.CONCAT(P1363,", ",Q1363),'[1]T+S Costs'!$F$2:$F$3138,'[1]T+S Costs'!$N$2:$N$3138))</f>
        <v/>
      </c>
      <c r="Y1363" s="14" t="str">
        <f t="shared" si="109"/>
        <v/>
      </c>
      <c r="Z1363" s="4" t="str">
        <f t="shared" si="110"/>
        <v/>
      </c>
    </row>
    <row r="1364" spans="16:26" x14ac:dyDescent="0.25">
      <c r="P1364" s="10" t="str">
        <f>IF('[1]All Data '!AZ1369="","",'[1]All Data '!AZ1369)</f>
        <v/>
      </c>
      <c r="Q1364" s="10" t="str">
        <f>IF('[1]All Data '!BB1369="","",'[1]All Data '!BB1369)</f>
        <v/>
      </c>
      <c r="R1364" s="10" t="str">
        <f>IF('[1]All Data '!BD1369="","",'[1]All Data '!BD1369)</f>
        <v/>
      </c>
      <c r="S1364" s="11" t="str">
        <f>IF(R1364="","",'[1]All Data '!BE1369)</f>
        <v/>
      </c>
      <c r="T1364" s="12" t="str">
        <f>IF(S1364="","",[1]Inputs_Outputs!$B$8*(1-'LOCH Calc COE Calc'!S1364))</f>
        <v/>
      </c>
      <c r="U1364" s="13" t="str">
        <f t="shared" si="106"/>
        <v/>
      </c>
      <c r="V1364" s="13" t="str">
        <f t="shared" si="107"/>
        <v/>
      </c>
      <c r="W1364" s="4" t="str">
        <f t="shared" si="108"/>
        <v/>
      </c>
      <c r="X1364" t="str">
        <f>IF(W1364="","",LOOKUP(_xlfn.CONCAT(P1364,", ",Q1364),'[1]T+S Costs'!$F$2:$F$3138,'[1]T+S Costs'!$N$2:$N$3138))</f>
        <v/>
      </c>
      <c r="Y1364" s="14" t="str">
        <f t="shared" si="109"/>
        <v/>
      </c>
      <c r="Z1364" s="4" t="str">
        <f t="shared" si="110"/>
        <v/>
      </c>
    </row>
    <row r="1365" spans="16:26" x14ac:dyDescent="0.25">
      <c r="P1365" s="10" t="str">
        <f>IF('[1]All Data '!AZ1370="","",'[1]All Data '!AZ1370)</f>
        <v/>
      </c>
      <c r="Q1365" s="10" t="str">
        <f>IF('[1]All Data '!BB1370="","",'[1]All Data '!BB1370)</f>
        <v/>
      </c>
      <c r="R1365" s="10" t="str">
        <f>IF('[1]All Data '!BD1370="","",'[1]All Data '!BD1370)</f>
        <v/>
      </c>
      <c r="S1365" s="11" t="str">
        <f>IF(R1365="","",'[1]All Data '!BE1370)</f>
        <v/>
      </c>
      <c r="T1365" s="12" t="str">
        <f>IF(S1365="","",[1]Inputs_Outputs!$B$8*(1-'LOCH Calc COE Calc'!S1365))</f>
        <v/>
      </c>
      <c r="U1365" s="13" t="str">
        <f t="shared" si="106"/>
        <v/>
      </c>
      <c r="V1365" s="13" t="str">
        <f t="shared" si="107"/>
        <v/>
      </c>
      <c r="W1365" s="4" t="str">
        <f t="shared" si="108"/>
        <v/>
      </c>
      <c r="X1365" t="str">
        <f>IF(W1365="","",LOOKUP(_xlfn.CONCAT(P1365,", ",Q1365),'[1]T+S Costs'!$F$2:$F$3138,'[1]T+S Costs'!$N$2:$N$3138))</f>
        <v/>
      </c>
      <c r="Y1365" s="14" t="str">
        <f t="shared" si="109"/>
        <v/>
      </c>
      <c r="Z1365" s="4" t="str">
        <f t="shared" si="110"/>
        <v/>
      </c>
    </row>
    <row r="1366" spans="16:26" x14ac:dyDescent="0.25">
      <c r="P1366" s="10" t="str">
        <f>IF('[1]All Data '!AZ1371="","",'[1]All Data '!AZ1371)</f>
        <v/>
      </c>
      <c r="Q1366" s="10" t="str">
        <f>IF('[1]All Data '!BB1371="","",'[1]All Data '!BB1371)</f>
        <v/>
      </c>
      <c r="R1366" s="10" t="str">
        <f>IF('[1]All Data '!BD1371="","",'[1]All Data '!BD1371)</f>
        <v/>
      </c>
      <c r="S1366" s="11" t="str">
        <f>IF(R1366="","",'[1]All Data '!BE1371)</f>
        <v/>
      </c>
      <c r="T1366" s="12" t="str">
        <f>IF(S1366="","",[1]Inputs_Outputs!$B$8*(1-'LOCH Calc COE Calc'!S1366))</f>
        <v/>
      </c>
      <c r="U1366" s="13" t="str">
        <f t="shared" si="106"/>
        <v/>
      </c>
      <c r="V1366" s="13" t="str">
        <f t="shared" si="107"/>
        <v/>
      </c>
      <c r="W1366" s="4" t="str">
        <f t="shared" si="108"/>
        <v/>
      </c>
      <c r="X1366" t="str">
        <f>IF(W1366="","",LOOKUP(_xlfn.CONCAT(P1366,", ",Q1366),'[1]T+S Costs'!$F$2:$F$3138,'[1]T+S Costs'!$N$2:$N$3138))</f>
        <v/>
      </c>
      <c r="Y1366" s="14" t="str">
        <f t="shared" si="109"/>
        <v/>
      </c>
      <c r="Z1366" s="4" t="str">
        <f t="shared" si="110"/>
        <v/>
      </c>
    </row>
    <row r="1367" spans="16:26" x14ac:dyDescent="0.25">
      <c r="P1367" s="10" t="str">
        <f>IF('[1]All Data '!AZ1372="","",'[1]All Data '!AZ1372)</f>
        <v/>
      </c>
      <c r="Q1367" s="10" t="str">
        <f>IF('[1]All Data '!BB1372="","",'[1]All Data '!BB1372)</f>
        <v/>
      </c>
      <c r="R1367" s="10" t="str">
        <f>IF('[1]All Data '!BD1372="","",'[1]All Data '!BD1372)</f>
        <v/>
      </c>
      <c r="S1367" s="11" t="str">
        <f>IF(R1367="","",'[1]All Data '!BE1372)</f>
        <v/>
      </c>
      <c r="T1367" s="12" t="str">
        <f>IF(S1367="","",[1]Inputs_Outputs!$B$8*(1-'LOCH Calc COE Calc'!S1367))</f>
        <v/>
      </c>
      <c r="U1367" s="13" t="str">
        <f t="shared" si="106"/>
        <v/>
      </c>
      <c r="V1367" s="13" t="str">
        <f t="shared" si="107"/>
        <v/>
      </c>
      <c r="W1367" s="4" t="str">
        <f t="shared" si="108"/>
        <v/>
      </c>
      <c r="X1367" t="str">
        <f>IF(W1367="","",LOOKUP(_xlfn.CONCAT(P1367,", ",Q1367),'[1]T+S Costs'!$F$2:$F$3138,'[1]T+S Costs'!$N$2:$N$3138))</f>
        <v/>
      </c>
      <c r="Y1367" s="14" t="str">
        <f t="shared" si="109"/>
        <v/>
      </c>
      <c r="Z1367" s="4" t="str">
        <f t="shared" si="110"/>
        <v/>
      </c>
    </row>
    <row r="1368" spans="16:26" x14ac:dyDescent="0.25">
      <c r="P1368" s="10" t="str">
        <f>IF('[1]All Data '!AZ1373="","",'[1]All Data '!AZ1373)</f>
        <v/>
      </c>
      <c r="Q1368" s="10" t="str">
        <f>IF('[1]All Data '!BB1373="","",'[1]All Data '!BB1373)</f>
        <v/>
      </c>
      <c r="R1368" s="10" t="str">
        <f>IF('[1]All Data '!BD1373="","",'[1]All Data '!BD1373)</f>
        <v/>
      </c>
      <c r="S1368" s="11" t="str">
        <f>IF(R1368="","",'[1]All Data '!BE1373)</f>
        <v/>
      </c>
      <c r="T1368" s="12" t="str">
        <f>IF(S1368="","",[1]Inputs_Outputs!$B$8*(1-'LOCH Calc COE Calc'!S1368))</f>
        <v/>
      </c>
      <c r="U1368" s="13" t="str">
        <f t="shared" si="106"/>
        <v/>
      </c>
      <c r="V1368" s="13" t="str">
        <f t="shared" si="107"/>
        <v/>
      </c>
      <c r="W1368" s="4" t="str">
        <f t="shared" si="108"/>
        <v/>
      </c>
      <c r="X1368" t="str">
        <f>IF(W1368="","",LOOKUP(_xlfn.CONCAT(P1368,", ",Q1368),'[1]T+S Costs'!$F$2:$F$3138,'[1]T+S Costs'!$N$2:$N$3138))</f>
        <v/>
      </c>
      <c r="Y1368" s="14" t="str">
        <f t="shared" si="109"/>
        <v/>
      </c>
      <c r="Z1368" s="4" t="str">
        <f t="shared" si="110"/>
        <v/>
      </c>
    </row>
    <row r="1369" spans="16:26" x14ac:dyDescent="0.25">
      <c r="P1369" s="10" t="str">
        <f>IF('[1]All Data '!AZ1374="","",'[1]All Data '!AZ1374)</f>
        <v/>
      </c>
      <c r="Q1369" s="10" t="str">
        <f>IF('[1]All Data '!BB1374="","",'[1]All Data '!BB1374)</f>
        <v/>
      </c>
      <c r="R1369" s="10" t="str">
        <f>IF('[1]All Data '!BD1374="","",'[1]All Data '!BD1374)</f>
        <v/>
      </c>
      <c r="S1369" s="11" t="str">
        <f>IF(R1369="","",'[1]All Data '!BE1374)</f>
        <v/>
      </c>
      <c r="T1369" s="12" t="str">
        <f>IF(S1369="","",[1]Inputs_Outputs!$B$8*(1-'LOCH Calc COE Calc'!S1369))</f>
        <v/>
      </c>
      <c r="U1369" s="13" t="str">
        <f t="shared" si="106"/>
        <v/>
      </c>
      <c r="V1369" s="13" t="str">
        <f t="shared" si="107"/>
        <v/>
      </c>
      <c r="W1369" s="4" t="str">
        <f t="shared" si="108"/>
        <v/>
      </c>
      <c r="X1369" t="str">
        <f>IF(W1369="","",LOOKUP(_xlfn.CONCAT(P1369,", ",Q1369),'[1]T+S Costs'!$F$2:$F$3138,'[1]T+S Costs'!$N$2:$N$3138))</f>
        <v/>
      </c>
      <c r="Y1369" s="14" t="str">
        <f t="shared" si="109"/>
        <v/>
      </c>
      <c r="Z1369" s="4" t="str">
        <f t="shared" si="110"/>
        <v/>
      </c>
    </row>
    <row r="1370" spans="16:26" x14ac:dyDescent="0.25">
      <c r="P1370" s="10" t="str">
        <f>IF('[1]All Data '!AZ1375="","",'[1]All Data '!AZ1375)</f>
        <v/>
      </c>
      <c r="Q1370" s="10" t="str">
        <f>IF('[1]All Data '!BB1375="","",'[1]All Data '!BB1375)</f>
        <v/>
      </c>
      <c r="R1370" s="10" t="str">
        <f>IF('[1]All Data '!BD1375="","",'[1]All Data '!BD1375)</f>
        <v/>
      </c>
      <c r="S1370" s="11" t="str">
        <f>IF(R1370="","",'[1]All Data '!BE1375)</f>
        <v/>
      </c>
      <c r="T1370" s="12" t="str">
        <f>IF(S1370="","",[1]Inputs_Outputs!$B$8*(1-'LOCH Calc COE Calc'!S1370))</f>
        <v/>
      </c>
      <c r="U1370" s="13" t="str">
        <f t="shared" si="106"/>
        <v/>
      </c>
      <c r="V1370" s="13" t="str">
        <f t="shared" si="107"/>
        <v/>
      </c>
      <c r="W1370" s="4" t="str">
        <f t="shared" si="108"/>
        <v/>
      </c>
      <c r="X1370" t="str">
        <f>IF(W1370="","",LOOKUP(_xlfn.CONCAT(P1370,", ",Q1370),'[1]T+S Costs'!$F$2:$F$3138,'[1]T+S Costs'!$N$2:$N$3138))</f>
        <v/>
      </c>
      <c r="Y1370" s="14" t="str">
        <f t="shared" si="109"/>
        <v/>
      </c>
      <c r="Z1370" s="4" t="str">
        <f t="shared" si="110"/>
        <v/>
      </c>
    </row>
    <row r="1371" spans="16:26" x14ac:dyDescent="0.25">
      <c r="P1371" s="10" t="str">
        <f>IF('[1]All Data '!AZ1376="","",'[1]All Data '!AZ1376)</f>
        <v/>
      </c>
      <c r="Q1371" s="10" t="str">
        <f>IF('[1]All Data '!BB1376="","",'[1]All Data '!BB1376)</f>
        <v/>
      </c>
      <c r="R1371" s="10" t="str">
        <f>IF('[1]All Data '!BD1376="","",'[1]All Data '!BD1376)</f>
        <v/>
      </c>
      <c r="S1371" s="11" t="str">
        <f>IF(R1371="","",'[1]All Data '!BE1376)</f>
        <v/>
      </c>
      <c r="T1371" s="12" t="str">
        <f>IF(S1371="","",[1]Inputs_Outputs!$B$8*(1-'LOCH Calc COE Calc'!S1371))</f>
        <v/>
      </c>
      <c r="U1371" s="13" t="str">
        <f t="shared" si="106"/>
        <v/>
      </c>
      <c r="V1371" s="13" t="str">
        <f t="shared" si="107"/>
        <v/>
      </c>
      <c r="W1371" s="4" t="str">
        <f t="shared" si="108"/>
        <v/>
      </c>
      <c r="X1371" t="str">
        <f>IF(W1371="","",LOOKUP(_xlfn.CONCAT(P1371,", ",Q1371),'[1]T+S Costs'!$F$2:$F$3138,'[1]T+S Costs'!$N$2:$N$3138))</f>
        <v/>
      </c>
      <c r="Y1371" s="14" t="str">
        <f t="shared" si="109"/>
        <v/>
      </c>
      <c r="Z1371" s="4" t="str">
        <f t="shared" si="110"/>
        <v/>
      </c>
    </row>
    <row r="1372" spans="16:26" x14ac:dyDescent="0.25">
      <c r="P1372" s="10" t="str">
        <f>IF('[1]All Data '!AZ1377="","",'[1]All Data '!AZ1377)</f>
        <v/>
      </c>
      <c r="Q1372" s="10" t="str">
        <f>IF('[1]All Data '!BB1377="","",'[1]All Data '!BB1377)</f>
        <v/>
      </c>
      <c r="R1372" s="10" t="str">
        <f>IF('[1]All Data '!BD1377="","",'[1]All Data '!BD1377)</f>
        <v/>
      </c>
      <c r="S1372" s="11" t="str">
        <f>IF(R1372="","",'[1]All Data '!BE1377)</f>
        <v/>
      </c>
      <c r="T1372" s="12" t="str">
        <f>IF(S1372="","",[1]Inputs_Outputs!$B$8*(1-'LOCH Calc COE Calc'!S1372))</f>
        <v/>
      </c>
      <c r="U1372" s="13" t="str">
        <f t="shared" si="106"/>
        <v/>
      </c>
      <c r="V1372" s="13" t="str">
        <f t="shared" si="107"/>
        <v/>
      </c>
      <c r="W1372" s="4" t="str">
        <f t="shared" si="108"/>
        <v/>
      </c>
      <c r="X1372" t="str">
        <f>IF(W1372="","",LOOKUP(_xlfn.CONCAT(P1372,", ",Q1372),'[1]T+S Costs'!$F$2:$F$3138,'[1]T+S Costs'!$N$2:$N$3138))</f>
        <v/>
      </c>
      <c r="Y1372" s="14" t="str">
        <f t="shared" si="109"/>
        <v/>
      </c>
      <c r="Z1372" s="4" t="str">
        <f t="shared" si="110"/>
        <v/>
      </c>
    </row>
    <row r="1373" spans="16:26" x14ac:dyDescent="0.25">
      <c r="P1373" s="10" t="str">
        <f>IF('[1]All Data '!AZ1378="","",'[1]All Data '!AZ1378)</f>
        <v/>
      </c>
      <c r="Q1373" s="10" t="str">
        <f>IF('[1]All Data '!BB1378="","",'[1]All Data '!BB1378)</f>
        <v/>
      </c>
      <c r="R1373" s="10" t="str">
        <f>IF('[1]All Data '!BD1378="","",'[1]All Data '!BD1378)</f>
        <v/>
      </c>
      <c r="S1373" s="11" t="str">
        <f>IF(R1373="","",'[1]All Data '!BE1378)</f>
        <v/>
      </c>
      <c r="T1373" s="12" t="str">
        <f>IF(S1373="","",[1]Inputs_Outputs!$B$8*(1-'LOCH Calc COE Calc'!S1373))</f>
        <v/>
      </c>
      <c r="U1373" s="13" t="str">
        <f t="shared" si="106"/>
        <v/>
      </c>
      <c r="V1373" s="13" t="str">
        <f t="shared" si="107"/>
        <v/>
      </c>
      <c r="W1373" s="4" t="str">
        <f t="shared" si="108"/>
        <v/>
      </c>
      <c r="X1373" t="str">
        <f>IF(W1373="","",LOOKUP(_xlfn.CONCAT(P1373,", ",Q1373),'[1]T+S Costs'!$F$2:$F$3138,'[1]T+S Costs'!$N$2:$N$3138))</f>
        <v/>
      </c>
      <c r="Y1373" s="14" t="str">
        <f t="shared" si="109"/>
        <v/>
      </c>
      <c r="Z1373" s="4" t="str">
        <f t="shared" si="110"/>
        <v/>
      </c>
    </row>
    <row r="1374" spans="16:26" x14ac:dyDescent="0.25">
      <c r="P1374" s="10" t="str">
        <f>IF('[1]All Data '!AZ1379="","",'[1]All Data '!AZ1379)</f>
        <v/>
      </c>
      <c r="Q1374" s="10" t="str">
        <f>IF('[1]All Data '!BB1379="","",'[1]All Data '!BB1379)</f>
        <v/>
      </c>
      <c r="R1374" s="10" t="str">
        <f>IF('[1]All Data '!BD1379="","",'[1]All Data '!BD1379)</f>
        <v/>
      </c>
      <c r="S1374" s="11" t="str">
        <f>IF(R1374="","",'[1]All Data '!BE1379)</f>
        <v/>
      </c>
      <c r="T1374" s="12" t="str">
        <f>IF(S1374="","",[1]Inputs_Outputs!$B$8*(1-'LOCH Calc COE Calc'!S1374))</f>
        <v/>
      </c>
      <c r="U1374" s="13" t="str">
        <f t="shared" si="106"/>
        <v/>
      </c>
      <c r="V1374" s="13" t="str">
        <f t="shared" si="107"/>
        <v/>
      </c>
      <c r="W1374" s="4" t="str">
        <f t="shared" si="108"/>
        <v/>
      </c>
      <c r="X1374" t="str">
        <f>IF(W1374="","",LOOKUP(_xlfn.CONCAT(P1374,", ",Q1374),'[1]T+S Costs'!$F$2:$F$3138,'[1]T+S Costs'!$N$2:$N$3138))</f>
        <v/>
      </c>
      <c r="Y1374" s="14" t="str">
        <f t="shared" si="109"/>
        <v/>
      </c>
      <c r="Z1374" s="4" t="str">
        <f t="shared" si="110"/>
        <v/>
      </c>
    </row>
    <row r="1375" spans="16:26" x14ac:dyDescent="0.25">
      <c r="P1375" s="10" t="str">
        <f>IF('[1]All Data '!AZ1380="","",'[1]All Data '!AZ1380)</f>
        <v/>
      </c>
      <c r="Q1375" s="10" t="str">
        <f>IF('[1]All Data '!BB1380="","",'[1]All Data '!BB1380)</f>
        <v/>
      </c>
      <c r="R1375" s="10" t="str">
        <f>IF('[1]All Data '!BD1380="","",'[1]All Data '!BD1380)</f>
        <v/>
      </c>
      <c r="S1375" s="11" t="str">
        <f>IF(R1375="","",'[1]All Data '!BE1380)</f>
        <v/>
      </c>
      <c r="T1375" s="12" t="str">
        <f>IF(S1375="","",[1]Inputs_Outputs!$B$8*(1-'LOCH Calc COE Calc'!S1375))</f>
        <v/>
      </c>
      <c r="U1375" s="13" t="str">
        <f t="shared" si="106"/>
        <v/>
      </c>
      <c r="V1375" s="13" t="str">
        <f t="shared" si="107"/>
        <v/>
      </c>
      <c r="W1375" s="4" t="str">
        <f t="shared" si="108"/>
        <v/>
      </c>
      <c r="X1375" t="str">
        <f>IF(W1375="","",LOOKUP(_xlfn.CONCAT(P1375,", ",Q1375),'[1]T+S Costs'!$F$2:$F$3138,'[1]T+S Costs'!$N$2:$N$3138))</f>
        <v/>
      </c>
      <c r="Y1375" s="14" t="str">
        <f t="shared" si="109"/>
        <v/>
      </c>
      <c r="Z1375" s="4" t="str">
        <f t="shared" si="110"/>
        <v/>
      </c>
    </row>
    <row r="1376" spans="16:26" x14ac:dyDescent="0.25">
      <c r="P1376" s="10" t="str">
        <f>IF('[1]All Data '!AZ1381="","",'[1]All Data '!AZ1381)</f>
        <v/>
      </c>
      <c r="Q1376" s="10" t="str">
        <f>IF('[1]All Data '!BB1381="","",'[1]All Data '!BB1381)</f>
        <v/>
      </c>
      <c r="R1376" s="10" t="str">
        <f>IF('[1]All Data '!BD1381="","",'[1]All Data '!BD1381)</f>
        <v/>
      </c>
      <c r="S1376" s="11" t="str">
        <f>IF(R1376="","",'[1]All Data '!BE1381)</f>
        <v/>
      </c>
      <c r="T1376" s="12" t="str">
        <f>IF(S1376="","",[1]Inputs_Outputs!$B$8*(1-'LOCH Calc COE Calc'!S1376))</f>
        <v/>
      </c>
      <c r="U1376" s="13" t="str">
        <f t="shared" si="106"/>
        <v/>
      </c>
      <c r="V1376" s="13" t="str">
        <f t="shared" si="107"/>
        <v/>
      </c>
      <c r="W1376" s="4" t="str">
        <f t="shared" si="108"/>
        <v/>
      </c>
      <c r="X1376" t="str">
        <f>IF(W1376="","",LOOKUP(_xlfn.CONCAT(P1376,", ",Q1376),'[1]T+S Costs'!$F$2:$F$3138,'[1]T+S Costs'!$N$2:$N$3138))</f>
        <v/>
      </c>
      <c r="Y1376" s="14" t="str">
        <f t="shared" si="109"/>
        <v/>
      </c>
      <c r="Z1376" s="4" t="str">
        <f t="shared" si="110"/>
        <v/>
      </c>
    </row>
    <row r="1377" spans="16:26" x14ac:dyDescent="0.25">
      <c r="P1377" s="10" t="str">
        <f>IF('[1]All Data '!AZ1382="","",'[1]All Data '!AZ1382)</f>
        <v/>
      </c>
      <c r="Q1377" s="10" t="str">
        <f>IF('[1]All Data '!BB1382="","",'[1]All Data '!BB1382)</f>
        <v/>
      </c>
      <c r="R1377" s="10" t="str">
        <f>IF('[1]All Data '!BD1382="","",'[1]All Data '!BD1382)</f>
        <v/>
      </c>
      <c r="S1377" s="11" t="str">
        <f>IF(R1377="","",'[1]All Data '!BE1382)</f>
        <v/>
      </c>
      <c r="T1377" s="12" t="str">
        <f>IF(S1377="","",[1]Inputs_Outputs!$B$8*(1-'LOCH Calc COE Calc'!S1377))</f>
        <v/>
      </c>
      <c r="U1377" s="13" t="str">
        <f t="shared" si="106"/>
        <v/>
      </c>
      <c r="V1377" s="13" t="str">
        <f t="shared" si="107"/>
        <v/>
      </c>
      <c r="W1377" s="4" t="str">
        <f t="shared" si="108"/>
        <v/>
      </c>
      <c r="X1377" t="str">
        <f>IF(W1377="","",LOOKUP(_xlfn.CONCAT(P1377,", ",Q1377),'[1]T+S Costs'!$F$2:$F$3138,'[1]T+S Costs'!$N$2:$N$3138))</f>
        <v/>
      </c>
      <c r="Y1377" s="14" t="str">
        <f t="shared" si="109"/>
        <v/>
      </c>
      <c r="Z1377" s="4" t="str">
        <f t="shared" si="110"/>
        <v/>
      </c>
    </row>
    <row r="1378" spans="16:26" x14ac:dyDescent="0.25">
      <c r="P1378" s="10" t="str">
        <f>IF('[1]All Data '!AZ1383="","",'[1]All Data '!AZ1383)</f>
        <v/>
      </c>
      <c r="Q1378" s="10" t="str">
        <f>IF('[1]All Data '!BB1383="","",'[1]All Data '!BB1383)</f>
        <v/>
      </c>
      <c r="R1378" s="10" t="str">
        <f>IF('[1]All Data '!BD1383="","",'[1]All Data '!BD1383)</f>
        <v/>
      </c>
      <c r="S1378" s="11" t="str">
        <f>IF(R1378="","",'[1]All Data '!BE1383)</f>
        <v/>
      </c>
      <c r="T1378" s="12" t="str">
        <f>IF(S1378="","",[1]Inputs_Outputs!$B$8*(1-'LOCH Calc COE Calc'!S1378))</f>
        <v/>
      </c>
      <c r="U1378" s="13" t="str">
        <f t="shared" si="106"/>
        <v/>
      </c>
      <c r="V1378" s="13" t="str">
        <f t="shared" si="107"/>
        <v/>
      </c>
      <c r="W1378" s="4" t="str">
        <f t="shared" si="108"/>
        <v/>
      </c>
      <c r="X1378" t="str">
        <f>IF(W1378="","",LOOKUP(_xlfn.CONCAT(P1378,", ",Q1378),'[1]T+S Costs'!$F$2:$F$3138,'[1]T+S Costs'!$N$2:$N$3138))</f>
        <v/>
      </c>
      <c r="Y1378" s="14" t="str">
        <f t="shared" si="109"/>
        <v/>
      </c>
      <c r="Z1378" s="4" t="str">
        <f t="shared" si="110"/>
        <v/>
      </c>
    </row>
    <row r="1379" spans="16:26" x14ac:dyDescent="0.25">
      <c r="P1379" s="10" t="str">
        <f>IF('[1]All Data '!AZ1384="","",'[1]All Data '!AZ1384)</f>
        <v/>
      </c>
      <c r="Q1379" s="10" t="str">
        <f>IF('[1]All Data '!BB1384="","",'[1]All Data '!BB1384)</f>
        <v/>
      </c>
      <c r="R1379" s="10" t="str">
        <f>IF('[1]All Data '!BD1384="","",'[1]All Data '!BD1384)</f>
        <v/>
      </c>
      <c r="S1379" s="11" t="str">
        <f>IF(R1379="","",'[1]All Data '!BE1384)</f>
        <v/>
      </c>
      <c r="T1379" s="12" t="str">
        <f>IF(S1379="","",[1]Inputs_Outputs!$B$8*(1-'LOCH Calc COE Calc'!S1379))</f>
        <v/>
      </c>
      <c r="U1379" s="13" t="str">
        <f t="shared" si="106"/>
        <v/>
      </c>
      <c r="V1379" s="13" t="str">
        <f t="shared" si="107"/>
        <v/>
      </c>
      <c r="W1379" s="4" t="str">
        <f t="shared" si="108"/>
        <v/>
      </c>
      <c r="X1379" t="str">
        <f>IF(W1379="","",LOOKUP(_xlfn.CONCAT(P1379,", ",Q1379),'[1]T+S Costs'!$F$2:$F$3138,'[1]T+S Costs'!$N$2:$N$3138))</f>
        <v/>
      </c>
      <c r="Y1379" s="14" t="str">
        <f t="shared" si="109"/>
        <v/>
      </c>
      <c r="Z1379" s="4" t="str">
        <f t="shared" si="110"/>
        <v/>
      </c>
    </row>
    <row r="1380" spans="16:26" x14ac:dyDescent="0.25">
      <c r="P1380" s="10" t="str">
        <f>IF('[1]All Data '!AZ1385="","",'[1]All Data '!AZ1385)</f>
        <v/>
      </c>
      <c r="Q1380" s="10" t="str">
        <f>IF('[1]All Data '!BB1385="","",'[1]All Data '!BB1385)</f>
        <v/>
      </c>
      <c r="R1380" s="10" t="str">
        <f>IF('[1]All Data '!BD1385="","",'[1]All Data '!BD1385)</f>
        <v/>
      </c>
      <c r="S1380" s="11" t="str">
        <f>IF(R1380="","",'[1]All Data '!BE1385)</f>
        <v/>
      </c>
      <c r="T1380" s="12" t="str">
        <f>IF(S1380="","",[1]Inputs_Outputs!$B$8*(1-'LOCH Calc COE Calc'!S1380))</f>
        <v/>
      </c>
      <c r="U1380" s="13" t="str">
        <f t="shared" si="106"/>
        <v/>
      </c>
      <c r="V1380" s="13" t="str">
        <f t="shared" si="107"/>
        <v/>
      </c>
      <c r="W1380" s="4" t="str">
        <f t="shared" si="108"/>
        <v/>
      </c>
      <c r="X1380" t="str">
        <f>IF(W1380="","",LOOKUP(_xlfn.CONCAT(P1380,", ",Q1380),'[1]T+S Costs'!$F$2:$F$3138,'[1]T+S Costs'!$N$2:$N$3138))</f>
        <v/>
      </c>
      <c r="Y1380" s="14" t="str">
        <f t="shared" si="109"/>
        <v/>
      </c>
      <c r="Z1380" s="4" t="str">
        <f t="shared" si="110"/>
        <v/>
      </c>
    </row>
    <row r="1381" spans="16:26" x14ac:dyDescent="0.25">
      <c r="P1381" s="10" t="str">
        <f>IF('[1]All Data '!AZ1386="","",'[1]All Data '!AZ1386)</f>
        <v/>
      </c>
      <c r="Q1381" s="10" t="str">
        <f>IF('[1]All Data '!BB1386="","",'[1]All Data '!BB1386)</f>
        <v/>
      </c>
      <c r="R1381" s="10" t="str">
        <f>IF('[1]All Data '!BD1386="","",'[1]All Data '!BD1386)</f>
        <v/>
      </c>
      <c r="S1381" s="11" t="str">
        <f>IF(R1381="","",'[1]All Data '!BE1386)</f>
        <v/>
      </c>
      <c r="T1381" s="12" t="str">
        <f>IF(S1381="","",[1]Inputs_Outputs!$B$8*(1-'LOCH Calc COE Calc'!S1381))</f>
        <v/>
      </c>
      <c r="U1381" s="13" t="str">
        <f t="shared" si="106"/>
        <v/>
      </c>
      <c r="V1381" s="13" t="str">
        <f t="shared" si="107"/>
        <v/>
      </c>
      <c r="W1381" s="4" t="str">
        <f t="shared" si="108"/>
        <v/>
      </c>
      <c r="X1381" t="str">
        <f>IF(W1381="","",LOOKUP(_xlfn.CONCAT(P1381,", ",Q1381),'[1]T+S Costs'!$F$2:$F$3138,'[1]T+S Costs'!$N$2:$N$3138))</f>
        <v/>
      </c>
      <c r="Y1381" s="14" t="str">
        <f t="shared" si="109"/>
        <v/>
      </c>
      <c r="Z1381" s="4" t="str">
        <f t="shared" si="110"/>
        <v/>
      </c>
    </row>
    <row r="1382" spans="16:26" x14ac:dyDescent="0.25">
      <c r="P1382" s="10" t="str">
        <f>IF('[1]All Data '!AZ1387="","",'[1]All Data '!AZ1387)</f>
        <v/>
      </c>
      <c r="Q1382" s="10" t="str">
        <f>IF('[1]All Data '!BB1387="","",'[1]All Data '!BB1387)</f>
        <v/>
      </c>
      <c r="R1382" s="10" t="str">
        <f>IF('[1]All Data '!BD1387="","",'[1]All Data '!BD1387)</f>
        <v/>
      </c>
      <c r="S1382" s="11" t="str">
        <f>IF(R1382="","",'[1]All Data '!BE1387)</f>
        <v/>
      </c>
      <c r="T1382" s="12" t="str">
        <f>IF(S1382="","",[1]Inputs_Outputs!$B$8*(1-'LOCH Calc COE Calc'!S1382))</f>
        <v/>
      </c>
      <c r="U1382" s="13" t="str">
        <f t="shared" si="106"/>
        <v/>
      </c>
      <c r="V1382" s="13" t="str">
        <f t="shared" si="107"/>
        <v/>
      </c>
      <c r="W1382" s="4" t="str">
        <f t="shared" si="108"/>
        <v/>
      </c>
      <c r="X1382" t="str">
        <f>IF(W1382="","",LOOKUP(_xlfn.CONCAT(P1382,", ",Q1382),'[1]T+S Costs'!$F$2:$F$3138,'[1]T+S Costs'!$N$2:$N$3138))</f>
        <v/>
      </c>
      <c r="Y1382" s="14" t="str">
        <f t="shared" si="109"/>
        <v/>
      </c>
      <c r="Z1382" s="4" t="str">
        <f t="shared" si="110"/>
        <v/>
      </c>
    </row>
    <row r="1383" spans="16:26" x14ac:dyDescent="0.25">
      <c r="P1383" s="10" t="str">
        <f>IF('[1]All Data '!AZ1388="","",'[1]All Data '!AZ1388)</f>
        <v/>
      </c>
      <c r="Q1383" s="10" t="str">
        <f>IF('[1]All Data '!BB1388="","",'[1]All Data '!BB1388)</f>
        <v/>
      </c>
      <c r="R1383" s="10" t="str">
        <f>IF('[1]All Data '!BD1388="","",'[1]All Data '!BD1388)</f>
        <v/>
      </c>
      <c r="S1383" s="11" t="str">
        <f>IF(R1383="","",'[1]All Data '!BE1388)</f>
        <v/>
      </c>
      <c r="T1383" s="12" t="str">
        <f>IF(S1383="","",[1]Inputs_Outputs!$B$8*(1-'LOCH Calc COE Calc'!S1383))</f>
        <v/>
      </c>
      <c r="U1383" s="13" t="str">
        <f t="shared" si="106"/>
        <v/>
      </c>
      <c r="V1383" s="13" t="str">
        <f t="shared" si="107"/>
        <v/>
      </c>
      <c r="W1383" s="4" t="str">
        <f t="shared" si="108"/>
        <v/>
      </c>
      <c r="X1383" t="str">
        <f>IF(W1383="","",LOOKUP(_xlfn.CONCAT(P1383,", ",Q1383),'[1]T+S Costs'!$F$2:$F$3138,'[1]T+S Costs'!$N$2:$N$3138))</f>
        <v/>
      </c>
      <c r="Y1383" s="14" t="str">
        <f t="shared" si="109"/>
        <v/>
      </c>
      <c r="Z1383" s="4" t="str">
        <f t="shared" si="110"/>
        <v/>
      </c>
    </row>
    <row r="1384" spans="16:26" x14ac:dyDescent="0.25">
      <c r="P1384" s="10" t="str">
        <f>IF('[1]All Data '!AZ1389="","",'[1]All Data '!AZ1389)</f>
        <v/>
      </c>
      <c r="Q1384" s="10" t="str">
        <f>IF('[1]All Data '!BB1389="","",'[1]All Data '!BB1389)</f>
        <v/>
      </c>
      <c r="R1384" s="10" t="str">
        <f>IF('[1]All Data '!BD1389="","",'[1]All Data '!BD1389)</f>
        <v/>
      </c>
      <c r="S1384" s="11" t="str">
        <f>IF(R1384="","",'[1]All Data '!BE1389)</f>
        <v/>
      </c>
      <c r="T1384" s="12" t="str">
        <f>IF(S1384="","",[1]Inputs_Outputs!$B$8*(1-'LOCH Calc COE Calc'!S1384))</f>
        <v/>
      </c>
      <c r="U1384" s="13" t="str">
        <f t="shared" si="106"/>
        <v/>
      </c>
      <c r="V1384" s="13" t="str">
        <f t="shared" si="107"/>
        <v/>
      </c>
      <c r="W1384" s="4" t="str">
        <f t="shared" si="108"/>
        <v/>
      </c>
      <c r="X1384" t="str">
        <f>IF(W1384="","",LOOKUP(_xlfn.CONCAT(P1384,", ",Q1384),'[1]T+S Costs'!$F$2:$F$3138,'[1]T+S Costs'!$N$2:$N$3138))</f>
        <v/>
      </c>
      <c r="Y1384" s="14" t="str">
        <f t="shared" si="109"/>
        <v/>
      </c>
      <c r="Z1384" s="4" t="str">
        <f t="shared" si="110"/>
        <v/>
      </c>
    </row>
    <row r="1385" spans="16:26" x14ac:dyDescent="0.25">
      <c r="P1385" s="10" t="str">
        <f>IF('[1]All Data '!AZ1390="","",'[1]All Data '!AZ1390)</f>
        <v/>
      </c>
      <c r="Q1385" s="10" t="str">
        <f>IF('[1]All Data '!BB1390="","",'[1]All Data '!BB1390)</f>
        <v/>
      </c>
      <c r="R1385" s="10" t="str">
        <f>IF('[1]All Data '!BD1390="","",'[1]All Data '!BD1390)</f>
        <v/>
      </c>
      <c r="S1385" s="11" t="str">
        <f>IF(R1385="","",'[1]All Data '!BE1390)</f>
        <v/>
      </c>
      <c r="T1385" s="12" t="str">
        <f>IF(S1385="","",[1]Inputs_Outputs!$B$8*(1-'LOCH Calc COE Calc'!S1385))</f>
        <v/>
      </c>
      <c r="U1385" s="13" t="str">
        <f t="shared" si="106"/>
        <v/>
      </c>
      <c r="V1385" s="13" t="str">
        <f t="shared" si="107"/>
        <v/>
      </c>
      <c r="W1385" s="4" t="str">
        <f t="shared" si="108"/>
        <v/>
      </c>
      <c r="X1385" t="str">
        <f>IF(W1385="","",LOOKUP(_xlfn.CONCAT(P1385,", ",Q1385),'[1]T+S Costs'!$F$2:$F$3138,'[1]T+S Costs'!$N$2:$N$3138))</f>
        <v/>
      </c>
      <c r="Y1385" s="14" t="str">
        <f t="shared" si="109"/>
        <v/>
      </c>
      <c r="Z1385" s="4" t="str">
        <f t="shared" si="110"/>
        <v/>
      </c>
    </row>
    <row r="1386" spans="16:26" x14ac:dyDescent="0.25">
      <c r="P1386" s="10" t="str">
        <f>IF('[1]All Data '!AZ1391="","",'[1]All Data '!AZ1391)</f>
        <v/>
      </c>
      <c r="Q1386" s="10" t="str">
        <f>IF('[1]All Data '!BB1391="","",'[1]All Data '!BB1391)</f>
        <v/>
      </c>
      <c r="R1386" s="10" t="str">
        <f>IF('[1]All Data '!BD1391="","",'[1]All Data '!BD1391)</f>
        <v/>
      </c>
      <c r="S1386" s="11" t="str">
        <f>IF(R1386="","",'[1]All Data '!BE1391)</f>
        <v/>
      </c>
      <c r="T1386" s="12" t="str">
        <f>IF(S1386="","",[1]Inputs_Outputs!$B$8*(1-'LOCH Calc COE Calc'!S1386))</f>
        <v/>
      </c>
      <c r="U1386" s="13" t="str">
        <f t="shared" si="106"/>
        <v/>
      </c>
      <c r="V1386" s="13" t="str">
        <f t="shared" si="107"/>
        <v/>
      </c>
      <c r="W1386" s="4" t="str">
        <f t="shared" si="108"/>
        <v/>
      </c>
      <c r="X1386" t="str">
        <f>IF(W1386="","",LOOKUP(_xlfn.CONCAT(P1386,", ",Q1386),'[1]T+S Costs'!$F$2:$F$3138,'[1]T+S Costs'!$N$2:$N$3138))</f>
        <v/>
      </c>
      <c r="Y1386" s="14" t="str">
        <f t="shared" si="109"/>
        <v/>
      </c>
      <c r="Z1386" s="4" t="str">
        <f t="shared" si="110"/>
        <v/>
      </c>
    </row>
    <row r="1387" spans="16:26" x14ac:dyDescent="0.25">
      <c r="P1387" s="10" t="str">
        <f>IF('[1]All Data '!AZ1392="","",'[1]All Data '!AZ1392)</f>
        <v/>
      </c>
      <c r="Q1387" s="10" t="str">
        <f>IF('[1]All Data '!BB1392="","",'[1]All Data '!BB1392)</f>
        <v/>
      </c>
      <c r="R1387" s="10" t="str">
        <f>IF('[1]All Data '!BD1392="","",'[1]All Data '!BD1392)</f>
        <v/>
      </c>
      <c r="S1387" s="11" t="str">
        <f>IF(R1387="","",'[1]All Data '!BE1392)</f>
        <v/>
      </c>
      <c r="T1387" s="12" t="str">
        <f>IF(S1387="","",[1]Inputs_Outputs!$B$8*(1-'LOCH Calc COE Calc'!S1387))</f>
        <v/>
      </c>
      <c r="U1387" s="13" t="str">
        <f t="shared" si="106"/>
        <v/>
      </c>
      <c r="V1387" s="13" t="str">
        <f t="shared" si="107"/>
        <v/>
      </c>
      <c r="W1387" s="4" t="str">
        <f t="shared" si="108"/>
        <v/>
      </c>
      <c r="X1387" t="str">
        <f>IF(W1387="","",LOOKUP(_xlfn.CONCAT(P1387,", ",Q1387),'[1]T+S Costs'!$F$2:$F$3138,'[1]T+S Costs'!$N$2:$N$3138))</f>
        <v/>
      </c>
      <c r="Y1387" s="14" t="str">
        <f t="shared" si="109"/>
        <v/>
      </c>
      <c r="Z1387" s="4" t="str">
        <f t="shared" si="110"/>
        <v/>
      </c>
    </row>
    <row r="1388" spans="16:26" x14ac:dyDescent="0.25">
      <c r="P1388" s="10" t="str">
        <f>IF('[1]All Data '!AZ1393="","",'[1]All Data '!AZ1393)</f>
        <v/>
      </c>
      <c r="Q1388" s="10" t="str">
        <f>IF('[1]All Data '!BB1393="","",'[1]All Data '!BB1393)</f>
        <v/>
      </c>
      <c r="R1388" s="10" t="str">
        <f>IF('[1]All Data '!BD1393="","",'[1]All Data '!BD1393)</f>
        <v/>
      </c>
      <c r="S1388" s="11" t="str">
        <f>IF(R1388="","",'[1]All Data '!BE1393)</f>
        <v/>
      </c>
      <c r="T1388" s="12" t="str">
        <f>IF(S1388="","",[1]Inputs_Outputs!$B$8*(1-'LOCH Calc COE Calc'!S1388))</f>
        <v/>
      </c>
      <c r="U1388" s="13" t="str">
        <f t="shared" si="106"/>
        <v/>
      </c>
      <c r="V1388" s="13" t="str">
        <f t="shared" si="107"/>
        <v/>
      </c>
      <c r="W1388" s="4" t="str">
        <f t="shared" si="108"/>
        <v/>
      </c>
      <c r="X1388" t="str">
        <f>IF(W1388="","",LOOKUP(_xlfn.CONCAT(P1388,", ",Q1388),'[1]T+S Costs'!$F$2:$F$3138,'[1]T+S Costs'!$N$2:$N$3138))</f>
        <v/>
      </c>
      <c r="Y1388" s="14" t="str">
        <f t="shared" si="109"/>
        <v/>
      </c>
      <c r="Z1388" s="4" t="str">
        <f t="shared" si="110"/>
        <v/>
      </c>
    </row>
    <row r="1389" spans="16:26" x14ac:dyDescent="0.25">
      <c r="P1389" s="10" t="str">
        <f>IF('[1]All Data '!AZ1394="","",'[1]All Data '!AZ1394)</f>
        <v/>
      </c>
      <c r="Q1389" s="10" t="str">
        <f>IF('[1]All Data '!BB1394="","",'[1]All Data '!BB1394)</f>
        <v/>
      </c>
      <c r="R1389" s="10" t="str">
        <f>IF('[1]All Data '!BD1394="","",'[1]All Data '!BD1394)</f>
        <v/>
      </c>
      <c r="S1389" s="11" t="str">
        <f>IF(R1389="","",'[1]All Data '!BE1394)</f>
        <v/>
      </c>
      <c r="T1389" s="12" t="str">
        <f>IF(S1389="","",[1]Inputs_Outputs!$B$8*(1-'LOCH Calc COE Calc'!S1389))</f>
        <v/>
      </c>
      <c r="U1389" s="13" t="str">
        <f t="shared" si="106"/>
        <v/>
      </c>
      <c r="V1389" s="13" t="str">
        <f t="shared" si="107"/>
        <v/>
      </c>
      <c r="W1389" s="4" t="str">
        <f t="shared" si="108"/>
        <v/>
      </c>
      <c r="X1389" t="str">
        <f>IF(W1389="","",LOOKUP(_xlfn.CONCAT(P1389,", ",Q1389),'[1]T+S Costs'!$F$2:$F$3138,'[1]T+S Costs'!$N$2:$N$3138))</f>
        <v/>
      </c>
      <c r="Y1389" s="14" t="str">
        <f t="shared" si="109"/>
        <v/>
      </c>
      <c r="Z1389" s="4" t="str">
        <f t="shared" si="110"/>
        <v/>
      </c>
    </row>
    <row r="1390" spans="16:26" x14ac:dyDescent="0.25">
      <c r="P1390" s="10" t="str">
        <f>IF('[1]All Data '!AZ1395="","",'[1]All Data '!AZ1395)</f>
        <v/>
      </c>
      <c r="Q1390" s="10" t="str">
        <f>IF('[1]All Data '!BB1395="","",'[1]All Data '!BB1395)</f>
        <v/>
      </c>
      <c r="R1390" s="10" t="str">
        <f>IF('[1]All Data '!BD1395="","",'[1]All Data '!BD1395)</f>
        <v/>
      </c>
      <c r="S1390" s="11" t="str">
        <f>IF(R1390="","",'[1]All Data '!BE1395)</f>
        <v/>
      </c>
      <c r="T1390" s="12" t="str">
        <f>IF(S1390="","",[1]Inputs_Outputs!$B$8*(1-'LOCH Calc COE Calc'!S1390))</f>
        <v/>
      </c>
      <c r="U1390" s="13" t="str">
        <f t="shared" si="106"/>
        <v/>
      </c>
      <c r="V1390" s="13" t="str">
        <f t="shared" si="107"/>
        <v/>
      </c>
      <c r="W1390" s="4" t="str">
        <f t="shared" si="108"/>
        <v/>
      </c>
      <c r="X1390" t="str">
        <f>IF(W1390="","",LOOKUP(_xlfn.CONCAT(P1390,", ",Q1390),'[1]T+S Costs'!$F$2:$F$3138,'[1]T+S Costs'!$N$2:$N$3138))</f>
        <v/>
      </c>
      <c r="Y1390" s="14" t="str">
        <f t="shared" si="109"/>
        <v/>
      </c>
      <c r="Z1390" s="4" t="str">
        <f t="shared" si="110"/>
        <v/>
      </c>
    </row>
    <row r="1391" spans="16:26" x14ac:dyDescent="0.25">
      <c r="P1391" s="10" t="str">
        <f>IF('[1]All Data '!AZ1396="","",'[1]All Data '!AZ1396)</f>
        <v/>
      </c>
      <c r="Q1391" s="10" t="str">
        <f>IF('[1]All Data '!BB1396="","",'[1]All Data '!BB1396)</f>
        <v/>
      </c>
      <c r="R1391" s="10" t="str">
        <f>IF('[1]All Data '!BD1396="","",'[1]All Data '!BD1396)</f>
        <v/>
      </c>
      <c r="S1391" s="11" t="str">
        <f>IF(R1391="","",'[1]All Data '!BE1396)</f>
        <v/>
      </c>
      <c r="T1391" s="12" t="str">
        <f>IF(S1391="","",[1]Inputs_Outputs!$B$8*(1-'LOCH Calc COE Calc'!S1391))</f>
        <v/>
      </c>
      <c r="U1391" s="13" t="str">
        <f t="shared" si="106"/>
        <v/>
      </c>
      <c r="V1391" s="13" t="str">
        <f t="shared" si="107"/>
        <v/>
      </c>
      <c r="W1391" s="4" t="str">
        <f t="shared" si="108"/>
        <v/>
      </c>
      <c r="X1391" t="str">
        <f>IF(W1391="","",LOOKUP(_xlfn.CONCAT(P1391,", ",Q1391),'[1]T+S Costs'!$F$2:$F$3138,'[1]T+S Costs'!$N$2:$N$3138))</f>
        <v/>
      </c>
      <c r="Y1391" s="14" t="str">
        <f t="shared" si="109"/>
        <v/>
      </c>
      <c r="Z1391" s="4" t="str">
        <f t="shared" si="110"/>
        <v/>
      </c>
    </row>
    <row r="1392" spans="16:26" x14ac:dyDescent="0.25">
      <c r="P1392" s="10" t="str">
        <f>IF('[1]All Data '!AZ1397="","",'[1]All Data '!AZ1397)</f>
        <v/>
      </c>
      <c r="Q1392" s="10" t="str">
        <f>IF('[1]All Data '!BB1397="","",'[1]All Data '!BB1397)</f>
        <v/>
      </c>
      <c r="R1392" s="10" t="str">
        <f>IF('[1]All Data '!BD1397="","",'[1]All Data '!BD1397)</f>
        <v/>
      </c>
      <c r="S1392" s="11" t="str">
        <f>IF(R1392="","",'[1]All Data '!BE1397)</f>
        <v/>
      </c>
      <c r="T1392" s="12" t="str">
        <f>IF(S1392="","",[1]Inputs_Outputs!$B$8*(1-'LOCH Calc COE Calc'!S1392))</f>
        <v/>
      </c>
      <c r="U1392" s="13" t="str">
        <f t="shared" si="106"/>
        <v/>
      </c>
      <c r="V1392" s="13" t="str">
        <f t="shared" si="107"/>
        <v/>
      </c>
      <c r="W1392" s="4" t="str">
        <f t="shared" si="108"/>
        <v/>
      </c>
      <c r="X1392" t="str">
        <f>IF(W1392="","",LOOKUP(_xlfn.CONCAT(P1392,", ",Q1392),'[1]T+S Costs'!$F$2:$F$3138,'[1]T+S Costs'!$N$2:$N$3138))</f>
        <v/>
      </c>
      <c r="Y1392" s="14" t="str">
        <f t="shared" si="109"/>
        <v/>
      </c>
      <c r="Z1392" s="4" t="str">
        <f t="shared" si="110"/>
        <v/>
      </c>
    </row>
    <row r="1393" spans="16:26" x14ac:dyDescent="0.25">
      <c r="P1393" s="10" t="str">
        <f>IF('[1]All Data '!AZ1398="","",'[1]All Data '!AZ1398)</f>
        <v/>
      </c>
      <c r="Q1393" s="10" t="str">
        <f>IF('[1]All Data '!BB1398="","",'[1]All Data '!BB1398)</f>
        <v/>
      </c>
      <c r="R1393" s="10" t="str">
        <f>IF('[1]All Data '!BD1398="","",'[1]All Data '!BD1398)</f>
        <v/>
      </c>
      <c r="S1393" s="11" t="str">
        <f>IF(R1393="","",'[1]All Data '!BE1398)</f>
        <v/>
      </c>
      <c r="T1393" s="12" t="str">
        <f>IF(S1393="","",[1]Inputs_Outputs!$B$8*(1-'LOCH Calc COE Calc'!S1393))</f>
        <v/>
      </c>
      <c r="U1393" s="13" t="str">
        <f t="shared" si="106"/>
        <v/>
      </c>
      <c r="V1393" s="13" t="str">
        <f t="shared" si="107"/>
        <v/>
      </c>
      <c r="W1393" s="4" t="str">
        <f t="shared" si="108"/>
        <v/>
      </c>
      <c r="X1393" t="str">
        <f>IF(W1393="","",LOOKUP(_xlfn.CONCAT(P1393,", ",Q1393),'[1]T+S Costs'!$F$2:$F$3138,'[1]T+S Costs'!$N$2:$N$3138))</f>
        <v/>
      </c>
      <c r="Y1393" s="14" t="str">
        <f t="shared" si="109"/>
        <v/>
      </c>
      <c r="Z1393" s="4" t="str">
        <f t="shared" si="110"/>
        <v/>
      </c>
    </row>
    <row r="1394" spans="16:26" x14ac:dyDescent="0.25">
      <c r="P1394" s="10" t="str">
        <f>IF('[1]All Data '!AZ1399="","",'[1]All Data '!AZ1399)</f>
        <v/>
      </c>
      <c r="Q1394" s="10" t="str">
        <f>IF('[1]All Data '!BB1399="","",'[1]All Data '!BB1399)</f>
        <v/>
      </c>
      <c r="R1394" s="10" t="str">
        <f>IF('[1]All Data '!BD1399="","",'[1]All Data '!BD1399)</f>
        <v/>
      </c>
      <c r="S1394" s="11" t="str">
        <f>IF(R1394="","",'[1]All Data '!BE1399)</f>
        <v/>
      </c>
      <c r="T1394" s="12" t="str">
        <f>IF(S1394="","",[1]Inputs_Outputs!$B$8*(1-'LOCH Calc COE Calc'!S1394))</f>
        <v/>
      </c>
      <c r="U1394" s="13" t="str">
        <f t="shared" si="106"/>
        <v/>
      </c>
      <c r="V1394" s="13" t="str">
        <f t="shared" si="107"/>
        <v/>
      </c>
      <c r="W1394" s="4" t="str">
        <f t="shared" si="108"/>
        <v/>
      </c>
      <c r="X1394" t="str">
        <f>IF(W1394="","",LOOKUP(_xlfn.CONCAT(P1394,", ",Q1394),'[1]T+S Costs'!$F$2:$F$3138,'[1]T+S Costs'!$N$2:$N$3138))</f>
        <v/>
      </c>
      <c r="Y1394" s="14" t="str">
        <f t="shared" si="109"/>
        <v/>
      </c>
      <c r="Z1394" s="4" t="str">
        <f t="shared" si="110"/>
        <v/>
      </c>
    </row>
    <row r="1395" spans="16:26" x14ac:dyDescent="0.25">
      <c r="P1395" s="10" t="str">
        <f>IF('[1]All Data '!AZ1400="","",'[1]All Data '!AZ1400)</f>
        <v/>
      </c>
      <c r="Q1395" s="10" t="str">
        <f>IF('[1]All Data '!BB1400="","",'[1]All Data '!BB1400)</f>
        <v/>
      </c>
      <c r="R1395" s="10" t="str">
        <f>IF('[1]All Data '!BD1400="","",'[1]All Data '!BD1400)</f>
        <v/>
      </c>
      <c r="S1395" s="11" t="str">
        <f>IF(R1395="","",'[1]All Data '!BE1400)</f>
        <v/>
      </c>
      <c r="T1395" s="12" t="str">
        <f>IF(S1395="","",[1]Inputs_Outputs!$B$8*(1-'LOCH Calc COE Calc'!S1395))</f>
        <v/>
      </c>
      <c r="U1395" s="13" t="str">
        <f t="shared" si="106"/>
        <v/>
      </c>
      <c r="V1395" s="13" t="str">
        <f t="shared" si="107"/>
        <v/>
      </c>
      <c r="W1395" s="4" t="str">
        <f t="shared" si="108"/>
        <v/>
      </c>
      <c r="X1395" t="str">
        <f>IF(W1395="","",LOOKUP(_xlfn.CONCAT(P1395,", ",Q1395),'[1]T+S Costs'!$F$2:$F$3138,'[1]T+S Costs'!$N$2:$N$3138))</f>
        <v/>
      </c>
      <c r="Y1395" s="14" t="str">
        <f t="shared" si="109"/>
        <v/>
      </c>
      <c r="Z1395" s="4" t="str">
        <f t="shared" si="110"/>
        <v/>
      </c>
    </row>
    <row r="1396" spans="16:26" x14ac:dyDescent="0.25">
      <c r="P1396" s="10" t="str">
        <f>IF('[1]All Data '!AZ1401="","",'[1]All Data '!AZ1401)</f>
        <v/>
      </c>
      <c r="Q1396" s="10" t="str">
        <f>IF('[1]All Data '!BB1401="","",'[1]All Data '!BB1401)</f>
        <v/>
      </c>
      <c r="R1396" s="10" t="str">
        <f>IF('[1]All Data '!BD1401="","",'[1]All Data '!BD1401)</f>
        <v/>
      </c>
      <c r="S1396" s="11" t="str">
        <f>IF(R1396="","",'[1]All Data '!BE1401)</f>
        <v/>
      </c>
      <c r="T1396" s="12" t="str">
        <f>IF(S1396="","",[1]Inputs_Outputs!$B$8*(1-'LOCH Calc COE Calc'!S1396))</f>
        <v/>
      </c>
      <c r="U1396" s="13" t="str">
        <f t="shared" si="106"/>
        <v/>
      </c>
      <c r="V1396" s="13" t="str">
        <f t="shared" si="107"/>
        <v/>
      </c>
      <c r="W1396" s="4" t="str">
        <f t="shared" si="108"/>
        <v/>
      </c>
      <c r="X1396" t="str">
        <f>IF(W1396="","",LOOKUP(_xlfn.CONCAT(P1396,", ",Q1396),'[1]T+S Costs'!$F$2:$F$3138,'[1]T+S Costs'!$N$2:$N$3138))</f>
        <v/>
      </c>
      <c r="Y1396" s="14" t="str">
        <f t="shared" si="109"/>
        <v/>
      </c>
      <c r="Z1396" s="4" t="str">
        <f t="shared" si="110"/>
        <v/>
      </c>
    </row>
    <row r="1397" spans="16:26" x14ac:dyDescent="0.25">
      <c r="P1397" s="10" t="str">
        <f>IF('[1]All Data '!AZ1402="","",'[1]All Data '!AZ1402)</f>
        <v/>
      </c>
      <c r="Q1397" s="10" t="str">
        <f>IF('[1]All Data '!BB1402="","",'[1]All Data '!BB1402)</f>
        <v/>
      </c>
      <c r="R1397" s="10" t="str">
        <f>IF('[1]All Data '!BD1402="","",'[1]All Data '!BD1402)</f>
        <v/>
      </c>
      <c r="S1397" s="11" t="str">
        <f>IF(R1397="","",'[1]All Data '!BE1402)</f>
        <v/>
      </c>
      <c r="T1397" s="12" t="str">
        <f>IF(S1397="","",[1]Inputs_Outputs!$B$8*(1-'LOCH Calc COE Calc'!S1397))</f>
        <v/>
      </c>
      <c r="U1397" s="13" t="str">
        <f t="shared" si="106"/>
        <v/>
      </c>
      <c r="V1397" s="13" t="str">
        <f t="shared" si="107"/>
        <v/>
      </c>
      <c r="W1397" s="4" t="str">
        <f t="shared" si="108"/>
        <v/>
      </c>
      <c r="X1397" t="str">
        <f>IF(W1397="","",LOOKUP(_xlfn.CONCAT(P1397,", ",Q1397),'[1]T+S Costs'!$F$2:$F$3138,'[1]T+S Costs'!$N$2:$N$3138))</f>
        <v/>
      </c>
      <c r="Y1397" s="14" t="str">
        <f t="shared" si="109"/>
        <v/>
      </c>
      <c r="Z1397" s="4" t="str">
        <f t="shared" si="110"/>
        <v/>
      </c>
    </row>
    <row r="1398" spans="16:26" x14ac:dyDescent="0.25">
      <c r="P1398" s="10" t="str">
        <f>IF('[1]All Data '!AZ1403="","",'[1]All Data '!AZ1403)</f>
        <v/>
      </c>
      <c r="Q1398" s="10" t="str">
        <f>IF('[1]All Data '!BB1403="","",'[1]All Data '!BB1403)</f>
        <v/>
      </c>
      <c r="R1398" s="10" t="str">
        <f>IF('[1]All Data '!BD1403="","",'[1]All Data '!BD1403)</f>
        <v/>
      </c>
      <c r="S1398" s="11" t="str">
        <f>IF(R1398="","",'[1]All Data '!BE1403)</f>
        <v/>
      </c>
      <c r="T1398" s="12" t="str">
        <f>IF(S1398="","",[1]Inputs_Outputs!$B$8*(1-'LOCH Calc COE Calc'!S1398))</f>
        <v/>
      </c>
      <c r="U1398" s="13" t="str">
        <f t="shared" si="106"/>
        <v/>
      </c>
      <c r="V1398" s="13" t="str">
        <f t="shared" si="107"/>
        <v/>
      </c>
      <c r="W1398" s="4" t="str">
        <f t="shared" si="108"/>
        <v/>
      </c>
      <c r="X1398" t="str">
        <f>IF(W1398="","",LOOKUP(_xlfn.CONCAT(P1398,", ",Q1398),'[1]T+S Costs'!$F$2:$F$3138,'[1]T+S Costs'!$N$2:$N$3138))</f>
        <v/>
      </c>
      <c r="Y1398" s="14" t="str">
        <f t="shared" si="109"/>
        <v/>
      </c>
      <c r="Z1398" s="4" t="str">
        <f t="shared" si="110"/>
        <v/>
      </c>
    </row>
    <row r="1399" spans="16:26" x14ac:dyDescent="0.25">
      <c r="P1399" s="10" t="str">
        <f>IF('[1]All Data '!AZ1404="","",'[1]All Data '!AZ1404)</f>
        <v/>
      </c>
      <c r="Q1399" s="10" t="str">
        <f>IF('[1]All Data '!BB1404="","",'[1]All Data '!BB1404)</f>
        <v/>
      </c>
      <c r="R1399" s="10" t="str">
        <f>IF('[1]All Data '!BD1404="","",'[1]All Data '!BD1404)</f>
        <v/>
      </c>
      <c r="S1399" s="11" t="str">
        <f>IF(R1399="","",'[1]All Data '!BE1404)</f>
        <v/>
      </c>
      <c r="T1399" s="12" t="str">
        <f>IF(S1399="","",[1]Inputs_Outputs!$B$8*(1-'LOCH Calc COE Calc'!S1399))</f>
        <v/>
      </c>
      <c r="U1399" s="13" t="str">
        <f t="shared" si="106"/>
        <v/>
      </c>
      <c r="V1399" s="13" t="str">
        <f t="shared" si="107"/>
        <v/>
      </c>
      <c r="W1399" s="4" t="str">
        <f t="shared" si="108"/>
        <v/>
      </c>
      <c r="X1399" t="str">
        <f>IF(W1399="","",LOOKUP(_xlfn.CONCAT(P1399,", ",Q1399),'[1]T+S Costs'!$F$2:$F$3138,'[1]T+S Costs'!$N$2:$N$3138))</f>
        <v/>
      </c>
      <c r="Y1399" s="14" t="str">
        <f t="shared" si="109"/>
        <v/>
      </c>
      <c r="Z1399" s="4" t="str">
        <f t="shared" si="110"/>
        <v/>
      </c>
    </row>
    <row r="1400" spans="16:26" x14ac:dyDescent="0.25">
      <c r="P1400" s="10" t="str">
        <f>IF('[1]All Data '!AZ1405="","",'[1]All Data '!AZ1405)</f>
        <v/>
      </c>
      <c r="Q1400" s="10" t="str">
        <f>IF('[1]All Data '!BB1405="","",'[1]All Data '!BB1405)</f>
        <v/>
      </c>
      <c r="R1400" s="10" t="str">
        <f>IF('[1]All Data '!BD1405="","",'[1]All Data '!BD1405)</f>
        <v/>
      </c>
      <c r="S1400" s="11" t="str">
        <f>IF(R1400="","",'[1]All Data '!BE1405)</f>
        <v/>
      </c>
      <c r="T1400" s="12" t="str">
        <f>IF(S1400="","",[1]Inputs_Outputs!$B$8*(1-'LOCH Calc COE Calc'!S1400))</f>
        <v/>
      </c>
      <c r="U1400" s="13" t="str">
        <f t="shared" si="106"/>
        <v/>
      </c>
      <c r="V1400" s="13" t="str">
        <f t="shared" si="107"/>
        <v/>
      </c>
      <c r="W1400" s="4" t="str">
        <f t="shared" si="108"/>
        <v/>
      </c>
      <c r="X1400" t="str">
        <f>IF(W1400="","",LOOKUP(_xlfn.CONCAT(P1400,", ",Q1400),'[1]T+S Costs'!$F$2:$F$3138,'[1]T+S Costs'!$N$2:$N$3138))</f>
        <v/>
      </c>
      <c r="Y1400" s="14" t="str">
        <f t="shared" si="109"/>
        <v/>
      </c>
      <c r="Z1400" s="4" t="str">
        <f t="shared" si="110"/>
        <v/>
      </c>
    </row>
    <row r="1401" spans="16:26" x14ac:dyDescent="0.25">
      <c r="P1401" s="10" t="str">
        <f>IF('[1]All Data '!AZ1406="","",'[1]All Data '!AZ1406)</f>
        <v/>
      </c>
      <c r="Q1401" s="10" t="str">
        <f>IF('[1]All Data '!BB1406="","",'[1]All Data '!BB1406)</f>
        <v/>
      </c>
      <c r="R1401" s="10" t="str">
        <f>IF('[1]All Data '!BD1406="","",'[1]All Data '!BD1406)</f>
        <v/>
      </c>
      <c r="S1401" s="11" t="str">
        <f>IF(R1401="","",'[1]All Data '!BE1406)</f>
        <v/>
      </c>
      <c r="T1401" s="12" t="str">
        <f>IF(S1401="","",[1]Inputs_Outputs!$B$8*(1-'LOCH Calc COE Calc'!S1401))</f>
        <v/>
      </c>
      <c r="U1401" s="13" t="str">
        <f t="shared" si="106"/>
        <v/>
      </c>
      <c r="V1401" s="13" t="str">
        <f t="shared" si="107"/>
        <v/>
      </c>
      <c r="W1401" s="4" t="str">
        <f t="shared" si="108"/>
        <v/>
      </c>
      <c r="X1401" t="str">
        <f>IF(W1401="","",LOOKUP(_xlfn.CONCAT(P1401,", ",Q1401),'[1]T+S Costs'!$F$2:$F$3138,'[1]T+S Costs'!$N$2:$N$3138))</f>
        <v/>
      </c>
      <c r="Y1401" s="14" t="str">
        <f t="shared" si="109"/>
        <v/>
      </c>
      <c r="Z1401" s="4" t="str">
        <f t="shared" si="110"/>
        <v/>
      </c>
    </row>
    <row r="1402" spans="16:26" x14ac:dyDescent="0.25">
      <c r="P1402" s="10" t="str">
        <f>IF('[1]All Data '!AZ1407="","",'[1]All Data '!AZ1407)</f>
        <v/>
      </c>
      <c r="Q1402" s="10" t="str">
        <f>IF('[1]All Data '!BB1407="","",'[1]All Data '!BB1407)</f>
        <v/>
      </c>
      <c r="R1402" s="10" t="str">
        <f>IF('[1]All Data '!BD1407="","",'[1]All Data '!BD1407)</f>
        <v/>
      </c>
      <c r="S1402" s="11" t="str">
        <f>IF(R1402="","",'[1]All Data '!BE1407)</f>
        <v/>
      </c>
      <c r="T1402" s="12" t="str">
        <f>IF(S1402="","",[1]Inputs_Outputs!$B$8*(1-'LOCH Calc COE Calc'!S1402))</f>
        <v/>
      </c>
      <c r="U1402" s="13" t="str">
        <f t="shared" si="106"/>
        <v/>
      </c>
      <c r="V1402" s="13" t="str">
        <f t="shared" si="107"/>
        <v/>
      </c>
      <c r="W1402" s="4" t="str">
        <f t="shared" si="108"/>
        <v/>
      </c>
      <c r="X1402" t="str">
        <f>IF(W1402="","",LOOKUP(_xlfn.CONCAT(P1402,", ",Q1402),'[1]T+S Costs'!$F$2:$F$3138,'[1]T+S Costs'!$N$2:$N$3138))</f>
        <v/>
      </c>
      <c r="Y1402" s="14" t="str">
        <f t="shared" si="109"/>
        <v/>
      </c>
      <c r="Z1402" s="4" t="str">
        <f t="shared" si="110"/>
        <v/>
      </c>
    </row>
    <row r="1403" spans="16:26" x14ac:dyDescent="0.25">
      <c r="P1403" s="10" t="str">
        <f>IF('[1]All Data '!AZ1408="","",'[1]All Data '!AZ1408)</f>
        <v/>
      </c>
      <c r="Q1403" s="10" t="str">
        <f>IF('[1]All Data '!BB1408="","",'[1]All Data '!BB1408)</f>
        <v/>
      </c>
      <c r="R1403" s="10" t="str">
        <f>IF('[1]All Data '!BD1408="","",'[1]All Data '!BD1408)</f>
        <v/>
      </c>
      <c r="S1403" s="11" t="str">
        <f>IF(R1403="","",'[1]All Data '!BE1408)</f>
        <v/>
      </c>
      <c r="T1403" s="12" t="str">
        <f>IF(S1403="","",[1]Inputs_Outputs!$B$8*(1-'LOCH Calc COE Calc'!S1403))</f>
        <v/>
      </c>
      <c r="U1403" s="13" t="str">
        <f t="shared" si="106"/>
        <v/>
      </c>
      <c r="V1403" s="13" t="str">
        <f t="shared" si="107"/>
        <v/>
      </c>
      <c r="W1403" s="4" t="str">
        <f t="shared" si="108"/>
        <v/>
      </c>
      <c r="X1403" t="str">
        <f>IF(W1403="","",LOOKUP(_xlfn.CONCAT(P1403,", ",Q1403),'[1]T+S Costs'!$F$2:$F$3138,'[1]T+S Costs'!$N$2:$N$3138))</f>
        <v/>
      </c>
      <c r="Y1403" s="14" t="str">
        <f t="shared" si="109"/>
        <v/>
      </c>
      <c r="Z1403" s="4" t="str">
        <f t="shared" si="110"/>
        <v/>
      </c>
    </row>
    <row r="1404" spans="16:26" x14ac:dyDescent="0.25">
      <c r="P1404" s="10" t="str">
        <f>IF('[1]All Data '!AZ1409="","",'[1]All Data '!AZ1409)</f>
        <v/>
      </c>
      <c r="Q1404" s="10" t="str">
        <f>IF('[1]All Data '!BB1409="","",'[1]All Data '!BB1409)</f>
        <v/>
      </c>
      <c r="R1404" s="10" t="str">
        <f>IF('[1]All Data '!BD1409="","",'[1]All Data '!BD1409)</f>
        <v/>
      </c>
      <c r="S1404" s="11" t="str">
        <f>IF(R1404="","",'[1]All Data '!BE1409)</f>
        <v/>
      </c>
      <c r="T1404" s="12" t="str">
        <f>IF(S1404="","",[1]Inputs_Outputs!$B$8*(1-'LOCH Calc COE Calc'!S1404))</f>
        <v/>
      </c>
      <c r="U1404" s="13" t="str">
        <f t="shared" si="106"/>
        <v/>
      </c>
      <c r="V1404" s="13" t="str">
        <f t="shared" si="107"/>
        <v/>
      </c>
      <c r="W1404" s="4" t="str">
        <f t="shared" si="108"/>
        <v/>
      </c>
      <c r="X1404" t="str">
        <f>IF(W1404="","",LOOKUP(_xlfn.CONCAT(P1404,", ",Q1404),'[1]T+S Costs'!$F$2:$F$3138,'[1]T+S Costs'!$N$2:$N$3138))</f>
        <v/>
      </c>
      <c r="Y1404" s="14" t="str">
        <f t="shared" si="109"/>
        <v/>
      </c>
      <c r="Z1404" s="4" t="str">
        <f t="shared" si="110"/>
        <v/>
      </c>
    </row>
    <row r="1405" spans="16:26" x14ac:dyDescent="0.25">
      <c r="P1405" s="10" t="str">
        <f>IF('[1]All Data '!AZ1410="","",'[1]All Data '!AZ1410)</f>
        <v/>
      </c>
      <c r="Q1405" s="10" t="str">
        <f>IF('[1]All Data '!BB1410="","",'[1]All Data '!BB1410)</f>
        <v/>
      </c>
      <c r="R1405" s="10" t="str">
        <f>IF('[1]All Data '!BD1410="","",'[1]All Data '!BD1410)</f>
        <v/>
      </c>
      <c r="S1405" s="11" t="str">
        <f>IF(R1405="","",'[1]All Data '!BE1410)</f>
        <v/>
      </c>
      <c r="T1405" s="12" t="str">
        <f>IF(S1405="","",[1]Inputs_Outputs!$B$8*(1-'LOCH Calc COE Calc'!S1405))</f>
        <v/>
      </c>
      <c r="U1405" s="13" t="str">
        <f t="shared" si="106"/>
        <v/>
      </c>
      <c r="V1405" s="13" t="str">
        <f t="shared" si="107"/>
        <v/>
      </c>
      <c r="W1405" s="4" t="str">
        <f t="shared" si="108"/>
        <v/>
      </c>
      <c r="X1405" t="str">
        <f>IF(W1405="","",LOOKUP(_xlfn.CONCAT(P1405,", ",Q1405),'[1]T+S Costs'!$F$2:$F$3138,'[1]T+S Costs'!$N$2:$N$3138))</f>
        <v/>
      </c>
      <c r="Y1405" s="14" t="str">
        <f t="shared" si="109"/>
        <v/>
      </c>
      <c r="Z1405" s="4" t="str">
        <f t="shared" si="110"/>
        <v/>
      </c>
    </row>
    <row r="1406" spans="16:26" x14ac:dyDescent="0.25">
      <c r="P1406" s="10" t="str">
        <f>IF('[1]All Data '!AZ1411="","",'[1]All Data '!AZ1411)</f>
        <v/>
      </c>
      <c r="Q1406" s="10" t="str">
        <f>IF('[1]All Data '!BB1411="","",'[1]All Data '!BB1411)</f>
        <v/>
      </c>
      <c r="R1406" s="10" t="str">
        <f>IF('[1]All Data '!BD1411="","",'[1]All Data '!BD1411)</f>
        <v/>
      </c>
      <c r="S1406" s="11" t="str">
        <f>IF(R1406="","",'[1]All Data '!BE1411)</f>
        <v/>
      </c>
      <c r="T1406" s="12" t="str">
        <f>IF(S1406="","",[1]Inputs_Outputs!$B$8*(1-'LOCH Calc COE Calc'!S1406))</f>
        <v/>
      </c>
      <c r="U1406" s="13" t="str">
        <f t="shared" si="106"/>
        <v/>
      </c>
      <c r="V1406" s="13" t="str">
        <f t="shared" si="107"/>
        <v/>
      </c>
      <c r="W1406" s="4" t="str">
        <f t="shared" si="108"/>
        <v/>
      </c>
      <c r="X1406" t="str">
        <f>IF(W1406="","",LOOKUP(_xlfn.CONCAT(P1406,", ",Q1406),'[1]T+S Costs'!$F$2:$F$3138,'[1]T+S Costs'!$N$2:$N$3138))</f>
        <v/>
      </c>
      <c r="Y1406" s="14" t="str">
        <f t="shared" si="109"/>
        <v/>
      </c>
      <c r="Z1406" s="4" t="str">
        <f t="shared" si="110"/>
        <v/>
      </c>
    </row>
    <row r="1407" spans="16:26" x14ac:dyDescent="0.25">
      <c r="P1407" s="10" t="str">
        <f>IF('[1]All Data '!AZ1412="","",'[1]All Data '!AZ1412)</f>
        <v/>
      </c>
      <c r="Q1407" s="10" t="str">
        <f>IF('[1]All Data '!BB1412="","",'[1]All Data '!BB1412)</f>
        <v/>
      </c>
      <c r="R1407" s="10" t="str">
        <f>IF('[1]All Data '!BD1412="","",'[1]All Data '!BD1412)</f>
        <v/>
      </c>
      <c r="S1407" s="11" t="str">
        <f>IF(R1407="","",'[1]All Data '!BE1412)</f>
        <v/>
      </c>
      <c r="T1407" s="12" t="str">
        <f>IF(S1407="","",[1]Inputs_Outputs!$B$8*(1-'LOCH Calc COE Calc'!S1407))</f>
        <v/>
      </c>
      <c r="U1407" s="13" t="str">
        <f t="shared" si="106"/>
        <v/>
      </c>
      <c r="V1407" s="13" t="str">
        <f t="shared" si="107"/>
        <v/>
      </c>
      <c r="W1407" s="4" t="str">
        <f t="shared" si="108"/>
        <v/>
      </c>
      <c r="X1407" t="str">
        <f>IF(W1407="","",LOOKUP(_xlfn.CONCAT(P1407,", ",Q1407),'[1]T+S Costs'!$F$2:$F$3138,'[1]T+S Costs'!$N$2:$N$3138))</f>
        <v/>
      </c>
      <c r="Y1407" s="14" t="str">
        <f t="shared" si="109"/>
        <v/>
      </c>
      <c r="Z1407" s="4" t="str">
        <f t="shared" si="110"/>
        <v/>
      </c>
    </row>
    <row r="1408" spans="16:26" x14ac:dyDescent="0.25">
      <c r="P1408" s="10" t="str">
        <f>IF('[1]All Data '!AZ1413="","",'[1]All Data '!AZ1413)</f>
        <v/>
      </c>
      <c r="Q1408" s="10" t="str">
        <f>IF('[1]All Data '!BB1413="","",'[1]All Data '!BB1413)</f>
        <v/>
      </c>
      <c r="R1408" s="10" t="str">
        <f>IF('[1]All Data '!BD1413="","",'[1]All Data '!BD1413)</f>
        <v/>
      </c>
      <c r="S1408" s="11" t="str">
        <f>IF(R1408="","",'[1]All Data '!BE1413)</f>
        <v/>
      </c>
      <c r="T1408" s="12" t="str">
        <f>IF(S1408="","",[1]Inputs_Outputs!$B$8*(1-'LOCH Calc COE Calc'!S1408))</f>
        <v/>
      </c>
      <c r="U1408" s="13" t="str">
        <f t="shared" si="106"/>
        <v/>
      </c>
      <c r="V1408" s="13" t="str">
        <f t="shared" si="107"/>
        <v/>
      </c>
      <c r="W1408" s="4" t="str">
        <f t="shared" si="108"/>
        <v/>
      </c>
      <c r="X1408" t="str">
        <f>IF(W1408="","",LOOKUP(_xlfn.CONCAT(P1408,", ",Q1408),'[1]T+S Costs'!$F$2:$F$3138,'[1]T+S Costs'!$N$2:$N$3138))</f>
        <v/>
      </c>
      <c r="Y1408" s="14" t="str">
        <f t="shared" si="109"/>
        <v/>
      </c>
      <c r="Z1408" s="4" t="str">
        <f t="shared" si="110"/>
        <v/>
      </c>
    </row>
    <row r="1409" spans="16:26" x14ac:dyDescent="0.25">
      <c r="P1409" s="10" t="str">
        <f>IF('[1]All Data '!AZ1414="","",'[1]All Data '!AZ1414)</f>
        <v/>
      </c>
      <c r="Q1409" s="10" t="str">
        <f>IF('[1]All Data '!BB1414="","",'[1]All Data '!BB1414)</f>
        <v/>
      </c>
      <c r="R1409" s="10" t="str">
        <f>IF('[1]All Data '!BD1414="","",'[1]All Data '!BD1414)</f>
        <v/>
      </c>
      <c r="S1409" s="11" t="str">
        <f>IF(R1409="","",'[1]All Data '!BE1414)</f>
        <v/>
      </c>
      <c r="T1409" s="12" t="str">
        <f>IF(S1409="","",[1]Inputs_Outputs!$B$8*(1-'LOCH Calc COE Calc'!S1409))</f>
        <v/>
      </c>
      <c r="U1409" s="13" t="str">
        <f t="shared" si="106"/>
        <v/>
      </c>
      <c r="V1409" s="13" t="str">
        <f t="shared" si="107"/>
        <v/>
      </c>
      <c r="W1409" s="4" t="str">
        <f t="shared" si="108"/>
        <v/>
      </c>
      <c r="X1409" t="str">
        <f>IF(W1409="","",LOOKUP(_xlfn.CONCAT(P1409,", ",Q1409),'[1]T+S Costs'!$F$2:$F$3138,'[1]T+S Costs'!$N$2:$N$3138))</f>
        <v/>
      </c>
      <c r="Y1409" s="14" t="str">
        <f t="shared" si="109"/>
        <v/>
      </c>
      <c r="Z1409" s="4" t="str">
        <f t="shared" si="110"/>
        <v/>
      </c>
    </row>
    <row r="1410" spans="16:26" x14ac:dyDescent="0.25">
      <c r="P1410" s="10" t="str">
        <f>IF('[1]All Data '!AZ1415="","",'[1]All Data '!AZ1415)</f>
        <v/>
      </c>
      <c r="Q1410" s="10" t="str">
        <f>IF('[1]All Data '!BB1415="","",'[1]All Data '!BB1415)</f>
        <v/>
      </c>
      <c r="R1410" s="10" t="str">
        <f>IF('[1]All Data '!BD1415="","",'[1]All Data '!BD1415)</f>
        <v/>
      </c>
      <c r="S1410" s="11" t="str">
        <f>IF(R1410="","",'[1]All Data '!BE1415)</f>
        <v/>
      </c>
      <c r="T1410" s="12" t="str">
        <f>IF(S1410="","",[1]Inputs_Outputs!$B$8*(1-'LOCH Calc COE Calc'!S1410))</f>
        <v/>
      </c>
      <c r="U1410" s="13" t="str">
        <f t="shared" si="106"/>
        <v/>
      </c>
      <c r="V1410" s="13" t="str">
        <f t="shared" si="107"/>
        <v/>
      </c>
      <c r="W1410" s="4" t="str">
        <f t="shared" si="108"/>
        <v/>
      </c>
      <c r="X1410" t="str">
        <f>IF(W1410="","",LOOKUP(_xlfn.CONCAT(P1410,", ",Q1410),'[1]T+S Costs'!$F$2:$F$3138,'[1]T+S Costs'!$N$2:$N$3138))</f>
        <v/>
      </c>
      <c r="Y1410" s="14" t="str">
        <f t="shared" si="109"/>
        <v/>
      </c>
      <c r="Z1410" s="4" t="str">
        <f t="shared" si="110"/>
        <v/>
      </c>
    </row>
    <row r="1411" spans="16:26" x14ac:dyDescent="0.25">
      <c r="P1411" s="10" t="str">
        <f>IF('[1]All Data '!AZ1416="","",'[1]All Data '!AZ1416)</f>
        <v/>
      </c>
      <c r="Q1411" s="10" t="str">
        <f>IF('[1]All Data '!BB1416="","",'[1]All Data '!BB1416)</f>
        <v/>
      </c>
      <c r="R1411" s="10" t="str">
        <f>IF('[1]All Data '!BD1416="","",'[1]All Data '!BD1416)</f>
        <v/>
      </c>
      <c r="S1411" s="11" t="str">
        <f>IF(R1411="","",'[1]All Data '!BE1416)</f>
        <v/>
      </c>
      <c r="T1411" s="12" t="str">
        <f>IF(S1411="","",[1]Inputs_Outputs!$B$8*(1-'LOCH Calc COE Calc'!S1411))</f>
        <v/>
      </c>
      <c r="U1411" s="13" t="str">
        <f t="shared" ref="U1411:U1474" si="111">IF(S1411="","",R1411*T1411*365*$B$19/100)</f>
        <v/>
      </c>
      <c r="V1411" s="13" t="str">
        <f t="shared" ref="V1411:V1474" si="112">IF(S1411="","",(U1411*$B$19)/(($B$28)*$B$19))</f>
        <v/>
      </c>
      <c r="W1411" s="4" t="str">
        <f t="shared" ref="W1411:W1474" si="113">IF(S1411="","",V1411+$C$49+$C$50+$C$51)</f>
        <v/>
      </c>
      <c r="X1411" t="str">
        <f>IF(W1411="","",LOOKUP(_xlfn.CONCAT(P1411,", ",Q1411),'[1]T+S Costs'!$F$2:$F$3138,'[1]T+S Costs'!$N$2:$N$3138))</f>
        <v/>
      </c>
      <c r="Y1411" s="14" t="str">
        <f t="shared" ref="Y1411:Y1474" si="114">IF(X1411="","",((X1411*$B$60/$B$59)*$C$44)/$C$28)</f>
        <v/>
      </c>
      <c r="Z1411" s="4" t="str">
        <f t="shared" ref="Z1411:Z1474" si="115">IF(Y1411="","",W1411+Y1411)</f>
        <v/>
      </c>
    </row>
    <row r="1412" spans="16:26" x14ac:dyDescent="0.25">
      <c r="P1412" s="10" t="str">
        <f>IF('[1]All Data '!AZ1417="","",'[1]All Data '!AZ1417)</f>
        <v/>
      </c>
      <c r="Q1412" s="10" t="str">
        <f>IF('[1]All Data '!BB1417="","",'[1]All Data '!BB1417)</f>
        <v/>
      </c>
      <c r="R1412" s="10" t="str">
        <f>IF('[1]All Data '!BD1417="","",'[1]All Data '!BD1417)</f>
        <v/>
      </c>
      <c r="S1412" s="11" t="str">
        <f>IF(R1412="","",'[1]All Data '!BE1417)</f>
        <v/>
      </c>
      <c r="T1412" s="12" t="str">
        <f>IF(S1412="","",[1]Inputs_Outputs!$B$8*(1-'LOCH Calc COE Calc'!S1412))</f>
        <v/>
      </c>
      <c r="U1412" s="13" t="str">
        <f t="shared" si="111"/>
        <v/>
      </c>
      <c r="V1412" s="13" t="str">
        <f t="shared" si="112"/>
        <v/>
      </c>
      <c r="W1412" s="4" t="str">
        <f t="shared" si="113"/>
        <v/>
      </c>
      <c r="X1412" t="str">
        <f>IF(W1412="","",LOOKUP(_xlfn.CONCAT(P1412,", ",Q1412),'[1]T+S Costs'!$F$2:$F$3138,'[1]T+S Costs'!$N$2:$N$3138))</f>
        <v/>
      </c>
      <c r="Y1412" s="14" t="str">
        <f t="shared" si="114"/>
        <v/>
      </c>
      <c r="Z1412" s="4" t="str">
        <f t="shared" si="115"/>
        <v/>
      </c>
    </row>
    <row r="1413" spans="16:26" x14ac:dyDescent="0.25">
      <c r="P1413" s="10" t="str">
        <f>IF('[1]All Data '!AZ1418="","",'[1]All Data '!AZ1418)</f>
        <v/>
      </c>
      <c r="Q1413" s="10" t="str">
        <f>IF('[1]All Data '!BB1418="","",'[1]All Data '!BB1418)</f>
        <v/>
      </c>
      <c r="R1413" s="10" t="str">
        <f>IF('[1]All Data '!BD1418="","",'[1]All Data '!BD1418)</f>
        <v/>
      </c>
      <c r="S1413" s="11" t="str">
        <f>IF(R1413="","",'[1]All Data '!BE1418)</f>
        <v/>
      </c>
      <c r="T1413" s="12" t="str">
        <f>IF(S1413="","",[1]Inputs_Outputs!$B$8*(1-'LOCH Calc COE Calc'!S1413))</f>
        <v/>
      </c>
      <c r="U1413" s="13" t="str">
        <f t="shared" si="111"/>
        <v/>
      </c>
      <c r="V1413" s="13" t="str">
        <f t="shared" si="112"/>
        <v/>
      </c>
      <c r="W1413" s="4" t="str">
        <f t="shared" si="113"/>
        <v/>
      </c>
      <c r="X1413" t="str">
        <f>IF(W1413="","",LOOKUP(_xlfn.CONCAT(P1413,", ",Q1413),'[1]T+S Costs'!$F$2:$F$3138,'[1]T+S Costs'!$N$2:$N$3138))</f>
        <v/>
      </c>
      <c r="Y1413" s="14" t="str">
        <f t="shared" si="114"/>
        <v/>
      </c>
      <c r="Z1413" s="4" t="str">
        <f t="shared" si="115"/>
        <v/>
      </c>
    </row>
    <row r="1414" spans="16:26" x14ac:dyDescent="0.25">
      <c r="P1414" s="10" t="str">
        <f>IF('[1]All Data '!AZ1419="","",'[1]All Data '!AZ1419)</f>
        <v/>
      </c>
      <c r="Q1414" s="10" t="str">
        <f>IF('[1]All Data '!BB1419="","",'[1]All Data '!BB1419)</f>
        <v/>
      </c>
      <c r="R1414" s="10" t="str">
        <f>IF('[1]All Data '!BD1419="","",'[1]All Data '!BD1419)</f>
        <v/>
      </c>
      <c r="S1414" s="11" t="str">
        <f>IF(R1414="","",'[1]All Data '!BE1419)</f>
        <v/>
      </c>
      <c r="T1414" s="12" t="str">
        <f>IF(S1414="","",[1]Inputs_Outputs!$B$8*(1-'LOCH Calc COE Calc'!S1414))</f>
        <v/>
      </c>
      <c r="U1414" s="13" t="str">
        <f t="shared" si="111"/>
        <v/>
      </c>
      <c r="V1414" s="13" t="str">
        <f t="shared" si="112"/>
        <v/>
      </c>
      <c r="W1414" s="4" t="str">
        <f t="shared" si="113"/>
        <v/>
      </c>
      <c r="X1414" t="str">
        <f>IF(W1414="","",LOOKUP(_xlfn.CONCAT(P1414,", ",Q1414),'[1]T+S Costs'!$F$2:$F$3138,'[1]T+S Costs'!$N$2:$N$3138))</f>
        <v/>
      </c>
      <c r="Y1414" s="14" t="str">
        <f t="shared" si="114"/>
        <v/>
      </c>
      <c r="Z1414" s="4" t="str">
        <f t="shared" si="115"/>
        <v/>
      </c>
    </row>
    <row r="1415" spans="16:26" x14ac:dyDescent="0.25">
      <c r="P1415" s="10" t="str">
        <f>IF('[1]All Data '!AZ1420="","",'[1]All Data '!AZ1420)</f>
        <v/>
      </c>
      <c r="Q1415" s="10" t="str">
        <f>IF('[1]All Data '!BB1420="","",'[1]All Data '!BB1420)</f>
        <v/>
      </c>
      <c r="R1415" s="10" t="str">
        <f>IF('[1]All Data '!BD1420="","",'[1]All Data '!BD1420)</f>
        <v/>
      </c>
      <c r="S1415" s="11" t="str">
        <f>IF(R1415="","",'[1]All Data '!BE1420)</f>
        <v/>
      </c>
      <c r="T1415" s="12" t="str">
        <f>IF(S1415="","",[1]Inputs_Outputs!$B$8*(1-'LOCH Calc COE Calc'!S1415))</f>
        <v/>
      </c>
      <c r="U1415" s="13" t="str">
        <f t="shared" si="111"/>
        <v/>
      </c>
      <c r="V1415" s="13" t="str">
        <f t="shared" si="112"/>
        <v/>
      </c>
      <c r="W1415" s="4" t="str">
        <f t="shared" si="113"/>
        <v/>
      </c>
      <c r="X1415" t="str">
        <f>IF(W1415="","",LOOKUP(_xlfn.CONCAT(P1415,", ",Q1415),'[1]T+S Costs'!$F$2:$F$3138,'[1]T+S Costs'!$N$2:$N$3138))</f>
        <v/>
      </c>
      <c r="Y1415" s="14" t="str">
        <f t="shared" si="114"/>
        <v/>
      </c>
      <c r="Z1415" s="4" t="str">
        <f t="shared" si="115"/>
        <v/>
      </c>
    </row>
    <row r="1416" spans="16:26" x14ac:dyDescent="0.25">
      <c r="P1416" s="10" t="str">
        <f>IF('[1]All Data '!AZ1421="","",'[1]All Data '!AZ1421)</f>
        <v/>
      </c>
      <c r="Q1416" s="10" t="str">
        <f>IF('[1]All Data '!BB1421="","",'[1]All Data '!BB1421)</f>
        <v/>
      </c>
      <c r="R1416" s="10" t="str">
        <f>IF('[1]All Data '!BD1421="","",'[1]All Data '!BD1421)</f>
        <v/>
      </c>
      <c r="S1416" s="11" t="str">
        <f>IF(R1416="","",'[1]All Data '!BE1421)</f>
        <v/>
      </c>
      <c r="T1416" s="12" t="str">
        <f>IF(S1416="","",[1]Inputs_Outputs!$B$8*(1-'LOCH Calc COE Calc'!S1416))</f>
        <v/>
      </c>
      <c r="U1416" s="13" t="str">
        <f t="shared" si="111"/>
        <v/>
      </c>
      <c r="V1416" s="13" t="str">
        <f t="shared" si="112"/>
        <v/>
      </c>
      <c r="W1416" s="4" t="str">
        <f t="shared" si="113"/>
        <v/>
      </c>
      <c r="X1416" t="str">
        <f>IF(W1416="","",LOOKUP(_xlfn.CONCAT(P1416,", ",Q1416),'[1]T+S Costs'!$F$2:$F$3138,'[1]T+S Costs'!$N$2:$N$3138))</f>
        <v/>
      </c>
      <c r="Y1416" s="14" t="str">
        <f t="shared" si="114"/>
        <v/>
      </c>
      <c r="Z1416" s="4" t="str">
        <f t="shared" si="115"/>
        <v/>
      </c>
    </row>
    <row r="1417" spans="16:26" x14ac:dyDescent="0.25">
      <c r="P1417" s="10" t="str">
        <f>IF('[1]All Data '!AZ1422="","",'[1]All Data '!AZ1422)</f>
        <v/>
      </c>
      <c r="Q1417" s="10" t="str">
        <f>IF('[1]All Data '!BB1422="","",'[1]All Data '!BB1422)</f>
        <v/>
      </c>
      <c r="R1417" s="10" t="str">
        <f>IF('[1]All Data '!BD1422="","",'[1]All Data '!BD1422)</f>
        <v/>
      </c>
      <c r="S1417" s="11" t="str">
        <f>IF(R1417="","",'[1]All Data '!BE1422)</f>
        <v/>
      </c>
      <c r="T1417" s="12" t="str">
        <f>IF(S1417="","",[1]Inputs_Outputs!$B$8*(1-'LOCH Calc COE Calc'!S1417))</f>
        <v/>
      </c>
      <c r="U1417" s="13" t="str">
        <f t="shared" si="111"/>
        <v/>
      </c>
      <c r="V1417" s="13" t="str">
        <f t="shared" si="112"/>
        <v/>
      </c>
      <c r="W1417" s="4" t="str">
        <f t="shared" si="113"/>
        <v/>
      </c>
      <c r="X1417" t="str">
        <f>IF(W1417="","",LOOKUP(_xlfn.CONCAT(P1417,", ",Q1417),'[1]T+S Costs'!$F$2:$F$3138,'[1]T+S Costs'!$N$2:$N$3138))</f>
        <v/>
      </c>
      <c r="Y1417" s="14" t="str">
        <f t="shared" si="114"/>
        <v/>
      </c>
      <c r="Z1417" s="4" t="str">
        <f t="shared" si="115"/>
        <v/>
      </c>
    </row>
    <row r="1418" spans="16:26" x14ac:dyDescent="0.25">
      <c r="P1418" s="10" t="str">
        <f>IF('[1]All Data '!AZ1423="","",'[1]All Data '!AZ1423)</f>
        <v/>
      </c>
      <c r="Q1418" s="10" t="str">
        <f>IF('[1]All Data '!BB1423="","",'[1]All Data '!BB1423)</f>
        <v/>
      </c>
      <c r="R1418" s="10" t="str">
        <f>IF('[1]All Data '!BD1423="","",'[1]All Data '!BD1423)</f>
        <v/>
      </c>
      <c r="S1418" s="11" t="str">
        <f>IF(R1418="","",'[1]All Data '!BE1423)</f>
        <v/>
      </c>
      <c r="T1418" s="12" t="str">
        <f>IF(S1418="","",[1]Inputs_Outputs!$B$8*(1-'LOCH Calc COE Calc'!S1418))</f>
        <v/>
      </c>
      <c r="U1418" s="13" t="str">
        <f t="shared" si="111"/>
        <v/>
      </c>
      <c r="V1418" s="13" t="str">
        <f t="shared" si="112"/>
        <v/>
      </c>
      <c r="W1418" s="4" t="str">
        <f t="shared" si="113"/>
        <v/>
      </c>
      <c r="X1418" t="str">
        <f>IF(W1418="","",LOOKUP(_xlfn.CONCAT(P1418,", ",Q1418),'[1]T+S Costs'!$F$2:$F$3138,'[1]T+S Costs'!$N$2:$N$3138))</f>
        <v/>
      </c>
      <c r="Y1418" s="14" t="str">
        <f t="shared" si="114"/>
        <v/>
      </c>
      <c r="Z1418" s="4" t="str">
        <f t="shared" si="115"/>
        <v/>
      </c>
    </row>
    <row r="1419" spans="16:26" x14ac:dyDescent="0.25">
      <c r="P1419" s="10" t="str">
        <f>IF('[1]All Data '!AZ1424="","",'[1]All Data '!AZ1424)</f>
        <v/>
      </c>
      <c r="Q1419" s="10" t="str">
        <f>IF('[1]All Data '!BB1424="","",'[1]All Data '!BB1424)</f>
        <v/>
      </c>
      <c r="R1419" s="10" t="str">
        <f>IF('[1]All Data '!BD1424="","",'[1]All Data '!BD1424)</f>
        <v/>
      </c>
      <c r="S1419" s="11" t="str">
        <f>IF(R1419="","",'[1]All Data '!BE1424)</f>
        <v/>
      </c>
      <c r="T1419" s="12" t="str">
        <f>IF(S1419="","",[1]Inputs_Outputs!$B$8*(1-'LOCH Calc COE Calc'!S1419))</f>
        <v/>
      </c>
      <c r="U1419" s="13" t="str">
        <f t="shared" si="111"/>
        <v/>
      </c>
      <c r="V1419" s="13" t="str">
        <f t="shared" si="112"/>
        <v/>
      </c>
      <c r="W1419" s="4" t="str">
        <f t="shared" si="113"/>
        <v/>
      </c>
      <c r="X1419" t="str">
        <f>IF(W1419="","",LOOKUP(_xlfn.CONCAT(P1419,", ",Q1419),'[1]T+S Costs'!$F$2:$F$3138,'[1]T+S Costs'!$N$2:$N$3138))</f>
        <v/>
      </c>
      <c r="Y1419" s="14" t="str">
        <f t="shared" si="114"/>
        <v/>
      </c>
      <c r="Z1419" s="4" t="str">
        <f t="shared" si="115"/>
        <v/>
      </c>
    </row>
    <row r="1420" spans="16:26" x14ac:dyDescent="0.25">
      <c r="P1420" s="10" t="str">
        <f>IF('[1]All Data '!AZ1425="","",'[1]All Data '!AZ1425)</f>
        <v/>
      </c>
      <c r="Q1420" s="10" t="str">
        <f>IF('[1]All Data '!BB1425="","",'[1]All Data '!BB1425)</f>
        <v/>
      </c>
      <c r="R1420" s="10" t="str">
        <f>IF('[1]All Data '!BD1425="","",'[1]All Data '!BD1425)</f>
        <v/>
      </c>
      <c r="S1420" s="11" t="str">
        <f>IF(R1420="","",'[1]All Data '!BE1425)</f>
        <v/>
      </c>
      <c r="T1420" s="12" t="str">
        <f>IF(S1420="","",[1]Inputs_Outputs!$B$8*(1-'LOCH Calc COE Calc'!S1420))</f>
        <v/>
      </c>
      <c r="U1420" s="13" t="str">
        <f t="shared" si="111"/>
        <v/>
      </c>
      <c r="V1420" s="13" t="str">
        <f t="shared" si="112"/>
        <v/>
      </c>
      <c r="W1420" s="4" t="str">
        <f t="shared" si="113"/>
        <v/>
      </c>
      <c r="X1420" t="str">
        <f>IF(W1420="","",LOOKUP(_xlfn.CONCAT(P1420,", ",Q1420),'[1]T+S Costs'!$F$2:$F$3138,'[1]T+S Costs'!$N$2:$N$3138))</f>
        <v/>
      </c>
      <c r="Y1420" s="14" t="str">
        <f t="shared" si="114"/>
        <v/>
      </c>
      <c r="Z1420" s="4" t="str">
        <f t="shared" si="115"/>
        <v/>
      </c>
    </row>
    <row r="1421" spans="16:26" x14ac:dyDescent="0.25">
      <c r="P1421" s="10" t="str">
        <f>IF('[1]All Data '!AZ1426="","",'[1]All Data '!AZ1426)</f>
        <v/>
      </c>
      <c r="Q1421" s="10" t="str">
        <f>IF('[1]All Data '!BB1426="","",'[1]All Data '!BB1426)</f>
        <v/>
      </c>
      <c r="R1421" s="10" t="str">
        <f>IF('[1]All Data '!BD1426="","",'[1]All Data '!BD1426)</f>
        <v/>
      </c>
      <c r="S1421" s="11" t="str">
        <f>IF(R1421="","",'[1]All Data '!BE1426)</f>
        <v/>
      </c>
      <c r="T1421" s="12" t="str">
        <f>IF(S1421="","",[1]Inputs_Outputs!$B$8*(1-'LOCH Calc COE Calc'!S1421))</f>
        <v/>
      </c>
      <c r="U1421" s="13" t="str">
        <f t="shared" si="111"/>
        <v/>
      </c>
      <c r="V1421" s="13" t="str">
        <f t="shared" si="112"/>
        <v/>
      </c>
      <c r="W1421" s="4" t="str">
        <f t="shared" si="113"/>
        <v/>
      </c>
      <c r="X1421" t="str">
        <f>IF(W1421="","",LOOKUP(_xlfn.CONCAT(P1421,", ",Q1421),'[1]T+S Costs'!$F$2:$F$3138,'[1]T+S Costs'!$N$2:$N$3138))</f>
        <v/>
      </c>
      <c r="Y1421" s="14" t="str">
        <f t="shared" si="114"/>
        <v/>
      </c>
      <c r="Z1421" s="4" t="str">
        <f t="shared" si="115"/>
        <v/>
      </c>
    </row>
    <row r="1422" spans="16:26" x14ac:dyDescent="0.25">
      <c r="P1422" s="10" t="str">
        <f>IF('[1]All Data '!AZ1427="","",'[1]All Data '!AZ1427)</f>
        <v/>
      </c>
      <c r="Q1422" s="10" t="str">
        <f>IF('[1]All Data '!BB1427="","",'[1]All Data '!BB1427)</f>
        <v/>
      </c>
      <c r="R1422" s="10" t="str">
        <f>IF('[1]All Data '!BD1427="","",'[1]All Data '!BD1427)</f>
        <v/>
      </c>
      <c r="S1422" s="11" t="str">
        <f>IF(R1422="","",'[1]All Data '!BE1427)</f>
        <v/>
      </c>
      <c r="T1422" s="12" t="str">
        <f>IF(S1422="","",[1]Inputs_Outputs!$B$8*(1-'LOCH Calc COE Calc'!S1422))</f>
        <v/>
      </c>
      <c r="U1422" s="13" t="str">
        <f t="shared" si="111"/>
        <v/>
      </c>
      <c r="V1422" s="13" t="str">
        <f t="shared" si="112"/>
        <v/>
      </c>
      <c r="W1422" s="4" t="str">
        <f t="shared" si="113"/>
        <v/>
      </c>
      <c r="X1422" t="str">
        <f>IF(W1422="","",LOOKUP(_xlfn.CONCAT(P1422,", ",Q1422),'[1]T+S Costs'!$F$2:$F$3138,'[1]T+S Costs'!$N$2:$N$3138))</f>
        <v/>
      </c>
      <c r="Y1422" s="14" t="str">
        <f t="shared" si="114"/>
        <v/>
      </c>
      <c r="Z1422" s="4" t="str">
        <f t="shared" si="115"/>
        <v/>
      </c>
    </row>
    <row r="1423" spans="16:26" x14ac:dyDescent="0.25">
      <c r="P1423" s="10" t="str">
        <f>IF('[1]All Data '!AZ1428="","",'[1]All Data '!AZ1428)</f>
        <v/>
      </c>
      <c r="Q1423" s="10" t="str">
        <f>IF('[1]All Data '!BB1428="","",'[1]All Data '!BB1428)</f>
        <v/>
      </c>
      <c r="R1423" s="10" t="str">
        <f>IF('[1]All Data '!BD1428="","",'[1]All Data '!BD1428)</f>
        <v/>
      </c>
      <c r="S1423" s="11" t="str">
        <f>IF(R1423="","",'[1]All Data '!BE1428)</f>
        <v/>
      </c>
      <c r="T1423" s="12" t="str">
        <f>IF(S1423="","",[1]Inputs_Outputs!$B$8*(1-'LOCH Calc COE Calc'!S1423))</f>
        <v/>
      </c>
      <c r="U1423" s="13" t="str">
        <f t="shared" si="111"/>
        <v/>
      </c>
      <c r="V1423" s="13" t="str">
        <f t="shared" si="112"/>
        <v/>
      </c>
      <c r="W1423" s="4" t="str">
        <f t="shared" si="113"/>
        <v/>
      </c>
      <c r="X1423" t="str">
        <f>IF(W1423="","",LOOKUP(_xlfn.CONCAT(P1423,", ",Q1423),'[1]T+S Costs'!$F$2:$F$3138,'[1]T+S Costs'!$N$2:$N$3138))</f>
        <v/>
      </c>
      <c r="Y1423" s="14" t="str">
        <f t="shared" si="114"/>
        <v/>
      </c>
      <c r="Z1423" s="4" t="str">
        <f t="shared" si="115"/>
        <v/>
      </c>
    </row>
    <row r="1424" spans="16:26" x14ac:dyDescent="0.25">
      <c r="P1424" s="10" t="str">
        <f>IF('[1]All Data '!AZ1429="","",'[1]All Data '!AZ1429)</f>
        <v/>
      </c>
      <c r="Q1424" s="10" t="str">
        <f>IF('[1]All Data '!BB1429="","",'[1]All Data '!BB1429)</f>
        <v/>
      </c>
      <c r="R1424" s="10" t="str">
        <f>IF('[1]All Data '!BD1429="","",'[1]All Data '!BD1429)</f>
        <v/>
      </c>
      <c r="S1424" s="11" t="str">
        <f>IF(R1424="","",'[1]All Data '!BE1429)</f>
        <v/>
      </c>
      <c r="T1424" s="12" t="str">
        <f>IF(S1424="","",[1]Inputs_Outputs!$B$8*(1-'LOCH Calc COE Calc'!S1424))</f>
        <v/>
      </c>
      <c r="U1424" s="13" t="str">
        <f t="shared" si="111"/>
        <v/>
      </c>
      <c r="V1424" s="13" t="str">
        <f t="shared" si="112"/>
        <v/>
      </c>
      <c r="W1424" s="4" t="str">
        <f t="shared" si="113"/>
        <v/>
      </c>
      <c r="X1424" t="str">
        <f>IF(W1424="","",LOOKUP(_xlfn.CONCAT(P1424,", ",Q1424),'[1]T+S Costs'!$F$2:$F$3138,'[1]T+S Costs'!$N$2:$N$3138))</f>
        <v/>
      </c>
      <c r="Y1424" s="14" t="str">
        <f t="shared" si="114"/>
        <v/>
      </c>
      <c r="Z1424" s="4" t="str">
        <f t="shared" si="115"/>
        <v/>
      </c>
    </row>
    <row r="1425" spans="16:26" x14ac:dyDescent="0.25">
      <c r="P1425" s="10" t="str">
        <f>IF('[1]All Data '!AZ1430="","",'[1]All Data '!AZ1430)</f>
        <v/>
      </c>
      <c r="Q1425" s="10" t="str">
        <f>IF('[1]All Data '!BB1430="","",'[1]All Data '!BB1430)</f>
        <v/>
      </c>
      <c r="R1425" s="10" t="str">
        <f>IF('[1]All Data '!BD1430="","",'[1]All Data '!BD1430)</f>
        <v/>
      </c>
      <c r="S1425" s="11" t="str">
        <f>IF(R1425="","",'[1]All Data '!BE1430)</f>
        <v/>
      </c>
      <c r="T1425" s="12" t="str">
        <f>IF(S1425="","",[1]Inputs_Outputs!$B$8*(1-'LOCH Calc COE Calc'!S1425))</f>
        <v/>
      </c>
      <c r="U1425" s="13" t="str">
        <f t="shared" si="111"/>
        <v/>
      </c>
      <c r="V1425" s="13" t="str">
        <f t="shared" si="112"/>
        <v/>
      </c>
      <c r="W1425" s="4" t="str">
        <f t="shared" si="113"/>
        <v/>
      </c>
      <c r="X1425" t="str">
        <f>IF(W1425="","",LOOKUP(_xlfn.CONCAT(P1425,", ",Q1425),'[1]T+S Costs'!$F$2:$F$3138,'[1]T+S Costs'!$N$2:$N$3138))</f>
        <v/>
      </c>
      <c r="Y1425" s="14" t="str">
        <f t="shared" si="114"/>
        <v/>
      </c>
      <c r="Z1425" s="4" t="str">
        <f t="shared" si="115"/>
        <v/>
      </c>
    </row>
    <row r="1426" spans="16:26" x14ac:dyDescent="0.25">
      <c r="P1426" s="10" t="str">
        <f>IF('[1]All Data '!AZ1431="","",'[1]All Data '!AZ1431)</f>
        <v/>
      </c>
      <c r="Q1426" s="10" t="str">
        <f>IF('[1]All Data '!BB1431="","",'[1]All Data '!BB1431)</f>
        <v/>
      </c>
      <c r="R1426" s="10" t="str">
        <f>IF('[1]All Data '!BD1431="","",'[1]All Data '!BD1431)</f>
        <v/>
      </c>
      <c r="S1426" s="11" t="str">
        <f>IF(R1426="","",'[1]All Data '!BE1431)</f>
        <v/>
      </c>
      <c r="T1426" s="12" t="str">
        <f>IF(S1426="","",[1]Inputs_Outputs!$B$8*(1-'LOCH Calc COE Calc'!S1426))</f>
        <v/>
      </c>
      <c r="U1426" s="13" t="str">
        <f t="shared" si="111"/>
        <v/>
      </c>
      <c r="V1426" s="13" t="str">
        <f t="shared" si="112"/>
        <v/>
      </c>
      <c r="W1426" s="4" t="str">
        <f t="shared" si="113"/>
        <v/>
      </c>
      <c r="X1426" t="str">
        <f>IF(W1426="","",LOOKUP(_xlfn.CONCAT(P1426,", ",Q1426),'[1]T+S Costs'!$F$2:$F$3138,'[1]T+S Costs'!$N$2:$N$3138))</f>
        <v/>
      </c>
      <c r="Y1426" s="14" t="str">
        <f t="shared" si="114"/>
        <v/>
      </c>
      <c r="Z1426" s="4" t="str">
        <f t="shared" si="115"/>
        <v/>
      </c>
    </row>
    <row r="1427" spans="16:26" x14ac:dyDescent="0.25">
      <c r="P1427" s="10" t="str">
        <f>IF('[1]All Data '!AZ1432="","",'[1]All Data '!AZ1432)</f>
        <v/>
      </c>
      <c r="Q1427" s="10" t="str">
        <f>IF('[1]All Data '!BB1432="","",'[1]All Data '!BB1432)</f>
        <v/>
      </c>
      <c r="R1427" s="10" t="str">
        <f>IF('[1]All Data '!BD1432="","",'[1]All Data '!BD1432)</f>
        <v/>
      </c>
      <c r="S1427" s="11" t="str">
        <f>IF(R1427="","",'[1]All Data '!BE1432)</f>
        <v/>
      </c>
      <c r="T1427" s="12" t="str">
        <f>IF(S1427="","",[1]Inputs_Outputs!$B$8*(1-'LOCH Calc COE Calc'!S1427))</f>
        <v/>
      </c>
      <c r="U1427" s="13" t="str">
        <f t="shared" si="111"/>
        <v/>
      </c>
      <c r="V1427" s="13" t="str">
        <f t="shared" si="112"/>
        <v/>
      </c>
      <c r="W1427" s="4" t="str">
        <f t="shared" si="113"/>
        <v/>
      </c>
      <c r="X1427" t="str">
        <f>IF(W1427="","",LOOKUP(_xlfn.CONCAT(P1427,", ",Q1427),'[1]T+S Costs'!$F$2:$F$3138,'[1]T+S Costs'!$N$2:$N$3138))</f>
        <v/>
      </c>
      <c r="Y1427" s="14" t="str">
        <f t="shared" si="114"/>
        <v/>
      </c>
      <c r="Z1427" s="4" t="str">
        <f t="shared" si="115"/>
        <v/>
      </c>
    </row>
    <row r="1428" spans="16:26" x14ac:dyDescent="0.25">
      <c r="P1428" s="10" t="str">
        <f>IF('[1]All Data '!AZ1433="","",'[1]All Data '!AZ1433)</f>
        <v/>
      </c>
      <c r="Q1428" s="10" t="str">
        <f>IF('[1]All Data '!BB1433="","",'[1]All Data '!BB1433)</f>
        <v/>
      </c>
      <c r="R1428" s="10" t="str">
        <f>IF('[1]All Data '!BD1433="","",'[1]All Data '!BD1433)</f>
        <v/>
      </c>
      <c r="S1428" s="11" t="str">
        <f>IF(R1428="","",'[1]All Data '!BE1433)</f>
        <v/>
      </c>
      <c r="T1428" s="12" t="str">
        <f>IF(S1428="","",[1]Inputs_Outputs!$B$8*(1-'LOCH Calc COE Calc'!S1428))</f>
        <v/>
      </c>
      <c r="U1428" s="13" t="str">
        <f t="shared" si="111"/>
        <v/>
      </c>
      <c r="V1428" s="13" t="str">
        <f t="shared" si="112"/>
        <v/>
      </c>
      <c r="W1428" s="4" t="str">
        <f t="shared" si="113"/>
        <v/>
      </c>
      <c r="X1428" t="str">
        <f>IF(W1428="","",LOOKUP(_xlfn.CONCAT(P1428,", ",Q1428),'[1]T+S Costs'!$F$2:$F$3138,'[1]T+S Costs'!$N$2:$N$3138))</f>
        <v/>
      </c>
      <c r="Y1428" s="14" t="str">
        <f t="shared" si="114"/>
        <v/>
      </c>
      <c r="Z1428" s="4" t="str">
        <f t="shared" si="115"/>
        <v/>
      </c>
    </row>
    <row r="1429" spans="16:26" x14ac:dyDescent="0.25">
      <c r="P1429" s="10" t="str">
        <f>IF('[1]All Data '!AZ1434="","",'[1]All Data '!AZ1434)</f>
        <v/>
      </c>
      <c r="Q1429" s="10" t="str">
        <f>IF('[1]All Data '!BB1434="","",'[1]All Data '!BB1434)</f>
        <v/>
      </c>
      <c r="R1429" s="10" t="str">
        <f>IF('[1]All Data '!BD1434="","",'[1]All Data '!BD1434)</f>
        <v/>
      </c>
      <c r="S1429" s="11" t="str">
        <f>IF(R1429="","",'[1]All Data '!BE1434)</f>
        <v/>
      </c>
      <c r="T1429" s="12" t="str">
        <f>IF(S1429="","",[1]Inputs_Outputs!$B$8*(1-'LOCH Calc COE Calc'!S1429))</f>
        <v/>
      </c>
      <c r="U1429" s="13" t="str">
        <f t="shared" si="111"/>
        <v/>
      </c>
      <c r="V1429" s="13" t="str">
        <f t="shared" si="112"/>
        <v/>
      </c>
      <c r="W1429" s="4" t="str">
        <f t="shared" si="113"/>
        <v/>
      </c>
      <c r="X1429" t="str">
        <f>IF(W1429="","",LOOKUP(_xlfn.CONCAT(P1429,", ",Q1429),'[1]T+S Costs'!$F$2:$F$3138,'[1]T+S Costs'!$N$2:$N$3138))</f>
        <v/>
      </c>
      <c r="Y1429" s="14" t="str">
        <f t="shared" si="114"/>
        <v/>
      </c>
      <c r="Z1429" s="4" t="str">
        <f t="shared" si="115"/>
        <v/>
      </c>
    </row>
    <row r="1430" spans="16:26" x14ac:dyDescent="0.25">
      <c r="P1430" s="10" t="str">
        <f>IF('[1]All Data '!AZ1435="","",'[1]All Data '!AZ1435)</f>
        <v/>
      </c>
      <c r="Q1430" s="10" t="str">
        <f>IF('[1]All Data '!BB1435="","",'[1]All Data '!BB1435)</f>
        <v/>
      </c>
      <c r="R1430" s="10" t="str">
        <f>IF('[1]All Data '!BD1435="","",'[1]All Data '!BD1435)</f>
        <v/>
      </c>
      <c r="S1430" s="11" t="str">
        <f>IF(R1430="","",'[1]All Data '!BE1435)</f>
        <v/>
      </c>
      <c r="T1430" s="12" t="str">
        <f>IF(S1430="","",[1]Inputs_Outputs!$B$8*(1-'LOCH Calc COE Calc'!S1430))</f>
        <v/>
      </c>
      <c r="U1430" s="13" t="str">
        <f t="shared" si="111"/>
        <v/>
      </c>
      <c r="V1430" s="13" t="str">
        <f t="shared" si="112"/>
        <v/>
      </c>
      <c r="W1430" s="4" t="str">
        <f t="shared" si="113"/>
        <v/>
      </c>
      <c r="X1430" t="str">
        <f>IF(W1430="","",LOOKUP(_xlfn.CONCAT(P1430,", ",Q1430),'[1]T+S Costs'!$F$2:$F$3138,'[1]T+S Costs'!$N$2:$N$3138))</f>
        <v/>
      </c>
      <c r="Y1430" s="14" t="str">
        <f t="shared" si="114"/>
        <v/>
      </c>
      <c r="Z1430" s="4" t="str">
        <f t="shared" si="115"/>
        <v/>
      </c>
    </row>
    <row r="1431" spans="16:26" x14ac:dyDescent="0.25">
      <c r="P1431" s="10" t="str">
        <f>IF('[1]All Data '!AZ1436="","",'[1]All Data '!AZ1436)</f>
        <v/>
      </c>
      <c r="Q1431" s="10" t="str">
        <f>IF('[1]All Data '!BB1436="","",'[1]All Data '!BB1436)</f>
        <v/>
      </c>
      <c r="R1431" s="10" t="str">
        <f>IF('[1]All Data '!BD1436="","",'[1]All Data '!BD1436)</f>
        <v/>
      </c>
      <c r="S1431" s="11" t="str">
        <f>IF(R1431="","",'[1]All Data '!BE1436)</f>
        <v/>
      </c>
      <c r="T1431" s="12" t="str">
        <f>IF(S1431="","",[1]Inputs_Outputs!$B$8*(1-'LOCH Calc COE Calc'!S1431))</f>
        <v/>
      </c>
      <c r="U1431" s="13" t="str">
        <f t="shared" si="111"/>
        <v/>
      </c>
      <c r="V1431" s="13" t="str">
        <f t="shared" si="112"/>
        <v/>
      </c>
      <c r="W1431" s="4" t="str">
        <f t="shared" si="113"/>
        <v/>
      </c>
      <c r="X1431" t="str">
        <f>IF(W1431="","",LOOKUP(_xlfn.CONCAT(P1431,", ",Q1431),'[1]T+S Costs'!$F$2:$F$3138,'[1]T+S Costs'!$N$2:$N$3138))</f>
        <v/>
      </c>
      <c r="Y1431" s="14" t="str">
        <f t="shared" si="114"/>
        <v/>
      </c>
      <c r="Z1431" s="4" t="str">
        <f t="shared" si="115"/>
        <v/>
      </c>
    </row>
    <row r="1432" spans="16:26" x14ac:dyDescent="0.25">
      <c r="P1432" s="10" t="str">
        <f>IF('[1]All Data '!AZ1437="","",'[1]All Data '!AZ1437)</f>
        <v/>
      </c>
      <c r="Q1432" s="10" t="str">
        <f>IF('[1]All Data '!BB1437="","",'[1]All Data '!BB1437)</f>
        <v/>
      </c>
      <c r="R1432" s="10" t="str">
        <f>IF('[1]All Data '!BD1437="","",'[1]All Data '!BD1437)</f>
        <v/>
      </c>
      <c r="S1432" s="11" t="str">
        <f>IF(R1432="","",'[1]All Data '!BE1437)</f>
        <v/>
      </c>
      <c r="T1432" s="12" t="str">
        <f>IF(S1432="","",[1]Inputs_Outputs!$B$8*(1-'LOCH Calc COE Calc'!S1432))</f>
        <v/>
      </c>
      <c r="U1432" s="13" t="str">
        <f t="shared" si="111"/>
        <v/>
      </c>
      <c r="V1432" s="13" t="str">
        <f t="shared" si="112"/>
        <v/>
      </c>
      <c r="W1432" s="4" t="str">
        <f t="shared" si="113"/>
        <v/>
      </c>
      <c r="X1432" t="str">
        <f>IF(W1432="","",LOOKUP(_xlfn.CONCAT(P1432,", ",Q1432),'[1]T+S Costs'!$F$2:$F$3138,'[1]T+S Costs'!$N$2:$N$3138))</f>
        <v/>
      </c>
      <c r="Y1432" s="14" t="str">
        <f t="shared" si="114"/>
        <v/>
      </c>
      <c r="Z1432" s="4" t="str">
        <f t="shared" si="115"/>
        <v/>
      </c>
    </row>
    <row r="1433" spans="16:26" x14ac:dyDescent="0.25">
      <c r="P1433" s="10" t="str">
        <f>IF('[1]All Data '!AZ1438="","",'[1]All Data '!AZ1438)</f>
        <v/>
      </c>
      <c r="Q1433" s="10" t="str">
        <f>IF('[1]All Data '!BB1438="","",'[1]All Data '!BB1438)</f>
        <v/>
      </c>
      <c r="R1433" s="10" t="str">
        <f>IF('[1]All Data '!BD1438="","",'[1]All Data '!BD1438)</f>
        <v/>
      </c>
      <c r="S1433" s="11" t="str">
        <f>IF(R1433="","",'[1]All Data '!BE1438)</f>
        <v/>
      </c>
      <c r="T1433" s="12" t="str">
        <f>IF(S1433="","",[1]Inputs_Outputs!$B$8*(1-'LOCH Calc COE Calc'!S1433))</f>
        <v/>
      </c>
      <c r="U1433" s="13" t="str">
        <f t="shared" si="111"/>
        <v/>
      </c>
      <c r="V1433" s="13" t="str">
        <f t="shared" si="112"/>
        <v/>
      </c>
      <c r="W1433" s="4" t="str">
        <f t="shared" si="113"/>
        <v/>
      </c>
      <c r="X1433" t="str">
        <f>IF(W1433="","",LOOKUP(_xlfn.CONCAT(P1433,", ",Q1433),'[1]T+S Costs'!$F$2:$F$3138,'[1]T+S Costs'!$N$2:$N$3138))</f>
        <v/>
      </c>
      <c r="Y1433" s="14" t="str">
        <f t="shared" si="114"/>
        <v/>
      </c>
      <c r="Z1433" s="4" t="str">
        <f t="shared" si="115"/>
        <v/>
      </c>
    </row>
    <row r="1434" spans="16:26" x14ac:dyDescent="0.25">
      <c r="P1434" s="10" t="str">
        <f>IF('[1]All Data '!AZ1439="","",'[1]All Data '!AZ1439)</f>
        <v/>
      </c>
      <c r="Q1434" s="10" t="str">
        <f>IF('[1]All Data '!BB1439="","",'[1]All Data '!BB1439)</f>
        <v/>
      </c>
      <c r="R1434" s="10" t="str">
        <f>IF('[1]All Data '!BD1439="","",'[1]All Data '!BD1439)</f>
        <v/>
      </c>
      <c r="S1434" s="11" t="str">
        <f>IF(R1434="","",'[1]All Data '!BE1439)</f>
        <v/>
      </c>
      <c r="T1434" s="12" t="str">
        <f>IF(S1434="","",[1]Inputs_Outputs!$B$8*(1-'LOCH Calc COE Calc'!S1434))</f>
        <v/>
      </c>
      <c r="U1434" s="13" t="str">
        <f t="shared" si="111"/>
        <v/>
      </c>
      <c r="V1434" s="13" t="str">
        <f t="shared" si="112"/>
        <v/>
      </c>
      <c r="W1434" s="4" t="str">
        <f t="shared" si="113"/>
        <v/>
      </c>
      <c r="X1434" t="str">
        <f>IF(W1434="","",LOOKUP(_xlfn.CONCAT(P1434,", ",Q1434),'[1]T+S Costs'!$F$2:$F$3138,'[1]T+S Costs'!$N$2:$N$3138))</f>
        <v/>
      </c>
      <c r="Y1434" s="14" t="str">
        <f t="shared" si="114"/>
        <v/>
      </c>
      <c r="Z1434" s="4" t="str">
        <f t="shared" si="115"/>
        <v/>
      </c>
    </row>
    <row r="1435" spans="16:26" x14ac:dyDescent="0.25">
      <c r="P1435" s="10" t="str">
        <f>IF('[1]All Data '!AZ1440="","",'[1]All Data '!AZ1440)</f>
        <v/>
      </c>
      <c r="Q1435" s="10" t="str">
        <f>IF('[1]All Data '!BB1440="","",'[1]All Data '!BB1440)</f>
        <v/>
      </c>
      <c r="R1435" s="10" t="str">
        <f>IF('[1]All Data '!BD1440="","",'[1]All Data '!BD1440)</f>
        <v/>
      </c>
      <c r="S1435" s="11" t="str">
        <f>IF(R1435="","",'[1]All Data '!BE1440)</f>
        <v/>
      </c>
      <c r="T1435" s="12" t="str">
        <f>IF(S1435="","",[1]Inputs_Outputs!$B$8*(1-'LOCH Calc COE Calc'!S1435))</f>
        <v/>
      </c>
      <c r="U1435" s="13" t="str">
        <f t="shared" si="111"/>
        <v/>
      </c>
      <c r="V1435" s="13" t="str">
        <f t="shared" si="112"/>
        <v/>
      </c>
      <c r="W1435" s="4" t="str">
        <f t="shared" si="113"/>
        <v/>
      </c>
      <c r="X1435" t="str">
        <f>IF(W1435="","",LOOKUP(_xlfn.CONCAT(P1435,", ",Q1435),'[1]T+S Costs'!$F$2:$F$3138,'[1]T+S Costs'!$N$2:$N$3138))</f>
        <v/>
      </c>
      <c r="Y1435" s="14" t="str">
        <f t="shared" si="114"/>
        <v/>
      </c>
      <c r="Z1435" s="4" t="str">
        <f t="shared" si="115"/>
        <v/>
      </c>
    </row>
    <row r="1436" spans="16:26" x14ac:dyDescent="0.25">
      <c r="P1436" s="10" t="str">
        <f>IF('[1]All Data '!AZ1441="","",'[1]All Data '!AZ1441)</f>
        <v/>
      </c>
      <c r="Q1436" s="10" t="str">
        <f>IF('[1]All Data '!BB1441="","",'[1]All Data '!BB1441)</f>
        <v/>
      </c>
      <c r="R1436" s="10" t="str">
        <f>IF('[1]All Data '!BD1441="","",'[1]All Data '!BD1441)</f>
        <v/>
      </c>
      <c r="S1436" s="11" t="str">
        <f>IF(R1436="","",'[1]All Data '!BE1441)</f>
        <v/>
      </c>
      <c r="T1436" s="12" t="str">
        <f>IF(S1436="","",[1]Inputs_Outputs!$B$8*(1-'LOCH Calc COE Calc'!S1436))</f>
        <v/>
      </c>
      <c r="U1436" s="13" t="str">
        <f t="shared" si="111"/>
        <v/>
      </c>
      <c r="V1436" s="13" t="str">
        <f t="shared" si="112"/>
        <v/>
      </c>
      <c r="W1436" s="4" t="str">
        <f t="shared" si="113"/>
        <v/>
      </c>
      <c r="X1436" t="str">
        <f>IF(W1436="","",LOOKUP(_xlfn.CONCAT(P1436,", ",Q1436),'[1]T+S Costs'!$F$2:$F$3138,'[1]T+S Costs'!$N$2:$N$3138))</f>
        <v/>
      </c>
      <c r="Y1436" s="14" t="str">
        <f t="shared" si="114"/>
        <v/>
      </c>
      <c r="Z1436" s="4" t="str">
        <f t="shared" si="115"/>
        <v/>
      </c>
    </row>
    <row r="1437" spans="16:26" x14ac:dyDescent="0.25">
      <c r="P1437" s="10" t="str">
        <f>IF('[1]All Data '!AZ1442="","",'[1]All Data '!AZ1442)</f>
        <v/>
      </c>
      <c r="Q1437" s="10" t="str">
        <f>IF('[1]All Data '!BB1442="","",'[1]All Data '!BB1442)</f>
        <v/>
      </c>
      <c r="R1437" s="10" t="str">
        <f>IF('[1]All Data '!BD1442="","",'[1]All Data '!BD1442)</f>
        <v/>
      </c>
      <c r="S1437" s="11" t="str">
        <f>IF(R1437="","",'[1]All Data '!BE1442)</f>
        <v/>
      </c>
      <c r="T1437" s="12" t="str">
        <f>IF(S1437="","",[1]Inputs_Outputs!$B$8*(1-'LOCH Calc COE Calc'!S1437))</f>
        <v/>
      </c>
      <c r="U1437" s="13" t="str">
        <f t="shared" si="111"/>
        <v/>
      </c>
      <c r="V1437" s="13" t="str">
        <f t="shared" si="112"/>
        <v/>
      </c>
      <c r="W1437" s="4" t="str">
        <f t="shared" si="113"/>
        <v/>
      </c>
      <c r="X1437" t="str">
        <f>IF(W1437="","",LOOKUP(_xlfn.CONCAT(P1437,", ",Q1437),'[1]T+S Costs'!$F$2:$F$3138,'[1]T+S Costs'!$N$2:$N$3138))</f>
        <v/>
      </c>
      <c r="Y1437" s="14" t="str">
        <f t="shared" si="114"/>
        <v/>
      </c>
      <c r="Z1437" s="4" t="str">
        <f t="shared" si="115"/>
        <v/>
      </c>
    </row>
    <row r="1438" spans="16:26" x14ac:dyDescent="0.25">
      <c r="P1438" s="10" t="str">
        <f>IF('[1]All Data '!AZ1443="","",'[1]All Data '!AZ1443)</f>
        <v/>
      </c>
      <c r="Q1438" s="10" t="str">
        <f>IF('[1]All Data '!BB1443="","",'[1]All Data '!BB1443)</f>
        <v/>
      </c>
      <c r="R1438" s="10" t="str">
        <f>IF('[1]All Data '!BD1443="","",'[1]All Data '!BD1443)</f>
        <v/>
      </c>
      <c r="S1438" s="11" t="str">
        <f>IF(R1438="","",'[1]All Data '!BE1443)</f>
        <v/>
      </c>
      <c r="T1438" s="12" t="str">
        <f>IF(S1438="","",[1]Inputs_Outputs!$B$8*(1-'LOCH Calc COE Calc'!S1438))</f>
        <v/>
      </c>
      <c r="U1438" s="13" t="str">
        <f t="shared" si="111"/>
        <v/>
      </c>
      <c r="V1438" s="13" t="str">
        <f t="shared" si="112"/>
        <v/>
      </c>
      <c r="W1438" s="4" t="str">
        <f t="shared" si="113"/>
        <v/>
      </c>
      <c r="X1438" t="str">
        <f>IF(W1438="","",LOOKUP(_xlfn.CONCAT(P1438,", ",Q1438),'[1]T+S Costs'!$F$2:$F$3138,'[1]T+S Costs'!$N$2:$N$3138))</f>
        <v/>
      </c>
      <c r="Y1438" s="14" t="str">
        <f t="shared" si="114"/>
        <v/>
      </c>
      <c r="Z1438" s="4" t="str">
        <f t="shared" si="115"/>
        <v/>
      </c>
    </row>
    <row r="1439" spans="16:26" x14ac:dyDescent="0.25">
      <c r="P1439" s="10" t="str">
        <f>IF('[1]All Data '!AZ1444="","",'[1]All Data '!AZ1444)</f>
        <v/>
      </c>
      <c r="Q1439" s="10" t="str">
        <f>IF('[1]All Data '!BB1444="","",'[1]All Data '!BB1444)</f>
        <v/>
      </c>
      <c r="R1439" s="10" t="str">
        <f>IF('[1]All Data '!BD1444="","",'[1]All Data '!BD1444)</f>
        <v/>
      </c>
      <c r="S1439" s="11" t="str">
        <f>IF(R1439="","",'[1]All Data '!BE1444)</f>
        <v/>
      </c>
      <c r="T1439" s="12" t="str">
        <f>IF(S1439="","",[1]Inputs_Outputs!$B$8*(1-'LOCH Calc COE Calc'!S1439))</f>
        <v/>
      </c>
      <c r="U1439" s="13" t="str">
        <f t="shared" si="111"/>
        <v/>
      </c>
      <c r="V1439" s="13" t="str">
        <f t="shared" si="112"/>
        <v/>
      </c>
      <c r="W1439" s="4" t="str">
        <f t="shared" si="113"/>
        <v/>
      </c>
      <c r="X1439" t="str">
        <f>IF(W1439="","",LOOKUP(_xlfn.CONCAT(P1439,", ",Q1439),'[1]T+S Costs'!$F$2:$F$3138,'[1]T+S Costs'!$N$2:$N$3138))</f>
        <v/>
      </c>
      <c r="Y1439" s="14" t="str">
        <f t="shared" si="114"/>
        <v/>
      </c>
      <c r="Z1439" s="4" t="str">
        <f t="shared" si="115"/>
        <v/>
      </c>
    </row>
    <row r="1440" spans="16:26" x14ac:dyDescent="0.25">
      <c r="P1440" s="10" t="str">
        <f>IF('[1]All Data '!AZ1445="","",'[1]All Data '!AZ1445)</f>
        <v/>
      </c>
      <c r="Q1440" s="10" t="str">
        <f>IF('[1]All Data '!BB1445="","",'[1]All Data '!BB1445)</f>
        <v/>
      </c>
      <c r="R1440" s="10" t="str">
        <f>IF('[1]All Data '!BD1445="","",'[1]All Data '!BD1445)</f>
        <v/>
      </c>
      <c r="S1440" s="11" t="str">
        <f>IF(R1440="","",'[1]All Data '!BE1445)</f>
        <v/>
      </c>
      <c r="T1440" s="12" t="str">
        <f>IF(S1440="","",[1]Inputs_Outputs!$B$8*(1-'LOCH Calc COE Calc'!S1440))</f>
        <v/>
      </c>
      <c r="U1440" s="13" t="str">
        <f t="shared" si="111"/>
        <v/>
      </c>
      <c r="V1440" s="13" t="str">
        <f t="shared" si="112"/>
        <v/>
      </c>
      <c r="W1440" s="4" t="str">
        <f t="shared" si="113"/>
        <v/>
      </c>
      <c r="X1440" t="str">
        <f>IF(W1440="","",LOOKUP(_xlfn.CONCAT(P1440,", ",Q1440),'[1]T+S Costs'!$F$2:$F$3138,'[1]T+S Costs'!$N$2:$N$3138))</f>
        <v/>
      </c>
      <c r="Y1440" s="14" t="str">
        <f t="shared" si="114"/>
        <v/>
      </c>
      <c r="Z1440" s="4" t="str">
        <f t="shared" si="115"/>
        <v/>
      </c>
    </row>
    <row r="1441" spans="16:26" x14ac:dyDescent="0.25">
      <c r="P1441" s="10" t="str">
        <f>IF('[1]All Data '!AZ1446="","",'[1]All Data '!AZ1446)</f>
        <v/>
      </c>
      <c r="Q1441" s="10" t="str">
        <f>IF('[1]All Data '!BB1446="","",'[1]All Data '!BB1446)</f>
        <v/>
      </c>
      <c r="R1441" s="10" t="str">
        <f>IF('[1]All Data '!BD1446="","",'[1]All Data '!BD1446)</f>
        <v/>
      </c>
      <c r="S1441" s="11" t="str">
        <f>IF(R1441="","",'[1]All Data '!BE1446)</f>
        <v/>
      </c>
      <c r="T1441" s="12" t="str">
        <f>IF(S1441="","",[1]Inputs_Outputs!$B$8*(1-'LOCH Calc COE Calc'!S1441))</f>
        <v/>
      </c>
      <c r="U1441" s="13" t="str">
        <f t="shared" si="111"/>
        <v/>
      </c>
      <c r="V1441" s="13" t="str">
        <f t="shared" si="112"/>
        <v/>
      </c>
      <c r="W1441" s="4" t="str">
        <f t="shared" si="113"/>
        <v/>
      </c>
      <c r="X1441" t="str">
        <f>IF(W1441="","",LOOKUP(_xlfn.CONCAT(P1441,", ",Q1441),'[1]T+S Costs'!$F$2:$F$3138,'[1]T+S Costs'!$N$2:$N$3138))</f>
        <v/>
      </c>
      <c r="Y1441" s="14" t="str">
        <f t="shared" si="114"/>
        <v/>
      </c>
      <c r="Z1441" s="4" t="str">
        <f t="shared" si="115"/>
        <v/>
      </c>
    </row>
    <row r="1442" spans="16:26" x14ac:dyDescent="0.25">
      <c r="P1442" s="10" t="str">
        <f>IF('[1]All Data '!AZ1447="","",'[1]All Data '!AZ1447)</f>
        <v/>
      </c>
      <c r="Q1442" s="10" t="str">
        <f>IF('[1]All Data '!BB1447="","",'[1]All Data '!BB1447)</f>
        <v/>
      </c>
      <c r="R1442" s="10" t="str">
        <f>IF('[1]All Data '!BD1447="","",'[1]All Data '!BD1447)</f>
        <v/>
      </c>
      <c r="S1442" s="11" t="str">
        <f>IF(R1442="","",'[1]All Data '!BE1447)</f>
        <v/>
      </c>
      <c r="T1442" s="12" t="str">
        <f>IF(S1442="","",[1]Inputs_Outputs!$B$8*(1-'LOCH Calc COE Calc'!S1442))</f>
        <v/>
      </c>
      <c r="U1442" s="13" t="str">
        <f t="shared" si="111"/>
        <v/>
      </c>
      <c r="V1442" s="13" t="str">
        <f t="shared" si="112"/>
        <v/>
      </c>
      <c r="W1442" s="4" t="str">
        <f t="shared" si="113"/>
        <v/>
      </c>
      <c r="X1442" t="str">
        <f>IF(W1442="","",LOOKUP(_xlfn.CONCAT(P1442,", ",Q1442),'[1]T+S Costs'!$F$2:$F$3138,'[1]T+S Costs'!$N$2:$N$3138))</f>
        <v/>
      </c>
      <c r="Y1442" s="14" t="str">
        <f t="shared" si="114"/>
        <v/>
      </c>
      <c r="Z1442" s="4" t="str">
        <f t="shared" si="115"/>
        <v/>
      </c>
    </row>
    <row r="1443" spans="16:26" x14ac:dyDescent="0.25">
      <c r="P1443" s="10" t="str">
        <f>IF('[1]All Data '!AZ1448="","",'[1]All Data '!AZ1448)</f>
        <v/>
      </c>
      <c r="Q1443" s="10" t="str">
        <f>IF('[1]All Data '!BB1448="","",'[1]All Data '!BB1448)</f>
        <v/>
      </c>
      <c r="R1443" s="10" t="str">
        <f>IF('[1]All Data '!BD1448="","",'[1]All Data '!BD1448)</f>
        <v/>
      </c>
      <c r="S1443" s="11" t="str">
        <f>IF(R1443="","",'[1]All Data '!BE1448)</f>
        <v/>
      </c>
      <c r="T1443" s="12" t="str">
        <f>IF(S1443="","",[1]Inputs_Outputs!$B$8*(1-'LOCH Calc COE Calc'!S1443))</f>
        <v/>
      </c>
      <c r="U1443" s="13" t="str">
        <f t="shared" si="111"/>
        <v/>
      </c>
      <c r="V1443" s="13" t="str">
        <f t="shared" si="112"/>
        <v/>
      </c>
      <c r="W1443" s="4" t="str">
        <f t="shared" si="113"/>
        <v/>
      </c>
      <c r="X1443" t="str">
        <f>IF(W1443="","",LOOKUP(_xlfn.CONCAT(P1443,", ",Q1443),'[1]T+S Costs'!$F$2:$F$3138,'[1]T+S Costs'!$N$2:$N$3138))</f>
        <v/>
      </c>
      <c r="Y1443" s="14" t="str">
        <f t="shared" si="114"/>
        <v/>
      </c>
      <c r="Z1443" s="4" t="str">
        <f t="shared" si="115"/>
        <v/>
      </c>
    </row>
    <row r="1444" spans="16:26" x14ac:dyDescent="0.25">
      <c r="P1444" s="10" t="str">
        <f>IF('[1]All Data '!AZ1449="","",'[1]All Data '!AZ1449)</f>
        <v/>
      </c>
      <c r="Q1444" s="10" t="str">
        <f>IF('[1]All Data '!BB1449="","",'[1]All Data '!BB1449)</f>
        <v/>
      </c>
      <c r="R1444" s="10" t="str">
        <f>IF('[1]All Data '!BD1449="","",'[1]All Data '!BD1449)</f>
        <v/>
      </c>
      <c r="S1444" s="11" t="str">
        <f>IF(R1444="","",'[1]All Data '!BE1449)</f>
        <v/>
      </c>
      <c r="T1444" s="12" t="str">
        <f>IF(S1444="","",[1]Inputs_Outputs!$B$8*(1-'LOCH Calc COE Calc'!S1444))</f>
        <v/>
      </c>
      <c r="U1444" s="13" t="str">
        <f t="shared" si="111"/>
        <v/>
      </c>
      <c r="V1444" s="13" t="str">
        <f t="shared" si="112"/>
        <v/>
      </c>
      <c r="W1444" s="4" t="str">
        <f t="shared" si="113"/>
        <v/>
      </c>
      <c r="X1444" t="str">
        <f>IF(W1444="","",LOOKUP(_xlfn.CONCAT(P1444,", ",Q1444),'[1]T+S Costs'!$F$2:$F$3138,'[1]T+S Costs'!$N$2:$N$3138))</f>
        <v/>
      </c>
      <c r="Y1444" s="14" t="str">
        <f t="shared" si="114"/>
        <v/>
      </c>
      <c r="Z1444" s="4" t="str">
        <f t="shared" si="115"/>
        <v/>
      </c>
    </row>
    <row r="1445" spans="16:26" x14ac:dyDescent="0.25">
      <c r="P1445" s="10" t="str">
        <f>IF('[1]All Data '!AZ1450="","",'[1]All Data '!AZ1450)</f>
        <v/>
      </c>
      <c r="Q1445" s="10" t="str">
        <f>IF('[1]All Data '!BB1450="","",'[1]All Data '!BB1450)</f>
        <v/>
      </c>
      <c r="R1445" s="10" t="str">
        <f>IF('[1]All Data '!BD1450="","",'[1]All Data '!BD1450)</f>
        <v/>
      </c>
      <c r="S1445" s="11" t="str">
        <f>IF(R1445="","",'[1]All Data '!BE1450)</f>
        <v/>
      </c>
      <c r="T1445" s="12" t="str">
        <f>IF(S1445="","",[1]Inputs_Outputs!$B$8*(1-'LOCH Calc COE Calc'!S1445))</f>
        <v/>
      </c>
      <c r="U1445" s="13" t="str">
        <f t="shared" si="111"/>
        <v/>
      </c>
      <c r="V1445" s="13" t="str">
        <f t="shared" si="112"/>
        <v/>
      </c>
      <c r="W1445" s="4" t="str">
        <f t="shared" si="113"/>
        <v/>
      </c>
      <c r="X1445" t="str">
        <f>IF(W1445="","",LOOKUP(_xlfn.CONCAT(P1445,", ",Q1445),'[1]T+S Costs'!$F$2:$F$3138,'[1]T+S Costs'!$N$2:$N$3138))</f>
        <v/>
      </c>
      <c r="Y1445" s="14" t="str">
        <f t="shared" si="114"/>
        <v/>
      </c>
      <c r="Z1445" s="4" t="str">
        <f t="shared" si="115"/>
        <v/>
      </c>
    </row>
    <row r="1446" spans="16:26" x14ac:dyDescent="0.25">
      <c r="P1446" s="10" t="str">
        <f>IF('[1]All Data '!AZ1451="","",'[1]All Data '!AZ1451)</f>
        <v/>
      </c>
      <c r="Q1446" s="10" t="str">
        <f>IF('[1]All Data '!BB1451="","",'[1]All Data '!BB1451)</f>
        <v/>
      </c>
      <c r="R1446" s="10" t="str">
        <f>IF('[1]All Data '!BD1451="","",'[1]All Data '!BD1451)</f>
        <v/>
      </c>
      <c r="S1446" s="11" t="str">
        <f>IF(R1446="","",'[1]All Data '!BE1451)</f>
        <v/>
      </c>
      <c r="T1446" s="12" t="str">
        <f>IF(S1446="","",[1]Inputs_Outputs!$B$8*(1-'LOCH Calc COE Calc'!S1446))</f>
        <v/>
      </c>
      <c r="U1446" s="13" t="str">
        <f t="shared" si="111"/>
        <v/>
      </c>
      <c r="V1446" s="13" t="str">
        <f t="shared" si="112"/>
        <v/>
      </c>
      <c r="W1446" s="4" t="str">
        <f t="shared" si="113"/>
        <v/>
      </c>
      <c r="X1446" t="str">
        <f>IF(W1446="","",LOOKUP(_xlfn.CONCAT(P1446,", ",Q1446),'[1]T+S Costs'!$F$2:$F$3138,'[1]T+S Costs'!$N$2:$N$3138))</f>
        <v/>
      </c>
      <c r="Y1446" s="14" t="str">
        <f t="shared" si="114"/>
        <v/>
      </c>
      <c r="Z1446" s="4" t="str">
        <f t="shared" si="115"/>
        <v/>
      </c>
    </row>
    <row r="1447" spans="16:26" x14ac:dyDescent="0.25">
      <c r="P1447" s="10" t="str">
        <f>IF('[1]All Data '!AZ1452="","",'[1]All Data '!AZ1452)</f>
        <v/>
      </c>
      <c r="Q1447" s="10" t="str">
        <f>IF('[1]All Data '!BB1452="","",'[1]All Data '!BB1452)</f>
        <v/>
      </c>
      <c r="R1447" s="10" t="str">
        <f>IF('[1]All Data '!BD1452="","",'[1]All Data '!BD1452)</f>
        <v/>
      </c>
      <c r="S1447" s="11" t="str">
        <f>IF(R1447="","",'[1]All Data '!BE1452)</f>
        <v/>
      </c>
      <c r="T1447" s="12" t="str">
        <f>IF(S1447="","",[1]Inputs_Outputs!$B$8*(1-'LOCH Calc COE Calc'!S1447))</f>
        <v/>
      </c>
      <c r="U1447" s="13" t="str">
        <f t="shared" si="111"/>
        <v/>
      </c>
      <c r="V1447" s="13" t="str">
        <f t="shared" si="112"/>
        <v/>
      </c>
      <c r="W1447" s="4" t="str">
        <f t="shared" si="113"/>
        <v/>
      </c>
      <c r="X1447" t="str">
        <f>IF(W1447="","",LOOKUP(_xlfn.CONCAT(P1447,", ",Q1447),'[1]T+S Costs'!$F$2:$F$3138,'[1]T+S Costs'!$N$2:$N$3138))</f>
        <v/>
      </c>
      <c r="Y1447" s="14" t="str">
        <f t="shared" si="114"/>
        <v/>
      </c>
      <c r="Z1447" s="4" t="str">
        <f t="shared" si="115"/>
        <v/>
      </c>
    </row>
    <row r="1448" spans="16:26" x14ac:dyDescent="0.25">
      <c r="P1448" s="10" t="str">
        <f>IF('[1]All Data '!AZ1453="","",'[1]All Data '!AZ1453)</f>
        <v/>
      </c>
      <c r="Q1448" s="10" t="str">
        <f>IF('[1]All Data '!BB1453="","",'[1]All Data '!BB1453)</f>
        <v/>
      </c>
      <c r="R1448" s="10" t="str">
        <f>IF('[1]All Data '!BD1453="","",'[1]All Data '!BD1453)</f>
        <v/>
      </c>
      <c r="S1448" s="11" t="str">
        <f>IF(R1448="","",'[1]All Data '!BE1453)</f>
        <v/>
      </c>
      <c r="T1448" s="12" t="str">
        <f>IF(S1448="","",[1]Inputs_Outputs!$B$8*(1-'LOCH Calc COE Calc'!S1448))</f>
        <v/>
      </c>
      <c r="U1448" s="13" t="str">
        <f t="shared" si="111"/>
        <v/>
      </c>
      <c r="V1448" s="13" t="str">
        <f t="shared" si="112"/>
        <v/>
      </c>
      <c r="W1448" s="4" t="str">
        <f t="shared" si="113"/>
        <v/>
      </c>
      <c r="X1448" t="str">
        <f>IF(W1448="","",LOOKUP(_xlfn.CONCAT(P1448,", ",Q1448),'[1]T+S Costs'!$F$2:$F$3138,'[1]T+S Costs'!$N$2:$N$3138))</f>
        <v/>
      </c>
      <c r="Y1448" s="14" t="str">
        <f t="shared" si="114"/>
        <v/>
      </c>
      <c r="Z1448" s="4" t="str">
        <f t="shared" si="115"/>
        <v/>
      </c>
    </row>
    <row r="1449" spans="16:26" x14ac:dyDescent="0.25">
      <c r="P1449" s="10" t="str">
        <f>IF('[1]All Data '!AZ1454="","",'[1]All Data '!AZ1454)</f>
        <v/>
      </c>
      <c r="Q1449" s="10" t="str">
        <f>IF('[1]All Data '!BB1454="","",'[1]All Data '!BB1454)</f>
        <v/>
      </c>
      <c r="R1449" s="10" t="str">
        <f>IF('[1]All Data '!BD1454="","",'[1]All Data '!BD1454)</f>
        <v/>
      </c>
      <c r="S1449" s="11" t="str">
        <f>IF(R1449="","",'[1]All Data '!BE1454)</f>
        <v/>
      </c>
      <c r="T1449" s="12" t="str">
        <f>IF(S1449="","",[1]Inputs_Outputs!$B$8*(1-'LOCH Calc COE Calc'!S1449))</f>
        <v/>
      </c>
      <c r="U1449" s="13" t="str">
        <f t="shared" si="111"/>
        <v/>
      </c>
      <c r="V1449" s="13" t="str">
        <f t="shared" si="112"/>
        <v/>
      </c>
      <c r="W1449" s="4" t="str">
        <f t="shared" si="113"/>
        <v/>
      </c>
      <c r="X1449" t="str">
        <f>IF(W1449="","",LOOKUP(_xlfn.CONCAT(P1449,", ",Q1449),'[1]T+S Costs'!$F$2:$F$3138,'[1]T+S Costs'!$N$2:$N$3138))</f>
        <v/>
      </c>
      <c r="Y1449" s="14" t="str">
        <f t="shared" si="114"/>
        <v/>
      </c>
      <c r="Z1449" s="4" t="str">
        <f t="shared" si="115"/>
        <v/>
      </c>
    </row>
    <row r="1450" spans="16:26" x14ac:dyDescent="0.25">
      <c r="P1450" s="10" t="str">
        <f>IF('[1]All Data '!AZ1455="","",'[1]All Data '!AZ1455)</f>
        <v/>
      </c>
      <c r="Q1450" s="10" t="str">
        <f>IF('[1]All Data '!BB1455="","",'[1]All Data '!BB1455)</f>
        <v/>
      </c>
      <c r="R1450" s="10" t="str">
        <f>IF('[1]All Data '!BD1455="","",'[1]All Data '!BD1455)</f>
        <v/>
      </c>
      <c r="S1450" s="11" t="str">
        <f>IF(R1450="","",'[1]All Data '!BE1455)</f>
        <v/>
      </c>
      <c r="T1450" s="12" t="str">
        <f>IF(S1450="","",[1]Inputs_Outputs!$B$8*(1-'LOCH Calc COE Calc'!S1450))</f>
        <v/>
      </c>
      <c r="U1450" s="13" t="str">
        <f t="shared" si="111"/>
        <v/>
      </c>
      <c r="V1450" s="13" t="str">
        <f t="shared" si="112"/>
        <v/>
      </c>
      <c r="W1450" s="4" t="str">
        <f t="shared" si="113"/>
        <v/>
      </c>
      <c r="X1450" t="str">
        <f>IF(W1450="","",LOOKUP(_xlfn.CONCAT(P1450,", ",Q1450),'[1]T+S Costs'!$F$2:$F$3138,'[1]T+S Costs'!$N$2:$N$3138))</f>
        <v/>
      </c>
      <c r="Y1450" s="14" t="str">
        <f t="shared" si="114"/>
        <v/>
      </c>
      <c r="Z1450" s="4" t="str">
        <f t="shared" si="115"/>
        <v/>
      </c>
    </row>
    <row r="1451" spans="16:26" x14ac:dyDescent="0.25">
      <c r="P1451" s="10" t="str">
        <f>IF('[1]All Data '!AZ1456="","",'[1]All Data '!AZ1456)</f>
        <v/>
      </c>
      <c r="Q1451" s="10" t="str">
        <f>IF('[1]All Data '!BB1456="","",'[1]All Data '!BB1456)</f>
        <v/>
      </c>
      <c r="R1451" s="10" t="str">
        <f>IF('[1]All Data '!BD1456="","",'[1]All Data '!BD1456)</f>
        <v/>
      </c>
      <c r="S1451" s="11" t="str">
        <f>IF(R1451="","",'[1]All Data '!BE1456)</f>
        <v/>
      </c>
      <c r="T1451" s="12" t="str">
        <f>IF(S1451="","",[1]Inputs_Outputs!$B$8*(1-'LOCH Calc COE Calc'!S1451))</f>
        <v/>
      </c>
      <c r="U1451" s="13" t="str">
        <f t="shared" si="111"/>
        <v/>
      </c>
      <c r="V1451" s="13" t="str">
        <f t="shared" si="112"/>
        <v/>
      </c>
      <c r="W1451" s="4" t="str">
        <f t="shared" si="113"/>
        <v/>
      </c>
      <c r="X1451" t="str">
        <f>IF(W1451="","",LOOKUP(_xlfn.CONCAT(P1451,", ",Q1451),'[1]T+S Costs'!$F$2:$F$3138,'[1]T+S Costs'!$N$2:$N$3138))</f>
        <v/>
      </c>
      <c r="Y1451" s="14" t="str">
        <f t="shared" si="114"/>
        <v/>
      </c>
      <c r="Z1451" s="4" t="str">
        <f t="shared" si="115"/>
        <v/>
      </c>
    </row>
    <row r="1452" spans="16:26" x14ac:dyDescent="0.25">
      <c r="P1452" s="10" t="str">
        <f>IF('[1]All Data '!AZ1457="","",'[1]All Data '!AZ1457)</f>
        <v/>
      </c>
      <c r="Q1452" s="10" t="str">
        <f>IF('[1]All Data '!BB1457="","",'[1]All Data '!BB1457)</f>
        <v/>
      </c>
      <c r="R1452" s="10" t="str">
        <f>IF('[1]All Data '!BD1457="","",'[1]All Data '!BD1457)</f>
        <v/>
      </c>
      <c r="S1452" s="11" t="str">
        <f>IF(R1452="","",'[1]All Data '!BE1457)</f>
        <v/>
      </c>
      <c r="T1452" s="12" t="str">
        <f>IF(S1452="","",[1]Inputs_Outputs!$B$8*(1-'LOCH Calc COE Calc'!S1452))</f>
        <v/>
      </c>
      <c r="U1452" s="13" t="str">
        <f t="shared" si="111"/>
        <v/>
      </c>
      <c r="V1452" s="13" t="str">
        <f t="shared" si="112"/>
        <v/>
      </c>
      <c r="W1452" s="4" t="str">
        <f t="shared" si="113"/>
        <v/>
      </c>
      <c r="X1452" t="str">
        <f>IF(W1452="","",LOOKUP(_xlfn.CONCAT(P1452,", ",Q1452),'[1]T+S Costs'!$F$2:$F$3138,'[1]T+S Costs'!$N$2:$N$3138))</f>
        <v/>
      </c>
      <c r="Y1452" s="14" t="str">
        <f t="shared" si="114"/>
        <v/>
      </c>
      <c r="Z1452" s="4" t="str">
        <f t="shared" si="115"/>
        <v/>
      </c>
    </row>
    <row r="1453" spans="16:26" x14ac:dyDescent="0.25">
      <c r="P1453" s="10" t="str">
        <f>IF('[1]All Data '!AZ1458="","",'[1]All Data '!AZ1458)</f>
        <v/>
      </c>
      <c r="Q1453" s="10" t="str">
        <f>IF('[1]All Data '!BB1458="","",'[1]All Data '!BB1458)</f>
        <v/>
      </c>
      <c r="R1453" s="10" t="str">
        <f>IF('[1]All Data '!BD1458="","",'[1]All Data '!BD1458)</f>
        <v/>
      </c>
      <c r="S1453" s="11" t="str">
        <f>IF(R1453="","",'[1]All Data '!BE1458)</f>
        <v/>
      </c>
      <c r="T1453" s="12" t="str">
        <f>IF(S1453="","",[1]Inputs_Outputs!$B$8*(1-'LOCH Calc COE Calc'!S1453))</f>
        <v/>
      </c>
      <c r="U1453" s="13" t="str">
        <f t="shared" si="111"/>
        <v/>
      </c>
      <c r="V1453" s="13" t="str">
        <f t="shared" si="112"/>
        <v/>
      </c>
      <c r="W1453" s="4" t="str">
        <f t="shared" si="113"/>
        <v/>
      </c>
      <c r="X1453" t="str">
        <f>IF(W1453="","",LOOKUP(_xlfn.CONCAT(P1453,", ",Q1453),'[1]T+S Costs'!$F$2:$F$3138,'[1]T+S Costs'!$N$2:$N$3138))</f>
        <v/>
      </c>
      <c r="Y1453" s="14" t="str">
        <f t="shared" si="114"/>
        <v/>
      </c>
      <c r="Z1453" s="4" t="str">
        <f t="shared" si="115"/>
        <v/>
      </c>
    </row>
    <row r="1454" spans="16:26" x14ac:dyDescent="0.25">
      <c r="P1454" s="10" t="str">
        <f>IF('[1]All Data '!AZ1459="","",'[1]All Data '!AZ1459)</f>
        <v/>
      </c>
      <c r="Q1454" s="10" t="str">
        <f>IF('[1]All Data '!BB1459="","",'[1]All Data '!BB1459)</f>
        <v/>
      </c>
      <c r="R1454" s="10" t="str">
        <f>IF('[1]All Data '!BD1459="","",'[1]All Data '!BD1459)</f>
        <v/>
      </c>
      <c r="S1454" s="11" t="str">
        <f>IF(R1454="","",'[1]All Data '!BE1459)</f>
        <v/>
      </c>
      <c r="T1454" s="12" t="str">
        <f>IF(S1454="","",[1]Inputs_Outputs!$B$8*(1-'LOCH Calc COE Calc'!S1454))</f>
        <v/>
      </c>
      <c r="U1454" s="13" t="str">
        <f t="shared" si="111"/>
        <v/>
      </c>
      <c r="V1454" s="13" t="str">
        <f t="shared" si="112"/>
        <v/>
      </c>
      <c r="W1454" s="4" t="str">
        <f t="shared" si="113"/>
        <v/>
      </c>
      <c r="X1454" t="str">
        <f>IF(W1454="","",LOOKUP(_xlfn.CONCAT(P1454,", ",Q1454),'[1]T+S Costs'!$F$2:$F$3138,'[1]T+S Costs'!$N$2:$N$3138))</f>
        <v/>
      </c>
      <c r="Y1454" s="14" t="str">
        <f t="shared" si="114"/>
        <v/>
      </c>
      <c r="Z1454" s="4" t="str">
        <f t="shared" si="115"/>
        <v/>
      </c>
    </row>
    <row r="1455" spans="16:26" x14ac:dyDescent="0.25">
      <c r="P1455" s="10" t="str">
        <f>IF('[1]All Data '!AZ1460="","",'[1]All Data '!AZ1460)</f>
        <v/>
      </c>
      <c r="Q1455" s="10" t="str">
        <f>IF('[1]All Data '!BB1460="","",'[1]All Data '!BB1460)</f>
        <v/>
      </c>
      <c r="R1455" s="10" t="str">
        <f>IF('[1]All Data '!BD1460="","",'[1]All Data '!BD1460)</f>
        <v/>
      </c>
      <c r="S1455" s="11" t="str">
        <f>IF(R1455="","",'[1]All Data '!BE1460)</f>
        <v/>
      </c>
      <c r="T1455" s="12" t="str">
        <f>IF(S1455="","",[1]Inputs_Outputs!$B$8*(1-'LOCH Calc COE Calc'!S1455))</f>
        <v/>
      </c>
      <c r="U1455" s="13" t="str">
        <f t="shared" si="111"/>
        <v/>
      </c>
      <c r="V1455" s="13" t="str">
        <f t="shared" si="112"/>
        <v/>
      </c>
      <c r="W1455" s="4" t="str">
        <f t="shared" si="113"/>
        <v/>
      </c>
      <c r="X1455" t="str">
        <f>IF(W1455="","",LOOKUP(_xlfn.CONCAT(P1455,", ",Q1455),'[1]T+S Costs'!$F$2:$F$3138,'[1]T+S Costs'!$N$2:$N$3138))</f>
        <v/>
      </c>
      <c r="Y1455" s="14" t="str">
        <f t="shared" si="114"/>
        <v/>
      </c>
      <c r="Z1455" s="4" t="str">
        <f t="shared" si="115"/>
        <v/>
      </c>
    </row>
    <row r="1456" spans="16:26" x14ac:dyDescent="0.25">
      <c r="P1456" s="10" t="str">
        <f>IF('[1]All Data '!AZ1461="","",'[1]All Data '!AZ1461)</f>
        <v/>
      </c>
      <c r="Q1456" s="10" t="str">
        <f>IF('[1]All Data '!BB1461="","",'[1]All Data '!BB1461)</f>
        <v/>
      </c>
      <c r="R1456" s="10" t="str">
        <f>IF('[1]All Data '!BD1461="","",'[1]All Data '!BD1461)</f>
        <v/>
      </c>
      <c r="S1456" s="11" t="str">
        <f>IF(R1456="","",'[1]All Data '!BE1461)</f>
        <v/>
      </c>
      <c r="T1456" s="12" t="str">
        <f>IF(S1456="","",[1]Inputs_Outputs!$B$8*(1-'LOCH Calc COE Calc'!S1456))</f>
        <v/>
      </c>
      <c r="U1456" s="13" t="str">
        <f t="shared" si="111"/>
        <v/>
      </c>
      <c r="V1456" s="13" t="str">
        <f t="shared" si="112"/>
        <v/>
      </c>
      <c r="W1456" s="4" t="str">
        <f t="shared" si="113"/>
        <v/>
      </c>
      <c r="X1456" t="str">
        <f>IF(W1456="","",LOOKUP(_xlfn.CONCAT(P1456,", ",Q1456),'[1]T+S Costs'!$F$2:$F$3138,'[1]T+S Costs'!$N$2:$N$3138))</f>
        <v/>
      </c>
      <c r="Y1456" s="14" t="str">
        <f t="shared" si="114"/>
        <v/>
      </c>
      <c r="Z1456" s="4" t="str">
        <f t="shared" si="115"/>
        <v/>
      </c>
    </row>
    <row r="1457" spans="16:26" x14ac:dyDescent="0.25">
      <c r="P1457" s="10" t="str">
        <f>IF('[1]All Data '!AZ1462="","",'[1]All Data '!AZ1462)</f>
        <v/>
      </c>
      <c r="Q1457" s="10" t="str">
        <f>IF('[1]All Data '!BB1462="","",'[1]All Data '!BB1462)</f>
        <v/>
      </c>
      <c r="R1457" s="10" t="str">
        <f>IF('[1]All Data '!BD1462="","",'[1]All Data '!BD1462)</f>
        <v/>
      </c>
      <c r="S1457" s="11" t="str">
        <f>IF(R1457="","",'[1]All Data '!BE1462)</f>
        <v/>
      </c>
      <c r="T1457" s="12" t="str">
        <f>IF(S1457="","",[1]Inputs_Outputs!$B$8*(1-'LOCH Calc COE Calc'!S1457))</f>
        <v/>
      </c>
      <c r="U1457" s="13" t="str">
        <f t="shared" si="111"/>
        <v/>
      </c>
      <c r="V1457" s="13" t="str">
        <f t="shared" si="112"/>
        <v/>
      </c>
      <c r="W1457" s="4" t="str">
        <f t="shared" si="113"/>
        <v/>
      </c>
      <c r="X1457" t="str">
        <f>IF(W1457="","",LOOKUP(_xlfn.CONCAT(P1457,", ",Q1457),'[1]T+S Costs'!$F$2:$F$3138,'[1]T+S Costs'!$N$2:$N$3138))</f>
        <v/>
      </c>
      <c r="Y1457" s="14" t="str">
        <f t="shared" si="114"/>
        <v/>
      </c>
      <c r="Z1457" s="4" t="str">
        <f t="shared" si="115"/>
        <v/>
      </c>
    </row>
    <row r="1458" spans="16:26" x14ac:dyDescent="0.25">
      <c r="P1458" s="10" t="str">
        <f>IF('[1]All Data '!AZ1463="","",'[1]All Data '!AZ1463)</f>
        <v/>
      </c>
      <c r="Q1458" s="10" t="str">
        <f>IF('[1]All Data '!BB1463="","",'[1]All Data '!BB1463)</f>
        <v/>
      </c>
      <c r="R1458" s="10" t="str">
        <f>IF('[1]All Data '!BD1463="","",'[1]All Data '!BD1463)</f>
        <v/>
      </c>
      <c r="S1458" s="11" t="str">
        <f>IF(R1458="","",'[1]All Data '!BE1463)</f>
        <v/>
      </c>
      <c r="T1458" s="12" t="str">
        <f>IF(S1458="","",[1]Inputs_Outputs!$B$8*(1-'LOCH Calc COE Calc'!S1458))</f>
        <v/>
      </c>
      <c r="U1458" s="13" t="str">
        <f t="shared" si="111"/>
        <v/>
      </c>
      <c r="V1458" s="13" t="str">
        <f t="shared" si="112"/>
        <v/>
      </c>
      <c r="W1458" s="4" t="str">
        <f t="shared" si="113"/>
        <v/>
      </c>
      <c r="X1458" t="str">
        <f>IF(W1458="","",LOOKUP(_xlfn.CONCAT(P1458,", ",Q1458),'[1]T+S Costs'!$F$2:$F$3138,'[1]T+S Costs'!$N$2:$N$3138))</f>
        <v/>
      </c>
      <c r="Y1458" s="14" t="str">
        <f t="shared" si="114"/>
        <v/>
      </c>
      <c r="Z1458" s="4" t="str">
        <f t="shared" si="115"/>
        <v/>
      </c>
    </row>
    <row r="1459" spans="16:26" x14ac:dyDescent="0.25">
      <c r="P1459" s="10" t="str">
        <f>IF('[1]All Data '!AZ1464="","",'[1]All Data '!AZ1464)</f>
        <v/>
      </c>
      <c r="Q1459" s="10" t="str">
        <f>IF('[1]All Data '!BB1464="","",'[1]All Data '!BB1464)</f>
        <v/>
      </c>
      <c r="R1459" s="10" t="str">
        <f>IF('[1]All Data '!BD1464="","",'[1]All Data '!BD1464)</f>
        <v/>
      </c>
      <c r="S1459" s="11" t="str">
        <f>IF(R1459="","",'[1]All Data '!BE1464)</f>
        <v/>
      </c>
      <c r="T1459" s="12" t="str">
        <f>IF(S1459="","",[1]Inputs_Outputs!$B$8*(1-'LOCH Calc COE Calc'!S1459))</f>
        <v/>
      </c>
      <c r="U1459" s="13" t="str">
        <f t="shared" si="111"/>
        <v/>
      </c>
      <c r="V1459" s="13" t="str">
        <f t="shared" si="112"/>
        <v/>
      </c>
      <c r="W1459" s="4" t="str">
        <f t="shared" si="113"/>
        <v/>
      </c>
      <c r="X1459" t="str">
        <f>IF(W1459="","",LOOKUP(_xlfn.CONCAT(P1459,", ",Q1459),'[1]T+S Costs'!$F$2:$F$3138,'[1]T+S Costs'!$N$2:$N$3138))</f>
        <v/>
      </c>
      <c r="Y1459" s="14" t="str">
        <f t="shared" si="114"/>
        <v/>
      </c>
      <c r="Z1459" s="4" t="str">
        <f t="shared" si="115"/>
        <v/>
      </c>
    </row>
    <row r="1460" spans="16:26" x14ac:dyDescent="0.25">
      <c r="P1460" s="10" t="str">
        <f>IF('[1]All Data '!AZ1465="","",'[1]All Data '!AZ1465)</f>
        <v/>
      </c>
      <c r="Q1460" s="10" t="str">
        <f>IF('[1]All Data '!BB1465="","",'[1]All Data '!BB1465)</f>
        <v/>
      </c>
      <c r="R1460" s="10" t="str">
        <f>IF('[1]All Data '!BD1465="","",'[1]All Data '!BD1465)</f>
        <v/>
      </c>
      <c r="S1460" s="11" t="str">
        <f>IF(R1460="","",'[1]All Data '!BE1465)</f>
        <v/>
      </c>
      <c r="T1460" s="12" t="str">
        <f>IF(S1460="","",[1]Inputs_Outputs!$B$8*(1-'LOCH Calc COE Calc'!S1460))</f>
        <v/>
      </c>
      <c r="U1460" s="13" t="str">
        <f t="shared" si="111"/>
        <v/>
      </c>
      <c r="V1460" s="13" t="str">
        <f t="shared" si="112"/>
        <v/>
      </c>
      <c r="W1460" s="4" t="str">
        <f t="shared" si="113"/>
        <v/>
      </c>
      <c r="X1460" t="str">
        <f>IF(W1460="","",LOOKUP(_xlfn.CONCAT(P1460,", ",Q1460),'[1]T+S Costs'!$F$2:$F$3138,'[1]T+S Costs'!$N$2:$N$3138))</f>
        <v/>
      </c>
      <c r="Y1460" s="14" t="str">
        <f t="shared" si="114"/>
        <v/>
      </c>
      <c r="Z1460" s="4" t="str">
        <f t="shared" si="115"/>
        <v/>
      </c>
    </row>
    <row r="1461" spans="16:26" x14ac:dyDescent="0.25">
      <c r="P1461" s="10" t="str">
        <f>IF('[1]All Data '!AZ1466="","",'[1]All Data '!AZ1466)</f>
        <v/>
      </c>
      <c r="Q1461" s="10" t="str">
        <f>IF('[1]All Data '!BB1466="","",'[1]All Data '!BB1466)</f>
        <v/>
      </c>
      <c r="R1461" s="10" t="str">
        <f>IF('[1]All Data '!BD1466="","",'[1]All Data '!BD1466)</f>
        <v/>
      </c>
      <c r="S1461" s="11" t="str">
        <f>IF(R1461="","",'[1]All Data '!BE1466)</f>
        <v/>
      </c>
      <c r="T1461" s="12" t="str">
        <f>IF(S1461="","",[1]Inputs_Outputs!$B$8*(1-'LOCH Calc COE Calc'!S1461))</f>
        <v/>
      </c>
      <c r="U1461" s="13" t="str">
        <f t="shared" si="111"/>
        <v/>
      </c>
      <c r="V1461" s="13" t="str">
        <f t="shared" si="112"/>
        <v/>
      </c>
      <c r="W1461" s="4" t="str">
        <f t="shared" si="113"/>
        <v/>
      </c>
      <c r="X1461" t="str">
        <f>IF(W1461="","",LOOKUP(_xlfn.CONCAT(P1461,", ",Q1461),'[1]T+S Costs'!$F$2:$F$3138,'[1]T+S Costs'!$N$2:$N$3138))</f>
        <v/>
      </c>
      <c r="Y1461" s="14" t="str">
        <f t="shared" si="114"/>
        <v/>
      </c>
      <c r="Z1461" s="4" t="str">
        <f t="shared" si="115"/>
        <v/>
      </c>
    </row>
    <row r="1462" spans="16:26" x14ac:dyDescent="0.25">
      <c r="P1462" s="10" t="str">
        <f>IF('[1]All Data '!AZ1467="","",'[1]All Data '!AZ1467)</f>
        <v/>
      </c>
      <c r="Q1462" s="10" t="str">
        <f>IF('[1]All Data '!BB1467="","",'[1]All Data '!BB1467)</f>
        <v/>
      </c>
      <c r="R1462" s="10" t="str">
        <f>IF('[1]All Data '!BD1467="","",'[1]All Data '!BD1467)</f>
        <v/>
      </c>
      <c r="S1462" s="11" t="str">
        <f>IF(R1462="","",'[1]All Data '!BE1467)</f>
        <v/>
      </c>
      <c r="T1462" s="12" t="str">
        <f>IF(S1462="","",[1]Inputs_Outputs!$B$8*(1-'LOCH Calc COE Calc'!S1462))</f>
        <v/>
      </c>
      <c r="U1462" s="13" t="str">
        <f t="shared" si="111"/>
        <v/>
      </c>
      <c r="V1462" s="13" t="str">
        <f t="shared" si="112"/>
        <v/>
      </c>
      <c r="W1462" s="4" t="str">
        <f t="shared" si="113"/>
        <v/>
      </c>
      <c r="X1462" t="str">
        <f>IF(W1462="","",LOOKUP(_xlfn.CONCAT(P1462,", ",Q1462),'[1]T+S Costs'!$F$2:$F$3138,'[1]T+S Costs'!$N$2:$N$3138))</f>
        <v/>
      </c>
      <c r="Y1462" s="14" t="str">
        <f t="shared" si="114"/>
        <v/>
      </c>
      <c r="Z1462" s="4" t="str">
        <f t="shared" si="115"/>
        <v/>
      </c>
    </row>
    <row r="1463" spans="16:26" x14ac:dyDescent="0.25">
      <c r="P1463" s="10" t="str">
        <f>IF('[1]All Data '!AZ1468="","",'[1]All Data '!AZ1468)</f>
        <v/>
      </c>
      <c r="Q1463" s="10" t="str">
        <f>IF('[1]All Data '!BB1468="","",'[1]All Data '!BB1468)</f>
        <v/>
      </c>
      <c r="R1463" s="10" t="str">
        <f>IF('[1]All Data '!BD1468="","",'[1]All Data '!BD1468)</f>
        <v/>
      </c>
      <c r="S1463" s="11" t="str">
        <f>IF(R1463="","",'[1]All Data '!BE1468)</f>
        <v/>
      </c>
      <c r="T1463" s="12" t="str">
        <f>IF(S1463="","",[1]Inputs_Outputs!$B$8*(1-'LOCH Calc COE Calc'!S1463))</f>
        <v/>
      </c>
      <c r="U1463" s="13" t="str">
        <f t="shared" si="111"/>
        <v/>
      </c>
      <c r="V1463" s="13" t="str">
        <f t="shared" si="112"/>
        <v/>
      </c>
      <c r="W1463" s="4" t="str">
        <f t="shared" si="113"/>
        <v/>
      </c>
      <c r="X1463" t="str">
        <f>IF(W1463="","",LOOKUP(_xlfn.CONCAT(P1463,", ",Q1463),'[1]T+S Costs'!$F$2:$F$3138,'[1]T+S Costs'!$N$2:$N$3138))</f>
        <v/>
      </c>
      <c r="Y1463" s="14" t="str">
        <f t="shared" si="114"/>
        <v/>
      </c>
      <c r="Z1463" s="4" t="str">
        <f t="shared" si="115"/>
        <v/>
      </c>
    </row>
    <row r="1464" spans="16:26" x14ac:dyDescent="0.25">
      <c r="P1464" s="10" t="str">
        <f>IF('[1]All Data '!AZ1469="","",'[1]All Data '!AZ1469)</f>
        <v/>
      </c>
      <c r="Q1464" s="10" t="str">
        <f>IF('[1]All Data '!BB1469="","",'[1]All Data '!BB1469)</f>
        <v/>
      </c>
      <c r="R1464" s="10" t="str">
        <f>IF('[1]All Data '!BD1469="","",'[1]All Data '!BD1469)</f>
        <v/>
      </c>
      <c r="S1464" s="11" t="str">
        <f>IF(R1464="","",'[1]All Data '!BE1469)</f>
        <v/>
      </c>
      <c r="T1464" s="12" t="str">
        <f>IF(S1464="","",[1]Inputs_Outputs!$B$8*(1-'LOCH Calc COE Calc'!S1464))</f>
        <v/>
      </c>
      <c r="U1464" s="13" t="str">
        <f t="shared" si="111"/>
        <v/>
      </c>
      <c r="V1464" s="13" t="str">
        <f t="shared" si="112"/>
        <v/>
      </c>
      <c r="W1464" s="4" t="str">
        <f t="shared" si="113"/>
        <v/>
      </c>
      <c r="X1464" t="str">
        <f>IF(W1464="","",LOOKUP(_xlfn.CONCAT(P1464,", ",Q1464),'[1]T+S Costs'!$F$2:$F$3138,'[1]T+S Costs'!$N$2:$N$3138))</f>
        <v/>
      </c>
      <c r="Y1464" s="14" t="str">
        <f t="shared" si="114"/>
        <v/>
      </c>
      <c r="Z1464" s="4" t="str">
        <f t="shared" si="115"/>
        <v/>
      </c>
    </row>
    <row r="1465" spans="16:26" x14ac:dyDescent="0.25">
      <c r="P1465" s="10" t="str">
        <f>IF('[1]All Data '!AZ1470="","",'[1]All Data '!AZ1470)</f>
        <v/>
      </c>
      <c r="Q1465" s="10" t="str">
        <f>IF('[1]All Data '!BB1470="","",'[1]All Data '!BB1470)</f>
        <v/>
      </c>
      <c r="R1465" s="10" t="str">
        <f>IF('[1]All Data '!BD1470="","",'[1]All Data '!BD1470)</f>
        <v/>
      </c>
      <c r="S1465" s="11" t="str">
        <f>IF(R1465="","",'[1]All Data '!BE1470)</f>
        <v/>
      </c>
      <c r="T1465" s="12" t="str">
        <f>IF(S1465="","",[1]Inputs_Outputs!$B$8*(1-'LOCH Calc COE Calc'!S1465))</f>
        <v/>
      </c>
      <c r="U1465" s="13" t="str">
        <f t="shared" si="111"/>
        <v/>
      </c>
      <c r="V1465" s="13" t="str">
        <f t="shared" si="112"/>
        <v/>
      </c>
      <c r="W1465" s="4" t="str">
        <f t="shared" si="113"/>
        <v/>
      </c>
      <c r="X1465" t="str">
        <f>IF(W1465="","",LOOKUP(_xlfn.CONCAT(P1465,", ",Q1465),'[1]T+S Costs'!$F$2:$F$3138,'[1]T+S Costs'!$N$2:$N$3138))</f>
        <v/>
      </c>
      <c r="Y1465" s="14" t="str">
        <f t="shared" si="114"/>
        <v/>
      </c>
      <c r="Z1465" s="4" t="str">
        <f t="shared" si="115"/>
        <v/>
      </c>
    </row>
    <row r="1466" spans="16:26" x14ac:dyDescent="0.25">
      <c r="P1466" s="10" t="str">
        <f>IF('[1]All Data '!AZ1471="","",'[1]All Data '!AZ1471)</f>
        <v/>
      </c>
      <c r="Q1466" s="10" t="str">
        <f>IF('[1]All Data '!BB1471="","",'[1]All Data '!BB1471)</f>
        <v/>
      </c>
      <c r="R1466" s="10" t="str">
        <f>IF('[1]All Data '!BD1471="","",'[1]All Data '!BD1471)</f>
        <v/>
      </c>
      <c r="S1466" s="11" t="str">
        <f>IF(R1466="","",'[1]All Data '!BE1471)</f>
        <v/>
      </c>
      <c r="T1466" s="12" t="str">
        <f>IF(S1466="","",[1]Inputs_Outputs!$B$8*(1-'LOCH Calc COE Calc'!S1466))</f>
        <v/>
      </c>
      <c r="U1466" s="13" t="str">
        <f t="shared" si="111"/>
        <v/>
      </c>
      <c r="V1466" s="13" t="str">
        <f t="shared" si="112"/>
        <v/>
      </c>
      <c r="W1466" s="4" t="str">
        <f t="shared" si="113"/>
        <v/>
      </c>
      <c r="X1466" t="str">
        <f>IF(W1466="","",LOOKUP(_xlfn.CONCAT(P1466,", ",Q1466),'[1]T+S Costs'!$F$2:$F$3138,'[1]T+S Costs'!$N$2:$N$3138))</f>
        <v/>
      </c>
      <c r="Y1466" s="14" t="str">
        <f t="shared" si="114"/>
        <v/>
      </c>
      <c r="Z1466" s="4" t="str">
        <f t="shared" si="115"/>
        <v/>
      </c>
    </row>
    <row r="1467" spans="16:26" x14ac:dyDescent="0.25">
      <c r="P1467" s="10" t="str">
        <f>IF('[1]All Data '!AZ1472="","",'[1]All Data '!AZ1472)</f>
        <v/>
      </c>
      <c r="Q1467" s="10" t="str">
        <f>IF('[1]All Data '!BB1472="","",'[1]All Data '!BB1472)</f>
        <v/>
      </c>
      <c r="R1467" s="10" t="str">
        <f>IF('[1]All Data '!BD1472="","",'[1]All Data '!BD1472)</f>
        <v/>
      </c>
      <c r="S1467" s="11" t="str">
        <f>IF(R1467="","",'[1]All Data '!BE1472)</f>
        <v/>
      </c>
      <c r="T1467" s="12" t="str">
        <f>IF(S1467="","",[1]Inputs_Outputs!$B$8*(1-'LOCH Calc COE Calc'!S1467))</f>
        <v/>
      </c>
      <c r="U1467" s="13" t="str">
        <f t="shared" si="111"/>
        <v/>
      </c>
      <c r="V1467" s="13" t="str">
        <f t="shared" si="112"/>
        <v/>
      </c>
      <c r="W1467" s="4" t="str">
        <f t="shared" si="113"/>
        <v/>
      </c>
      <c r="X1467" t="str">
        <f>IF(W1467="","",LOOKUP(_xlfn.CONCAT(P1467,", ",Q1467),'[1]T+S Costs'!$F$2:$F$3138,'[1]T+S Costs'!$N$2:$N$3138))</f>
        <v/>
      </c>
      <c r="Y1467" s="14" t="str">
        <f t="shared" si="114"/>
        <v/>
      </c>
      <c r="Z1467" s="4" t="str">
        <f t="shared" si="115"/>
        <v/>
      </c>
    </row>
    <row r="1468" spans="16:26" x14ac:dyDescent="0.25">
      <c r="P1468" s="10" t="str">
        <f>IF('[1]All Data '!AZ1473="","",'[1]All Data '!AZ1473)</f>
        <v/>
      </c>
      <c r="Q1468" s="10" t="str">
        <f>IF('[1]All Data '!BB1473="","",'[1]All Data '!BB1473)</f>
        <v/>
      </c>
      <c r="R1468" s="10" t="str">
        <f>IF('[1]All Data '!BD1473="","",'[1]All Data '!BD1473)</f>
        <v/>
      </c>
      <c r="S1468" s="11" t="str">
        <f>IF(R1468="","",'[1]All Data '!BE1473)</f>
        <v/>
      </c>
      <c r="T1468" s="12" t="str">
        <f>IF(S1468="","",[1]Inputs_Outputs!$B$8*(1-'LOCH Calc COE Calc'!S1468))</f>
        <v/>
      </c>
      <c r="U1468" s="13" t="str">
        <f t="shared" si="111"/>
        <v/>
      </c>
      <c r="V1468" s="13" t="str">
        <f t="shared" si="112"/>
        <v/>
      </c>
      <c r="W1468" s="4" t="str">
        <f t="shared" si="113"/>
        <v/>
      </c>
      <c r="X1468" t="str">
        <f>IF(W1468="","",LOOKUP(_xlfn.CONCAT(P1468,", ",Q1468),'[1]T+S Costs'!$F$2:$F$3138,'[1]T+S Costs'!$N$2:$N$3138))</f>
        <v/>
      </c>
      <c r="Y1468" s="14" t="str">
        <f t="shared" si="114"/>
        <v/>
      </c>
      <c r="Z1468" s="4" t="str">
        <f t="shared" si="115"/>
        <v/>
      </c>
    </row>
    <row r="1469" spans="16:26" x14ac:dyDescent="0.25">
      <c r="P1469" s="10" t="str">
        <f>IF('[1]All Data '!AZ1474="","",'[1]All Data '!AZ1474)</f>
        <v/>
      </c>
      <c r="Q1469" s="10" t="str">
        <f>IF('[1]All Data '!BB1474="","",'[1]All Data '!BB1474)</f>
        <v/>
      </c>
      <c r="R1469" s="10" t="str">
        <f>IF('[1]All Data '!BD1474="","",'[1]All Data '!BD1474)</f>
        <v/>
      </c>
      <c r="S1469" s="11" t="str">
        <f>IF(R1469="","",'[1]All Data '!BE1474)</f>
        <v/>
      </c>
      <c r="T1469" s="12" t="str">
        <f>IF(S1469="","",[1]Inputs_Outputs!$B$8*(1-'LOCH Calc COE Calc'!S1469))</f>
        <v/>
      </c>
      <c r="U1469" s="13" t="str">
        <f t="shared" si="111"/>
        <v/>
      </c>
      <c r="V1469" s="13" t="str">
        <f t="shared" si="112"/>
        <v/>
      </c>
      <c r="W1469" s="4" t="str">
        <f t="shared" si="113"/>
        <v/>
      </c>
      <c r="X1469" t="str">
        <f>IF(W1469="","",LOOKUP(_xlfn.CONCAT(P1469,", ",Q1469),'[1]T+S Costs'!$F$2:$F$3138,'[1]T+S Costs'!$N$2:$N$3138))</f>
        <v/>
      </c>
      <c r="Y1469" s="14" t="str">
        <f t="shared" si="114"/>
        <v/>
      </c>
      <c r="Z1469" s="4" t="str">
        <f t="shared" si="115"/>
        <v/>
      </c>
    </row>
    <row r="1470" spans="16:26" x14ac:dyDescent="0.25">
      <c r="P1470" s="10" t="str">
        <f>IF('[1]All Data '!AZ1475="","",'[1]All Data '!AZ1475)</f>
        <v/>
      </c>
      <c r="Q1470" s="10" t="str">
        <f>IF('[1]All Data '!BB1475="","",'[1]All Data '!BB1475)</f>
        <v/>
      </c>
      <c r="R1470" s="10" t="str">
        <f>IF('[1]All Data '!BD1475="","",'[1]All Data '!BD1475)</f>
        <v/>
      </c>
      <c r="S1470" s="11" t="str">
        <f>IF(R1470="","",'[1]All Data '!BE1475)</f>
        <v/>
      </c>
      <c r="T1470" s="12" t="str">
        <f>IF(S1470="","",[1]Inputs_Outputs!$B$8*(1-'LOCH Calc COE Calc'!S1470))</f>
        <v/>
      </c>
      <c r="U1470" s="13" t="str">
        <f t="shared" si="111"/>
        <v/>
      </c>
      <c r="V1470" s="13" t="str">
        <f t="shared" si="112"/>
        <v/>
      </c>
      <c r="W1470" s="4" t="str">
        <f t="shared" si="113"/>
        <v/>
      </c>
      <c r="X1470" t="str">
        <f>IF(W1470="","",LOOKUP(_xlfn.CONCAT(P1470,", ",Q1470),'[1]T+S Costs'!$F$2:$F$3138,'[1]T+S Costs'!$N$2:$N$3138))</f>
        <v/>
      </c>
      <c r="Y1470" s="14" t="str">
        <f t="shared" si="114"/>
        <v/>
      </c>
      <c r="Z1470" s="4" t="str">
        <f t="shared" si="115"/>
        <v/>
      </c>
    </row>
    <row r="1471" spans="16:26" x14ac:dyDescent="0.25">
      <c r="P1471" s="10" t="str">
        <f>IF('[1]All Data '!AZ1476="","",'[1]All Data '!AZ1476)</f>
        <v/>
      </c>
      <c r="Q1471" s="10" t="str">
        <f>IF('[1]All Data '!BB1476="","",'[1]All Data '!BB1476)</f>
        <v/>
      </c>
      <c r="R1471" s="10" t="str">
        <f>IF('[1]All Data '!BD1476="","",'[1]All Data '!BD1476)</f>
        <v/>
      </c>
      <c r="S1471" s="11" t="str">
        <f>IF(R1471="","",'[1]All Data '!BE1476)</f>
        <v/>
      </c>
      <c r="T1471" s="12" t="str">
        <f>IF(S1471="","",[1]Inputs_Outputs!$B$8*(1-'LOCH Calc COE Calc'!S1471))</f>
        <v/>
      </c>
      <c r="U1471" s="13" t="str">
        <f t="shared" si="111"/>
        <v/>
      </c>
      <c r="V1471" s="13" t="str">
        <f t="shared" si="112"/>
        <v/>
      </c>
      <c r="W1471" s="4" t="str">
        <f t="shared" si="113"/>
        <v/>
      </c>
      <c r="X1471" t="str">
        <f>IF(W1471="","",LOOKUP(_xlfn.CONCAT(P1471,", ",Q1471),'[1]T+S Costs'!$F$2:$F$3138,'[1]T+S Costs'!$N$2:$N$3138))</f>
        <v/>
      </c>
      <c r="Y1471" s="14" t="str">
        <f t="shared" si="114"/>
        <v/>
      </c>
      <c r="Z1471" s="4" t="str">
        <f t="shared" si="115"/>
        <v/>
      </c>
    </row>
    <row r="1472" spans="16:26" x14ac:dyDescent="0.25">
      <c r="P1472" s="10" t="str">
        <f>IF('[1]All Data '!AZ1477="","",'[1]All Data '!AZ1477)</f>
        <v/>
      </c>
      <c r="Q1472" s="10" t="str">
        <f>IF('[1]All Data '!BB1477="","",'[1]All Data '!BB1477)</f>
        <v/>
      </c>
      <c r="R1472" s="10" t="str">
        <f>IF('[1]All Data '!BD1477="","",'[1]All Data '!BD1477)</f>
        <v/>
      </c>
      <c r="S1472" s="11" t="str">
        <f>IF(R1472="","",'[1]All Data '!BE1477)</f>
        <v/>
      </c>
      <c r="T1472" s="12" t="str">
        <f>IF(S1472="","",[1]Inputs_Outputs!$B$8*(1-'LOCH Calc COE Calc'!S1472))</f>
        <v/>
      </c>
      <c r="U1472" s="13" t="str">
        <f t="shared" si="111"/>
        <v/>
      </c>
      <c r="V1472" s="13" t="str">
        <f t="shared" si="112"/>
        <v/>
      </c>
      <c r="W1472" s="4" t="str">
        <f t="shared" si="113"/>
        <v/>
      </c>
      <c r="X1472" t="str">
        <f>IF(W1472="","",LOOKUP(_xlfn.CONCAT(P1472,", ",Q1472),'[1]T+S Costs'!$F$2:$F$3138,'[1]T+S Costs'!$N$2:$N$3138))</f>
        <v/>
      </c>
      <c r="Y1472" s="14" t="str">
        <f t="shared" si="114"/>
        <v/>
      </c>
      <c r="Z1472" s="4" t="str">
        <f t="shared" si="115"/>
        <v/>
      </c>
    </row>
    <row r="1473" spans="16:26" x14ac:dyDescent="0.25">
      <c r="P1473" s="10" t="str">
        <f>IF('[1]All Data '!AZ1478="","",'[1]All Data '!AZ1478)</f>
        <v/>
      </c>
      <c r="Q1473" s="10" t="str">
        <f>IF('[1]All Data '!BB1478="","",'[1]All Data '!BB1478)</f>
        <v/>
      </c>
      <c r="R1473" s="10" t="str">
        <f>IF('[1]All Data '!BD1478="","",'[1]All Data '!BD1478)</f>
        <v/>
      </c>
      <c r="S1473" s="11" t="str">
        <f>IF(R1473="","",'[1]All Data '!BE1478)</f>
        <v/>
      </c>
      <c r="T1473" s="12" t="str">
        <f>IF(S1473="","",[1]Inputs_Outputs!$B$8*(1-'LOCH Calc COE Calc'!S1473))</f>
        <v/>
      </c>
      <c r="U1473" s="13" t="str">
        <f t="shared" si="111"/>
        <v/>
      </c>
      <c r="V1473" s="13" t="str">
        <f t="shared" si="112"/>
        <v/>
      </c>
      <c r="W1473" s="4" t="str">
        <f t="shared" si="113"/>
        <v/>
      </c>
      <c r="X1473" t="str">
        <f>IF(W1473="","",LOOKUP(_xlfn.CONCAT(P1473,", ",Q1473),'[1]T+S Costs'!$F$2:$F$3138,'[1]T+S Costs'!$N$2:$N$3138))</f>
        <v/>
      </c>
      <c r="Y1473" s="14" t="str">
        <f t="shared" si="114"/>
        <v/>
      </c>
      <c r="Z1473" s="4" t="str">
        <f t="shared" si="115"/>
        <v/>
      </c>
    </row>
    <row r="1474" spans="16:26" x14ac:dyDescent="0.25">
      <c r="P1474" s="10" t="str">
        <f>IF('[1]All Data '!AZ1479="","",'[1]All Data '!AZ1479)</f>
        <v/>
      </c>
      <c r="Q1474" s="10" t="str">
        <f>IF('[1]All Data '!BB1479="","",'[1]All Data '!BB1479)</f>
        <v/>
      </c>
      <c r="R1474" s="10" t="str">
        <f>IF('[1]All Data '!BD1479="","",'[1]All Data '!BD1479)</f>
        <v/>
      </c>
      <c r="S1474" s="11" t="str">
        <f>IF(R1474="","",'[1]All Data '!BE1479)</f>
        <v/>
      </c>
      <c r="T1474" s="12" t="str">
        <f>IF(S1474="","",[1]Inputs_Outputs!$B$8*(1-'LOCH Calc COE Calc'!S1474))</f>
        <v/>
      </c>
      <c r="U1474" s="13" t="str">
        <f t="shared" si="111"/>
        <v/>
      </c>
      <c r="V1474" s="13" t="str">
        <f t="shared" si="112"/>
        <v/>
      </c>
      <c r="W1474" s="4" t="str">
        <f t="shared" si="113"/>
        <v/>
      </c>
      <c r="X1474" t="str">
        <f>IF(W1474="","",LOOKUP(_xlfn.CONCAT(P1474,", ",Q1474),'[1]T+S Costs'!$F$2:$F$3138,'[1]T+S Costs'!$N$2:$N$3138))</f>
        <v/>
      </c>
      <c r="Y1474" s="14" t="str">
        <f t="shared" si="114"/>
        <v/>
      </c>
      <c r="Z1474" s="4" t="str">
        <f t="shared" si="115"/>
        <v/>
      </c>
    </row>
    <row r="1475" spans="16:26" x14ac:dyDescent="0.25">
      <c r="P1475" s="10" t="str">
        <f>IF('[1]All Data '!AZ1480="","",'[1]All Data '!AZ1480)</f>
        <v/>
      </c>
      <c r="Q1475" s="10" t="str">
        <f>IF('[1]All Data '!BB1480="","",'[1]All Data '!BB1480)</f>
        <v/>
      </c>
      <c r="R1475" s="10" t="str">
        <f>IF('[1]All Data '!BD1480="","",'[1]All Data '!BD1480)</f>
        <v/>
      </c>
      <c r="S1475" s="11" t="str">
        <f>IF(R1475="","",'[1]All Data '!BE1480)</f>
        <v/>
      </c>
      <c r="T1475" s="12" t="str">
        <f>IF(S1475="","",[1]Inputs_Outputs!$B$8*(1-'LOCH Calc COE Calc'!S1475))</f>
        <v/>
      </c>
      <c r="U1475" s="13" t="str">
        <f t="shared" ref="U1475:U1538" si="116">IF(S1475="","",R1475*T1475*365*$B$19/100)</f>
        <v/>
      </c>
      <c r="V1475" s="13" t="str">
        <f t="shared" ref="V1475:V1538" si="117">IF(S1475="","",(U1475*$B$19)/(($B$28)*$B$19))</f>
        <v/>
      </c>
      <c r="W1475" s="4" t="str">
        <f t="shared" ref="W1475:W1538" si="118">IF(S1475="","",V1475+$C$49+$C$50+$C$51)</f>
        <v/>
      </c>
      <c r="X1475" t="str">
        <f>IF(W1475="","",LOOKUP(_xlfn.CONCAT(P1475,", ",Q1475),'[1]T+S Costs'!$F$2:$F$3138,'[1]T+S Costs'!$N$2:$N$3138))</f>
        <v/>
      </c>
      <c r="Y1475" s="14" t="str">
        <f t="shared" ref="Y1475:Y1538" si="119">IF(X1475="","",((X1475*$B$60/$B$59)*$C$44)/$C$28)</f>
        <v/>
      </c>
      <c r="Z1475" s="4" t="str">
        <f t="shared" ref="Z1475:Z1538" si="120">IF(Y1475="","",W1475+Y1475)</f>
        <v/>
      </c>
    </row>
    <row r="1476" spans="16:26" x14ac:dyDescent="0.25">
      <c r="P1476" s="10" t="str">
        <f>IF('[1]All Data '!AZ1481="","",'[1]All Data '!AZ1481)</f>
        <v/>
      </c>
      <c r="Q1476" s="10" t="str">
        <f>IF('[1]All Data '!BB1481="","",'[1]All Data '!BB1481)</f>
        <v/>
      </c>
      <c r="R1476" s="10" t="str">
        <f>IF('[1]All Data '!BD1481="","",'[1]All Data '!BD1481)</f>
        <v/>
      </c>
      <c r="S1476" s="11" t="str">
        <f>IF(R1476="","",'[1]All Data '!BE1481)</f>
        <v/>
      </c>
      <c r="T1476" s="12" t="str">
        <f>IF(S1476="","",[1]Inputs_Outputs!$B$8*(1-'LOCH Calc COE Calc'!S1476))</f>
        <v/>
      </c>
      <c r="U1476" s="13" t="str">
        <f t="shared" si="116"/>
        <v/>
      </c>
      <c r="V1476" s="13" t="str">
        <f t="shared" si="117"/>
        <v/>
      </c>
      <c r="W1476" s="4" t="str">
        <f t="shared" si="118"/>
        <v/>
      </c>
      <c r="X1476" t="str">
        <f>IF(W1476="","",LOOKUP(_xlfn.CONCAT(P1476,", ",Q1476),'[1]T+S Costs'!$F$2:$F$3138,'[1]T+S Costs'!$N$2:$N$3138))</f>
        <v/>
      </c>
      <c r="Y1476" s="14" t="str">
        <f t="shared" si="119"/>
        <v/>
      </c>
      <c r="Z1476" s="4" t="str">
        <f t="shared" si="120"/>
        <v/>
      </c>
    </row>
    <row r="1477" spans="16:26" x14ac:dyDescent="0.25">
      <c r="P1477" s="10" t="str">
        <f>IF('[1]All Data '!AZ1482="","",'[1]All Data '!AZ1482)</f>
        <v/>
      </c>
      <c r="Q1477" s="10" t="str">
        <f>IF('[1]All Data '!BB1482="","",'[1]All Data '!BB1482)</f>
        <v/>
      </c>
      <c r="R1477" s="10" t="str">
        <f>IF('[1]All Data '!BD1482="","",'[1]All Data '!BD1482)</f>
        <v/>
      </c>
      <c r="S1477" s="11" t="str">
        <f>IF(R1477="","",'[1]All Data '!BE1482)</f>
        <v/>
      </c>
      <c r="T1477" s="12" t="str">
        <f>IF(S1477="","",[1]Inputs_Outputs!$B$8*(1-'LOCH Calc COE Calc'!S1477))</f>
        <v/>
      </c>
      <c r="U1477" s="13" t="str">
        <f t="shared" si="116"/>
        <v/>
      </c>
      <c r="V1477" s="13" t="str">
        <f t="shared" si="117"/>
        <v/>
      </c>
      <c r="W1477" s="4" t="str">
        <f t="shared" si="118"/>
        <v/>
      </c>
      <c r="X1477" t="str">
        <f>IF(W1477="","",LOOKUP(_xlfn.CONCAT(P1477,", ",Q1477),'[1]T+S Costs'!$F$2:$F$3138,'[1]T+S Costs'!$N$2:$N$3138))</f>
        <v/>
      </c>
      <c r="Y1477" s="14" t="str">
        <f t="shared" si="119"/>
        <v/>
      </c>
      <c r="Z1477" s="4" t="str">
        <f t="shared" si="120"/>
        <v/>
      </c>
    </row>
    <row r="1478" spans="16:26" x14ac:dyDescent="0.25">
      <c r="P1478" s="10" t="str">
        <f>IF('[1]All Data '!AZ1483="","",'[1]All Data '!AZ1483)</f>
        <v/>
      </c>
      <c r="Q1478" s="10" t="str">
        <f>IF('[1]All Data '!BB1483="","",'[1]All Data '!BB1483)</f>
        <v/>
      </c>
      <c r="R1478" s="10" t="str">
        <f>IF('[1]All Data '!BD1483="","",'[1]All Data '!BD1483)</f>
        <v/>
      </c>
      <c r="S1478" s="11" t="str">
        <f>IF(R1478="","",'[1]All Data '!BE1483)</f>
        <v/>
      </c>
      <c r="T1478" s="12" t="str">
        <f>IF(S1478="","",[1]Inputs_Outputs!$B$8*(1-'LOCH Calc COE Calc'!S1478))</f>
        <v/>
      </c>
      <c r="U1478" s="13" t="str">
        <f t="shared" si="116"/>
        <v/>
      </c>
      <c r="V1478" s="13" t="str">
        <f t="shared" si="117"/>
        <v/>
      </c>
      <c r="W1478" s="4" t="str">
        <f t="shared" si="118"/>
        <v/>
      </c>
      <c r="X1478" t="str">
        <f>IF(W1478="","",LOOKUP(_xlfn.CONCAT(P1478,", ",Q1478),'[1]T+S Costs'!$F$2:$F$3138,'[1]T+S Costs'!$N$2:$N$3138))</f>
        <v/>
      </c>
      <c r="Y1478" s="14" t="str">
        <f t="shared" si="119"/>
        <v/>
      </c>
      <c r="Z1478" s="4" t="str">
        <f t="shared" si="120"/>
        <v/>
      </c>
    </row>
    <row r="1479" spans="16:26" x14ac:dyDescent="0.25">
      <c r="P1479" s="10" t="str">
        <f>IF('[1]All Data '!AZ1484="","",'[1]All Data '!AZ1484)</f>
        <v/>
      </c>
      <c r="Q1479" s="10" t="str">
        <f>IF('[1]All Data '!BB1484="","",'[1]All Data '!BB1484)</f>
        <v/>
      </c>
      <c r="R1479" s="10" t="str">
        <f>IF('[1]All Data '!BD1484="","",'[1]All Data '!BD1484)</f>
        <v/>
      </c>
      <c r="S1479" s="11" t="str">
        <f>IF(R1479="","",'[1]All Data '!BE1484)</f>
        <v/>
      </c>
      <c r="T1479" s="12" t="str">
        <f>IF(S1479="","",[1]Inputs_Outputs!$B$8*(1-'LOCH Calc COE Calc'!S1479))</f>
        <v/>
      </c>
      <c r="U1479" s="13" t="str">
        <f t="shared" si="116"/>
        <v/>
      </c>
      <c r="V1479" s="13" t="str">
        <f t="shared" si="117"/>
        <v/>
      </c>
      <c r="W1479" s="4" t="str">
        <f t="shared" si="118"/>
        <v/>
      </c>
      <c r="X1479" t="str">
        <f>IF(W1479="","",LOOKUP(_xlfn.CONCAT(P1479,", ",Q1479),'[1]T+S Costs'!$F$2:$F$3138,'[1]T+S Costs'!$N$2:$N$3138))</f>
        <v/>
      </c>
      <c r="Y1479" s="14" t="str">
        <f t="shared" si="119"/>
        <v/>
      </c>
      <c r="Z1479" s="4" t="str">
        <f t="shared" si="120"/>
        <v/>
      </c>
    </row>
    <row r="1480" spans="16:26" x14ac:dyDescent="0.25">
      <c r="P1480" s="10" t="str">
        <f>IF('[1]All Data '!AZ1485="","",'[1]All Data '!AZ1485)</f>
        <v/>
      </c>
      <c r="Q1480" s="10" t="str">
        <f>IF('[1]All Data '!BB1485="","",'[1]All Data '!BB1485)</f>
        <v/>
      </c>
      <c r="R1480" s="10" t="str">
        <f>IF('[1]All Data '!BD1485="","",'[1]All Data '!BD1485)</f>
        <v/>
      </c>
      <c r="S1480" s="11" t="str">
        <f>IF(R1480="","",'[1]All Data '!BE1485)</f>
        <v/>
      </c>
      <c r="T1480" s="12" t="str">
        <f>IF(S1480="","",[1]Inputs_Outputs!$B$8*(1-'LOCH Calc COE Calc'!S1480))</f>
        <v/>
      </c>
      <c r="U1480" s="13" t="str">
        <f t="shared" si="116"/>
        <v/>
      </c>
      <c r="V1480" s="13" t="str">
        <f t="shared" si="117"/>
        <v/>
      </c>
      <c r="W1480" s="4" t="str">
        <f t="shared" si="118"/>
        <v/>
      </c>
      <c r="X1480" t="str">
        <f>IF(W1480="","",LOOKUP(_xlfn.CONCAT(P1480,", ",Q1480),'[1]T+S Costs'!$F$2:$F$3138,'[1]T+S Costs'!$N$2:$N$3138))</f>
        <v/>
      </c>
      <c r="Y1480" s="14" t="str">
        <f t="shared" si="119"/>
        <v/>
      </c>
      <c r="Z1480" s="4" t="str">
        <f t="shared" si="120"/>
        <v/>
      </c>
    </row>
    <row r="1481" spans="16:26" x14ac:dyDescent="0.25">
      <c r="P1481" s="10" t="str">
        <f>IF('[1]All Data '!AZ1486="","",'[1]All Data '!AZ1486)</f>
        <v/>
      </c>
      <c r="Q1481" s="10" t="str">
        <f>IF('[1]All Data '!BB1486="","",'[1]All Data '!BB1486)</f>
        <v/>
      </c>
      <c r="R1481" s="10" t="str">
        <f>IF('[1]All Data '!BD1486="","",'[1]All Data '!BD1486)</f>
        <v/>
      </c>
      <c r="S1481" s="11" t="str">
        <f>IF(R1481="","",'[1]All Data '!BE1486)</f>
        <v/>
      </c>
      <c r="T1481" s="12" t="str">
        <f>IF(S1481="","",[1]Inputs_Outputs!$B$8*(1-'LOCH Calc COE Calc'!S1481))</f>
        <v/>
      </c>
      <c r="U1481" s="13" t="str">
        <f t="shared" si="116"/>
        <v/>
      </c>
      <c r="V1481" s="13" t="str">
        <f t="shared" si="117"/>
        <v/>
      </c>
      <c r="W1481" s="4" t="str">
        <f t="shared" si="118"/>
        <v/>
      </c>
      <c r="X1481" t="str">
        <f>IF(W1481="","",LOOKUP(_xlfn.CONCAT(P1481,", ",Q1481),'[1]T+S Costs'!$F$2:$F$3138,'[1]T+S Costs'!$N$2:$N$3138))</f>
        <v/>
      </c>
      <c r="Y1481" s="14" t="str">
        <f t="shared" si="119"/>
        <v/>
      </c>
      <c r="Z1481" s="4" t="str">
        <f t="shared" si="120"/>
        <v/>
      </c>
    </row>
    <row r="1482" spans="16:26" x14ac:dyDescent="0.25">
      <c r="P1482" s="10" t="str">
        <f>IF('[1]All Data '!AZ1487="","",'[1]All Data '!AZ1487)</f>
        <v/>
      </c>
      <c r="Q1482" s="10" t="str">
        <f>IF('[1]All Data '!BB1487="","",'[1]All Data '!BB1487)</f>
        <v/>
      </c>
      <c r="R1482" s="10" t="str">
        <f>IF('[1]All Data '!BD1487="","",'[1]All Data '!BD1487)</f>
        <v/>
      </c>
      <c r="S1482" s="11" t="str">
        <f>IF(R1482="","",'[1]All Data '!BE1487)</f>
        <v/>
      </c>
      <c r="T1482" s="12" t="str">
        <f>IF(S1482="","",[1]Inputs_Outputs!$B$8*(1-'LOCH Calc COE Calc'!S1482))</f>
        <v/>
      </c>
      <c r="U1482" s="13" t="str">
        <f t="shared" si="116"/>
        <v/>
      </c>
      <c r="V1482" s="13" t="str">
        <f t="shared" si="117"/>
        <v/>
      </c>
      <c r="W1482" s="4" t="str">
        <f t="shared" si="118"/>
        <v/>
      </c>
      <c r="X1482" t="str">
        <f>IF(W1482="","",LOOKUP(_xlfn.CONCAT(P1482,", ",Q1482),'[1]T+S Costs'!$F$2:$F$3138,'[1]T+S Costs'!$N$2:$N$3138))</f>
        <v/>
      </c>
      <c r="Y1482" s="14" t="str">
        <f t="shared" si="119"/>
        <v/>
      </c>
      <c r="Z1482" s="4" t="str">
        <f t="shared" si="120"/>
        <v/>
      </c>
    </row>
    <row r="1483" spans="16:26" x14ac:dyDescent="0.25">
      <c r="P1483" s="10" t="str">
        <f>IF('[1]All Data '!AZ1488="","",'[1]All Data '!AZ1488)</f>
        <v/>
      </c>
      <c r="Q1483" s="10" t="str">
        <f>IF('[1]All Data '!BB1488="","",'[1]All Data '!BB1488)</f>
        <v/>
      </c>
      <c r="R1483" s="10" t="str">
        <f>IF('[1]All Data '!BD1488="","",'[1]All Data '!BD1488)</f>
        <v/>
      </c>
      <c r="S1483" s="11" t="str">
        <f>IF(R1483="","",'[1]All Data '!BE1488)</f>
        <v/>
      </c>
      <c r="T1483" s="12" t="str">
        <f>IF(S1483="","",[1]Inputs_Outputs!$B$8*(1-'LOCH Calc COE Calc'!S1483))</f>
        <v/>
      </c>
      <c r="U1483" s="13" t="str">
        <f t="shared" si="116"/>
        <v/>
      </c>
      <c r="V1483" s="13" t="str">
        <f t="shared" si="117"/>
        <v/>
      </c>
      <c r="W1483" s="4" t="str">
        <f t="shared" si="118"/>
        <v/>
      </c>
      <c r="X1483" t="str">
        <f>IF(W1483="","",LOOKUP(_xlfn.CONCAT(P1483,", ",Q1483),'[1]T+S Costs'!$F$2:$F$3138,'[1]T+S Costs'!$N$2:$N$3138))</f>
        <v/>
      </c>
      <c r="Y1483" s="14" t="str">
        <f t="shared" si="119"/>
        <v/>
      </c>
      <c r="Z1483" s="4" t="str">
        <f t="shared" si="120"/>
        <v/>
      </c>
    </row>
    <row r="1484" spans="16:26" x14ac:dyDescent="0.25">
      <c r="P1484" s="10" t="str">
        <f>IF('[1]All Data '!AZ1489="","",'[1]All Data '!AZ1489)</f>
        <v/>
      </c>
      <c r="Q1484" s="10" t="str">
        <f>IF('[1]All Data '!BB1489="","",'[1]All Data '!BB1489)</f>
        <v/>
      </c>
      <c r="R1484" s="10" t="str">
        <f>IF('[1]All Data '!BD1489="","",'[1]All Data '!BD1489)</f>
        <v/>
      </c>
      <c r="S1484" s="11" t="str">
        <f>IF(R1484="","",'[1]All Data '!BE1489)</f>
        <v/>
      </c>
      <c r="T1484" s="12" t="str">
        <f>IF(S1484="","",[1]Inputs_Outputs!$B$8*(1-'LOCH Calc COE Calc'!S1484))</f>
        <v/>
      </c>
      <c r="U1484" s="13" t="str">
        <f t="shared" si="116"/>
        <v/>
      </c>
      <c r="V1484" s="13" t="str">
        <f t="shared" si="117"/>
        <v/>
      </c>
      <c r="W1484" s="4" t="str">
        <f t="shared" si="118"/>
        <v/>
      </c>
      <c r="X1484" t="str">
        <f>IF(W1484="","",LOOKUP(_xlfn.CONCAT(P1484,", ",Q1484),'[1]T+S Costs'!$F$2:$F$3138,'[1]T+S Costs'!$N$2:$N$3138))</f>
        <v/>
      </c>
      <c r="Y1484" s="14" t="str">
        <f t="shared" si="119"/>
        <v/>
      </c>
      <c r="Z1484" s="4" t="str">
        <f t="shared" si="120"/>
        <v/>
      </c>
    </row>
    <row r="1485" spans="16:26" x14ac:dyDescent="0.25">
      <c r="P1485" s="10" t="str">
        <f>IF('[1]All Data '!AZ1490="","",'[1]All Data '!AZ1490)</f>
        <v/>
      </c>
      <c r="Q1485" s="10" t="str">
        <f>IF('[1]All Data '!BB1490="","",'[1]All Data '!BB1490)</f>
        <v/>
      </c>
      <c r="R1485" s="10" t="str">
        <f>IF('[1]All Data '!BD1490="","",'[1]All Data '!BD1490)</f>
        <v/>
      </c>
      <c r="S1485" s="11" t="str">
        <f>IF(R1485="","",'[1]All Data '!BE1490)</f>
        <v/>
      </c>
      <c r="T1485" s="12" t="str">
        <f>IF(S1485="","",[1]Inputs_Outputs!$B$8*(1-'LOCH Calc COE Calc'!S1485))</f>
        <v/>
      </c>
      <c r="U1485" s="13" t="str">
        <f t="shared" si="116"/>
        <v/>
      </c>
      <c r="V1485" s="13" t="str">
        <f t="shared" si="117"/>
        <v/>
      </c>
      <c r="W1485" s="4" t="str">
        <f t="shared" si="118"/>
        <v/>
      </c>
      <c r="X1485" t="str">
        <f>IF(W1485="","",LOOKUP(_xlfn.CONCAT(P1485,", ",Q1485),'[1]T+S Costs'!$F$2:$F$3138,'[1]T+S Costs'!$N$2:$N$3138))</f>
        <v/>
      </c>
      <c r="Y1485" s="14" t="str">
        <f t="shared" si="119"/>
        <v/>
      </c>
      <c r="Z1485" s="4" t="str">
        <f t="shared" si="120"/>
        <v/>
      </c>
    </row>
    <row r="1486" spans="16:26" x14ac:dyDescent="0.25">
      <c r="P1486" s="10" t="str">
        <f>IF('[1]All Data '!AZ1491="","",'[1]All Data '!AZ1491)</f>
        <v/>
      </c>
      <c r="Q1486" s="10" t="str">
        <f>IF('[1]All Data '!BB1491="","",'[1]All Data '!BB1491)</f>
        <v/>
      </c>
      <c r="R1486" s="10" t="str">
        <f>IF('[1]All Data '!BD1491="","",'[1]All Data '!BD1491)</f>
        <v/>
      </c>
      <c r="S1486" s="11" t="str">
        <f>IF(R1486="","",'[1]All Data '!BE1491)</f>
        <v/>
      </c>
      <c r="T1486" s="12" t="str">
        <f>IF(S1486="","",[1]Inputs_Outputs!$B$8*(1-'LOCH Calc COE Calc'!S1486))</f>
        <v/>
      </c>
      <c r="U1486" s="13" t="str">
        <f t="shared" si="116"/>
        <v/>
      </c>
      <c r="V1486" s="13" t="str">
        <f t="shared" si="117"/>
        <v/>
      </c>
      <c r="W1486" s="4" t="str">
        <f t="shared" si="118"/>
        <v/>
      </c>
      <c r="X1486" t="str">
        <f>IF(W1486="","",LOOKUP(_xlfn.CONCAT(P1486,", ",Q1486),'[1]T+S Costs'!$F$2:$F$3138,'[1]T+S Costs'!$N$2:$N$3138))</f>
        <v/>
      </c>
      <c r="Y1486" s="14" t="str">
        <f t="shared" si="119"/>
        <v/>
      </c>
      <c r="Z1486" s="4" t="str">
        <f t="shared" si="120"/>
        <v/>
      </c>
    </row>
    <row r="1487" spans="16:26" x14ac:dyDescent="0.25">
      <c r="P1487" s="10" t="str">
        <f>IF('[1]All Data '!AZ1492="","",'[1]All Data '!AZ1492)</f>
        <v/>
      </c>
      <c r="Q1487" s="10" t="str">
        <f>IF('[1]All Data '!BB1492="","",'[1]All Data '!BB1492)</f>
        <v/>
      </c>
      <c r="R1487" s="10" t="str">
        <f>IF('[1]All Data '!BD1492="","",'[1]All Data '!BD1492)</f>
        <v/>
      </c>
      <c r="S1487" s="11" t="str">
        <f>IF(R1487="","",'[1]All Data '!BE1492)</f>
        <v/>
      </c>
      <c r="T1487" s="12" t="str">
        <f>IF(S1487="","",[1]Inputs_Outputs!$B$8*(1-'LOCH Calc COE Calc'!S1487))</f>
        <v/>
      </c>
      <c r="U1487" s="13" t="str">
        <f t="shared" si="116"/>
        <v/>
      </c>
      <c r="V1487" s="13" t="str">
        <f t="shared" si="117"/>
        <v/>
      </c>
      <c r="W1487" s="4" t="str">
        <f t="shared" si="118"/>
        <v/>
      </c>
      <c r="X1487" t="str">
        <f>IF(W1487="","",LOOKUP(_xlfn.CONCAT(P1487,", ",Q1487),'[1]T+S Costs'!$F$2:$F$3138,'[1]T+S Costs'!$N$2:$N$3138))</f>
        <v/>
      </c>
      <c r="Y1487" s="14" t="str">
        <f t="shared" si="119"/>
        <v/>
      </c>
      <c r="Z1487" s="4" t="str">
        <f t="shared" si="120"/>
        <v/>
      </c>
    </row>
    <row r="1488" spans="16:26" x14ac:dyDescent="0.25">
      <c r="P1488" s="10" t="str">
        <f>IF('[1]All Data '!AZ1493="","",'[1]All Data '!AZ1493)</f>
        <v/>
      </c>
      <c r="Q1488" s="10" t="str">
        <f>IF('[1]All Data '!BB1493="","",'[1]All Data '!BB1493)</f>
        <v/>
      </c>
      <c r="R1488" s="10" t="str">
        <f>IF('[1]All Data '!BD1493="","",'[1]All Data '!BD1493)</f>
        <v/>
      </c>
      <c r="S1488" s="11" t="str">
        <f>IF(R1488="","",'[1]All Data '!BE1493)</f>
        <v/>
      </c>
      <c r="T1488" s="12" t="str">
        <f>IF(S1488="","",[1]Inputs_Outputs!$B$8*(1-'LOCH Calc COE Calc'!S1488))</f>
        <v/>
      </c>
      <c r="U1488" s="13" t="str">
        <f t="shared" si="116"/>
        <v/>
      </c>
      <c r="V1488" s="13" t="str">
        <f t="shared" si="117"/>
        <v/>
      </c>
      <c r="W1488" s="4" t="str">
        <f t="shared" si="118"/>
        <v/>
      </c>
      <c r="X1488" t="str">
        <f>IF(W1488="","",LOOKUP(_xlfn.CONCAT(P1488,", ",Q1488),'[1]T+S Costs'!$F$2:$F$3138,'[1]T+S Costs'!$N$2:$N$3138))</f>
        <v/>
      </c>
      <c r="Y1488" s="14" t="str">
        <f t="shared" si="119"/>
        <v/>
      </c>
      <c r="Z1488" s="4" t="str">
        <f t="shared" si="120"/>
        <v/>
      </c>
    </row>
    <row r="1489" spans="16:26" x14ac:dyDescent="0.25">
      <c r="P1489" s="10" t="str">
        <f>IF('[1]All Data '!AZ1494="","",'[1]All Data '!AZ1494)</f>
        <v/>
      </c>
      <c r="Q1489" s="10" t="str">
        <f>IF('[1]All Data '!BB1494="","",'[1]All Data '!BB1494)</f>
        <v/>
      </c>
      <c r="R1489" s="10" t="str">
        <f>IF('[1]All Data '!BD1494="","",'[1]All Data '!BD1494)</f>
        <v/>
      </c>
      <c r="S1489" s="11" t="str">
        <f>IF(R1489="","",'[1]All Data '!BE1494)</f>
        <v/>
      </c>
      <c r="T1489" s="12" t="str">
        <f>IF(S1489="","",[1]Inputs_Outputs!$B$8*(1-'LOCH Calc COE Calc'!S1489))</f>
        <v/>
      </c>
      <c r="U1489" s="13" t="str">
        <f t="shared" si="116"/>
        <v/>
      </c>
      <c r="V1489" s="13" t="str">
        <f t="shared" si="117"/>
        <v/>
      </c>
      <c r="W1489" s="4" t="str">
        <f t="shared" si="118"/>
        <v/>
      </c>
      <c r="X1489" t="str">
        <f>IF(W1489="","",LOOKUP(_xlfn.CONCAT(P1489,", ",Q1489),'[1]T+S Costs'!$F$2:$F$3138,'[1]T+S Costs'!$N$2:$N$3138))</f>
        <v/>
      </c>
      <c r="Y1489" s="14" t="str">
        <f t="shared" si="119"/>
        <v/>
      </c>
      <c r="Z1489" s="4" t="str">
        <f t="shared" si="120"/>
        <v/>
      </c>
    </row>
    <row r="1490" spans="16:26" x14ac:dyDescent="0.25">
      <c r="P1490" s="10" t="str">
        <f>IF('[1]All Data '!AZ1495="","",'[1]All Data '!AZ1495)</f>
        <v/>
      </c>
      <c r="Q1490" s="10" t="str">
        <f>IF('[1]All Data '!BB1495="","",'[1]All Data '!BB1495)</f>
        <v/>
      </c>
      <c r="R1490" s="10" t="str">
        <f>IF('[1]All Data '!BD1495="","",'[1]All Data '!BD1495)</f>
        <v/>
      </c>
      <c r="S1490" s="11" t="str">
        <f>IF(R1490="","",'[1]All Data '!BE1495)</f>
        <v/>
      </c>
      <c r="T1490" s="12" t="str">
        <f>IF(S1490="","",[1]Inputs_Outputs!$B$8*(1-'LOCH Calc COE Calc'!S1490))</f>
        <v/>
      </c>
      <c r="U1490" s="13" t="str">
        <f t="shared" si="116"/>
        <v/>
      </c>
      <c r="V1490" s="13" t="str">
        <f t="shared" si="117"/>
        <v/>
      </c>
      <c r="W1490" s="4" t="str">
        <f t="shared" si="118"/>
        <v/>
      </c>
      <c r="X1490" t="str">
        <f>IF(W1490="","",LOOKUP(_xlfn.CONCAT(P1490,", ",Q1490),'[1]T+S Costs'!$F$2:$F$3138,'[1]T+S Costs'!$N$2:$N$3138))</f>
        <v/>
      </c>
      <c r="Y1490" s="14" t="str">
        <f t="shared" si="119"/>
        <v/>
      </c>
      <c r="Z1490" s="4" t="str">
        <f t="shared" si="120"/>
        <v/>
      </c>
    </row>
    <row r="1491" spans="16:26" x14ac:dyDescent="0.25">
      <c r="P1491" s="10" t="str">
        <f>IF('[1]All Data '!AZ1496="","",'[1]All Data '!AZ1496)</f>
        <v/>
      </c>
      <c r="Q1491" s="10" t="str">
        <f>IF('[1]All Data '!BB1496="","",'[1]All Data '!BB1496)</f>
        <v/>
      </c>
      <c r="R1491" s="10" t="str">
        <f>IF('[1]All Data '!BD1496="","",'[1]All Data '!BD1496)</f>
        <v/>
      </c>
      <c r="S1491" s="11" t="str">
        <f>IF(R1491="","",'[1]All Data '!BE1496)</f>
        <v/>
      </c>
      <c r="T1491" s="12" t="str">
        <f>IF(S1491="","",[1]Inputs_Outputs!$B$8*(1-'LOCH Calc COE Calc'!S1491))</f>
        <v/>
      </c>
      <c r="U1491" s="13" t="str">
        <f t="shared" si="116"/>
        <v/>
      </c>
      <c r="V1491" s="13" t="str">
        <f t="shared" si="117"/>
        <v/>
      </c>
      <c r="W1491" s="4" t="str">
        <f t="shared" si="118"/>
        <v/>
      </c>
      <c r="X1491" t="str">
        <f>IF(W1491="","",LOOKUP(_xlfn.CONCAT(P1491,", ",Q1491),'[1]T+S Costs'!$F$2:$F$3138,'[1]T+S Costs'!$N$2:$N$3138))</f>
        <v/>
      </c>
      <c r="Y1491" s="14" t="str">
        <f t="shared" si="119"/>
        <v/>
      </c>
      <c r="Z1491" s="4" t="str">
        <f t="shared" si="120"/>
        <v/>
      </c>
    </row>
    <row r="1492" spans="16:26" x14ac:dyDescent="0.25">
      <c r="P1492" s="10" t="str">
        <f>IF('[1]All Data '!AZ1497="","",'[1]All Data '!AZ1497)</f>
        <v/>
      </c>
      <c r="Q1492" s="10" t="str">
        <f>IF('[1]All Data '!BB1497="","",'[1]All Data '!BB1497)</f>
        <v/>
      </c>
      <c r="R1492" s="10" t="str">
        <f>IF('[1]All Data '!BD1497="","",'[1]All Data '!BD1497)</f>
        <v/>
      </c>
      <c r="S1492" s="11" t="str">
        <f>IF(R1492="","",'[1]All Data '!BE1497)</f>
        <v/>
      </c>
      <c r="T1492" s="12" t="str">
        <f>IF(S1492="","",[1]Inputs_Outputs!$B$8*(1-'LOCH Calc COE Calc'!S1492))</f>
        <v/>
      </c>
      <c r="U1492" s="13" t="str">
        <f t="shared" si="116"/>
        <v/>
      </c>
      <c r="V1492" s="13" t="str">
        <f t="shared" si="117"/>
        <v/>
      </c>
      <c r="W1492" s="4" t="str">
        <f t="shared" si="118"/>
        <v/>
      </c>
      <c r="X1492" t="str">
        <f>IF(W1492="","",LOOKUP(_xlfn.CONCAT(P1492,", ",Q1492),'[1]T+S Costs'!$F$2:$F$3138,'[1]T+S Costs'!$N$2:$N$3138))</f>
        <v/>
      </c>
      <c r="Y1492" s="14" t="str">
        <f t="shared" si="119"/>
        <v/>
      </c>
      <c r="Z1492" s="4" t="str">
        <f t="shared" si="120"/>
        <v/>
      </c>
    </row>
    <row r="1493" spans="16:26" x14ac:dyDescent="0.25">
      <c r="P1493" s="10" t="str">
        <f>IF('[1]All Data '!AZ1498="","",'[1]All Data '!AZ1498)</f>
        <v/>
      </c>
      <c r="Q1493" s="10" t="str">
        <f>IF('[1]All Data '!BB1498="","",'[1]All Data '!BB1498)</f>
        <v/>
      </c>
      <c r="R1493" s="10" t="str">
        <f>IF('[1]All Data '!BD1498="","",'[1]All Data '!BD1498)</f>
        <v/>
      </c>
      <c r="S1493" s="11" t="str">
        <f>IF(R1493="","",'[1]All Data '!BE1498)</f>
        <v/>
      </c>
      <c r="T1493" s="12" t="str">
        <f>IF(S1493="","",[1]Inputs_Outputs!$B$8*(1-'LOCH Calc COE Calc'!S1493))</f>
        <v/>
      </c>
      <c r="U1493" s="13" t="str">
        <f t="shared" si="116"/>
        <v/>
      </c>
      <c r="V1493" s="13" t="str">
        <f t="shared" si="117"/>
        <v/>
      </c>
      <c r="W1493" s="4" t="str">
        <f t="shared" si="118"/>
        <v/>
      </c>
      <c r="X1493" t="str">
        <f>IF(W1493="","",LOOKUP(_xlfn.CONCAT(P1493,", ",Q1493),'[1]T+S Costs'!$F$2:$F$3138,'[1]T+S Costs'!$N$2:$N$3138))</f>
        <v/>
      </c>
      <c r="Y1493" s="14" t="str">
        <f t="shared" si="119"/>
        <v/>
      </c>
      <c r="Z1493" s="4" t="str">
        <f t="shared" si="120"/>
        <v/>
      </c>
    </row>
    <row r="1494" spans="16:26" x14ac:dyDescent="0.25">
      <c r="P1494" s="10" t="str">
        <f>IF('[1]All Data '!AZ1499="","",'[1]All Data '!AZ1499)</f>
        <v/>
      </c>
      <c r="Q1494" s="10" t="str">
        <f>IF('[1]All Data '!BB1499="","",'[1]All Data '!BB1499)</f>
        <v/>
      </c>
      <c r="R1494" s="10" t="str">
        <f>IF('[1]All Data '!BD1499="","",'[1]All Data '!BD1499)</f>
        <v/>
      </c>
      <c r="S1494" s="11" t="str">
        <f>IF(R1494="","",'[1]All Data '!BE1499)</f>
        <v/>
      </c>
      <c r="T1494" s="12" t="str">
        <f>IF(S1494="","",[1]Inputs_Outputs!$B$8*(1-'LOCH Calc COE Calc'!S1494))</f>
        <v/>
      </c>
      <c r="U1494" s="13" t="str">
        <f t="shared" si="116"/>
        <v/>
      </c>
      <c r="V1494" s="13" t="str">
        <f t="shared" si="117"/>
        <v/>
      </c>
      <c r="W1494" s="4" t="str">
        <f t="shared" si="118"/>
        <v/>
      </c>
      <c r="X1494" t="str">
        <f>IF(W1494="","",LOOKUP(_xlfn.CONCAT(P1494,", ",Q1494),'[1]T+S Costs'!$F$2:$F$3138,'[1]T+S Costs'!$N$2:$N$3138))</f>
        <v/>
      </c>
      <c r="Y1494" s="14" t="str">
        <f t="shared" si="119"/>
        <v/>
      </c>
      <c r="Z1494" s="4" t="str">
        <f t="shared" si="120"/>
        <v/>
      </c>
    </row>
    <row r="1495" spans="16:26" x14ac:dyDescent="0.25">
      <c r="P1495" s="10" t="str">
        <f>IF('[1]All Data '!AZ1500="","",'[1]All Data '!AZ1500)</f>
        <v/>
      </c>
      <c r="Q1495" s="10" t="str">
        <f>IF('[1]All Data '!BB1500="","",'[1]All Data '!BB1500)</f>
        <v/>
      </c>
      <c r="R1495" s="10" t="str">
        <f>IF('[1]All Data '!BD1500="","",'[1]All Data '!BD1500)</f>
        <v/>
      </c>
      <c r="S1495" s="11" t="str">
        <f>IF(R1495="","",'[1]All Data '!BE1500)</f>
        <v/>
      </c>
      <c r="T1495" s="12" t="str">
        <f>IF(S1495="","",[1]Inputs_Outputs!$B$8*(1-'LOCH Calc COE Calc'!S1495))</f>
        <v/>
      </c>
      <c r="U1495" s="13" t="str">
        <f t="shared" si="116"/>
        <v/>
      </c>
      <c r="V1495" s="13" t="str">
        <f t="shared" si="117"/>
        <v/>
      </c>
      <c r="W1495" s="4" t="str">
        <f t="shared" si="118"/>
        <v/>
      </c>
      <c r="X1495" t="str">
        <f>IF(W1495="","",LOOKUP(_xlfn.CONCAT(P1495,", ",Q1495),'[1]T+S Costs'!$F$2:$F$3138,'[1]T+S Costs'!$N$2:$N$3138))</f>
        <v/>
      </c>
      <c r="Y1495" s="14" t="str">
        <f t="shared" si="119"/>
        <v/>
      </c>
      <c r="Z1495" s="4" t="str">
        <f t="shared" si="120"/>
        <v/>
      </c>
    </row>
    <row r="1496" spans="16:26" x14ac:dyDescent="0.25">
      <c r="P1496" s="10" t="str">
        <f>IF('[1]All Data '!AZ1501="","",'[1]All Data '!AZ1501)</f>
        <v/>
      </c>
      <c r="Q1496" s="10" t="str">
        <f>IF('[1]All Data '!BB1501="","",'[1]All Data '!BB1501)</f>
        <v/>
      </c>
      <c r="R1496" s="10" t="str">
        <f>IF('[1]All Data '!BD1501="","",'[1]All Data '!BD1501)</f>
        <v/>
      </c>
      <c r="S1496" s="11" t="str">
        <f>IF(R1496="","",'[1]All Data '!BE1501)</f>
        <v/>
      </c>
      <c r="T1496" s="12" t="str">
        <f>IF(S1496="","",[1]Inputs_Outputs!$B$8*(1-'LOCH Calc COE Calc'!S1496))</f>
        <v/>
      </c>
      <c r="U1496" s="13" t="str">
        <f t="shared" si="116"/>
        <v/>
      </c>
      <c r="V1496" s="13" t="str">
        <f t="shared" si="117"/>
        <v/>
      </c>
      <c r="W1496" s="4" t="str">
        <f t="shared" si="118"/>
        <v/>
      </c>
      <c r="X1496" t="str">
        <f>IF(W1496="","",LOOKUP(_xlfn.CONCAT(P1496,", ",Q1496),'[1]T+S Costs'!$F$2:$F$3138,'[1]T+S Costs'!$N$2:$N$3138))</f>
        <v/>
      </c>
      <c r="Y1496" s="14" t="str">
        <f t="shared" si="119"/>
        <v/>
      </c>
      <c r="Z1496" s="4" t="str">
        <f t="shared" si="120"/>
        <v/>
      </c>
    </row>
    <row r="1497" spans="16:26" x14ac:dyDescent="0.25">
      <c r="P1497" s="10" t="str">
        <f>IF('[1]All Data '!AZ1502="","",'[1]All Data '!AZ1502)</f>
        <v/>
      </c>
      <c r="Q1497" s="10" t="str">
        <f>IF('[1]All Data '!BB1502="","",'[1]All Data '!BB1502)</f>
        <v/>
      </c>
      <c r="R1497" s="10" t="str">
        <f>IF('[1]All Data '!BD1502="","",'[1]All Data '!BD1502)</f>
        <v/>
      </c>
      <c r="S1497" s="11" t="str">
        <f>IF(R1497="","",'[1]All Data '!BE1502)</f>
        <v/>
      </c>
      <c r="T1497" s="12" t="str">
        <f>IF(S1497="","",[1]Inputs_Outputs!$B$8*(1-'LOCH Calc COE Calc'!S1497))</f>
        <v/>
      </c>
      <c r="U1497" s="13" t="str">
        <f t="shared" si="116"/>
        <v/>
      </c>
      <c r="V1497" s="13" t="str">
        <f t="shared" si="117"/>
        <v/>
      </c>
      <c r="W1497" s="4" t="str">
        <f t="shared" si="118"/>
        <v/>
      </c>
      <c r="X1497" t="str">
        <f>IF(W1497="","",LOOKUP(_xlfn.CONCAT(P1497,", ",Q1497),'[1]T+S Costs'!$F$2:$F$3138,'[1]T+S Costs'!$N$2:$N$3138))</f>
        <v/>
      </c>
      <c r="Y1497" s="14" t="str">
        <f t="shared" si="119"/>
        <v/>
      </c>
      <c r="Z1497" s="4" t="str">
        <f t="shared" si="120"/>
        <v/>
      </c>
    </row>
    <row r="1498" spans="16:26" x14ac:dyDescent="0.25">
      <c r="P1498" s="10" t="str">
        <f>IF('[1]All Data '!AZ1503="","",'[1]All Data '!AZ1503)</f>
        <v/>
      </c>
      <c r="Q1498" s="10" t="str">
        <f>IF('[1]All Data '!BB1503="","",'[1]All Data '!BB1503)</f>
        <v/>
      </c>
      <c r="R1498" s="10" t="str">
        <f>IF('[1]All Data '!BD1503="","",'[1]All Data '!BD1503)</f>
        <v/>
      </c>
      <c r="S1498" s="11" t="str">
        <f>IF(R1498="","",'[1]All Data '!BE1503)</f>
        <v/>
      </c>
      <c r="T1498" s="12" t="str">
        <f>IF(S1498="","",[1]Inputs_Outputs!$B$8*(1-'LOCH Calc COE Calc'!S1498))</f>
        <v/>
      </c>
      <c r="U1498" s="13" t="str">
        <f t="shared" si="116"/>
        <v/>
      </c>
      <c r="V1498" s="13" t="str">
        <f t="shared" si="117"/>
        <v/>
      </c>
      <c r="W1498" s="4" t="str">
        <f t="shared" si="118"/>
        <v/>
      </c>
      <c r="X1498" t="str">
        <f>IF(W1498="","",LOOKUP(_xlfn.CONCAT(P1498,", ",Q1498),'[1]T+S Costs'!$F$2:$F$3138,'[1]T+S Costs'!$N$2:$N$3138))</f>
        <v/>
      </c>
      <c r="Y1498" s="14" t="str">
        <f t="shared" si="119"/>
        <v/>
      </c>
      <c r="Z1498" s="4" t="str">
        <f t="shared" si="120"/>
        <v/>
      </c>
    </row>
    <row r="1499" spans="16:26" x14ac:dyDescent="0.25">
      <c r="P1499" s="10" t="str">
        <f>IF('[1]All Data '!AZ1504="","",'[1]All Data '!AZ1504)</f>
        <v/>
      </c>
      <c r="Q1499" s="10" t="str">
        <f>IF('[1]All Data '!BB1504="","",'[1]All Data '!BB1504)</f>
        <v/>
      </c>
      <c r="R1499" s="10" t="str">
        <f>IF('[1]All Data '!BD1504="","",'[1]All Data '!BD1504)</f>
        <v/>
      </c>
      <c r="S1499" s="11" t="str">
        <f>IF(R1499="","",'[1]All Data '!BE1504)</f>
        <v/>
      </c>
      <c r="T1499" s="12" t="str">
        <f>IF(S1499="","",[1]Inputs_Outputs!$B$8*(1-'LOCH Calc COE Calc'!S1499))</f>
        <v/>
      </c>
      <c r="U1499" s="13" t="str">
        <f t="shared" si="116"/>
        <v/>
      </c>
      <c r="V1499" s="13" t="str">
        <f t="shared" si="117"/>
        <v/>
      </c>
      <c r="W1499" s="4" t="str">
        <f t="shared" si="118"/>
        <v/>
      </c>
      <c r="X1499" t="str">
        <f>IF(W1499="","",LOOKUP(_xlfn.CONCAT(P1499,", ",Q1499),'[1]T+S Costs'!$F$2:$F$3138,'[1]T+S Costs'!$N$2:$N$3138))</f>
        <v/>
      </c>
      <c r="Y1499" s="14" t="str">
        <f t="shared" si="119"/>
        <v/>
      </c>
      <c r="Z1499" s="4" t="str">
        <f t="shared" si="120"/>
        <v/>
      </c>
    </row>
    <row r="1500" spans="16:26" x14ac:dyDescent="0.25">
      <c r="P1500" s="10" t="str">
        <f>IF('[1]All Data '!AZ1505="","",'[1]All Data '!AZ1505)</f>
        <v/>
      </c>
      <c r="Q1500" s="10" t="str">
        <f>IF('[1]All Data '!BB1505="","",'[1]All Data '!BB1505)</f>
        <v/>
      </c>
      <c r="R1500" s="10" t="str">
        <f>IF('[1]All Data '!BD1505="","",'[1]All Data '!BD1505)</f>
        <v/>
      </c>
      <c r="S1500" s="11" t="str">
        <f>IF(R1500="","",'[1]All Data '!BE1505)</f>
        <v/>
      </c>
      <c r="T1500" s="12" t="str">
        <f>IF(S1500="","",[1]Inputs_Outputs!$B$8*(1-'LOCH Calc COE Calc'!S1500))</f>
        <v/>
      </c>
      <c r="U1500" s="13" t="str">
        <f t="shared" si="116"/>
        <v/>
      </c>
      <c r="V1500" s="13" t="str">
        <f t="shared" si="117"/>
        <v/>
      </c>
      <c r="W1500" s="4" t="str">
        <f t="shared" si="118"/>
        <v/>
      </c>
      <c r="X1500" t="str">
        <f>IF(W1500="","",LOOKUP(_xlfn.CONCAT(P1500,", ",Q1500),'[1]T+S Costs'!$F$2:$F$3138,'[1]T+S Costs'!$N$2:$N$3138))</f>
        <v/>
      </c>
      <c r="Y1500" s="14" t="str">
        <f t="shared" si="119"/>
        <v/>
      </c>
      <c r="Z1500" s="4" t="str">
        <f t="shared" si="120"/>
        <v/>
      </c>
    </row>
    <row r="1501" spans="16:26" x14ac:dyDescent="0.25">
      <c r="P1501" s="10" t="str">
        <f>IF('[1]All Data '!AZ1506="","",'[1]All Data '!AZ1506)</f>
        <v/>
      </c>
      <c r="Q1501" s="10" t="str">
        <f>IF('[1]All Data '!BB1506="","",'[1]All Data '!BB1506)</f>
        <v/>
      </c>
      <c r="R1501" s="10" t="str">
        <f>IF('[1]All Data '!BD1506="","",'[1]All Data '!BD1506)</f>
        <v/>
      </c>
      <c r="S1501" s="11" t="str">
        <f>IF(R1501="","",'[1]All Data '!BE1506)</f>
        <v/>
      </c>
      <c r="T1501" s="12" t="str">
        <f>IF(S1501="","",[1]Inputs_Outputs!$B$8*(1-'LOCH Calc COE Calc'!S1501))</f>
        <v/>
      </c>
      <c r="U1501" s="13" t="str">
        <f t="shared" si="116"/>
        <v/>
      </c>
      <c r="V1501" s="13" t="str">
        <f t="shared" si="117"/>
        <v/>
      </c>
      <c r="W1501" s="4" t="str">
        <f t="shared" si="118"/>
        <v/>
      </c>
      <c r="X1501" t="str">
        <f>IF(W1501="","",LOOKUP(_xlfn.CONCAT(P1501,", ",Q1501),'[1]T+S Costs'!$F$2:$F$3138,'[1]T+S Costs'!$N$2:$N$3138))</f>
        <v/>
      </c>
      <c r="Y1501" s="14" t="str">
        <f t="shared" si="119"/>
        <v/>
      </c>
      <c r="Z1501" s="4" t="str">
        <f t="shared" si="120"/>
        <v/>
      </c>
    </row>
    <row r="1502" spans="16:26" x14ac:dyDescent="0.25">
      <c r="P1502" s="10" t="str">
        <f>IF('[1]All Data '!AZ1507="","",'[1]All Data '!AZ1507)</f>
        <v/>
      </c>
      <c r="Q1502" s="10" t="str">
        <f>IF('[1]All Data '!BB1507="","",'[1]All Data '!BB1507)</f>
        <v/>
      </c>
      <c r="R1502" s="10" t="str">
        <f>IF('[1]All Data '!BD1507="","",'[1]All Data '!BD1507)</f>
        <v/>
      </c>
      <c r="S1502" s="11" t="str">
        <f>IF(R1502="","",'[1]All Data '!BE1507)</f>
        <v/>
      </c>
      <c r="T1502" s="12" t="str">
        <f>IF(S1502="","",[1]Inputs_Outputs!$B$8*(1-'LOCH Calc COE Calc'!S1502))</f>
        <v/>
      </c>
      <c r="U1502" s="13" t="str">
        <f t="shared" si="116"/>
        <v/>
      </c>
      <c r="V1502" s="13" t="str">
        <f t="shared" si="117"/>
        <v/>
      </c>
      <c r="W1502" s="4" t="str">
        <f t="shared" si="118"/>
        <v/>
      </c>
      <c r="X1502" t="str">
        <f>IF(W1502="","",LOOKUP(_xlfn.CONCAT(P1502,", ",Q1502),'[1]T+S Costs'!$F$2:$F$3138,'[1]T+S Costs'!$N$2:$N$3138))</f>
        <v/>
      </c>
      <c r="Y1502" s="14" t="str">
        <f t="shared" si="119"/>
        <v/>
      </c>
      <c r="Z1502" s="4" t="str">
        <f t="shared" si="120"/>
        <v/>
      </c>
    </row>
    <row r="1503" spans="16:26" x14ac:dyDescent="0.25">
      <c r="P1503" s="10" t="str">
        <f>IF('[1]All Data '!AZ1508="","",'[1]All Data '!AZ1508)</f>
        <v/>
      </c>
      <c r="Q1503" s="10" t="str">
        <f>IF('[1]All Data '!BB1508="","",'[1]All Data '!BB1508)</f>
        <v/>
      </c>
      <c r="R1503" s="10" t="str">
        <f>IF('[1]All Data '!BD1508="","",'[1]All Data '!BD1508)</f>
        <v/>
      </c>
      <c r="S1503" s="11" t="str">
        <f>IF(R1503="","",'[1]All Data '!BE1508)</f>
        <v/>
      </c>
      <c r="T1503" s="12" t="str">
        <f>IF(S1503="","",[1]Inputs_Outputs!$B$8*(1-'LOCH Calc COE Calc'!S1503))</f>
        <v/>
      </c>
      <c r="U1503" s="13" t="str">
        <f t="shared" si="116"/>
        <v/>
      </c>
      <c r="V1503" s="13" t="str">
        <f t="shared" si="117"/>
        <v/>
      </c>
      <c r="W1503" s="4" t="str">
        <f t="shared" si="118"/>
        <v/>
      </c>
      <c r="X1503" t="str">
        <f>IF(W1503="","",LOOKUP(_xlfn.CONCAT(P1503,", ",Q1503),'[1]T+S Costs'!$F$2:$F$3138,'[1]T+S Costs'!$N$2:$N$3138))</f>
        <v/>
      </c>
      <c r="Y1503" s="14" t="str">
        <f t="shared" si="119"/>
        <v/>
      </c>
      <c r="Z1503" s="4" t="str">
        <f t="shared" si="120"/>
        <v/>
      </c>
    </row>
    <row r="1504" spans="16:26" x14ac:dyDescent="0.25">
      <c r="P1504" s="10" t="str">
        <f>IF('[1]All Data '!AZ1509="","",'[1]All Data '!AZ1509)</f>
        <v/>
      </c>
      <c r="Q1504" s="10" t="str">
        <f>IF('[1]All Data '!BB1509="","",'[1]All Data '!BB1509)</f>
        <v/>
      </c>
      <c r="R1504" s="10" t="str">
        <f>IF('[1]All Data '!BD1509="","",'[1]All Data '!BD1509)</f>
        <v/>
      </c>
      <c r="S1504" s="11" t="str">
        <f>IF(R1504="","",'[1]All Data '!BE1509)</f>
        <v/>
      </c>
      <c r="T1504" s="12" t="str">
        <f>IF(S1504="","",[1]Inputs_Outputs!$B$8*(1-'LOCH Calc COE Calc'!S1504))</f>
        <v/>
      </c>
      <c r="U1504" s="13" t="str">
        <f t="shared" si="116"/>
        <v/>
      </c>
      <c r="V1504" s="13" t="str">
        <f t="shared" si="117"/>
        <v/>
      </c>
      <c r="W1504" s="4" t="str">
        <f t="shared" si="118"/>
        <v/>
      </c>
      <c r="X1504" t="str">
        <f>IF(W1504="","",LOOKUP(_xlfn.CONCAT(P1504,", ",Q1504),'[1]T+S Costs'!$F$2:$F$3138,'[1]T+S Costs'!$N$2:$N$3138))</f>
        <v/>
      </c>
      <c r="Y1504" s="14" t="str">
        <f t="shared" si="119"/>
        <v/>
      </c>
      <c r="Z1504" s="4" t="str">
        <f t="shared" si="120"/>
        <v/>
      </c>
    </row>
    <row r="1505" spans="16:26" x14ac:dyDescent="0.25">
      <c r="P1505" s="10" t="str">
        <f>IF('[1]All Data '!AZ1510="","",'[1]All Data '!AZ1510)</f>
        <v/>
      </c>
      <c r="Q1505" s="10" t="str">
        <f>IF('[1]All Data '!BB1510="","",'[1]All Data '!BB1510)</f>
        <v/>
      </c>
      <c r="R1505" s="10" t="str">
        <f>IF('[1]All Data '!BD1510="","",'[1]All Data '!BD1510)</f>
        <v/>
      </c>
      <c r="S1505" s="11" t="str">
        <f>IF(R1505="","",'[1]All Data '!BE1510)</f>
        <v/>
      </c>
      <c r="T1505" s="12" t="str">
        <f>IF(S1505="","",[1]Inputs_Outputs!$B$8*(1-'LOCH Calc COE Calc'!S1505))</f>
        <v/>
      </c>
      <c r="U1505" s="13" t="str">
        <f t="shared" si="116"/>
        <v/>
      </c>
      <c r="V1505" s="13" t="str">
        <f t="shared" si="117"/>
        <v/>
      </c>
      <c r="W1505" s="4" t="str">
        <f t="shared" si="118"/>
        <v/>
      </c>
      <c r="X1505" t="str">
        <f>IF(W1505="","",LOOKUP(_xlfn.CONCAT(P1505,", ",Q1505),'[1]T+S Costs'!$F$2:$F$3138,'[1]T+S Costs'!$N$2:$N$3138))</f>
        <v/>
      </c>
      <c r="Y1505" s="14" t="str">
        <f t="shared" si="119"/>
        <v/>
      </c>
      <c r="Z1505" s="4" t="str">
        <f t="shared" si="120"/>
        <v/>
      </c>
    </row>
    <row r="1506" spans="16:26" x14ac:dyDescent="0.25">
      <c r="P1506" s="10" t="str">
        <f>IF('[1]All Data '!AZ1511="","",'[1]All Data '!AZ1511)</f>
        <v/>
      </c>
      <c r="Q1506" s="10" t="str">
        <f>IF('[1]All Data '!BB1511="","",'[1]All Data '!BB1511)</f>
        <v/>
      </c>
      <c r="R1506" s="10" t="str">
        <f>IF('[1]All Data '!BD1511="","",'[1]All Data '!BD1511)</f>
        <v/>
      </c>
      <c r="S1506" s="11" t="str">
        <f>IF(R1506="","",'[1]All Data '!BE1511)</f>
        <v/>
      </c>
      <c r="T1506" s="12" t="str">
        <f>IF(S1506="","",[1]Inputs_Outputs!$B$8*(1-'LOCH Calc COE Calc'!S1506))</f>
        <v/>
      </c>
      <c r="U1506" s="13" t="str">
        <f t="shared" si="116"/>
        <v/>
      </c>
      <c r="V1506" s="13" t="str">
        <f t="shared" si="117"/>
        <v/>
      </c>
      <c r="W1506" s="4" t="str">
        <f t="shared" si="118"/>
        <v/>
      </c>
      <c r="X1506" t="str">
        <f>IF(W1506="","",LOOKUP(_xlfn.CONCAT(P1506,", ",Q1506),'[1]T+S Costs'!$F$2:$F$3138,'[1]T+S Costs'!$N$2:$N$3138))</f>
        <v/>
      </c>
      <c r="Y1506" s="14" t="str">
        <f t="shared" si="119"/>
        <v/>
      </c>
      <c r="Z1506" s="4" t="str">
        <f t="shared" si="120"/>
        <v/>
      </c>
    </row>
    <row r="1507" spans="16:26" x14ac:dyDescent="0.25">
      <c r="P1507" s="10" t="str">
        <f>IF('[1]All Data '!AZ1512="","",'[1]All Data '!AZ1512)</f>
        <v/>
      </c>
      <c r="Q1507" s="10" t="str">
        <f>IF('[1]All Data '!BB1512="","",'[1]All Data '!BB1512)</f>
        <v/>
      </c>
      <c r="R1507" s="10" t="str">
        <f>IF('[1]All Data '!BD1512="","",'[1]All Data '!BD1512)</f>
        <v/>
      </c>
      <c r="S1507" s="11" t="str">
        <f>IF(R1507="","",'[1]All Data '!BE1512)</f>
        <v/>
      </c>
      <c r="T1507" s="12" t="str">
        <f>IF(S1507="","",[1]Inputs_Outputs!$B$8*(1-'LOCH Calc COE Calc'!S1507))</f>
        <v/>
      </c>
      <c r="U1507" s="13" t="str">
        <f t="shared" si="116"/>
        <v/>
      </c>
      <c r="V1507" s="13" t="str">
        <f t="shared" si="117"/>
        <v/>
      </c>
      <c r="W1507" s="4" t="str">
        <f t="shared" si="118"/>
        <v/>
      </c>
      <c r="X1507" t="str">
        <f>IF(W1507="","",LOOKUP(_xlfn.CONCAT(P1507,", ",Q1507),'[1]T+S Costs'!$F$2:$F$3138,'[1]T+S Costs'!$N$2:$N$3138))</f>
        <v/>
      </c>
      <c r="Y1507" s="14" t="str">
        <f t="shared" si="119"/>
        <v/>
      </c>
      <c r="Z1507" s="4" t="str">
        <f t="shared" si="120"/>
        <v/>
      </c>
    </row>
    <row r="1508" spans="16:26" x14ac:dyDescent="0.25">
      <c r="P1508" s="10" t="str">
        <f>IF('[1]All Data '!AZ1513="","",'[1]All Data '!AZ1513)</f>
        <v/>
      </c>
      <c r="Q1508" s="10" t="str">
        <f>IF('[1]All Data '!BB1513="","",'[1]All Data '!BB1513)</f>
        <v/>
      </c>
      <c r="R1508" s="10" t="str">
        <f>IF('[1]All Data '!BD1513="","",'[1]All Data '!BD1513)</f>
        <v/>
      </c>
      <c r="S1508" s="11" t="str">
        <f>IF(R1508="","",'[1]All Data '!BE1513)</f>
        <v/>
      </c>
      <c r="T1508" s="12" t="str">
        <f>IF(S1508="","",[1]Inputs_Outputs!$B$8*(1-'LOCH Calc COE Calc'!S1508))</f>
        <v/>
      </c>
      <c r="U1508" s="13" t="str">
        <f t="shared" si="116"/>
        <v/>
      </c>
      <c r="V1508" s="13" t="str">
        <f t="shared" si="117"/>
        <v/>
      </c>
      <c r="W1508" s="4" t="str">
        <f t="shared" si="118"/>
        <v/>
      </c>
      <c r="X1508" t="str">
        <f>IF(W1508="","",LOOKUP(_xlfn.CONCAT(P1508,", ",Q1508),'[1]T+S Costs'!$F$2:$F$3138,'[1]T+S Costs'!$N$2:$N$3138))</f>
        <v/>
      </c>
      <c r="Y1508" s="14" t="str">
        <f t="shared" si="119"/>
        <v/>
      </c>
      <c r="Z1508" s="4" t="str">
        <f t="shared" si="120"/>
        <v/>
      </c>
    </row>
    <row r="1509" spans="16:26" x14ac:dyDescent="0.25">
      <c r="P1509" s="10" t="str">
        <f>IF('[1]All Data '!AZ1514="","",'[1]All Data '!AZ1514)</f>
        <v/>
      </c>
      <c r="Q1509" s="10" t="str">
        <f>IF('[1]All Data '!BB1514="","",'[1]All Data '!BB1514)</f>
        <v/>
      </c>
      <c r="R1509" s="10" t="str">
        <f>IF('[1]All Data '!BD1514="","",'[1]All Data '!BD1514)</f>
        <v/>
      </c>
      <c r="S1509" s="11" t="str">
        <f>IF(R1509="","",'[1]All Data '!BE1514)</f>
        <v/>
      </c>
      <c r="T1509" s="12" t="str">
        <f>IF(S1509="","",[1]Inputs_Outputs!$B$8*(1-'LOCH Calc COE Calc'!S1509))</f>
        <v/>
      </c>
      <c r="U1509" s="13" t="str">
        <f t="shared" si="116"/>
        <v/>
      </c>
      <c r="V1509" s="13" t="str">
        <f t="shared" si="117"/>
        <v/>
      </c>
      <c r="W1509" s="4" t="str">
        <f t="shared" si="118"/>
        <v/>
      </c>
      <c r="X1509" t="str">
        <f>IF(W1509="","",LOOKUP(_xlfn.CONCAT(P1509,", ",Q1509),'[1]T+S Costs'!$F$2:$F$3138,'[1]T+S Costs'!$N$2:$N$3138))</f>
        <v/>
      </c>
      <c r="Y1509" s="14" t="str">
        <f t="shared" si="119"/>
        <v/>
      </c>
      <c r="Z1509" s="4" t="str">
        <f t="shared" si="120"/>
        <v/>
      </c>
    </row>
    <row r="1510" spans="16:26" x14ac:dyDescent="0.25">
      <c r="P1510" s="10" t="str">
        <f>IF('[1]All Data '!AZ1515="","",'[1]All Data '!AZ1515)</f>
        <v/>
      </c>
      <c r="Q1510" s="10" t="str">
        <f>IF('[1]All Data '!BB1515="","",'[1]All Data '!BB1515)</f>
        <v/>
      </c>
      <c r="R1510" s="10" t="str">
        <f>IF('[1]All Data '!BD1515="","",'[1]All Data '!BD1515)</f>
        <v/>
      </c>
      <c r="S1510" s="11" t="str">
        <f>IF(R1510="","",'[1]All Data '!BE1515)</f>
        <v/>
      </c>
      <c r="T1510" s="12" t="str">
        <f>IF(S1510="","",[1]Inputs_Outputs!$B$8*(1-'LOCH Calc COE Calc'!S1510))</f>
        <v/>
      </c>
      <c r="U1510" s="13" t="str">
        <f t="shared" si="116"/>
        <v/>
      </c>
      <c r="V1510" s="13" t="str">
        <f t="shared" si="117"/>
        <v/>
      </c>
      <c r="W1510" s="4" t="str">
        <f t="shared" si="118"/>
        <v/>
      </c>
      <c r="X1510" t="str">
        <f>IF(W1510="","",LOOKUP(_xlfn.CONCAT(P1510,", ",Q1510),'[1]T+S Costs'!$F$2:$F$3138,'[1]T+S Costs'!$N$2:$N$3138))</f>
        <v/>
      </c>
      <c r="Y1510" s="14" t="str">
        <f t="shared" si="119"/>
        <v/>
      </c>
      <c r="Z1510" s="4" t="str">
        <f t="shared" si="120"/>
        <v/>
      </c>
    </row>
    <row r="1511" spans="16:26" x14ac:dyDescent="0.25">
      <c r="P1511" s="10" t="str">
        <f>IF('[1]All Data '!AZ1516="","",'[1]All Data '!AZ1516)</f>
        <v/>
      </c>
      <c r="Q1511" s="10" t="str">
        <f>IF('[1]All Data '!BB1516="","",'[1]All Data '!BB1516)</f>
        <v/>
      </c>
      <c r="R1511" s="10" t="str">
        <f>IF('[1]All Data '!BD1516="","",'[1]All Data '!BD1516)</f>
        <v/>
      </c>
      <c r="S1511" s="11" t="str">
        <f>IF(R1511="","",'[1]All Data '!BE1516)</f>
        <v/>
      </c>
      <c r="T1511" s="12" t="str">
        <f>IF(S1511="","",[1]Inputs_Outputs!$B$8*(1-'LOCH Calc COE Calc'!S1511))</f>
        <v/>
      </c>
      <c r="U1511" s="13" t="str">
        <f t="shared" si="116"/>
        <v/>
      </c>
      <c r="V1511" s="13" t="str">
        <f t="shared" si="117"/>
        <v/>
      </c>
      <c r="W1511" s="4" t="str">
        <f t="shared" si="118"/>
        <v/>
      </c>
      <c r="X1511" t="str">
        <f>IF(W1511="","",LOOKUP(_xlfn.CONCAT(P1511,", ",Q1511),'[1]T+S Costs'!$F$2:$F$3138,'[1]T+S Costs'!$N$2:$N$3138))</f>
        <v/>
      </c>
      <c r="Y1511" s="14" t="str">
        <f t="shared" si="119"/>
        <v/>
      </c>
      <c r="Z1511" s="4" t="str">
        <f t="shared" si="120"/>
        <v/>
      </c>
    </row>
    <row r="1512" spans="16:26" x14ac:dyDescent="0.25">
      <c r="P1512" s="10" t="str">
        <f>IF('[1]All Data '!AZ1517="","",'[1]All Data '!AZ1517)</f>
        <v/>
      </c>
      <c r="Q1512" s="10" t="str">
        <f>IF('[1]All Data '!BB1517="","",'[1]All Data '!BB1517)</f>
        <v/>
      </c>
      <c r="R1512" s="10" t="str">
        <f>IF('[1]All Data '!BD1517="","",'[1]All Data '!BD1517)</f>
        <v/>
      </c>
      <c r="S1512" s="11" t="str">
        <f>IF(R1512="","",'[1]All Data '!BE1517)</f>
        <v/>
      </c>
      <c r="T1512" s="12" t="str">
        <f>IF(S1512="","",[1]Inputs_Outputs!$B$8*(1-'LOCH Calc COE Calc'!S1512))</f>
        <v/>
      </c>
      <c r="U1512" s="13" t="str">
        <f t="shared" si="116"/>
        <v/>
      </c>
      <c r="V1512" s="13" t="str">
        <f t="shared" si="117"/>
        <v/>
      </c>
      <c r="W1512" s="4" t="str">
        <f t="shared" si="118"/>
        <v/>
      </c>
      <c r="X1512" t="str">
        <f>IF(W1512="","",LOOKUP(_xlfn.CONCAT(P1512,", ",Q1512),'[1]T+S Costs'!$F$2:$F$3138,'[1]T+S Costs'!$N$2:$N$3138))</f>
        <v/>
      </c>
      <c r="Y1512" s="14" t="str">
        <f t="shared" si="119"/>
        <v/>
      </c>
      <c r="Z1512" s="4" t="str">
        <f t="shared" si="120"/>
        <v/>
      </c>
    </row>
    <row r="1513" spans="16:26" x14ac:dyDescent="0.25">
      <c r="P1513" s="10" t="str">
        <f>IF('[1]All Data '!AZ1518="","",'[1]All Data '!AZ1518)</f>
        <v/>
      </c>
      <c r="Q1513" s="10" t="str">
        <f>IF('[1]All Data '!BB1518="","",'[1]All Data '!BB1518)</f>
        <v/>
      </c>
      <c r="R1513" s="10" t="str">
        <f>IF('[1]All Data '!BD1518="","",'[1]All Data '!BD1518)</f>
        <v/>
      </c>
      <c r="S1513" s="11" t="str">
        <f>IF(R1513="","",'[1]All Data '!BE1518)</f>
        <v/>
      </c>
      <c r="T1513" s="12" t="str">
        <f>IF(S1513="","",[1]Inputs_Outputs!$B$8*(1-'LOCH Calc COE Calc'!S1513))</f>
        <v/>
      </c>
      <c r="U1513" s="13" t="str">
        <f t="shared" si="116"/>
        <v/>
      </c>
      <c r="V1513" s="13" t="str">
        <f t="shared" si="117"/>
        <v/>
      </c>
      <c r="W1513" s="4" t="str">
        <f t="shared" si="118"/>
        <v/>
      </c>
      <c r="X1513" t="str">
        <f>IF(W1513="","",LOOKUP(_xlfn.CONCAT(P1513,", ",Q1513),'[1]T+S Costs'!$F$2:$F$3138,'[1]T+S Costs'!$N$2:$N$3138))</f>
        <v/>
      </c>
      <c r="Y1513" s="14" t="str">
        <f t="shared" si="119"/>
        <v/>
      </c>
      <c r="Z1513" s="4" t="str">
        <f t="shared" si="120"/>
        <v/>
      </c>
    </row>
    <row r="1514" spans="16:26" x14ac:dyDescent="0.25">
      <c r="P1514" s="10" t="str">
        <f>IF('[1]All Data '!AZ1519="","",'[1]All Data '!AZ1519)</f>
        <v/>
      </c>
      <c r="Q1514" s="10" t="str">
        <f>IF('[1]All Data '!BB1519="","",'[1]All Data '!BB1519)</f>
        <v/>
      </c>
      <c r="R1514" s="10" t="str">
        <f>IF('[1]All Data '!BD1519="","",'[1]All Data '!BD1519)</f>
        <v/>
      </c>
      <c r="S1514" s="11" t="str">
        <f>IF(R1514="","",'[1]All Data '!BE1519)</f>
        <v/>
      </c>
      <c r="T1514" s="12" t="str">
        <f>IF(S1514="","",[1]Inputs_Outputs!$B$8*(1-'LOCH Calc COE Calc'!S1514))</f>
        <v/>
      </c>
      <c r="U1514" s="13" t="str">
        <f t="shared" si="116"/>
        <v/>
      </c>
      <c r="V1514" s="13" t="str">
        <f t="shared" si="117"/>
        <v/>
      </c>
      <c r="W1514" s="4" t="str">
        <f t="shared" si="118"/>
        <v/>
      </c>
      <c r="X1514" t="str">
        <f>IF(W1514="","",LOOKUP(_xlfn.CONCAT(P1514,", ",Q1514),'[1]T+S Costs'!$F$2:$F$3138,'[1]T+S Costs'!$N$2:$N$3138))</f>
        <v/>
      </c>
      <c r="Y1514" s="14" t="str">
        <f t="shared" si="119"/>
        <v/>
      </c>
      <c r="Z1514" s="4" t="str">
        <f t="shared" si="120"/>
        <v/>
      </c>
    </row>
    <row r="1515" spans="16:26" x14ac:dyDescent="0.25">
      <c r="P1515" s="10" t="str">
        <f>IF('[1]All Data '!AZ1520="","",'[1]All Data '!AZ1520)</f>
        <v/>
      </c>
      <c r="Q1515" s="10" t="str">
        <f>IF('[1]All Data '!BB1520="","",'[1]All Data '!BB1520)</f>
        <v/>
      </c>
      <c r="R1515" s="10" t="str">
        <f>IF('[1]All Data '!BD1520="","",'[1]All Data '!BD1520)</f>
        <v/>
      </c>
      <c r="S1515" s="11" t="str">
        <f>IF(R1515="","",'[1]All Data '!BE1520)</f>
        <v/>
      </c>
      <c r="T1515" s="12" t="str">
        <f>IF(S1515="","",[1]Inputs_Outputs!$B$8*(1-'LOCH Calc COE Calc'!S1515))</f>
        <v/>
      </c>
      <c r="U1515" s="13" t="str">
        <f t="shared" si="116"/>
        <v/>
      </c>
      <c r="V1515" s="13" t="str">
        <f t="shared" si="117"/>
        <v/>
      </c>
      <c r="W1515" s="4" t="str">
        <f t="shared" si="118"/>
        <v/>
      </c>
      <c r="X1515" t="str">
        <f>IF(W1515="","",LOOKUP(_xlfn.CONCAT(P1515,", ",Q1515),'[1]T+S Costs'!$F$2:$F$3138,'[1]T+S Costs'!$N$2:$N$3138))</f>
        <v/>
      </c>
      <c r="Y1515" s="14" t="str">
        <f t="shared" si="119"/>
        <v/>
      </c>
      <c r="Z1515" s="4" t="str">
        <f t="shared" si="120"/>
        <v/>
      </c>
    </row>
    <row r="1516" spans="16:26" x14ac:dyDescent="0.25">
      <c r="P1516" s="10" t="str">
        <f>IF('[1]All Data '!AZ1521="","",'[1]All Data '!AZ1521)</f>
        <v/>
      </c>
      <c r="Q1516" s="10" t="str">
        <f>IF('[1]All Data '!BB1521="","",'[1]All Data '!BB1521)</f>
        <v/>
      </c>
      <c r="R1516" s="10" t="str">
        <f>IF('[1]All Data '!BD1521="","",'[1]All Data '!BD1521)</f>
        <v/>
      </c>
      <c r="S1516" s="11" t="str">
        <f>IF(R1516="","",'[1]All Data '!BE1521)</f>
        <v/>
      </c>
      <c r="T1516" s="12" t="str">
        <f>IF(S1516="","",[1]Inputs_Outputs!$B$8*(1-'LOCH Calc COE Calc'!S1516))</f>
        <v/>
      </c>
      <c r="U1516" s="13" t="str">
        <f t="shared" si="116"/>
        <v/>
      </c>
      <c r="V1516" s="13" t="str">
        <f t="shared" si="117"/>
        <v/>
      </c>
      <c r="W1516" s="4" t="str">
        <f t="shared" si="118"/>
        <v/>
      </c>
      <c r="X1516" t="str">
        <f>IF(W1516="","",LOOKUP(_xlfn.CONCAT(P1516,", ",Q1516),'[1]T+S Costs'!$F$2:$F$3138,'[1]T+S Costs'!$N$2:$N$3138))</f>
        <v/>
      </c>
      <c r="Y1516" s="14" t="str">
        <f t="shared" si="119"/>
        <v/>
      </c>
      <c r="Z1516" s="4" t="str">
        <f t="shared" si="120"/>
        <v/>
      </c>
    </row>
    <row r="1517" spans="16:26" x14ac:dyDescent="0.25">
      <c r="P1517" s="10" t="str">
        <f>IF('[1]All Data '!AZ1522="","",'[1]All Data '!AZ1522)</f>
        <v/>
      </c>
      <c r="Q1517" s="10" t="str">
        <f>IF('[1]All Data '!BB1522="","",'[1]All Data '!BB1522)</f>
        <v/>
      </c>
      <c r="R1517" s="10" t="str">
        <f>IF('[1]All Data '!BD1522="","",'[1]All Data '!BD1522)</f>
        <v/>
      </c>
      <c r="S1517" s="11" t="str">
        <f>IF(R1517="","",'[1]All Data '!BE1522)</f>
        <v/>
      </c>
      <c r="T1517" s="12" t="str">
        <f>IF(S1517="","",[1]Inputs_Outputs!$B$8*(1-'LOCH Calc COE Calc'!S1517))</f>
        <v/>
      </c>
      <c r="U1517" s="13" t="str">
        <f t="shared" si="116"/>
        <v/>
      </c>
      <c r="V1517" s="13" t="str">
        <f t="shared" si="117"/>
        <v/>
      </c>
      <c r="W1517" s="4" t="str">
        <f t="shared" si="118"/>
        <v/>
      </c>
      <c r="X1517" t="str">
        <f>IF(W1517="","",LOOKUP(_xlfn.CONCAT(P1517,", ",Q1517),'[1]T+S Costs'!$F$2:$F$3138,'[1]T+S Costs'!$N$2:$N$3138))</f>
        <v/>
      </c>
      <c r="Y1517" s="14" t="str">
        <f t="shared" si="119"/>
        <v/>
      </c>
      <c r="Z1517" s="4" t="str">
        <f t="shared" si="120"/>
        <v/>
      </c>
    </row>
    <row r="1518" spans="16:26" x14ac:dyDescent="0.25">
      <c r="P1518" s="10" t="str">
        <f>IF('[1]All Data '!AZ1523="","",'[1]All Data '!AZ1523)</f>
        <v/>
      </c>
      <c r="Q1518" s="10" t="str">
        <f>IF('[1]All Data '!BB1523="","",'[1]All Data '!BB1523)</f>
        <v/>
      </c>
      <c r="R1518" s="10" t="str">
        <f>IF('[1]All Data '!BD1523="","",'[1]All Data '!BD1523)</f>
        <v/>
      </c>
      <c r="S1518" s="11" t="str">
        <f>IF(R1518="","",'[1]All Data '!BE1523)</f>
        <v/>
      </c>
      <c r="T1518" s="12" t="str">
        <f>IF(S1518="","",[1]Inputs_Outputs!$B$8*(1-'LOCH Calc COE Calc'!S1518))</f>
        <v/>
      </c>
      <c r="U1518" s="13" t="str">
        <f t="shared" si="116"/>
        <v/>
      </c>
      <c r="V1518" s="13" t="str">
        <f t="shared" si="117"/>
        <v/>
      </c>
      <c r="W1518" s="4" t="str">
        <f t="shared" si="118"/>
        <v/>
      </c>
      <c r="X1518" t="str">
        <f>IF(W1518="","",LOOKUP(_xlfn.CONCAT(P1518,", ",Q1518),'[1]T+S Costs'!$F$2:$F$3138,'[1]T+S Costs'!$N$2:$N$3138))</f>
        <v/>
      </c>
      <c r="Y1518" s="14" t="str">
        <f t="shared" si="119"/>
        <v/>
      </c>
      <c r="Z1518" s="4" t="str">
        <f t="shared" si="120"/>
        <v/>
      </c>
    </row>
    <row r="1519" spans="16:26" x14ac:dyDescent="0.25">
      <c r="P1519" s="10" t="str">
        <f>IF('[1]All Data '!AZ1524="","",'[1]All Data '!AZ1524)</f>
        <v/>
      </c>
      <c r="Q1519" s="10" t="str">
        <f>IF('[1]All Data '!BB1524="","",'[1]All Data '!BB1524)</f>
        <v/>
      </c>
      <c r="R1519" s="10" t="str">
        <f>IF('[1]All Data '!BD1524="","",'[1]All Data '!BD1524)</f>
        <v/>
      </c>
      <c r="S1519" s="11" t="str">
        <f>IF(R1519="","",'[1]All Data '!BE1524)</f>
        <v/>
      </c>
      <c r="T1519" s="12" t="str">
        <f>IF(S1519="","",[1]Inputs_Outputs!$B$8*(1-'LOCH Calc COE Calc'!S1519))</f>
        <v/>
      </c>
      <c r="U1519" s="13" t="str">
        <f t="shared" si="116"/>
        <v/>
      </c>
      <c r="V1519" s="13" t="str">
        <f t="shared" si="117"/>
        <v/>
      </c>
      <c r="W1519" s="4" t="str">
        <f t="shared" si="118"/>
        <v/>
      </c>
      <c r="X1519" t="str">
        <f>IF(W1519="","",LOOKUP(_xlfn.CONCAT(P1519,", ",Q1519),'[1]T+S Costs'!$F$2:$F$3138,'[1]T+S Costs'!$N$2:$N$3138))</f>
        <v/>
      </c>
      <c r="Y1519" s="14" t="str">
        <f t="shared" si="119"/>
        <v/>
      </c>
      <c r="Z1519" s="4" t="str">
        <f t="shared" si="120"/>
        <v/>
      </c>
    </row>
    <row r="1520" spans="16:26" x14ac:dyDescent="0.25">
      <c r="P1520" s="10" t="str">
        <f>IF('[1]All Data '!AZ1525="","",'[1]All Data '!AZ1525)</f>
        <v/>
      </c>
      <c r="Q1520" s="10" t="str">
        <f>IF('[1]All Data '!BB1525="","",'[1]All Data '!BB1525)</f>
        <v/>
      </c>
      <c r="R1520" s="10" t="str">
        <f>IF('[1]All Data '!BD1525="","",'[1]All Data '!BD1525)</f>
        <v/>
      </c>
      <c r="S1520" s="11" t="str">
        <f>IF(R1520="","",'[1]All Data '!BE1525)</f>
        <v/>
      </c>
      <c r="T1520" s="12" t="str">
        <f>IF(S1520="","",[1]Inputs_Outputs!$B$8*(1-'LOCH Calc COE Calc'!S1520))</f>
        <v/>
      </c>
      <c r="U1520" s="13" t="str">
        <f t="shared" si="116"/>
        <v/>
      </c>
      <c r="V1520" s="13" t="str">
        <f t="shared" si="117"/>
        <v/>
      </c>
      <c r="W1520" s="4" t="str">
        <f t="shared" si="118"/>
        <v/>
      </c>
      <c r="X1520" t="str">
        <f>IF(W1520="","",LOOKUP(_xlfn.CONCAT(P1520,", ",Q1520),'[1]T+S Costs'!$F$2:$F$3138,'[1]T+S Costs'!$N$2:$N$3138))</f>
        <v/>
      </c>
      <c r="Y1520" s="14" t="str">
        <f t="shared" si="119"/>
        <v/>
      </c>
      <c r="Z1520" s="4" t="str">
        <f t="shared" si="120"/>
        <v/>
      </c>
    </row>
    <row r="1521" spans="16:26" x14ac:dyDescent="0.25">
      <c r="P1521" s="10" t="str">
        <f>IF('[1]All Data '!AZ1526="","",'[1]All Data '!AZ1526)</f>
        <v/>
      </c>
      <c r="Q1521" s="10" t="str">
        <f>IF('[1]All Data '!BB1526="","",'[1]All Data '!BB1526)</f>
        <v/>
      </c>
      <c r="R1521" s="10" t="str">
        <f>IF('[1]All Data '!BD1526="","",'[1]All Data '!BD1526)</f>
        <v/>
      </c>
      <c r="S1521" s="11" t="str">
        <f>IF(R1521="","",'[1]All Data '!BE1526)</f>
        <v/>
      </c>
      <c r="T1521" s="12" t="str">
        <f>IF(S1521="","",[1]Inputs_Outputs!$B$8*(1-'LOCH Calc COE Calc'!S1521))</f>
        <v/>
      </c>
      <c r="U1521" s="13" t="str">
        <f t="shared" si="116"/>
        <v/>
      </c>
      <c r="V1521" s="13" t="str">
        <f t="shared" si="117"/>
        <v/>
      </c>
      <c r="W1521" s="4" t="str">
        <f t="shared" si="118"/>
        <v/>
      </c>
      <c r="X1521" t="str">
        <f>IF(W1521="","",LOOKUP(_xlfn.CONCAT(P1521,", ",Q1521),'[1]T+S Costs'!$F$2:$F$3138,'[1]T+S Costs'!$N$2:$N$3138))</f>
        <v/>
      </c>
      <c r="Y1521" s="14" t="str">
        <f t="shared" si="119"/>
        <v/>
      </c>
      <c r="Z1521" s="4" t="str">
        <f t="shared" si="120"/>
        <v/>
      </c>
    </row>
    <row r="1522" spans="16:26" x14ac:dyDescent="0.25">
      <c r="P1522" s="10" t="str">
        <f>IF('[1]All Data '!AZ1527="","",'[1]All Data '!AZ1527)</f>
        <v/>
      </c>
      <c r="Q1522" s="10" t="str">
        <f>IF('[1]All Data '!BB1527="","",'[1]All Data '!BB1527)</f>
        <v/>
      </c>
      <c r="R1522" s="10" t="str">
        <f>IF('[1]All Data '!BD1527="","",'[1]All Data '!BD1527)</f>
        <v/>
      </c>
      <c r="S1522" s="11" t="str">
        <f>IF(R1522="","",'[1]All Data '!BE1527)</f>
        <v/>
      </c>
      <c r="T1522" s="12" t="str">
        <f>IF(S1522="","",[1]Inputs_Outputs!$B$8*(1-'LOCH Calc COE Calc'!S1522))</f>
        <v/>
      </c>
      <c r="U1522" s="13" t="str">
        <f t="shared" si="116"/>
        <v/>
      </c>
      <c r="V1522" s="13" t="str">
        <f t="shared" si="117"/>
        <v/>
      </c>
      <c r="W1522" s="4" t="str">
        <f t="shared" si="118"/>
        <v/>
      </c>
      <c r="X1522" t="str">
        <f>IF(W1522="","",LOOKUP(_xlfn.CONCAT(P1522,", ",Q1522),'[1]T+S Costs'!$F$2:$F$3138,'[1]T+S Costs'!$N$2:$N$3138))</f>
        <v/>
      </c>
      <c r="Y1522" s="14" t="str">
        <f t="shared" si="119"/>
        <v/>
      </c>
      <c r="Z1522" s="4" t="str">
        <f t="shared" si="120"/>
        <v/>
      </c>
    </row>
    <row r="1523" spans="16:26" x14ac:dyDescent="0.25">
      <c r="P1523" s="10" t="str">
        <f>IF('[1]All Data '!AZ1528="","",'[1]All Data '!AZ1528)</f>
        <v/>
      </c>
      <c r="Q1523" s="10" t="str">
        <f>IF('[1]All Data '!BB1528="","",'[1]All Data '!BB1528)</f>
        <v/>
      </c>
      <c r="R1523" s="10" t="str">
        <f>IF('[1]All Data '!BD1528="","",'[1]All Data '!BD1528)</f>
        <v/>
      </c>
      <c r="S1523" s="11" t="str">
        <f>IF(R1523="","",'[1]All Data '!BE1528)</f>
        <v/>
      </c>
      <c r="T1523" s="12" t="str">
        <f>IF(S1523="","",[1]Inputs_Outputs!$B$8*(1-'LOCH Calc COE Calc'!S1523))</f>
        <v/>
      </c>
      <c r="U1523" s="13" t="str">
        <f t="shared" si="116"/>
        <v/>
      </c>
      <c r="V1523" s="13" t="str">
        <f t="shared" si="117"/>
        <v/>
      </c>
      <c r="W1523" s="4" t="str">
        <f t="shared" si="118"/>
        <v/>
      </c>
      <c r="X1523" t="str">
        <f>IF(W1523="","",LOOKUP(_xlfn.CONCAT(P1523,", ",Q1523),'[1]T+S Costs'!$F$2:$F$3138,'[1]T+S Costs'!$N$2:$N$3138))</f>
        <v/>
      </c>
      <c r="Y1523" s="14" t="str">
        <f t="shared" si="119"/>
        <v/>
      </c>
      <c r="Z1523" s="4" t="str">
        <f t="shared" si="120"/>
        <v/>
      </c>
    </row>
    <row r="1524" spans="16:26" x14ac:dyDescent="0.25">
      <c r="P1524" s="10" t="str">
        <f>IF('[1]All Data '!AZ1529="","",'[1]All Data '!AZ1529)</f>
        <v/>
      </c>
      <c r="Q1524" s="10" t="str">
        <f>IF('[1]All Data '!BB1529="","",'[1]All Data '!BB1529)</f>
        <v/>
      </c>
      <c r="R1524" s="10" t="str">
        <f>IF('[1]All Data '!BD1529="","",'[1]All Data '!BD1529)</f>
        <v/>
      </c>
      <c r="S1524" s="11" t="str">
        <f>IF(R1524="","",'[1]All Data '!BE1529)</f>
        <v/>
      </c>
      <c r="T1524" s="12" t="str">
        <f>IF(S1524="","",[1]Inputs_Outputs!$B$8*(1-'LOCH Calc COE Calc'!S1524))</f>
        <v/>
      </c>
      <c r="U1524" s="13" t="str">
        <f t="shared" si="116"/>
        <v/>
      </c>
      <c r="V1524" s="13" t="str">
        <f t="shared" si="117"/>
        <v/>
      </c>
      <c r="W1524" s="4" t="str">
        <f t="shared" si="118"/>
        <v/>
      </c>
      <c r="X1524" t="str">
        <f>IF(W1524="","",LOOKUP(_xlfn.CONCAT(P1524,", ",Q1524),'[1]T+S Costs'!$F$2:$F$3138,'[1]T+S Costs'!$N$2:$N$3138))</f>
        <v/>
      </c>
      <c r="Y1524" s="14" t="str">
        <f t="shared" si="119"/>
        <v/>
      </c>
      <c r="Z1524" s="4" t="str">
        <f t="shared" si="120"/>
        <v/>
      </c>
    </row>
    <row r="1525" spans="16:26" x14ac:dyDescent="0.25">
      <c r="P1525" s="10" t="str">
        <f>IF('[1]All Data '!AZ1530="","",'[1]All Data '!AZ1530)</f>
        <v/>
      </c>
      <c r="Q1525" s="10" t="str">
        <f>IF('[1]All Data '!BB1530="","",'[1]All Data '!BB1530)</f>
        <v/>
      </c>
      <c r="R1525" s="10" t="str">
        <f>IF('[1]All Data '!BD1530="","",'[1]All Data '!BD1530)</f>
        <v/>
      </c>
      <c r="S1525" s="11" t="str">
        <f>IF(R1525="","",'[1]All Data '!BE1530)</f>
        <v/>
      </c>
      <c r="T1525" s="12" t="str">
        <f>IF(S1525="","",[1]Inputs_Outputs!$B$8*(1-'LOCH Calc COE Calc'!S1525))</f>
        <v/>
      </c>
      <c r="U1525" s="13" t="str">
        <f t="shared" si="116"/>
        <v/>
      </c>
      <c r="V1525" s="13" t="str">
        <f t="shared" si="117"/>
        <v/>
      </c>
      <c r="W1525" s="4" t="str">
        <f t="shared" si="118"/>
        <v/>
      </c>
      <c r="X1525" t="str">
        <f>IF(W1525="","",LOOKUP(_xlfn.CONCAT(P1525,", ",Q1525),'[1]T+S Costs'!$F$2:$F$3138,'[1]T+S Costs'!$N$2:$N$3138))</f>
        <v/>
      </c>
      <c r="Y1525" s="14" t="str">
        <f t="shared" si="119"/>
        <v/>
      </c>
      <c r="Z1525" s="4" t="str">
        <f t="shared" si="120"/>
        <v/>
      </c>
    </row>
    <row r="1526" spans="16:26" x14ac:dyDescent="0.25">
      <c r="P1526" s="10" t="str">
        <f>IF('[1]All Data '!AZ1531="","",'[1]All Data '!AZ1531)</f>
        <v/>
      </c>
      <c r="Q1526" s="10" t="str">
        <f>IF('[1]All Data '!BB1531="","",'[1]All Data '!BB1531)</f>
        <v/>
      </c>
      <c r="R1526" s="10" t="str">
        <f>IF('[1]All Data '!BD1531="","",'[1]All Data '!BD1531)</f>
        <v/>
      </c>
      <c r="S1526" s="11" t="str">
        <f>IF(R1526="","",'[1]All Data '!BE1531)</f>
        <v/>
      </c>
      <c r="T1526" s="12" t="str">
        <f>IF(S1526="","",[1]Inputs_Outputs!$B$8*(1-'LOCH Calc COE Calc'!S1526))</f>
        <v/>
      </c>
      <c r="U1526" s="13" t="str">
        <f t="shared" si="116"/>
        <v/>
      </c>
      <c r="V1526" s="13" t="str">
        <f t="shared" si="117"/>
        <v/>
      </c>
      <c r="W1526" s="4" t="str">
        <f t="shared" si="118"/>
        <v/>
      </c>
      <c r="X1526" t="str">
        <f>IF(W1526="","",LOOKUP(_xlfn.CONCAT(P1526,", ",Q1526),'[1]T+S Costs'!$F$2:$F$3138,'[1]T+S Costs'!$N$2:$N$3138))</f>
        <v/>
      </c>
      <c r="Y1526" s="14" t="str">
        <f t="shared" si="119"/>
        <v/>
      </c>
      <c r="Z1526" s="4" t="str">
        <f t="shared" si="120"/>
        <v/>
      </c>
    </row>
    <row r="1527" spans="16:26" x14ac:dyDescent="0.25">
      <c r="P1527" s="10" t="str">
        <f>IF('[1]All Data '!AZ1532="","",'[1]All Data '!AZ1532)</f>
        <v/>
      </c>
      <c r="Q1527" s="10" t="str">
        <f>IF('[1]All Data '!BB1532="","",'[1]All Data '!BB1532)</f>
        <v/>
      </c>
      <c r="R1527" s="10" t="str">
        <f>IF('[1]All Data '!BD1532="","",'[1]All Data '!BD1532)</f>
        <v/>
      </c>
      <c r="S1527" s="11" t="str">
        <f>IF(R1527="","",'[1]All Data '!BE1532)</f>
        <v/>
      </c>
      <c r="T1527" s="12" t="str">
        <f>IF(S1527="","",[1]Inputs_Outputs!$B$8*(1-'LOCH Calc COE Calc'!S1527))</f>
        <v/>
      </c>
      <c r="U1527" s="13" t="str">
        <f t="shared" si="116"/>
        <v/>
      </c>
      <c r="V1527" s="13" t="str">
        <f t="shared" si="117"/>
        <v/>
      </c>
      <c r="W1527" s="4" t="str">
        <f t="shared" si="118"/>
        <v/>
      </c>
      <c r="X1527" t="str">
        <f>IF(W1527="","",LOOKUP(_xlfn.CONCAT(P1527,", ",Q1527),'[1]T+S Costs'!$F$2:$F$3138,'[1]T+S Costs'!$N$2:$N$3138))</f>
        <v/>
      </c>
      <c r="Y1527" s="14" t="str">
        <f t="shared" si="119"/>
        <v/>
      </c>
      <c r="Z1527" s="4" t="str">
        <f t="shared" si="120"/>
        <v/>
      </c>
    </row>
    <row r="1528" spans="16:26" x14ac:dyDescent="0.25">
      <c r="P1528" s="10" t="str">
        <f>IF('[1]All Data '!AZ1533="","",'[1]All Data '!AZ1533)</f>
        <v/>
      </c>
      <c r="Q1528" s="10" t="str">
        <f>IF('[1]All Data '!BB1533="","",'[1]All Data '!BB1533)</f>
        <v/>
      </c>
      <c r="R1528" s="10" t="str">
        <f>IF('[1]All Data '!BD1533="","",'[1]All Data '!BD1533)</f>
        <v/>
      </c>
      <c r="S1528" s="11" t="str">
        <f>IF(R1528="","",'[1]All Data '!BE1533)</f>
        <v/>
      </c>
      <c r="T1528" s="12" t="str">
        <f>IF(S1528="","",[1]Inputs_Outputs!$B$8*(1-'LOCH Calc COE Calc'!S1528))</f>
        <v/>
      </c>
      <c r="U1528" s="13" t="str">
        <f t="shared" si="116"/>
        <v/>
      </c>
      <c r="V1528" s="13" t="str">
        <f t="shared" si="117"/>
        <v/>
      </c>
      <c r="W1528" s="4" t="str">
        <f t="shared" si="118"/>
        <v/>
      </c>
      <c r="X1528" t="str">
        <f>IF(W1528="","",LOOKUP(_xlfn.CONCAT(P1528,", ",Q1528),'[1]T+S Costs'!$F$2:$F$3138,'[1]T+S Costs'!$N$2:$N$3138))</f>
        <v/>
      </c>
      <c r="Y1528" s="14" t="str">
        <f t="shared" si="119"/>
        <v/>
      </c>
      <c r="Z1528" s="4" t="str">
        <f t="shared" si="120"/>
        <v/>
      </c>
    </row>
    <row r="1529" spans="16:26" x14ac:dyDescent="0.25">
      <c r="P1529" s="10" t="str">
        <f>IF('[1]All Data '!AZ1534="","",'[1]All Data '!AZ1534)</f>
        <v/>
      </c>
      <c r="Q1529" s="10" t="str">
        <f>IF('[1]All Data '!BB1534="","",'[1]All Data '!BB1534)</f>
        <v/>
      </c>
      <c r="R1529" s="10" t="str">
        <f>IF('[1]All Data '!BD1534="","",'[1]All Data '!BD1534)</f>
        <v/>
      </c>
      <c r="S1529" s="11" t="str">
        <f>IF(R1529="","",'[1]All Data '!BE1534)</f>
        <v/>
      </c>
      <c r="T1529" s="12" t="str">
        <f>IF(S1529="","",[1]Inputs_Outputs!$B$8*(1-'LOCH Calc COE Calc'!S1529))</f>
        <v/>
      </c>
      <c r="U1529" s="13" t="str">
        <f t="shared" si="116"/>
        <v/>
      </c>
      <c r="V1529" s="13" t="str">
        <f t="shared" si="117"/>
        <v/>
      </c>
      <c r="W1529" s="4" t="str">
        <f t="shared" si="118"/>
        <v/>
      </c>
      <c r="X1529" t="str">
        <f>IF(W1529="","",LOOKUP(_xlfn.CONCAT(P1529,", ",Q1529),'[1]T+S Costs'!$F$2:$F$3138,'[1]T+S Costs'!$N$2:$N$3138))</f>
        <v/>
      </c>
      <c r="Y1529" s="14" t="str">
        <f t="shared" si="119"/>
        <v/>
      </c>
      <c r="Z1529" s="4" t="str">
        <f t="shared" si="120"/>
        <v/>
      </c>
    </row>
    <row r="1530" spans="16:26" x14ac:dyDescent="0.25">
      <c r="P1530" s="10" t="str">
        <f>IF('[1]All Data '!AZ1535="","",'[1]All Data '!AZ1535)</f>
        <v/>
      </c>
      <c r="Q1530" s="10" t="str">
        <f>IF('[1]All Data '!BB1535="","",'[1]All Data '!BB1535)</f>
        <v/>
      </c>
      <c r="R1530" s="10" t="str">
        <f>IF('[1]All Data '!BD1535="","",'[1]All Data '!BD1535)</f>
        <v/>
      </c>
      <c r="S1530" s="11" t="str">
        <f>IF(R1530="","",'[1]All Data '!BE1535)</f>
        <v/>
      </c>
      <c r="T1530" s="12" t="str">
        <f>IF(S1530="","",[1]Inputs_Outputs!$B$8*(1-'LOCH Calc COE Calc'!S1530))</f>
        <v/>
      </c>
      <c r="U1530" s="13" t="str">
        <f t="shared" si="116"/>
        <v/>
      </c>
      <c r="V1530" s="13" t="str">
        <f t="shared" si="117"/>
        <v/>
      </c>
      <c r="W1530" s="4" t="str">
        <f t="shared" si="118"/>
        <v/>
      </c>
      <c r="X1530" t="str">
        <f>IF(W1530="","",LOOKUP(_xlfn.CONCAT(P1530,", ",Q1530),'[1]T+S Costs'!$F$2:$F$3138,'[1]T+S Costs'!$N$2:$N$3138))</f>
        <v/>
      </c>
      <c r="Y1530" s="14" t="str">
        <f t="shared" si="119"/>
        <v/>
      </c>
      <c r="Z1530" s="4" t="str">
        <f t="shared" si="120"/>
        <v/>
      </c>
    </row>
    <row r="1531" spans="16:26" x14ac:dyDescent="0.25">
      <c r="P1531" s="10" t="str">
        <f>IF('[1]All Data '!AZ1536="","",'[1]All Data '!AZ1536)</f>
        <v/>
      </c>
      <c r="Q1531" s="10" t="str">
        <f>IF('[1]All Data '!BB1536="","",'[1]All Data '!BB1536)</f>
        <v/>
      </c>
      <c r="R1531" s="10" t="str">
        <f>IF('[1]All Data '!BD1536="","",'[1]All Data '!BD1536)</f>
        <v/>
      </c>
      <c r="S1531" s="11" t="str">
        <f>IF(R1531="","",'[1]All Data '!BE1536)</f>
        <v/>
      </c>
      <c r="T1531" s="12" t="str">
        <f>IF(S1531="","",[1]Inputs_Outputs!$B$8*(1-'LOCH Calc COE Calc'!S1531))</f>
        <v/>
      </c>
      <c r="U1531" s="13" t="str">
        <f t="shared" si="116"/>
        <v/>
      </c>
      <c r="V1531" s="13" t="str">
        <f t="shared" si="117"/>
        <v/>
      </c>
      <c r="W1531" s="4" t="str">
        <f t="shared" si="118"/>
        <v/>
      </c>
      <c r="X1531" t="str">
        <f>IF(W1531="","",LOOKUP(_xlfn.CONCAT(P1531,", ",Q1531),'[1]T+S Costs'!$F$2:$F$3138,'[1]T+S Costs'!$N$2:$N$3138))</f>
        <v/>
      </c>
      <c r="Y1531" s="14" t="str">
        <f t="shared" si="119"/>
        <v/>
      </c>
      <c r="Z1531" s="4" t="str">
        <f t="shared" si="120"/>
        <v/>
      </c>
    </row>
    <row r="1532" spans="16:26" x14ac:dyDescent="0.25">
      <c r="P1532" s="10" t="str">
        <f>IF('[1]All Data '!AZ1537="","",'[1]All Data '!AZ1537)</f>
        <v/>
      </c>
      <c r="Q1532" s="10" t="str">
        <f>IF('[1]All Data '!BB1537="","",'[1]All Data '!BB1537)</f>
        <v/>
      </c>
      <c r="R1532" s="10" t="str">
        <f>IF('[1]All Data '!BD1537="","",'[1]All Data '!BD1537)</f>
        <v/>
      </c>
      <c r="S1532" s="11" t="str">
        <f>IF(R1532="","",'[1]All Data '!BE1537)</f>
        <v/>
      </c>
      <c r="T1532" s="12" t="str">
        <f>IF(S1532="","",[1]Inputs_Outputs!$B$8*(1-'LOCH Calc COE Calc'!S1532))</f>
        <v/>
      </c>
      <c r="U1532" s="13" t="str">
        <f t="shared" si="116"/>
        <v/>
      </c>
      <c r="V1532" s="13" t="str">
        <f t="shared" si="117"/>
        <v/>
      </c>
      <c r="W1532" s="4" t="str">
        <f t="shared" si="118"/>
        <v/>
      </c>
      <c r="X1532" t="str">
        <f>IF(W1532="","",LOOKUP(_xlfn.CONCAT(P1532,", ",Q1532),'[1]T+S Costs'!$F$2:$F$3138,'[1]T+S Costs'!$N$2:$N$3138))</f>
        <v/>
      </c>
      <c r="Y1532" s="14" t="str">
        <f t="shared" si="119"/>
        <v/>
      </c>
      <c r="Z1532" s="4" t="str">
        <f t="shared" si="120"/>
        <v/>
      </c>
    </row>
    <row r="1533" spans="16:26" x14ac:dyDescent="0.25">
      <c r="P1533" s="10" t="str">
        <f>IF('[1]All Data '!AZ1538="","",'[1]All Data '!AZ1538)</f>
        <v/>
      </c>
      <c r="Q1533" s="10" t="str">
        <f>IF('[1]All Data '!BB1538="","",'[1]All Data '!BB1538)</f>
        <v/>
      </c>
      <c r="R1533" s="10" t="str">
        <f>IF('[1]All Data '!BD1538="","",'[1]All Data '!BD1538)</f>
        <v/>
      </c>
      <c r="S1533" s="11" t="str">
        <f>IF(R1533="","",'[1]All Data '!BE1538)</f>
        <v/>
      </c>
      <c r="T1533" s="12" t="str">
        <f>IF(S1533="","",[1]Inputs_Outputs!$B$8*(1-'LOCH Calc COE Calc'!S1533))</f>
        <v/>
      </c>
      <c r="U1533" s="13" t="str">
        <f t="shared" si="116"/>
        <v/>
      </c>
      <c r="V1533" s="13" t="str">
        <f t="shared" si="117"/>
        <v/>
      </c>
      <c r="W1533" s="4" t="str">
        <f t="shared" si="118"/>
        <v/>
      </c>
      <c r="X1533" t="str">
        <f>IF(W1533="","",LOOKUP(_xlfn.CONCAT(P1533,", ",Q1533),'[1]T+S Costs'!$F$2:$F$3138,'[1]T+S Costs'!$N$2:$N$3138))</f>
        <v/>
      </c>
      <c r="Y1533" s="14" t="str">
        <f t="shared" si="119"/>
        <v/>
      </c>
      <c r="Z1533" s="4" t="str">
        <f t="shared" si="120"/>
        <v/>
      </c>
    </row>
    <row r="1534" spans="16:26" x14ac:dyDescent="0.25">
      <c r="P1534" s="10" t="str">
        <f>IF('[1]All Data '!AZ1539="","",'[1]All Data '!AZ1539)</f>
        <v/>
      </c>
      <c r="Q1534" s="10" t="str">
        <f>IF('[1]All Data '!BB1539="","",'[1]All Data '!BB1539)</f>
        <v/>
      </c>
      <c r="R1534" s="10" t="str">
        <f>IF('[1]All Data '!BD1539="","",'[1]All Data '!BD1539)</f>
        <v/>
      </c>
      <c r="S1534" s="11" t="str">
        <f>IF(R1534="","",'[1]All Data '!BE1539)</f>
        <v/>
      </c>
      <c r="T1534" s="12" t="str">
        <f>IF(S1534="","",[1]Inputs_Outputs!$B$8*(1-'LOCH Calc COE Calc'!S1534))</f>
        <v/>
      </c>
      <c r="U1534" s="13" t="str">
        <f t="shared" si="116"/>
        <v/>
      </c>
      <c r="V1534" s="13" t="str">
        <f t="shared" si="117"/>
        <v/>
      </c>
      <c r="W1534" s="4" t="str">
        <f t="shared" si="118"/>
        <v/>
      </c>
      <c r="X1534" t="str">
        <f>IF(W1534="","",LOOKUP(_xlfn.CONCAT(P1534,", ",Q1534),'[1]T+S Costs'!$F$2:$F$3138,'[1]T+S Costs'!$N$2:$N$3138))</f>
        <v/>
      </c>
      <c r="Y1534" s="14" t="str">
        <f t="shared" si="119"/>
        <v/>
      </c>
      <c r="Z1534" s="4" t="str">
        <f t="shared" si="120"/>
        <v/>
      </c>
    </row>
    <row r="1535" spans="16:26" x14ac:dyDescent="0.25">
      <c r="P1535" s="10" t="str">
        <f>IF('[1]All Data '!AZ1540="","",'[1]All Data '!AZ1540)</f>
        <v/>
      </c>
      <c r="Q1535" s="10" t="str">
        <f>IF('[1]All Data '!BB1540="","",'[1]All Data '!BB1540)</f>
        <v/>
      </c>
      <c r="R1535" s="10" t="str">
        <f>IF('[1]All Data '!BD1540="","",'[1]All Data '!BD1540)</f>
        <v/>
      </c>
      <c r="S1535" s="11" t="str">
        <f>IF(R1535="","",'[1]All Data '!BE1540)</f>
        <v/>
      </c>
      <c r="T1535" s="12" t="str">
        <f>IF(S1535="","",[1]Inputs_Outputs!$B$8*(1-'LOCH Calc COE Calc'!S1535))</f>
        <v/>
      </c>
      <c r="U1535" s="13" t="str">
        <f t="shared" si="116"/>
        <v/>
      </c>
      <c r="V1535" s="13" t="str">
        <f t="shared" si="117"/>
        <v/>
      </c>
      <c r="W1535" s="4" t="str">
        <f t="shared" si="118"/>
        <v/>
      </c>
      <c r="X1535" t="str">
        <f>IF(W1535="","",LOOKUP(_xlfn.CONCAT(P1535,", ",Q1535),'[1]T+S Costs'!$F$2:$F$3138,'[1]T+S Costs'!$N$2:$N$3138))</f>
        <v/>
      </c>
      <c r="Y1535" s="14" t="str">
        <f t="shared" si="119"/>
        <v/>
      </c>
      <c r="Z1535" s="4" t="str">
        <f t="shared" si="120"/>
        <v/>
      </c>
    </row>
    <row r="1536" spans="16:26" x14ac:dyDescent="0.25">
      <c r="P1536" s="10" t="str">
        <f>IF('[1]All Data '!AZ1541="","",'[1]All Data '!AZ1541)</f>
        <v/>
      </c>
      <c r="Q1536" s="10" t="str">
        <f>IF('[1]All Data '!BB1541="","",'[1]All Data '!BB1541)</f>
        <v/>
      </c>
      <c r="R1536" s="10" t="str">
        <f>IF('[1]All Data '!BD1541="","",'[1]All Data '!BD1541)</f>
        <v/>
      </c>
      <c r="S1536" s="11" t="str">
        <f>IF(R1536="","",'[1]All Data '!BE1541)</f>
        <v/>
      </c>
      <c r="T1536" s="12" t="str">
        <f>IF(S1536="","",[1]Inputs_Outputs!$B$8*(1-'LOCH Calc COE Calc'!S1536))</f>
        <v/>
      </c>
      <c r="U1536" s="13" t="str">
        <f t="shared" si="116"/>
        <v/>
      </c>
      <c r="V1536" s="13" t="str">
        <f t="shared" si="117"/>
        <v/>
      </c>
      <c r="W1536" s="4" t="str">
        <f t="shared" si="118"/>
        <v/>
      </c>
      <c r="X1536" t="str">
        <f>IF(W1536="","",LOOKUP(_xlfn.CONCAT(P1536,", ",Q1536),'[1]T+S Costs'!$F$2:$F$3138,'[1]T+S Costs'!$N$2:$N$3138))</f>
        <v/>
      </c>
      <c r="Y1536" s="14" t="str">
        <f t="shared" si="119"/>
        <v/>
      </c>
      <c r="Z1536" s="4" t="str">
        <f t="shared" si="120"/>
        <v/>
      </c>
    </row>
    <row r="1537" spans="16:26" x14ac:dyDescent="0.25">
      <c r="P1537" s="10" t="str">
        <f>IF('[1]All Data '!AZ1542="","",'[1]All Data '!AZ1542)</f>
        <v/>
      </c>
      <c r="Q1537" s="10" t="str">
        <f>IF('[1]All Data '!BB1542="","",'[1]All Data '!BB1542)</f>
        <v/>
      </c>
      <c r="R1537" s="10" t="str">
        <f>IF('[1]All Data '!BD1542="","",'[1]All Data '!BD1542)</f>
        <v/>
      </c>
      <c r="S1537" s="11" t="str">
        <f>IF(R1537="","",'[1]All Data '!BE1542)</f>
        <v/>
      </c>
      <c r="T1537" s="12" t="str">
        <f>IF(S1537="","",[1]Inputs_Outputs!$B$8*(1-'LOCH Calc COE Calc'!S1537))</f>
        <v/>
      </c>
      <c r="U1537" s="13" t="str">
        <f t="shared" si="116"/>
        <v/>
      </c>
      <c r="V1537" s="13" t="str">
        <f t="shared" si="117"/>
        <v/>
      </c>
      <c r="W1537" s="4" t="str">
        <f t="shared" si="118"/>
        <v/>
      </c>
      <c r="X1537" t="str">
        <f>IF(W1537="","",LOOKUP(_xlfn.CONCAT(P1537,", ",Q1537),'[1]T+S Costs'!$F$2:$F$3138,'[1]T+S Costs'!$N$2:$N$3138))</f>
        <v/>
      </c>
      <c r="Y1537" s="14" t="str">
        <f t="shared" si="119"/>
        <v/>
      </c>
      <c r="Z1537" s="4" t="str">
        <f t="shared" si="120"/>
        <v/>
      </c>
    </row>
    <row r="1538" spans="16:26" x14ac:dyDescent="0.25">
      <c r="P1538" s="10" t="str">
        <f>IF('[1]All Data '!AZ1543="","",'[1]All Data '!AZ1543)</f>
        <v/>
      </c>
      <c r="Q1538" s="10" t="str">
        <f>IF('[1]All Data '!BB1543="","",'[1]All Data '!BB1543)</f>
        <v/>
      </c>
      <c r="R1538" s="10" t="str">
        <f>IF('[1]All Data '!BD1543="","",'[1]All Data '!BD1543)</f>
        <v/>
      </c>
      <c r="S1538" s="11" t="str">
        <f>IF(R1538="","",'[1]All Data '!BE1543)</f>
        <v/>
      </c>
      <c r="T1538" s="12" t="str">
        <f>IF(S1538="","",[1]Inputs_Outputs!$B$8*(1-'LOCH Calc COE Calc'!S1538))</f>
        <v/>
      </c>
      <c r="U1538" s="13" t="str">
        <f t="shared" si="116"/>
        <v/>
      </c>
      <c r="V1538" s="13" t="str">
        <f t="shared" si="117"/>
        <v/>
      </c>
      <c r="W1538" s="4" t="str">
        <f t="shared" si="118"/>
        <v/>
      </c>
      <c r="X1538" t="str">
        <f>IF(W1538="","",LOOKUP(_xlfn.CONCAT(P1538,", ",Q1538),'[1]T+S Costs'!$F$2:$F$3138,'[1]T+S Costs'!$N$2:$N$3138))</f>
        <v/>
      </c>
      <c r="Y1538" s="14" t="str">
        <f t="shared" si="119"/>
        <v/>
      </c>
      <c r="Z1538" s="4" t="str">
        <f t="shared" si="120"/>
        <v/>
      </c>
    </row>
    <row r="1539" spans="16:26" x14ac:dyDescent="0.25">
      <c r="P1539" s="10" t="str">
        <f>IF('[1]All Data '!AZ1544="","",'[1]All Data '!AZ1544)</f>
        <v/>
      </c>
      <c r="Q1539" s="10" t="str">
        <f>IF('[1]All Data '!BB1544="","",'[1]All Data '!BB1544)</f>
        <v/>
      </c>
      <c r="R1539" s="10" t="str">
        <f>IF('[1]All Data '!BD1544="","",'[1]All Data '!BD1544)</f>
        <v/>
      </c>
      <c r="S1539" s="11" t="str">
        <f>IF(R1539="","",'[1]All Data '!BE1544)</f>
        <v/>
      </c>
      <c r="T1539" s="12" t="str">
        <f>IF(S1539="","",[1]Inputs_Outputs!$B$8*(1-'LOCH Calc COE Calc'!S1539))</f>
        <v/>
      </c>
      <c r="U1539" s="13" t="str">
        <f t="shared" ref="U1539:U1602" si="121">IF(S1539="","",R1539*T1539*365*$B$19/100)</f>
        <v/>
      </c>
      <c r="V1539" s="13" t="str">
        <f t="shared" ref="V1539:V1602" si="122">IF(S1539="","",(U1539*$B$19)/(($B$28)*$B$19))</f>
        <v/>
      </c>
      <c r="W1539" s="4" t="str">
        <f t="shared" ref="W1539:W1602" si="123">IF(S1539="","",V1539+$C$49+$C$50+$C$51)</f>
        <v/>
      </c>
      <c r="X1539" t="str">
        <f>IF(W1539="","",LOOKUP(_xlfn.CONCAT(P1539,", ",Q1539),'[1]T+S Costs'!$F$2:$F$3138,'[1]T+S Costs'!$N$2:$N$3138))</f>
        <v/>
      </c>
      <c r="Y1539" s="14" t="str">
        <f t="shared" ref="Y1539:Y1602" si="124">IF(X1539="","",((X1539*$B$60/$B$59)*$C$44)/$C$28)</f>
        <v/>
      </c>
      <c r="Z1539" s="4" t="str">
        <f t="shared" ref="Z1539:Z1602" si="125">IF(Y1539="","",W1539+Y1539)</f>
        <v/>
      </c>
    </row>
    <row r="1540" spans="16:26" x14ac:dyDescent="0.25">
      <c r="P1540" s="10" t="str">
        <f>IF('[1]All Data '!AZ1545="","",'[1]All Data '!AZ1545)</f>
        <v/>
      </c>
      <c r="Q1540" s="10" t="str">
        <f>IF('[1]All Data '!BB1545="","",'[1]All Data '!BB1545)</f>
        <v/>
      </c>
      <c r="R1540" s="10" t="str">
        <f>IF('[1]All Data '!BD1545="","",'[1]All Data '!BD1545)</f>
        <v/>
      </c>
      <c r="S1540" s="11" t="str">
        <f>IF(R1540="","",'[1]All Data '!BE1545)</f>
        <v/>
      </c>
      <c r="T1540" s="12" t="str">
        <f>IF(S1540="","",[1]Inputs_Outputs!$B$8*(1-'LOCH Calc COE Calc'!S1540))</f>
        <v/>
      </c>
      <c r="U1540" s="13" t="str">
        <f t="shared" si="121"/>
        <v/>
      </c>
      <c r="V1540" s="13" t="str">
        <f t="shared" si="122"/>
        <v/>
      </c>
      <c r="W1540" s="4" t="str">
        <f t="shared" si="123"/>
        <v/>
      </c>
      <c r="X1540" t="str">
        <f>IF(W1540="","",LOOKUP(_xlfn.CONCAT(P1540,", ",Q1540),'[1]T+S Costs'!$F$2:$F$3138,'[1]T+S Costs'!$N$2:$N$3138))</f>
        <v/>
      </c>
      <c r="Y1540" s="14" t="str">
        <f t="shared" si="124"/>
        <v/>
      </c>
      <c r="Z1540" s="4" t="str">
        <f t="shared" si="125"/>
        <v/>
      </c>
    </row>
    <row r="1541" spans="16:26" x14ac:dyDescent="0.25">
      <c r="P1541" s="10" t="str">
        <f>IF('[1]All Data '!AZ1546="","",'[1]All Data '!AZ1546)</f>
        <v/>
      </c>
      <c r="Q1541" s="10" t="str">
        <f>IF('[1]All Data '!BB1546="","",'[1]All Data '!BB1546)</f>
        <v/>
      </c>
      <c r="R1541" s="10" t="str">
        <f>IF('[1]All Data '!BD1546="","",'[1]All Data '!BD1546)</f>
        <v/>
      </c>
      <c r="S1541" s="11" t="str">
        <f>IF(R1541="","",'[1]All Data '!BE1546)</f>
        <v/>
      </c>
      <c r="T1541" s="12" t="str">
        <f>IF(S1541="","",[1]Inputs_Outputs!$B$8*(1-'LOCH Calc COE Calc'!S1541))</f>
        <v/>
      </c>
      <c r="U1541" s="13" t="str">
        <f t="shared" si="121"/>
        <v/>
      </c>
      <c r="V1541" s="13" t="str">
        <f t="shared" si="122"/>
        <v/>
      </c>
      <c r="W1541" s="4" t="str">
        <f t="shared" si="123"/>
        <v/>
      </c>
      <c r="X1541" t="str">
        <f>IF(W1541="","",LOOKUP(_xlfn.CONCAT(P1541,", ",Q1541),'[1]T+S Costs'!$F$2:$F$3138,'[1]T+S Costs'!$N$2:$N$3138))</f>
        <v/>
      </c>
      <c r="Y1541" s="14" t="str">
        <f t="shared" si="124"/>
        <v/>
      </c>
      <c r="Z1541" s="4" t="str">
        <f t="shared" si="125"/>
        <v/>
      </c>
    </row>
    <row r="1542" spans="16:26" x14ac:dyDescent="0.25">
      <c r="P1542" s="10" t="str">
        <f>IF('[1]All Data '!AZ1547="","",'[1]All Data '!AZ1547)</f>
        <v/>
      </c>
      <c r="Q1542" s="10" t="str">
        <f>IF('[1]All Data '!BB1547="","",'[1]All Data '!BB1547)</f>
        <v/>
      </c>
      <c r="R1542" s="10" t="str">
        <f>IF('[1]All Data '!BD1547="","",'[1]All Data '!BD1547)</f>
        <v/>
      </c>
      <c r="S1542" s="11" t="str">
        <f>IF(R1542="","",'[1]All Data '!BE1547)</f>
        <v/>
      </c>
      <c r="T1542" s="12" t="str">
        <f>IF(S1542="","",[1]Inputs_Outputs!$B$8*(1-'LOCH Calc COE Calc'!S1542))</f>
        <v/>
      </c>
      <c r="U1542" s="13" t="str">
        <f t="shared" si="121"/>
        <v/>
      </c>
      <c r="V1542" s="13" t="str">
        <f t="shared" si="122"/>
        <v/>
      </c>
      <c r="W1542" s="4" t="str">
        <f t="shared" si="123"/>
        <v/>
      </c>
      <c r="X1542" t="str">
        <f>IF(W1542="","",LOOKUP(_xlfn.CONCAT(P1542,", ",Q1542),'[1]T+S Costs'!$F$2:$F$3138,'[1]T+S Costs'!$N$2:$N$3138))</f>
        <v/>
      </c>
      <c r="Y1542" s="14" t="str">
        <f t="shared" si="124"/>
        <v/>
      </c>
      <c r="Z1542" s="4" t="str">
        <f t="shared" si="125"/>
        <v/>
      </c>
    </row>
    <row r="1543" spans="16:26" x14ac:dyDescent="0.25">
      <c r="P1543" s="10" t="str">
        <f>IF('[1]All Data '!AZ1548="","",'[1]All Data '!AZ1548)</f>
        <v/>
      </c>
      <c r="Q1543" s="10" t="str">
        <f>IF('[1]All Data '!BB1548="","",'[1]All Data '!BB1548)</f>
        <v/>
      </c>
      <c r="R1543" s="10" t="str">
        <f>IF('[1]All Data '!BD1548="","",'[1]All Data '!BD1548)</f>
        <v/>
      </c>
      <c r="S1543" s="11" t="str">
        <f>IF(R1543="","",'[1]All Data '!BE1548)</f>
        <v/>
      </c>
      <c r="T1543" s="12" t="str">
        <f>IF(S1543="","",[1]Inputs_Outputs!$B$8*(1-'LOCH Calc COE Calc'!S1543))</f>
        <v/>
      </c>
      <c r="U1543" s="13" t="str">
        <f t="shared" si="121"/>
        <v/>
      </c>
      <c r="V1543" s="13" t="str">
        <f t="shared" si="122"/>
        <v/>
      </c>
      <c r="W1543" s="4" t="str">
        <f t="shared" si="123"/>
        <v/>
      </c>
      <c r="X1543" t="str">
        <f>IF(W1543="","",LOOKUP(_xlfn.CONCAT(P1543,", ",Q1543),'[1]T+S Costs'!$F$2:$F$3138,'[1]T+S Costs'!$N$2:$N$3138))</f>
        <v/>
      </c>
      <c r="Y1543" s="14" t="str">
        <f t="shared" si="124"/>
        <v/>
      </c>
      <c r="Z1543" s="4" t="str">
        <f t="shared" si="125"/>
        <v/>
      </c>
    </row>
    <row r="1544" spans="16:26" x14ac:dyDescent="0.25">
      <c r="P1544" s="10" t="str">
        <f>IF('[1]All Data '!AZ1549="","",'[1]All Data '!AZ1549)</f>
        <v/>
      </c>
      <c r="Q1544" s="10" t="str">
        <f>IF('[1]All Data '!BB1549="","",'[1]All Data '!BB1549)</f>
        <v/>
      </c>
      <c r="R1544" s="10" t="str">
        <f>IF('[1]All Data '!BD1549="","",'[1]All Data '!BD1549)</f>
        <v/>
      </c>
      <c r="S1544" s="11" t="str">
        <f>IF(R1544="","",'[1]All Data '!BE1549)</f>
        <v/>
      </c>
      <c r="T1544" s="12" t="str">
        <f>IF(S1544="","",[1]Inputs_Outputs!$B$8*(1-'LOCH Calc COE Calc'!S1544))</f>
        <v/>
      </c>
      <c r="U1544" s="13" t="str">
        <f t="shared" si="121"/>
        <v/>
      </c>
      <c r="V1544" s="13" t="str">
        <f t="shared" si="122"/>
        <v/>
      </c>
      <c r="W1544" s="4" t="str">
        <f t="shared" si="123"/>
        <v/>
      </c>
      <c r="X1544" t="str">
        <f>IF(W1544="","",LOOKUP(_xlfn.CONCAT(P1544,", ",Q1544),'[1]T+S Costs'!$F$2:$F$3138,'[1]T+S Costs'!$N$2:$N$3138))</f>
        <v/>
      </c>
      <c r="Y1544" s="14" t="str">
        <f t="shared" si="124"/>
        <v/>
      </c>
      <c r="Z1544" s="4" t="str">
        <f t="shared" si="125"/>
        <v/>
      </c>
    </row>
    <row r="1545" spans="16:26" x14ac:dyDescent="0.25">
      <c r="P1545" s="10" t="str">
        <f>IF('[1]All Data '!AZ1550="","",'[1]All Data '!AZ1550)</f>
        <v/>
      </c>
      <c r="Q1545" s="10" t="str">
        <f>IF('[1]All Data '!BB1550="","",'[1]All Data '!BB1550)</f>
        <v/>
      </c>
      <c r="R1545" s="10" t="str">
        <f>IF('[1]All Data '!BD1550="","",'[1]All Data '!BD1550)</f>
        <v/>
      </c>
      <c r="S1545" s="11" t="str">
        <f>IF(R1545="","",'[1]All Data '!BE1550)</f>
        <v/>
      </c>
      <c r="T1545" s="12" t="str">
        <f>IF(S1545="","",[1]Inputs_Outputs!$B$8*(1-'LOCH Calc COE Calc'!S1545))</f>
        <v/>
      </c>
      <c r="U1545" s="13" t="str">
        <f t="shared" si="121"/>
        <v/>
      </c>
      <c r="V1545" s="13" t="str">
        <f t="shared" si="122"/>
        <v/>
      </c>
      <c r="W1545" s="4" t="str">
        <f t="shared" si="123"/>
        <v/>
      </c>
      <c r="X1545" t="str">
        <f>IF(W1545="","",LOOKUP(_xlfn.CONCAT(P1545,", ",Q1545),'[1]T+S Costs'!$F$2:$F$3138,'[1]T+S Costs'!$N$2:$N$3138))</f>
        <v/>
      </c>
      <c r="Y1545" s="14" t="str">
        <f t="shared" si="124"/>
        <v/>
      </c>
      <c r="Z1545" s="4" t="str">
        <f t="shared" si="125"/>
        <v/>
      </c>
    </row>
    <row r="1546" spans="16:26" x14ac:dyDescent="0.25">
      <c r="P1546" s="10" t="str">
        <f>IF('[1]All Data '!AZ1551="","",'[1]All Data '!AZ1551)</f>
        <v/>
      </c>
      <c r="Q1546" s="10" t="str">
        <f>IF('[1]All Data '!BB1551="","",'[1]All Data '!BB1551)</f>
        <v/>
      </c>
      <c r="R1546" s="10" t="str">
        <f>IF('[1]All Data '!BD1551="","",'[1]All Data '!BD1551)</f>
        <v/>
      </c>
      <c r="S1546" s="11" t="str">
        <f>IF(R1546="","",'[1]All Data '!BE1551)</f>
        <v/>
      </c>
      <c r="T1546" s="12" t="str">
        <f>IF(S1546="","",[1]Inputs_Outputs!$B$8*(1-'LOCH Calc COE Calc'!S1546))</f>
        <v/>
      </c>
      <c r="U1546" s="13" t="str">
        <f t="shared" si="121"/>
        <v/>
      </c>
      <c r="V1546" s="13" t="str">
        <f t="shared" si="122"/>
        <v/>
      </c>
      <c r="W1546" s="4" t="str">
        <f t="shared" si="123"/>
        <v/>
      </c>
      <c r="X1546" t="str">
        <f>IF(W1546="","",LOOKUP(_xlfn.CONCAT(P1546,", ",Q1546),'[1]T+S Costs'!$F$2:$F$3138,'[1]T+S Costs'!$N$2:$N$3138))</f>
        <v/>
      </c>
      <c r="Y1546" s="14" t="str">
        <f t="shared" si="124"/>
        <v/>
      </c>
      <c r="Z1546" s="4" t="str">
        <f t="shared" si="125"/>
        <v/>
      </c>
    </row>
    <row r="1547" spans="16:26" x14ac:dyDescent="0.25">
      <c r="P1547" s="10" t="str">
        <f>IF('[1]All Data '!AZ1552="","",'[1]All Data '!AZ1552)</f>
        <v/>
      </c>
      <c r="Q1547" s="10" t="str">
        <f>IF('[1]All Data '!BB1552="","",'[1]All Data '!BB1552)</f>
        <v/>
      </c>
      <c r="R1547" s="10" t="str">
        <f>IF('[1]All Data '!BD1552="","",'[1]All Data '!BD1552)</f>
        <v/>
      </c>
      <c r="S1547" s="11" t="str">
        <f>IF(R1547="","",'[1]All Data '!BE1552)</f>
        <v/>
      </c>
      <c r="T1547" s="12" t="str">
        <f>IF(S1547="","",[1]Inputs_Outputs!$B$8*(1-'LOCH Calc COE Calc'!S1547))</f>
        <v/>
      </c>
      <c r="U1547" s="13" t="str">
        <f t="shared" si="121"/>
        <v/>
      </c>
      <c r="V1547" s="13" t="str">
        <f t="shared" si="122"/>
        <v/>
      </c>
      <c r="W1547" s="4" t="str">
        <f t="shared" si="123"/>
        <v/>
      </c>
      <c r="X1547" t="str">
        <f>IF(W1547="","",LOOKUP(_xlfn.CONCAT(P1547,", ",Q1547),'[1]T+S Costs'!$F$2:$F$3138,'[1]T+S Costs'!$N$2:$N$3138))</f>
        <v/>
      </c>
      <c r="Y1547" s="14" t="str">
        <f t="shared" si="124"/>
        <v/>
      </c>
      <c r="Z1547" s="4" t="str">
        <f t="shared" si="125"/>
        <v/>
      </c>
    </row>
    <row r="1548" spans="16:26" x14ac:dyDescent="0.25">
      <c r="P1548" s="10" t="str">
        <f>IF('[1]All Data '!AZ1553="","",'[1]All Data '!AZ1553)</f>
        <v/>
      </c>
      <c r="Q1548" s="10" t="str">
        <f>IF('[1]All Data '!BB1553="","",'[1]All Data '!BB1553)</f>
        <v/>
      </c>
      <c r="R1548" s="10" t="str">
        <f>IF('[1]All Data '!BD1553="","",'[1]All Data '!BD1553)</f>
        <v/>
      </c>
      <c r="S1548" s="11" t="str">
        <f>IF(R1548="","",'[1]All Data '!BE1553)</f>
        <v/>
      </c>
      <c r="T1548" s="12" t="str">
        <f>IF(S1548="","",[1]Inputs_Outputs!$B$8*(1-'LOCH Calc COE Calc'!S1548))</f>
        <v/>
      </c>
      <c r="U1548" s="13" t="str">
        <f t="shared" si="121"/>
        <v/>
      </c>
      <c r="V1548" s="13" t="str">
        <f t="shared" si="122"/>
        <v/>
      </c>
      <c r="W1548" s="4" t="str">
        <f t="shared" si="123"/>
        <v/>
      </c>
      <c r="X1548" t="str">
        <f>IF(W1548="","",LOOKUP(_xlfn.CONCAT(P1548,", ",Q1548),'[1]T+S Costs'!$F$2:$F$3138,'[1]T+S Costs'!$N$2:$N$3138))</f>
        <v/>
      </c>
      <c r="Y1548" s="14" t="str">
        <f t="shared" si="124"/>
        <v/>
      </c>
      <c r="Z1548" s="4" t="str">
        <f t="shared" si="125"/>
        <v/>
      </c>
    </row>
    <row r="1549" spans="16:26" x14ac:dyDescent="0.25">
      <c r="P1549" s="10" t="str">
        <f>IF('[1]All Data '!AZ1554="","",'[1]All Data '!AZ1554)</f>
        <v/>
      </c>
      <c r="Q1549" s="10" t="str">
        <f>IF('[1]All Data '!BB1554="","",'[1]All Data '!BB1554)</f>
        <v/>
      </c>
      <c r="R1549" s="10" t="str">
        <f>IF('[1]All Data '!BD1554="","",'[1]All Data '!BD1554)</f>
        <v/>
      </c>
      <c r="S1549" s="11" t="str">
        <f>IF(R1549="","",'[1]All Data '!BE1554)</f>
        <v/>
      </c>
      <c r="T1549" s="12" t="str">
        <f>IF(S1549="","",[1]Inputs_Outputs!$B$8*(1-'LOCH Calc COE Calc'!S1549))</f>
        <v/>
      </c>
      <c r="U1549" s="13" t="str">
        <f t="shared" si="121"/>
        <v/>
      </c>
      <c r="V1549" s="13" t="str">
        <f t="shared" si="122"/>
        <v/>
      </c>
      <c r="W1549" s="4" t="str">
        <f t="shared" si="123"/>
        <v/>
      </c>
      <c r="X1549" t="str">
        <f>IF(W1549="","",LOOKUP(_xlfn.CONCAT(P1549,", ",Q1549),'[1]T+S Costs'!$F$2:$F$3138,'[1]T+S Costs'!$N$2:$N$3138))</f>
        <v/>
      </c>
      <c r="Y1549" s="14" t="str">
        <f t="shared" si="124"/>
        <v/>
      </c>
      <c r="Z1549" s="4" t="str">
        <f t="shared" si="125"/>
        <v/>
      </c>
    </row>
    <row r="1550" spans="16:26" x14ac:dyDescent="0.25">
      <c r="P1550" s="10" t="str">
        <f>IF('[1]All Data '!AZ1555="","",'[1]All Data '!AZ1555)</f>
        <v/>
      </c>
      <c r="Q1550" s="10" t="str">
        <f>IF('[1]All Data '!BB1555="","",'[1]All Data '!BB1555)</f>
        <v/>
      </c>
      <c r="R1550" s="10" t="str">
        <f>IF('[1]All Data '!BD1555="","",'[1]All Data '!BD1555)</f>
        <v/>
      </c>
      <c r="S1550" s="11" t="str">
        <f>IF(R1550="","",'[1]All Data '!BE1555)</f>
        <v/>
      </c>
      <c r="T1550" s="12" t="str">
        <f>IF(S1550="","",[1]Inputs_Outputs!$B$8*(1-'LOCH Calc COE Calc'!S1550))</f>
        <v/>
      </c>
      <c r="U1550" s="13" t="str">
        <f t="shared" si="121"/>
        <v/>
      </c>
      <c r="V1550" s="13" t="str">
        <f t="shared" si="122"/>
        <v/>
      </c>
      <c r="W1550" s="4" t="str">
        <f t="shared" si="123"/>
        <v/>
      </c>
      <c r="X1550" t="str">
        <f>IF(W1550="","",LOOKUP(_xlfn.CONCAT(P1550,", ",Q1550),'[1]T+S Costs'!$F$2:$F$3138,'[1]T+S Costs'!$N$2:$N$3138))</f>
        <v/>
      </c>
      <c r="Y1550" s="14" t="str">
        <f t="shared" si="124"/>
        <v/>
      </c>
      <c r="Z1550" s="4" t="str">
        <f t="shared" si="125"/>
        <v/>
      </c>
    </row>
    <row r="1551" spans="16:26" x14ac:dyDescent="0.25">
      <c r="P1551" s="10" t="str">
        <f>IF('[1]All Data '!AZ1556="","",'[1]All Data '!AZ1556)</f>
        <v/>
      </c>
      <c r="Q1551" s="10" t="str">
        <f>IF('[1]All Data '!BB1556="","",'[1]All Data '!BB1556)</f>
        <v/>
      </c>
      <c r="R1551" s="10" t="str">
        <f>IF('[1]All Data '!BD1556="","",'[1]All Data '!BD1556)</f>
        <v/>
      </c>
      <c r="S1551" s="11" t="str">
        <f>IF(R1551="","",'[1]All Data '!BE1556)</f>
        <v/>
      </c>
      <c r="T1551" s="12" t="str">
        <f>IF(S1551="","",[1]Inputs_Outputs!$B$8*(1-'LOCH Calc COE Calc'!S1551))</f>
        <v/>
      </c>
      <c r="U1551" s="13" t="str">
        <f t="shared" si="121"/>
        <v/>
      </c>
      <c r="V1551" s="13" t="str">
        <f t="shared" si="122"/>
        <v/>
      </c>
      <c r="W1551" s="4" t="str">
        <f t="shared" si="123"/>
        <v/>
      </c>
      <c r="X1551" t="str">
        <f>IF(W1551="","",LOOKUP(_xlfn.CONCAT(P1551,", ",Q1551),'[1]T+S Costs'!$F$2:$F$3138,'[1]T+S Costs'!$N$2:$N$3138))</f>
        <v/>
      </c>
      <c r="Y1551" s="14" t="str">
        <f t="shared" si="124"/>
        <v/>
      </c>
      <c r="Z1551" s="4" t="str">
        <f t="shared" si="125"/>
        <v/>
      </c>
    </row>
    <row r="1552" spans="16:26" x14ac:dyDescent="0.25">
      <c r="P1552" s="10" t="str">
        <f>IF('[1]All Data '!AZ1557="","",'[1]All Data '!AZ1557)</f>
        <v/>
      </c>
      <c r="Q1552" s="10" t="str">
        <f>IF('[1]All Data '!BB1557="","",'[1]All Data '!BB1557)</f>
        <v/>
      </c>
      <c r="R1552" s="10" t="str">
        <f>IF('[1]All Data '!BD1557="","",'[1]All Data '!BD1557)</f>
        <v/>
      </c>
      <c r="S1552" s="11" t="str">
        <f>IF(R1552="","",'[1]All Data '!BE1557)</f>
        <v/>
      </c>
      <c r="T1552" s="12" t="str">
        <f>IF(S1552="","",[1]Inputs_Outputs!$B$8*(1-'LOCH Calc COE Calc'!S1552))</f>
        <v/>
      </c>
      <c r="U1552" s="13" t="str">
        <f t="shared" si="121"/>
        <v/>
      </c>
      <c r="V1552" s="13" t="str">
        <f t="shared" si="122"/>
        <v/>
      </c>
      <c r="W1552" s="4" t="str">
        <f t="shared" si="123"/>
        <v/>
      </c>
      <c r="X1552" t="str">
        <f>IF(W1552="","",LOOKUP(_xlfn.CONCAT(P1552,", ",Q1552),'[1]T+S Costs'!$F$2:$F$3138,'[1]T+S Costs'!$N$2:$N$3138))</f>
        <v/>
      </c>
      <c r="Y1552" s="14" t="str">
        <f t="shared" si="124"/>
        <v/>
      </c>
      <c r="Z1552" s="4" t="str">
        <f t="shared" si="125"/>
        <v/>
      </c>
    </row>
    <row r="1553" spans="16:26" x14ac:dyDescent="0.25">
      <c r="P1553" s="10" t="str">
        <f>IF('[1]All Data '!AZ1558="","",'[1]All Data '!AZ1558)</f>
        <v/>
      </c>
      <c r="Q1553" s="10" t="str">
        <f>IF('[1]All Data '!BB1558="","",'[1]All Data '!BB1558)</f>
        <v/>
      </c>
      <c r="R1553" s="10" t="str">
        <f>IF('[1]All Data '!BD1558="","",'[1]All Data '!BD1558)</f>
        <v/>
      </c>
      <c r="S1553" s="11" t="str">
        <f>IF(R1553="","",'[1]All Data '!BE1558)</f>
        <v/>
      </c>
      <c r="T1553" s="12" t="str">
        <f>IF(S1553="","",[1]Inputs_Outputs!$B$8*(1-'LOCH Calc COE Calc'!S1553))</f>
        <v/>
      </c>
      <c r="U1553" s="13" t="str">
        <f t="shared" si="121"/>
        <v/>
      </c>
      <c r="V1553" s="13" t="str">
        <f t="shared" si="122"/>
        <v/>
      </c>
      <c r="W1553" s="4" t="str">
        <f t="shared" si="123"/>
        <v/>
      </c>
      <c r="X1553" t="str">
        <f>IF(W1553="","",LOOKUP(_xlfn.CONCAT(P1553,", ",Q1553),'[1]T+S Costs'!$F$2:$F$3138,'[1]T+S Costs'!$N$2:$N$3138))</f>
        <v/>
      </c>
      <c r="Y1553" s="14" t="str">
        <f t="shared" si="124"/>
        <v/>
      </c>
      <c r="Z1553" s="4" t="str">
        <f t="shared" si="125"/>
        <v/>
      </c>
    </row>
    <row r="1554" spans="16:26" x14ac:dyDescent="0.25">
      <c r="P1554" s="10" t="str">
        <f>IF('[1]All Data '!AZ1559="","",'[1]All Data '!AZ1559)</f>
        <v/>
      </c>
      <c r="Q1554" s="10" t="str">
        <f>IF('[1]All Data '!BB1559="","",'[1]All Data '!BB1559)</f>
        <v/>
      </c>
      <c r="R1554" s="10" t="str">
        <f>IF('[1]All Data '!BD1559="","",'[1]All Data '!BD1559)</f>
        <v/>
      </c>
      <c r="S1554" s="11" t="str">
        <f>IF(R1554="","",'[1]All Data '!BE1559)</f>
        <v/>
      </c>
      <c r="T1554" s="12" t="str">
        <f>IF(S1554="","",[1]Inputs_Outputs!$B$8*(1-'LOCH Calc COE Calc'!S1554))</f>
        <v/>
      </c>
      <c r="U1554" s="13" t="str">
        <f t="shared" si="121"/>
        <v/>
      </c>
      <c r="V1554" s="13" t="str">
        <f t="shared" si="122"/>
        <v/>
      </c>
      <c r="W1554" s="4" t="str">
        <f t="shared" si="123"/>
        <v/>
      </c>
      <c r="X1554" t="str">
        <f>IF(W1554="","",LOOKUP(_xlfn.CONCAT(P1554,", ",Q1554),'[1]T+S Costs'!$F$2:$F$3138,'[1]T+S Costs'!$N$2:$N$3138))</f>
        <v/>
      </c>
      <c r="Y1554" s="14" t="str">
        <f t="shared" si="124"/>
        <v/>
      </c>
      <c r="Z1554" s="4" t="str">
        <f t="shared" si="125"/>
        <v/>
      </c>
    </row>
    <row r="1555" spans="16:26" x14ac:dyDescent="0.25">
      <c r="P1555" s="10" t="str">
        <f>IF('[1]All Data '!AZ1560="","",'[1]All Data '!AZ1560)</f>
        <v/>
      </c>
      <c r="Q1555" s="10" t="str">
        <f>IF('[1]All Data '!BB1560="","",'[1]All Data '!BB1560)</f>
        <v/>
      </c>
      <c r="R1555" s="10" t="str">
        <f>IF('[1]All Data '!BD1560="","",'[1]All Data '!BD1560)</f>
        <v/>
      </c>
      <c r="S1555" s="11" t="str">
        <f>IF(R1555="","",'[1]All Data '!BE1560)</f>
        <v/>
      </c>
      <c r="T1555" s="12" t="str">
        <f>IF(S1555="","",[1]Inputs_Outputs!$B$8*(1-'LOCH Calc COE Calc'!S1555))</f>
        <v/>
      </c>
      <c r="U1555" s="13" t="str">
        <f t="shared" si="121"/>
        <v/>
      </c>
      <c r="V1555" s="13" t="str">
        <f t="shared" si="122"/>
        <v/>
      </c>
      <c r="W1555" s="4" t="str">
        <f t="shared" si="123"/>
        <v/>
      </c>
      <c r="X1555" t="str">
        <f>IF(W1555="","",LOOKUP(_xlfn.CONCAT(P1555,", ",Q1555),'[1]T+S Costs'!$F$2:$F$3138,'[1]T+S Costs'!$N$2:$N$3138))</f>
        <v/>
      </c>
      <c r="Y1555" s="14" t="str">
        <f t="shared" si="124"/>
        <v/>
      </c>
      <c r="Z1555" s="4" t="str">
        <f t="shared" si="125"/>
        <v/>
      </c>
    </row>
    <row r="1556" spans="16:26" x14ac:dyDescent="0.25">
      <c r="P1556" s="10" t="str">
        <f>IF('[1]All Data '!AZ1561="","",'[1]All Data '!AZ1561)</f>
        <v/>
      </c>
      <c r="Q1556" s="10" t="str">
        <f>IF('[1]All Data '!BB1561="","",'[1]All Data '!BB1561)</f>
        <v/>
      </c>
      <c r="R1556" s="10" t="str">
        <f>IF('[1]All Data '!BD1561="","",'[1]All Data '!BD1561)</f>
        <v/>
      </c>
      <c r="S1556" s="11" t="str">
        <f>IF(R1556="","",'[1]All Data '!BE1561)</f>
        <v/>
      </c>
      <c r="T1556" s="12" t="str">
        <f>IF(S1556="","",[1]Inputs_Outputs!$B$8*(1-'LOCH Calc COE Calc'!S1556))</f>
        <v/>
      </c>
      <c r="U1556" s="13" t="str">
        <f t="shared" si="121"/>
        <v/>
      </c>
      <c r="V1556" s="13" t="str">
        <f t="shared" si="122"/>
        <v/>
      </c>
      <c r="W1556" s="4" t="str">
        <f t="shared" si="123"/>
        <v/>
      </c>
      <c r="X1556" t="str">
        <f>IF(W1556="","",LOOKUP(_xlfn.CONCAT(P1556,", ",Q1556),'[1]T+S Costs'!$F$2:$F$3138,'[1]T+S Costs'!$N$2:$N$3138))</f>
        <v/>
      </c>
      <c r="Y1556" s="14" t="str">
        <f t="shared" si="124"/>
        <v/>
      </c>
      <c r="Z1556" s="4" t="str">
        <f t="shared" si="125"/>
        <v/>
      </c>
    </row>
    <row r="1557" spans="16:26" x14ac:dyDescent="0.25">
      <c r="P1557" s="10" t="str">
        <f>IF('[1]All Data '!AZ1562="","",'[1]All Data '!AZ1562)</f>
        <v/>
      </c>
      <c r="Q1557" s="10" t="str">
        <f>IF('[1]All Data '!BB1562="","",'[1]All Data '!BB1562)</f>
        <v/>
      </c>
      <c r="R1557" s="10" t="str">
        <f>IF('[1]All Data '!BD1562="","",'[1]All Data '!BD1562)</f>
        <v/>
      </c>
      <c r="S1557" s="11" t="str">
        <f>IF(R1557="","",'[1]All Data '!BE1562)</f>
        <v/>
      </c>
      <c r="T1557" s="12" t="str">
        <f>IF(S1557="","",[1]Inputs_Outputs!$B$8*(1-'LOCH Calc COE Calc'!S1557))</f>
        <v/>
      </c>
      <c r="U1557" s="13" t="str">
        <f t="shared" si="121"/>
        <v/>
      </c>
      <c r="V1557" s="13" t="str">
        <f t="shared" si="122"/>
        <v/>
      </c>
      <c r="W1557" s="4" t="str">
        <f t="shared" si="123"/>
        <v/>
      </c>
      <c r="X1557" t="str">
        <f>IF(W1557="","",LOOKUP(_xlfn.CONCAT(P1557,", ",Q1557),'[1]T+S Costs'!$F$2:$F$3138,'[1]T+S Costs'!$N$2:$N$3138))</f>
        <v/>
      </c>
      <c r="Y1557" s="14" t="str">
        <f t="shared" si="124"/>
        <v/>
      </c>
      <c r="Z1557" s="4" t="str">
        <f t="shared" si="125"/>
        <v/>
      </c>
    </row>
    <row r="1558" spans="16:26" x14ac:dyDescent="0.25">
      <c r="P1558" s="10" t="str">
        <f>IF('[1]All Data '!AZ1563="","",'[1]All Data '!AZ1563)</f>
        <v/>
      </c>
      <c r="Q1558" s="10" t="str">
        <f>IF('[1]All Data '!BB1563="","",'[1]All Data '!BB1563)</f>
        <v/>
      </c>
      <c r="R1558" s="10" t="str">
        <f>IF('[1]All Data '!BD1563="","",'[1]All Data '!BD1563)</f>
        <v/>
      </c>
      <c r="S1558" s="11" t="str">
        <f>IF(R1558="","",'[1]All Data '!BE1563)</f>
        <v/>
      </c>
      <c r="T1558" s="12" t="str">
        <f>IF(S1558="","",[1]Inputs_Outputs!$B$8*(1-'LOCH Calc COE Calc'!S1558))</f>
        <v/>
      </c>
      <c r="U1558" s="13" t="str">
        <f t="shared" si="121"/>
        <v/>
      </c>
      <c r="V1558" s="13" t="str">
        <f t="shared" si="122"/>
        <v/>
      </c>
      <c r="W1558" s="4" t="str">
        <f t="shared" si="123"/>
        <v/>
      </c>
      <c r="X1558" t="str">
        <f>IF(W1558="","",LOOKUP(_xlfn.CONCAT(P1558,", ",Q1558),'[1]T+S Costs'!$F$2:$F$3138,'[1]T+S Costs'!$N$2:$N$3138))</f>
        <v/>
      </c>
      <c r="Y1558" s="14" t="str">
        <f t="shared" si="124"/>
        <v/>
      </c>
      <c r="Z1558" s="4" t="str">
        <f t="shared" si="125"/>
        <v/>
      </c>
    </row>
    <row r="1559" spans="16:26" x14ac:dyDescent="0.25">
      <c r="P1559" s="10" t="str">
        <f>IF('[1]All Data '!AZ1564="","",'[1]All Data '!AZ1564)</f>
        <v/>
      </c>
      <c r="Q1559" s="10" t="str">
        <f>IF('[1]All Data '!BB1564="","",'[1]All Data '!BB1564)</f>
        <v/>
      </c>
      <c r="R1559" s="10" t="str">
        <f>IF('[1]All Data '!BD1564="","",'[1]All Data '!BD1564)</f>
        <v/>
      </c>
      <c r="S1559" s="11" t="str">
        <f>IF(R1559="","",'[1]All Data '!BE1564)</f>
        <v/>
      </c>
      <c r="T1559" s="12" t="str">
        <f>IF(S1559="","",[1]Inputs_Outputs!$B$8*(1-'LOCH Calc COE Calc'!S1559))</f>
        <v/>
      </c>
      <c r="U1559" s="13" t="str">
        <f t="shared" si="121"/>
        <v/>
      </c>
      <c r="V1559" s="13" t="str">
        <f t="shared" si="122"/>
        <v/>
      </c>
      <c r="W1559" s="4" t="str">
        <f t="shared" si="123"/>
        <v/>
      </c>
      <c r="X1559" t="str">
        <f>IF(W1559="","",LOOKUP(_xlfn.CONCAT(P1559,", ",Q1559),'[1]T+S Costs'!$F$2:$F$3138,'[1]T+S Costs'!$N$2:$N$3138))</f>
        <v/>
      </c>
      <c r="Y1559" s="14" t="str">
        <f t="shared" si="124"/>
        <v/>
      </c>
      <c r="Z1559" s="4" t="str">
        <f t="shared" si="125"/>
        <v/>
      </c>
    </row>
    <row r="1560" spans="16:26" x14ac:dyDescent="0.25">
      <c r="P1560" s="10" t="str">
        <f>IF('[1]All Data '!AZ1565="","",'[1]All Data '!AZ1565)</f>
        <v/>
      </c>
      <c r="Q1560" s="10" t="str">
        <f>IF('[1]All Data '!BB1565="","",'[1]All Data '!BB1565)</f>
        <v/>
      </c>
      <c r="R1560" s="10" t="str">
        <f>IF('[1]All Data '!BD1565="","",'[1]All Data '!BD1565)</f>
        <v/>
      </c>
      <c r="S1560" s="11" t="str">
        <f>IF(R1560="","",'[1]All Data '!BE1565)</f>
        <v/>
      </c>
      <c r="T1560" s="12" t="str">
        <f>IF(S1560="","",[1]Inputs_Outputs!$B$8*(1-'LOCH Calc COE Calc'!S1560))</f>
        <v/>
      </c>
      <c r="U1560" s="13" t="str">
        <f t="shared" si="121"/>
        <v/>
      </c>
      <c r="V1560" s="13" t="str">
        <f t="shared" si="122"/>
        <v/>
      </c>
      <c r="W1560" s="4" t="str">
        <f t="shared" si="123"/>
        <v/>
      </c>
      <c r="X1560" t="str">
        <f>IF(W1560="","",LOOKUP(_xlfn.CONCAT(P1560,", ",Q1560),'[1]T+S Costs'!$F$2:$F$3138,'[1]T+S Costs'!$N$2:$N$3138))</f>
        <v/>
      </c>
      <c r="Y1560" s="14" t="str">
        <f t="shared" si="124"/>
        <v/>
      </c>
      <c r="Z1560" s="4" t="str">
        <f t="shared" si="125"/>
        <v/>
      </c>
    </row>
    <row r="1561" spans="16:26" x14ac:dyDescent="0.25">
      <c r="P1561" s="10" t="str">
        <f>IF('[1]All Data '!AZ1566="","",'[1]All Data '!AZ1566)</f>
        <v/>
      </c>
      <c r="Q1561" s="10" t="str">
        <f>IF('[1]All Data '!BB1566="","",'[1]All Data '!BB1566)</f>
        <v/>
      </c>
      <c r="R1561" s="10" t="str">
        <f>IF('[1]All Data '!BD1566="","",'[1]All Data '!BD1566)</f>
        <v/>
      </c>
      <c r="S1561" s="11" t="str">
        <f>IF(R1561="","",'[1]All Data '!BE1566)</f>
        <v/>
      </c>
      <c r="T1561" s="12" t="str">
        <f>IF(S1561="","",[1]Inputs_Outputs!$B$8*(1-'LOCH Calc COE Calc'!S1561))</f>
        <v/>
      </c>
      <c r="U1561" s="13" t="str">
        <f t="shared" si="121"/>
        <v/>
      </c>
      <c r="V1561" s="13" t="str">
        <f t="shared" si="122"/>
        <v/>
      </c>
      <c r="W1561" s="4" t="str">
        <f t="shared" si="123"/>
        <v/>
      </c>
      <c r="X1561" t="str">
        <f>IF(W1561="","",LOOKUP(_xlfn.CONCAT(P1561,", ",Q1561),'[1]T+S Costs'!$F$2:$F$3138,'[1]T+S Costs'!$N$2:$N$3138))</f>
        <v/>
      </c>
      <c r="Y1561" s="14" t="str">
        <f t="shared" si="124"/>
        <v/>
      </c>
      <c r="Z1561" s="4" t="str">
        <f t="shared" si="125"/>
        <v/>
      </c>
    </row>
    <row r="1562" spans="16:26" x14ac:dyDescent="0.25">
      <c r="P1562" s="10" t="str">
        <f>IF('[1]All Data '!AZ1567="","",'[1]All Data '!AZ1567)</f>
        <v/>
      </c>
      <c r="Q1562" s="10" t="str">
        <f>IF('[1]All Data '!BB1567="","",'[1]All Data '!BB1567)</f>
        <v/>
      </c>
      <c r="R1562" s="10" t="str">
        <f>IF('[1]All Data '!BD1567="","",'[1]All Data '!BD1567)</f>
        <v/>
      </c>
      <c r="S1562" s="11" t="str">
        <f>IF(R1562="","",'[1]All Data '!BE1567)</f>
        <v/>
      </c>
      <c r="T1562" s="12" t="str">
        <f>IF(S1562="","",[1]Inputs_Outputs!$B$8*(1-'LOCH Calc COE Calc'!S1562))</f>
        <v/>
      </c>
      <c r="U1562" s="13" t="str">
        <f t="shared" si="121"/>
        <v/>
      </c>
      <c r="V1562" s="13" t="str">
        <f t="shared" si="122"/>
        <v/>
      </c>
      <c r="W1562" s="4" t="str">
        <f t="shared" si="123"/>
        <v/>
      </c>
      <c r="X1562" t="str">
        <f>IF(W1562="","",LOOKUP(_xlfn.CONCAT(P1562,", ",Q1562),'[1]T+S Costs'!$F$2:$F$3138,'[1]T+S Costs'!$N$2:$N$3138))</f>
        <v/>
      </c>
      <c r="Y1562" s="14" t="str">
        <f t="shared" si="124"/>
        <v/>
      </c>
      <c r="Z1562" s="4" t="str">
        <f t="shared" si="125"/>
        <v/>
      </c>
    </row>
    <row r="1563" spans="16:26" x14ac:dyDescent="0.25">
      <c r="P1563" s="10" t="str">
        <f>IF('[1]All Data '!AZ1568="","",'[1]All Data '!AZ1568)</f>
        <v/>
      </c>
      <c r="Q1563" s="10" t="str">
        <f>IF('[1]All Data '!BB1568="","",'[1]All Data '!BB1568)</f>
        <v/>
      </c>
      <c r="R1563" s="10" t="str">
        <f>IF('[1]All Data '!BD1568="","",'[1]All Data '!BD1568)</f>
        <v/>
      </c>
      <c r="S1563" s="11" t="str">
        <f>IF(R1563="","",'[1]All Data '!BE1568)</f>
        <v/>
      </c>
      <c r="T1563" s="12" t="str">
        <f>IF(S1563="","",[1]Inputs_Outputs!$B$8*(1-'LOCH Calc COE Calc'!S1563))</f>
        <v/>
      </c>
      <c r="U1563" s="13" t="str">
        <f t="shared" si="121"/>
        <v/>
      </c>
      <c r="V1563" s="13" t="str">
        <f t="shared" si="122"/>
        <v/>
      </c>
      <c r="W1563" s="4" t="str">
        <f t="shared" si="123"/>
        <v/>
      </c>
      <c r="X1563" t="str">
        <f>IF(W1563="","",LOOKUP(_xlfn.CONCAT(P1563,", ",Q1563),'[1]T+S Costs'!$F$2:$F$3138,'[1]T+S Costs'!$N$2:$N$3138))</f>
        <v/>
      </c>
      <c r="Y1563" s="14" t="str">
        <f t="shared" si="124"/>
        <v/>
      </c>
      <c r="Z1563" s="4" t="str">
        <f t="shared" si="125"/>
        <v/>
      </c>
    </row>
    <row r="1564" spans="16:26" x14ac:dyDescent="0.25">
      <c r="P1564" s="10" t="str">
        <f>IF('[1]All Data '!AZ1569="","",'[1]All Data '!AZ1569)</f>
        <v/>
      </c>
      <c r="Q1564" s="10" t="str">
        <f>IF('[1]All Data '!BB1569="","",'[1]All Data '!BB1569)</f>
        <v/>
      </c>
      <c r="R1564" s="10" t="str">
        <f>IF('[1]All Data '!BD1569="","",'[1]All Data '!BD1569)</f>
        <v/>
      </c>
      <c r="S1564" s="11" t="str">
        <f>IF(R1564="","",'[1]All Data '!BE1569)</f>
        <v/>
      </c>
      <c r="T1564" s="12" t="str">
        <f>IF(S1564="","",[1]Inputs_Outputs!$B$8*(1-'LOCH Calc COE Calc'!S1564))</f>
        <v/>
      </c>
      <c r="U1564" s="13" t="str">
        <f t="shared" si="121"/>
        <v/>
      </c>
      <c r="V1564" s="13" t="str">
        <f t="shared" si="122"/>
        <v/>
      </c>
      <c r="W1564" s="4" t="str">
        <f t="shared" si="123"/>
        <v/>
      </c>
      <c r="X1564" t="str">
        <f>IF(W1564="","",LOOKUP(_xlfn.CONCAT(P1564,", ",Q1564),'[1]T+S Costs'!$F$2:$F$3138,'[1]T+S Costs'!$N$2:$N$3138))</f>
        <v/>
      </c>
      <c r="Y1564" s="14" t="str">
        <f t="shared" si="124"/>
        <v/>
      </c>
      <c r="Z1564" s="4" t="str">
        <f t="shared" si="125"/>
        <v/>
      </c>
    </row>
    <row r="1565" spans="16:26" x14ac:dyDescent="0.25">
      <c r="P1565" s="10" t="str">
        <f>IF('[1]All Data '!AZ1570="","",'[1]All Data '!AZ1570)</f>
        <v/>
      </c>
      <c r="Q1565" s="10" t="str">
        <f>IF('[1]All Data '!BB1570="","",'[1]All Data '!BB1570)</f>
        <v/>
      </c>
      <c r="R1565" s="10" t="str">
        <f>IF('[1]All Data '!BD1570="","",'[1]All Data '!BD1570)</f>
        <v/>
      </c>
      <c r="S1565" s="11" t="str">
        <f>IF(R1565="","",'[1]All Data '!BE1570)</f>
        <v/>
      </c>
      <c r="T1565" s="12" t="str">
        <f>IF(S1565="","",[1]Inputs_Outputs!$B$8*(1-'LOCH Calc COE Calc'!S1565))</f>
        <v/>
      </c>
      <c r="U1565" s="13" t="str">
        <f t="shared" si="121"/>
        <v/>
      </c>
      <c r="V1565" s="13" t="str">
        <f t="shared" si="122"/>
        <v/>
      </c>
      <c r="W1565" s="4" t="str">
        <f t="shared" si="123"/>
        <v/>
      </c>
      <c r="X1565" t="str">
        <f>IF(W1565="","",LOOKUP(_xlfn.CONCAT(P1565,", ",Q1565),'[1]T+S Costs'!$F$2:$F$3138,'[1]T+S Costs'!$N$2:$N$3138))</f>
        <v/>
      </c>
      <c r="Y1565" s="14" t="str">
        <f t="shared" si="124"/>
        <v/>
      </c>
      <c r="Z1565" s="4" t="str">
        <f t="shared" si="125"/>
        <v/>
      </c>
    </row>
    <row r="1566" spans="16:26" x14ac:dyDescent="0.25">
      <c r="P1566" s="10" t="str">
        <f>IF('[1]All Data '!AZ1571="","",'[1]All Data '!AZ1571)</f>
        <v/>
      </c>
      <c r="Q1566" s="10" t="str">
        <f>IF('[1]All Data '!BB1571="","",'[1]All Data '!BB1571)</f>
        <v/>
      </c>
      <c r="R1566" s="10" t="str">
        <f>IF('[1]All Data '!BD1571="","",'[1]All Data '!BD1571)</f>
        <v/>
      </c>
      <c r="S1566" s="11" t="str">
        <f>IF(R1566="","",'[1]All Data '!BE1571)</f>
        <v/>
      </c>
      <c r="T1566" s="12" t="str">
        <f>IF(S1566="","",[1]Inputs_Outputs!$B$8*(1-'LOCH Calc COE Calc'!S1566))</f>
        <v/>
      </c>
      <c r="U1566" s="13" t="str">
        <f t="shared" si="121"/>
        <v/>
      </c>
      <c r="V1566" s="13" t="str">
        <f t="shared" si="122"/>
        <v/>
      </c>
      <c r="W1566" s="4" t="str">
        <f t="shared" si="123"/>
        <v/>
      </c>
      <c r="X1566" t="str">
        <f>IF(W1566="","",LOOKUP(_xlfn.CONCAT(P1566,", ",Q1566),'[1]T+S Costs'!$F$2:$F$3138,'[1]T+S Costs'!$N$2:$N$3138))</f>
        <v/>
      </c>
      <c r="Y1566" s="14" t="str">
        <f t="shared" si="124"/>
        <v/>
      </c>
      <c r="Z1566" s="4" t="str">
        <f t="shared" si="125"/>
        <v/>
      </c>
    </row>
    <row r="1567" spans="16:26" x14ac:dyDescent="0.25">
      <c r="P1567" s="10" t="str">
        <f>IF('[1]All Data '!AZ1572="","",'[1]All Data '!AZ1572)</f>
        <v/>
      </c>
      <c r="Q1567" s="10" t="str">
        <f>IF('[1]All Data '!BB1572="","",'[1]All Data '!BB1572)</f>
        <v/>
      </c>
      <c r="R1567" s="10" t="str">
        <f>IF('[1]All Data '!BD1572="","",'[1]All Data '!BD1572)</f>
        <v/>
      </c>
      <c r="S1567" s="11" t="str">
        <f>IF(R1567="","",'[1]All Data '!BE1572)</f>
        <v/>
      </c>
      <c r="T1567" s="12" t="str">
        <f>IF(S1567="","",[1]Inputs_Outputs!$B$8*(1-'LOCH Calc COE Calc'!S1567))</f>
        <v/>
      </c>
      <c r="U1567" s="13" t="str">
        <f t="shared" si="121"/>
        <v/>
      </c>
      <c r="V1567" s="13" t="str">
        <f t="shared" si="122"/>
        <v/>
      </c>
      <c r="W1567" s="4" t="str">
        <f t="shared" si="123"/>
        <v/>
      </c>
      <c r="X1567" t="str">
        <f>IF(W1567="","",LOOKUP(_xlfn.CONCAT(P1567,", ",Q1567),'[1]T+S Costs'!$F$2:$F$3138,'[1]T+S Costs'!$N$2:$N$3138))</f>
        <v/>
      </c>
      <c r="Y1567" s="14" t="str">
        <f t="shared" si="124"/>
        <v/>
      </c>
      <c r="Z1567" s="4" t="str">
        <f t="shared" si="125"/>
        <v/>
      </c>
    </row>
    <row r="1568" spans="16:26" x14ac:dyDescent="0.25">
      <c r="P1568" s="10" t="str">
        <f>IF('[1]All Data '!AZ1573="","",'[1]All Data '!AZ1573)</f>
        <v/>
      </c>
      <c r="Q1568" s="10" t="str">
        <f>IF('[1]All Data '!BB1573="","",'[1]All Data '!BB1573)</f>
        <v/>
      </c>
      <c r="R1568" s="10" t="str">
        <f>IF('[1]All Data '!BD1573="","",'[1]All Data '!BD1573)</f>
        <v/>
      </c>
      <c r="S1568" s="11" t="str">
        <f>IF(R1568="","",'[1]All Data '!BE1573)</f>
        <v/>
      </c>
      <c r="T1568" s="12" t="str">
        <f>IF(S1568="","",[1]Inputs_Outputs!$B$8*(1-'LOCH Calc COE Calc'!S1568))</f>
        <v/>
      </c>
      <c r="U1568" s="13" t="str">
        <f t="shared" si="121"/>
        <v/>
      </c>
      <c r="V1568" s="13" t="str">
        <f t="shared" si="122"/>
        <v/>
      </c>
      <c r="W1568" s="4" t="str">
        <f t="shared" si="123"/>
        <v/>
      </c>
      <c r="X1568" t="str">
        <f>IF(W1568="","",LOOKUP(_xlfn.CONCAT(P1568,", ",Q1568),'[1]T+S Costs'!$F$2:$F$3138,'[1]T+S Costs'!$N$2:$N$3138))</f>
        <v/>
      </c>
      <c r="Y1568" s="14" t="str">
        <f t="shared" si="124"/>
        <v/>
      </c>
      <c r="Z1568" s="4" t="str">
        <f t="shared" si="125"/>
        <v/>
      </c>
    </row>
    <row r="1569" spans="16:26" x14ac:dyDescent="0.25">
      <c r="P1569" s="10" t="str">
        <f>IF('[1]All Data '!AZ1574="","",'[1]All Data '!AZ1574)</f>
        <v/>
      </c>
      <c r="Q1569" s="10" t="str">
        <f>IF('[1]All Data '!BB1574="","",'[1]All Data '!BB1574)</f>
        <v/>
      </c>
      <c r="R1569" s="10" t="str">
        <f>IF('[1]All Data '!BD1574="","",'[1]All Data '!BD1574)</f>
        <v/>
      </c>
      <c r="S1569" s="11" t="str">
        <f>IF(R1569="","",'[1]All Data '!BE1574)</f>
        <v/>
      </c>
      <c r="T1569" s="12" t="str">
        <f>IF(S1569="","",[1]Inputs_Outputs!$B$8*(1-'LOCH Calc COE Calc'!S1569))</f>
        <v/>
      </c>
      <c r="U1569" s="13" t="str">
        <f t="shared" si="121"/>
        <v/>
      </c>
      <c r="V1569" s="13" t="str">
        <f t="shared" si="122"/>
        <v/>
      </c>
      <c r="W1569" s="4" t="str">
        <f t="shared" si="123"/>
        <v/>
      </c>
      <c r="X1569" t="str">
        <f>IF(W1569="","",LOOKUP(_xlfn.CONCAT(P1569,", ",Q1569),'[1]T+S Costs'!$F$2:$F$3138,'[1]T+S Costs'!$N$2:$N$3138))</f>
        <v/>
      </c>
      <c r="Y1569" s="14" t="str">
        <f t="shared" si="124"/>
        <v/>
      </c>
      <c r="Z1569" s="4" t="str">
        <f t="shared" si="125"/>
        <v/>
      </c>
    </row>
    <row r="1570" spans="16:26" x14ac:dyDescent="0.25">
      <c r="P1570" s="10" t="str">
        <f>IF('[1]All Data '!AZ1575="","",'[1]All Data '!AZ1575)</f>
        <v/>
      </c>
      <c r="Q1570" s="10" t="str">
        <f>IF('[1]All Data '!BB1575="","",'[1]All Data '!BB1575)</f>
        <v/>
      </c>
      <c r="R1570" s="10" t="str">
        <f>IF('[1]All Data '!BD1575="","",'[1]All Data '!BD1575)</f>
        <v/>
      </c>
      <c r="S1570" s="11" t="str">
        <f>IF(R1570="","",'[1]All Data '!BE1575)</f>
        <v/>
      </c>
      <c r="T1570" s="12" t="str">
        <f>IF(S1570="","",[1]Inputs_Outputs!$B$8*(1-'LOCH Calc COE Calc'!S1570))</f>
        <v/>
      </c>
      <c r="U1570" s="13" t="str">
        <f t="shared" si="121"/>
        <v/>
      </c>
      <c r="V1570" s="13" t="str">
        <f t="shared" si="122"/>
        <v/>
      </c>
      <c r="W1570" s="4" t="str">
        <f t="shared" si="123"/>
        <v/>
      </c>
      <c r="X1570" t="str">
        <f>IF(W1570="","",LOOKUP(_xlfn.CONCAT(P1570,", ",Q1570),'[1]T+S Costs'!$F$2:$F$3138,'[1]T+S Costs'!$N$2:$N$3138))</f>
        <v/>
      </c>
      <c r="Y1570" s="14" t="str">
        <f t="shared" si="124"/>
        <v/>
      </c>
      <c r="Z1570" s="4" t="str">
        <f t="shared" si="125"/>
        <v/>
      </c>
    </row>
    <row r="1571" spans="16:26" x14ac:dyDescent="0.25">
      <c r="P1571" s="10" t="str">
        <f>IF('[1]All Data '!AZ1576="","",'[1]All Data '!AZ1576)</f>
        <v/>
      </c>
      <c r="Q1571" s="10" t="str">
        <f>IF('[1]All Data '!BB1576="","",'[1]All Data '!BB1576)</f>
        <v/>
      </c>
      <c r="R1571" s="10" t="str">
        <f>IF('[1]All Data '!BD1576="","",'[1]All Data '!BD1576)</f>
        <v/>
      </c>
      <c r="S1571" s="11" t="str">
        <f>IF(R1571="","",'[1]All Data '!BE1576)</f>
        <v/>
      </c>
      <c r="T1571" s="12" t="str">
        <f>IF(S1571="","",[1]Inputs_Outputs!$B$8*(1-'LOCH Calc COE Calc'!S1571))</f>
        <v/>
      </c>
      <c r="U1571" s="13" t="str">
        <f t="shared" si="121"/>
        <v/>
      </c>
      <c r="V1571" s="13" t="str">
        <f t="shared" si="122"/>
        <v/>
      </c>
      <c r="W1571" s="4" t="str">
        <f t="shared" si="123"/>
        <v/>
      </c>
      <c r="X1571" t="str">
        <f>IF(W1571="","",LOOKUP(_xlfn.CONCAT(P1571,", ",Q1571),'[1]T+S Costs'!$F$2:$F$3138,'[1]T+S Costs'!$N$2:$N$3138))</f>
        <v/>
      </c>
      <c r="Y1571" s="14" t="str">
        <f t="shared" si="124"/>
        <v/>
      </c>
      <c r="Z1571" s="4" t="str">
        <f t="shared" si="125"/>
        <v/>
      </c>
    </row>
    <row r="1572" spans="16:26" x14ac:dyDescent="0.25">
      <c r="P1572" s="10" t="str">
        <f>IF('[1]All Data '!AZ1577="","",'[1]All Data '!AZ1577)</f>
        <v/>
      </c>
      <c r="Q1572" s="10" t="str">
        <f>IF('[1]All Data '!BB1577="","",'[1]All Data '!BB1577)</f>
        <v/>
      </c>
      <c r="R1572" s="10" t="str">
        <f>IF('[1]All Data '!BD1577="","",'[1]All Data '!BD1577)</f>
        <v/>
      </c>
      <c r="S1572" s="11" t="str">
        <f>IF(R1572="","",'[1]All Data '!BE1577)</f>
        <v/>
      </c>
      <c r="T1572" s="12" t="str">
        <f>IF(S1572="","",[1]Inputs_Outputs!$B$8*(1-'LOCH Calc COE Calc'!S1572))</f>
        <v/>
      </c>
      <c r="U1572" s="13" t="str">
        <f t="shared" si="121"/>
        <v/>
      </c>
      <c r="V1572" s="13" t="str">
        <f t="shared" si="122"/>
        <v/>
      </c>
      <c r="W1572" s="4" t="str">
        <f t="shared" si="123"/>
        <v/>
      </c>
      <c r="X1572" t="str">
        <f>IF(W1572="","",LOOKUP(_xlfn.CONCAT(P1572,", ",Q1572),'[1]T+S Costs'!$F$2:$F$3138,'[1]T+S Costs'!$N$2:$N$3138))</f>
        <v/>
      </c>
      <c r="Y1572" s="14" t="str">
        <f t="shared" si="124"/>
        <v/>
      </c>
      <c r="Z1572" s="4" t="str">
        <f t="shared" si="125"/>
        <v/>
      </c>
    </row>
    <row r="1573" spans="16:26" x14ac:dyDescent="0.25">
      <c r="P1573" s="10" t="str">
        <f>IF('[1]All Data '!AZ1578="","",'[1]All Data '!AZ1578)</f>
        <v/>
      </c>
      <c r="Q1573" s="10" t="str">
        <f>IF('[1]All Data '!BB1578="","",'[1]All Data '!BB1578)</f>
        <v/>
      </c>
      <c r="R1573" s="10" t="str">
        <f>IF('[1]All Data '!BD1578="","",'[1]All Data '!BD1578)</f>
        <v/>
      </c>
      <c r="S1573" s="11" t="str">
        <f>IF(R1573="","",'[1]All Data '!BE1578)</f>
        <v/>
      </c>
      <c r="T1573" s="12" t="str">
        <f>IF(S1573="","",[1]Inputs_Outputs!$B$8*(1-'LOCH Calc COE Calc'!S1573))</f>
        <v/>
      </c>
      <c r="U1573" s="13" t="str">
        <f t="shared" si="121"/>
        <v/>
      </c>
      <c r="V1573" s="13" t="str">
        <f t="shared" si="122"/>
        <v/>
      </c>
      <c r="W1573" s="4" t="str">
        <f t="shared" si="123"/>
        <v/>
      </c>
      <c r="X1573" t="str">
        <f>IF(W1573="","",LOOKUP(_xlfn.CONCAT(P1573,", ",Q1573),'[1]T+S Costs'!$F$2:$F$3138,'[1]T+S Costs'!$N$2:$N$3138))</f>
        <v/>
      </c>
      <c r="Y1573" s="14" t="str">
        <f t="shared" si="124"/>
        <v/>
      </c>
      <c r="Z1573" s="4" t="str">
        <f t="shared" si="125"/>
        <v/>
      </c>
    </row>
    <row r="1574" spans="16:26" x14ac:dyDescent="0.25">
      <c r="P1574" s="10" t="str">
        <f>IF('[1]All Data '!AZ1579="","",'[1]All Data '!AZ1579)</f>
        <v/>
      </c>
      <c r="Q1574" s="10" t="str">
        <f>IF('[1]All Data '!BB1579="","",'[1]All Data '!BB1579)</f>
        <v/>
      </c>
      <c r="R1574" s="10" t="str">
        <f>IF('[1]All Data '!BD1579="","",'[1]All Data '!BD1579)</f>
        <v/>
      </c>
      <c r="S1574" s="11" t="str">
        <f>IF(R1574="","",'[1]All Data '!BE1579)</f>
        <v/>
      </c>
      <c r="T1574" s="12" t="str">
        <f>IF(S1574="","",[1]Inputs_Outputs!$B$8*(1-'LOCH Calc COE Calc'!S1574))</f>
        <v/>
      </c>
      <c r="U1574" s="13" t="str">
        <f t="shared" si="121"/>
        <v/>
      </c>
      <c r="V1574" s="13" t="str">
        <f t="shared" si="122"/>
        <v/>
      </c>
      <c r="W1574" s="4" t="str">
        <f t="shared" si="123"/>
        <v/>
      </c>
      <c r="X1574" t="str">
        <f>IF(W1574="","",LOOKUP(_xlfn.CONCAT(P1574,", ",Q1574),'[1]T+S Costs'!$F$2:$F$3138,'[1]T+S Costs'!$N$2:$N$3138))</f>
        <v/>
      </c>
      <c r="Y1574" s="14" t="str">
        <f t="shared" si="124"/>
        <v/>
      </c>
      <c r="Z1574" s="4" t="str">
        <f t="shared" si="125"/>
        <v/>
      </c>
    </row>
    <row r="1575" spans="16:26" x14ac:dyDescent="0.25">
      <c r="P1575" s="10" t="str">
        <f>IF('[1]All Data '!AZ1580="","",'[1]All Data '!AZ1580)</f>
        <v/>
      </c>
      <c r="Q1575" s="10" t="str">
        <f>IF('[1]All Data '!BB1580="","",'[1]All Data '!BB1580)</f>
        <v/>
      </c>
      <c r="R1575" s="10" t="str">
        <f>IF('[1]All Data '!BD1580="","",'[1]All Data '!BD1580)</f>
        <v/>
      </c>
      <c r="S1575" s="11" t="str">
        <f>IF(R1575="","",'[1]All Data '!BE1580)</f>
        <v/>
      </c>
      <c r="T1575" s="12" t="str">
        <f>IF(S1575="","",[1]Inputs_Outputs!$B$8*(1-'LOCH Calc COE Calc'!S1575))</f>
        <v/>
      </c>
      <c r="U1575" s="13" t="str">
        <f t="shared" si="121"/>
        <v/>
      </c>
      <c r="V1575" s="13" t="str">
        <f t="shared" si="122"/>
        <v/>
      </c>
      <c r="W1575" s="4" t="str">
        <f t="shared" si="123"/>
        <v/>
      </c>
      <c r="X1575" t="str">
        <f>IF(W1575="","",LOOKUP(_xlfn.CONCAT(P1575,", ",Q1575),'[1]T+S Costs'!$F$2:$F$3138,'[1]T+S Costs'!$N$2:$N$3138))</f>
        <v/>
      </c>
      <c r="Y1575" s="14" t="str">
        <f t="shared" si="124"/>
        <v/>
      </c>
      <c r="Z1575" s="4" t="str">
        <f t="shared" si="125"/>
        <v/>
      </c>
    </row>
    <row r="1576" spans="16:26" x14ac:dyDescent="0.25">
      <c r="P1576" s="10" t="str">
        <f>IF('[1]All Data '!AZ1581="","",'[1]All Data '!AZ1581)</f>
        <v/>
      </c>
      <c r="Q1576" s="10" t="str">
        <f>IF('[1]All Data '!BB1581="","",'[1]All Data '!BB1581)</f>
        <v/>
      </c>
      <c r="R1576" s="10" t="str">
        <f>IF('[1]All Data '!BD1581="","",'[1]All Data '!BD1581)</f>
        <v/>
      </c>
      <c r="S1576" s="11" t="str">
        <f>IF(R1576="","",'[1]All Data '!BE1581)</f>
        <v/>
      </c>
      <c r="T1576" s="12" t="str">
        <f>IF(S1576="","",[1]Inputs_Outputs!$B$8*(1-'LOCH Calc COE Calc'!S1576))</f>
        <v/>
      </c>
      <c r="U1576" s="13" t="str">
        <f t="shared" si="121"/>
        <v/>
      </c>
      <c r="V1576" s="13" t="str">
        <f t="shared" si="122"/>
        <v/>
      </c>
      <c r="W1576" s="4" t="str">
        <f t="shared" si="123"/>
        <v/>
      </c>
      <c r="X1576" t="str">
        <f>IF(W1576="","",LOOKUP(_xlfn.CONCAT(P1576,", ",Q1576),'[1]T+S Costs'!$F$2:$F$3138,'[1]T+S Costs'!$N$2:$N$3138))</f>
        <v/>
      </c>
      <c r="Y1576" s="14" t="str">
        <f t="shared" si="124"/>
        <v/>
      </c>
      <c r="Z1576" s="4" t="str">
        <f t="shared" si="125"/>
        <v/>
      </c>
    </row>
    <row r="1577" spans="16:26" x14ac:dyDescent="0.25">
      <c r="P1577" s="10" t="str">
        <f>IF('[1]All Data '!AZ1582="","",'[1]All Data '!AZ1582)</f>
        <v/>
      </c>
      <c r="Q1577" s="10" t="str">
        <f>IF('[1]All Data '!BB1582="","",'[1]All Data '!BB1582)</f>
        <v/>
      </c>
      <c r="R1577" s="10" t="str">
        <f>IF('[1]All Data '!BD1582="","",'[1]All Data '!BD1582)</f>
        <v/>
      </c>
      <c r="S1577" s="11" t="str">
        <f>IF(R1577="","",'[1]All Data '!BE1582)</f>
        <v/>
      </c>
      <c r="T1577" s="12" t="str">
        <f>IF(S1577="","",[1]Inputs_Outputs!$B$8*(1-'LOCH Calc COE Calc'!S1577))</f>
        <v/>
      </c>
      <c r="U1577" s="13" t="str">
        <f t="shared" si="121"/>
        <v/>
      </c>
      <c r="V1577" s="13" t="str">
        <f t="shared" si="122"/>
        <v/>
      </c>
      <c r="W1577" s="4" t="str">
        <f t="shared" si="123"/>
        <v/>
      </c>
      <c r="X1577" t="str">
        <f>IF(W1577="","",LOOKUP(_xlfn.CONCAT(P1577,", ",Q1577),'[1]T+S Costs'!$F$2:$F$3138,'[1]T+S Costs'!$N$2:$N$3138))</f>
        <v/>
      </c>
      <c r="Y1577" s="14" t="str">
        <f t="shared" si="124"/>
        <v/>
      </c>
      <c r="Z1577" s="4" t="str">
        <f t="shared" si="125"/>
        <v/>
      </c>
    </row>
    <row r="1578" spans="16:26" x14ac:dyDescent="0.25">
      <c r="P1578" s="10" t="str">
        <f>IF('[1]All Data '!AZ1583="","",'[1]All Data '!AZ1583)</f>
        <v/>
      </c>
      <c r="Q1578" s="10" t="str">
        <f>IF('[1]All Data '!BB1583="","",'[1]All Data '!BB1583)</f>
        <v/>
      </c>
      <c r="R1578" s="10" t="str">
        <f>IF('[1]All Data '!BD1583="","",'[1]All Data '!BD1583)</f>
        <v/>
      </c>
      <c r="S1578" s="11" t="str">
        <f>IF(R1578="","",'[1]All Data '!BE1583)</f>
        <v/>
      </c>
      <c r="T1578" s="12" t="str">
        <f>IF(S1578="","",[1]Inputs_Outputs!$B$8*(1-'LOCH Calc COE Calc'!S1578))</f>
        <v/>
      </c>
      <c r="U1578" s="13" t="str">
        <f t="shared" si="121"/>
        <v/>
      </c>
      <c r="V1578" s="13" t="str">
        <f t="shared" si="122"/>
        <v/>
      </c>
      <c r="W1578" s="4" t="str">
        <f t="shared" si="123"/>
        <v/>
      </c>
      <c r="X1578" t="str">
        <f>IF(W1578="","",LOOKUP(_xlfn.CONCAT(P1578,", ",Q1578),'[1]T+S Costs'!$F$2:$F$3138,'[1]T+S Costs'!$N$2:$N$3138))</f>
        <v/>
      </c>
      <c r="Y1578" s="14" t="str">
        <f t="shared" si="124"/>
        <v/>
      </c>
      <c r="Z1578" s="4" t="str">
        <f t="shared" si="125"/>
        <v/>
      </c>
    </row>
    <row r="1579" spans="16:26" x14ac:dyDescent="0.25">
      <c r="P1579" s="10" t="str">
        <f>IF('[1]All Data '!AZ1584="","",'[1]All Data '!AZ1584)</f>
        <v/>
      </c>
      <c r="Q1579" s="10" t="str">
        <f>IF('[1]All Data '!BB1584="","",'[1]All Data '!BB1584)</f>
        <v/>
      </c>
      <c r="R1579" s="10" t="str">
        <f>IF('[1]All Data '!BD1584="","",'[1]All Data '!BD1584)</f>
        <v/>
      </c>
      <c r="S1579" s="11" t="str">
        <f>IF(R1579="","",'[1]All Data '!BE1584)</f>
        <v/>
      </c>
      <c r="T1579" s="12" t="str">
        <f>IF(S1579="","",[1]Inputs_Outputs!$B$8*(1-'LOCH Calc COE Calc'!S1579))</f>
        <v/>
      </c>
      <c r="U1579" s="13" t="str">
        <f t="shared" si="121"/>
        <v/>
      </c>
      <c r="V1579" s="13" t="str">
        <f t="shared" si="122"/>
        <v/>
      </c>
      <c r="W1579" s="4" t="str">
        <f t="shared" si="123"/>
        <v/>
      </c>
      <c r="X1579" t="str">
        <f>IF(W1579="","",LOOKUP(_xlfn.CONCAT(P1579,", ",Q1579),'[1]T+S Costs'!$F$2:$F$3138,'[1]T+S Costs'!$N$2:$N$3138))</f>
        <v/>
      </c>
      <c r="Y1579" s="14" t="str">
        <f t="shared" si="124"/>
        <v/>
      </c>
      <c r="Z1579" s="4" t="str">
        <f t="shared" si="125"/>
        <v/>
      </c>
    </row>
    <row r="1580" spans="16:26" x14ac:dyDescent="0.25">
      <c r="P1580" s="10" t="str">
        <f>IF('[1]All Data '!AZ1585="","",'[1]All Data '!AZ1585)</f>
        <v/>
      </c>
      <c r="Q1580" s="10" t="str">
        <f>IF('[1]All Data '!BB1585="","",'[1]All Data '!BB1585)</f>
        <v/>
      </c>
      <c r="R1580" s="10" t="str">
        <f>IF('[1]All Data '!BD1585="","",'[1]All Data '!BD1585)</f>
        <v/>
      </c>
      <c r="S1580" s="11" t="str">
        <f>IF(R1580="","",'[1]All Data '!BE1585)</f>
        <v/>
      </c>
      <c r="T1580" s="12" t="str">
        <f>IF(S1580="","",[1]Inputs_Outputs!$B$8*(1-'LOCH Calc COE Calc'!S1580))</f>
        <v/>
      </c>
      <c r="U1580" s="13" t="str">
        <f t="shared" si="121"/>
        <v/>
      </c>
      <c r="V1580" s="13" t="str">
        <f t="shared" si="122"/>
        <v/>
      </c>
      <c r="W1580" s="4" t="str">
        <f t="shared" si="123"/>
        <v/>
      </c>
      <c r="X1580" t="str">
        <f>IF(W1580="","",LOOKUP(_xlfn.CONCAT(P1580,", ",Q1580),'[1]T+S Costs'!$F$2:$F$3138,'[1]T+S Costs'!$N$2:$N$3138))</f>
        <v/>
      </c>
      <c r="Y1580" s="14" t="str">
        <f t="shared" si="124"/>
        <v/>
      </c>
      <c r="Z1580" s="4" t="str">
        <f t="shared" si="125"/>
        <v/>
      </c>
    </row>
    <row r="1581" spans="16:26" x14ac:dyDescent="0.25">
      <c r="P1581" s="10" t="str">
        <f>IF('[1]All Data '!AZ1586="","",'[1]All Data '!AZ1586)</f>
        <v/>
      </c>
      <c r="Q1581" s="10" t="str">
        <f>IF('[1]All Data '!BB1586="","",'[1]All Data '!BB1586)</f>
        <v/>
      </c>
      <c r="R1581" s="10" t="str">
        <f>IF('[1]All Data '!BD1586="","",'[1]All Data '!BD1586)</f>
        <v/>
      </c>
      <c r="S1581" s="11" t="str">
        <f>IF(R1581="","",'[1]All Data '!BE1586)</f>
        <v/>
      </c>
      <c r="T1581" s="12" t="str">
        <f>IF(S1581="","",[1]Inputs_Outputs!$B$8*(1-'LOCH Calc COE Calc'!S1581))</f>
        <v/>
      </c>
      <c r="U1581" s="13" t="str">
        <f t="shared" si="121"/>
        <v/>
      </c>
      <c r="V1581" s="13" t="str">
        <f t="shared" si="122"/>
        <v/>
      </c>
      <c r="W1581" s="4" t="str">
        <f t="shared" si="123"/>
        <v/>
      </c>
      <c r="X1581" t="str">
        <f>IF(W1581="","",LOOKUP(_xlfn.CONCAT(P1581,", ",Q1581),'[1]T+S Costs'!$F$2:$F$3138,'[1]T+S Costs'!$N$2:$N$3138))</f>
        <v/>
      </c>
      <c r="Y1581" s="14" t="str">
        <f t="shared" si="124"/>
        <v/>
      </c>
      <c r="Z1581" s="4" t="str">
        <f t="shared" si="125"/>
        <v/>
      </c>
    </row>
    <row r="1582" spans="16:26" x14ac:dyDescent="0.25">
      <c r="P1582" s="10" t="str">
        <f>IF('[1]All Data '!AZ1587="","",'[1]All Data '!AZ1587)</f>
        <v/>
      </c>
      <c r="Q1582" s="10" t="str">
        <f>IF('[1]All Data '!BB1587="","",'[1]All Data '!BB1587)</f>
        <v/>
      </c>
      <c r="R1582" s="10" t="str">
        <f>IF('[1]All Data '!BD1587="","",'[1]All Data '!BD1587)</f>
        <v/>
      </c>
      <c r="S1582" s="11" t="str">
        <f>IF(R1582="","",'[1]All Data '!BE1587)</f>
        <v/>
      </c>
      <c r="T1582" s="12" t="str">
        <f>IF(S1582="","",[1]Inputs_Outputs!$B$8*(1-'LOCH Calc COE Calc'!S1582))</f>
        <v/>
      </c>
      <c r="U1582" s="13" t="str">
        <f t="shared" si="121"/>
        <v/>
      </c>
      <c r="V1582" s="13" t="str">
        <f t="shared" si="122"/>
        <v/>
      </c>
      <c r="W1582" s="4" t="str">
        <f t="shared" si="123"/>
        <v/>
      </c>
      <c r="X1582" t="str">
        <f>IF(W1582="","",LOOKUP(_xlfn.CONCAT(P1582,", ",Q1582),'[1]T+S Costs'!$F$2:$F$3138,'[1]T+S Costs'!$N$2:$N$3138))</f>
        <v/>
      </c>
      <c r="Y1582" s="14" t="str">
        <f t="shared" si="124"/>
        <v/>
      </c>
      <c r="Z1582" s="4" t="str">
        <f t="shared" si="125"/>
        <v/>
      </c>
    </row>
    <row r="1583" spans="16:26" x14ac:dyDescent="0.25">
      <c r="P1583" s="10" t="str">
        <f>IF('[1]All Data '!AZ1588="","",'[1]All Data '!AZ1588)</f>
        <v/>
      </c>
      <c r="Q1583" s="10" t="str">
        <f>IF('[1]All Data '!BB1588="","",'[1]All Data '!BB1588)</f>
        <v/>
      </c>
      <c r="R1583" s="10" t="str">
        <f>IF('[1]All Data '!BD1588="","",'[1]All Data '!BD1588)</f>
        <v/>
      </c>
      <c r="S1583" s="11" t="str">
        <f>IF(R1583="","",'[1]All Data '!BE1588)</f>
        <v/>
      </c>
      <c r="T1583" s="12" t="str">
        <f>IF(S1583="","",[1]Inputs_Outputs!$B$8*(1-'LOCH Calc COE Calc'!S1583))</f>
        <v/>
      </c>
      <c r="U1583" s="13" t="str">
        <f t="shared" si="121"/>
        <v/>
      </c>
      <c r="V1583" s="13" t="str">
        <f t="shared" si="122"/>
        <v/>
      </c>
      <c r="W1583" s="4" t="str">
        <f t="shared" si="123"/>
        <v/>
      </c>
      <c r="X1583" t="str">
        <f>IF(W1583="","",LOOKUP(_xlfn.CONCAT(P1583,", ",Q1583),'[1]T+S Costs'!$F$2:$F$3138,'[1]T+S Costs'!$N$2:$N$3138))</f>
        <v/>
      </c>
      <c r="Y1583" s="14" t="str">
        <f t="shared" si="124"/>
        <v/>
      </c>
      <c r="Z1583" s="4" t="str">
        <f t="shared" si="125"/>
        <v/>
      </c>
    </row>
    <row r="1584" spans="16:26" x14ac:dyDescent="0.25">
      <c r="P1584" s="10" t="str">
        <f>IF('[1]All Data '!AZ1589="","",'[1]All Data '!AZ1589)</f>
        <v/>
      </c>
      <c r="Q1584" s="10" t="str">
        <f>IF('[1]All Data '!BB1589="","",'[1]All Data '!BB1589)</f>
        <v/>
      </c>
      <c r="R1584" s="10" t="str">
        <f>IF('[1]All Data '!BD1589="","",'[1]All Data '!BD1589)</f>
        <v/>
      </c>
      <c r="S1584" s="11" t="str">
        <f>IF(R1584="","",'[1]All Data '!BE1589)</f>
        <v/>
      </c>
      <c r="T1584" s="12" t="str">
        <f>IF(S1584="","",[1]Inputs_Outputs!$B$8*(1-'LOCH Calc COE Calc'!S1584))</f>
        <v/>
      </c>
      <c r="U1584" s="13" t="str">
        <f t="shared" si="121"/>
        <v/>
      </c>
      <c r="V1584" s="13" t="str">
        <f t="shared" si="122"/>
        <v/>
      </c>
      <c r="W1584" s="4" t="str">
        <f t="shared" si="123"/>
        <v/>
      </c>
      <c r="X1584" t="str">
        <f>IF(W1584="","",LOOKUP(_xlfn.CONCAT(P1584,", ",Q1584),'[1]T+S Costs'!$F$2:$F$3138,'[1]T+S Costs'!$N$2:$N$3138))</f>
        <v/>
      </c>
      <c r="Y1584" s="14" t="str">
        <f t="shared" si="124"/>
        <v/>
      </c>
      <c r="Z1584" s="4" t="str">
        <f t="shared" si="125"/>
        <v/>
      </c>
    </row>
    <row r="1585" spans="16:26" x14ac:dyDescent="0.25">
      <c r="P1585" s="10" t="str">
        <f>IF('[1]All Data '!AZ1590="","",'[1]All Data '!AZ1590)</f>
        <v/>
      </c>
      <c r="Q1585" s="10" t="str">
        <f>IF('[1]All Data '!BB1590="","",'[1]All Data '!BB1590)</f>
        <v/>
      </c>
      <c r="R1585" s="10" t="str">
        <f>IF('[1]All Data '!BD1590="","",'[1]All Data '!BD1590)</f>
        <v/>
      </c>
      <c r="S1585" s="11" t="str">
        <f>IF(R1585="","",'[1]All Data '!BE1590)</f>
        <v/>
      </c>
      <c r="T1585" s="12" t="str">
        <f>IF(S1585="","",[1]Inputs_Outputs!$B$8*(1-'LOCH Calc COE Calc'!S1585))</f>
        <v/>
      </c>
      <c r="U1585" s="13" t="str">
        <f t="shared" si="121"/>
        <v/>
      </c>
      <c r="V1585" s="13" t="str">
        <f t="shared" si="122"/>
        <v/>
      </c>
      <c r="W1585" s="4" t="str">
        <f t="shared" si="123"/>
        <v/>
      </c>
      <c r="X1585" t="str">
        <f>IF(W1585="","",LOOKUP(_xlfn.CONCAT(P1585,", ",Q1585),'[1]T+S Costs'!$F$2:$F$3138,'[1]T+S Costs'!$N$2:$N$3138))</f>
        <v/>
      </c>
      <c r="Y1585" s="14" t="str">
        <f t="shared" si="124"/>
        <v/>
      </c>
      <c r="Z1585" s="4" t="str">
        <f t="shared" si="125"/>
        <v/>
      </c>
    </row>
    <row r="1586" spans="16:26" x14ac:dyDescent="0.25">
      <c r="P1586" s="10" t="str">
        <f>IF('[1]All Data '!AZ1591="","",'[1]All Data '!AZ1591)</f>
        <v/>
      </c>
      <c r="Q1586" s="10" t="str">
        <f>IF('[1]All Data '!BB1591="","",'[1]All Data '!BB1591)</f>
        <v/>
      </c>
      <c r="R1586" s="10" t="str">
        <f>IF('[1]All Data '!BD1591="","",'[1]All Data '!BD1591)</f>
        <v/>
      </c>
      <c r="S1586" s="11" t="str">
        <f>IF(R1586="","",'[1]All Data '!BE1591)</f>
        <v/>
      </c>
      <c r="T1586" s="12" t="str">
        <f>IF(S1586="","",[1]Inputs_Outputs!$B$8*(1-'LOCH Calc COE Calc'!S1586))</f>
        <v/>
      </c>
      <c r="U1586" s="13" t="str">
        <f t="shared" si="121"/>
        <v/>
      </c>
      <c r="V1586" s="13" t="str">
        <f t="shared" si="122"/>
        <v/>
      </c>
      <c r="W1586" s="4" t="str">
        <f t="shared" si="123"/>
        <v/>
      </c>
      <c r="X1586" t="str">
        <f>IF(W1586="","",LOOKUP(_xlfn.CONCAT(P1586,", ",Q1586),'[1]T+S Costs'!$F$2:$F$3138,'[1]T+S Costs'!$N$2:$N$3138))</f>
        <v/>
      </c>
      <c r="Y1586" s="14" t="str">
        <f t="shared" si="124"/>
        <v/>
      </c>
      <c r="Z1586" s="4" t="str">
        <f t="shared" si="125"/>
        <v/>
      </c>
    </row>
    <row r="1587" spans="16:26" x14ac:dyDescent="0.25">
      <c r="P1587" s="10" t="str">
        <f>IF('[1]All Data '!AZ1592="","",'[1]All Data '!AZ1592)</f>
        <v/>
      </c>
      <c r="Q1587" s="10" t="str">
        <f>IF('[1]All Data '!BB1592="","",'[1]All Data '!BB1592)</f>
        <v/>
      </c>
      <c r="R1587" s="10" t="str">
        <f>IF('[1]All Data '!BD1592="","",'[1]All Data '!BD1592)</f>
        <v/>
      </c>
      <c r="S1587" s="11" t="str">
        <f>IF(R1587="","",'[1]All Data '!BE1592)</f>
        <v/>
      </c>
      <c r="T1587" s="12" t="str">
        <f>IF(S1587="","",[1]Inputs_Outputs!$B$8*(1-'LOCH Calc COE Calc'!S1587))</f>
        <v/>
      </c>
      <c r="U1587" s="13" t="str">
        <f t="shared" si="121"/>
        <v/>
      </c>
      <c r="V1587" s="13" t="str">
        <f t="shared" si="122"/>
        <v/>
      </c>
      <c r="W1587" s="4" t="str">
        <f t="shared" si="123"/>
        <v/>
      </c>
      <c r="X1587" t="str">
        <f>IF(W1587="","",LOOKUP(_xlfn.CONCAT(P1587,", ",Q1587),'[1]T+S Costs'!$F$2:$F$3138,'[1]T+S Costs'!$N$2:$N$3138))</f>
        <v/>
      </c>
      <c r="Y1587" s="14" t="str">
        <f t="shared" si="124"/>
        <v/>
      </c>
      <c r="Z1587" s="4" t="str">
        <f t="shared" si="125"/>
        <v/>
      </c>
    </row>
    <row r="1588" spans="16:26" x14ac:dyDescent="0.25">
      <c r="P1588" s="10" t="str">
        <f>IF('[1]All Data '!AZ1593="","",'[1]All Data '!AZ1593)</f>
        <v/>
      </c>
      <c r="Q1588" s="10" t="str">
        <f>IF('[1]All Data '!BB1593="","",'[1]All Data '!BB1593)</f>
        <v/>
      </c>
      <c r="R1588" s="10" t="str">
        <f>IF('[1]All Data '!BD1593="","",'[1]All Data '!BD1593)</f>
        <v/>
      </c>
      <c r="S1588" s="11" t="str">
        <f>IF(R1588="","",'[1]All Data '!BE1593)</f>
        <v/>
      </c>
      <c r="T1588" s="12" t="str">
        <f>IF(S1588="","",[1]Inputs_Outputs!$B$8*(1-'LOCH Calc COE Calc'!S1588))</f>
        <v/>
      </c>
      <c r="U1588" s="13" t="str">
        <f t="shared" si="121"/>
        <v/>
      </c>
      <c r="V1588" s="13" t="str">
        <f t="shared" si="122"/>
        <v/>
      </c>
      <c r="W1588" s="4" t="str">
        <f t="shared" si="123"/>
        <v/>
      </c>
      <c r="X1588" t="str">
        <f>IF(W1588="","",LOOKUP(_xlfn.CONCAT(P1588,", ",Q1588),'[1]T+S Costs'!$F$2:$F$3138,'[1]T+S Costs'!$N$2:$N$3138))</f>
        <v/>
      </c>
      <c r="Y1588" s="14" t="str">
        <f t="shared" si="124"/>
        <v/>
      </c>
      <c r="Z1588" s="4" t="str">
        <f t="shared" si="125"/>
        <v/>
      </c>
    </row>
    <row r="1589" spans="16:26" x14ac:dyDescent="0.25">
      <c r="P1589" s="10" t="str">
        <f>IF('[1]All Data '!AZ1594="","",'[1]All Data '!AZ1594)</f>
        <v/>
      </c>
      <c r="Q1589" s="10" t="str">
        <f>IF('[1]All Data '!BB1594="","",'[1]All Data '!BB1594)</f>
        <v/>
      </c>
      <c r="R1589" s="10" t="str">
        <f>IF('[1]All Data '!BD1594="","",'[1]All Data '!BD1594)</f>
        <v/>
      </c>
      <c r="S1589" s="11" t="str">
        <f>IF(R1589="","",'[1]All Data '!BE1594)</f>
        <v/>
      </c>
      <c r="T1589" s="12" t="str">
        <f>IF(S1589="","",[1]Inputs_Outputs!$B$8*(1-'LOCH Calc COE Calc'!S1589))</f>
        <v/>
      </c>
      <c r="U1589" s="13" t="str">
        <f t="shared" si="121"/>
        <v/>
      </c>
      <c r="V1589" s="13" t="str">
        <f t="shared" si="122"/>
        <v/>
      </c>
      <c r="W1589" s="4" t="str">
        <f t="shared" si="123"/>
        <v/>
      </c>
      <c r="X1589" t="str">
        <f>IF(W1589="","",LOOKUP(_xlfn.CONCAT(P1589,", ",Q1589),'[1]T+S Costs'!$F$2:$F$3138,'[1]T+S Costs'!$N$2:$N$3138))</f>
        <v/>
      </c>
      <c r="Y1589" s="14" t="str">
        <f t="shared" si="124"/>
        <v/>
      </c>
      <c r="Z1589" s="4" t="str">
        <f t="shared" si="125"/>
        <v/>
      </c>
    </row>
    <row r="1590" spans="16:26" x14ac:dyDescent="0.25">
      <c r="P1590" s="10" t="str">
        <f>IF('[1]All Data '!AZ1595="","",'[1]All Data '!AZ1595)</f>
        <v/>
      </c>
      <c r="Q1590" s="10" t="str">
        <f>IF('[1]All Data '!BB1595="","",'[1]All Data '!BB1595)</f>
        <v/>
      </c>
      <c r="R1590" s="10" t="str">
        <f>IF('[1]All Data '!BD1595="","",'[1]All Data '!BD1595)</f>
        <v/>
      </c>
      <c r="S1590" s="11" t="str">
        <f>IF(R1590="","",'[1]All Data '!BE1595)</f>
        <v/>
      </c>
      <c r="T1590" s="12" t="str">
        <f>IF(S1590="","",[1]Inputs_Outputs!$B$8*(1-'LOCH Calc COE Calc'!S1590))</f>
        <v/>
      </c>
      <c r="U1590" s="13" t="str">
        <f t="shared" si="121"/>
        <v/>
      </c>
      <c r="V1590" s="13" t="str">
        <f t="shared" si="122"/>
        <v/>
      </c>
      <c r="W1590" s="4" t="str">
        <f t="shared" si="123"/>
        <v/>
      </c>
      <c r="X1590" t="str">
        <f>IF(W1590="","",LOOKUP(_xlfn.CONCAT(P1590,", ",Q1590),'[1]T+S Costs'!$F$2:$F$3138,'[1]T+S Costs'!$N$2:$N$3138))</f>
        <v/>
      </c>
      <c r="Y1590" s="14" t="str">
        <f t="shared" si="124"/>
        <v/>
      </c>
      <c r="Z1590" s="4" t="str">
        <f t="shared" si="125"/>
        <v/>
      </c>
    </row>
    <row r="1591" spans="16:26" x14ac:dyDescent="0.25">
      <c r="P1591" s="10" t="str">
        <f>IF('[1]All Data '!AZ1596="","",'[1]All Data '!AZ1596)</f>
        <v/>
      </c>
      <c r="Q1591" s="10" t="str">
        <f>IF('[1]All Data '!BB1596="","",'[1]All Data '!BB1596)</f>
        <v/>
      </c>
      <c r="R1591" s="10" t="str">
        <f>IF('[1]All Data '!BD1596="","",'[1]All Data '!BD1596)</f>
        <v/>
      </c>
      <c r="S1591" s="11" t="str">
        <f>IF(R1591="","",'[1]All Data '!BE1596)</f>
        <v/>
      </c>
      <c r="T1591" s="12" t="str">
        <f>IF(S1591="","",[1]Inputs_Outputs!$B$8*(1-'LOCH Calc COE Calc'!S1591))</f>
        <v/>
      </c>
      <c r="U1591" s="13" t="str">
        <f t="shared" si="121"/>
        <v/>
      </c>
      <c r="V1591" s="13" t="str">
        <f t="shared" si="122"/>
        <v/>
      </c>
      <c r="W1591" s="4" t="str">
        <f t="shared" si="123"/>
        <v/>
      </c>
      <c r="X1591" t="str">
        <f>IF(W1591="","",LOOKUP(_xlfn.CONCAT(P1591,", ",Q1591),'[1]T+S Costs'!$F$2:$F$3138,'[1]T+S Costs'!$N$2:$N$3138))</f>
        <v/>
      </c>
      <c r="Y1591" s="14" t="str">
        <f t="shared" si="124"/>
        <v/>
      </c>
      <c r="Z1591" s="4" t="str">
        <f t="shared" si="125"/>
        <v/>
      </c>
    </row>
    <row r="1592" spans="16:26" x14ac:dyDescent="0.25">
      <c r="P1592" s="10" t="str">
        <f>IF('[1]All Data '!AZ1597="","",'[1]All Data '!AZ1597)</f>
        <v/>
      </c>
      <c r="Q1592" s="10" t="str">
        <f>IF('[1]All Data '!BB1597="","",'[1]All Data '!BB1597)</f>
        <v/>
      </c>
      <c r="R1592" s="10" t="str">
        <f>IF('[1]All Data '!BD1597="","",'[1]All Data '!BD1597)</f>
        <v/>
      </c>
      <c r="S1592" s="11" t="str">
        <f>IF(R1592="","",'[1]All Data '!BE1597)</f>
        <v/>
      </c>
      <c r="T1592" s="12" t="str">
        <f>IF(S1592="","",[1]Inputs_Outputs!$B$8*(1-'LOCH Calc COE Calc'!S1592))</f>
        <v/>
      </c>
      <c r="U1592" s="13" t="str">
        <f t="shared" si="121"/>
        <v/>
      </c>
      <c r="V1592" s="13" t="str">
        <f t="shared" si="122"/>
        <v/>
      </c>
      <c r="W1592" s="4" t="str">
        <f t="shared" si="123"/>
        <v/>
      </c>
      <c r="X1592" t="str">
        <f>IF(W1592="","",LOOKUP(_xlfn.CONCAT(P1592,", ",Q1592),'[1]T+S Costs'!$F$2:$F$3138,'[1]T+S Costs'!$N$2:$N$3138))</f>
        <v/>
      </c>
      <c r="Y1592" s="14" t="str">
        <f t="shared" si="124"/>
        <v/>
      </c>
      <c r="Z1592" s="4" t="str">
        <f t="shared" si="125"/>
        <v/>
      </c>
    </row>
    <row r="1593" spans="16:26" x14ac:dyDescent="0.25">
      <c r="P1593" s="10" t="str">
        <f>IF('[1]All Data '!AZ1598="","",'[1]All Data '!AZ1598)</f>
        <v/>
      </c>
      <c r="Q1593" s="10" t="str">
        <f>IF('[1]All Data '!BB1598="","",'[1]All Data '!BB1598)</f>
        <v/>
      </c>
      <c r="R1593" s="10" t="str">
        <f>IF('[1]All Data '!BD1598="","",'[1]All Data '!BD1598)</f>
        <v/>
      </c>
      <c r="S1593" s="11" t="str">
        <f>IF(R1593="","",'[1]All Data '!BE1598)</f>
        <v/>
      </c>
      <c r="T1593" s="12" t="str">
        <f>IF(S1593="","",[1]Inputs_Outputs!$B$8*(1-'LOCH Calc COE Calc'!S1593))</f>
        <v/>
      </c>
      <c r="U1593" s="13" t="str">
        <f t="shared" si="121"/>
        <v/>
      </c>
      <c r="V1593" s="13" t="str">
        <f t="shared" si="122"/>
        <v/>
      </c>
      <c r="W1593" s="4" t="str">
        <f t="shared" si="123"/>
        <v/>
      </c>
      <c r="X1593" t="str">
        <f>IF(W1593="","",LOOKUP(_xlfn.CONCAT(P1593,", ",Q1593),'[1]T+S Costs'!$F$2:$F$3138,'[1]T+S Costs'!$N$2:$N$3138))</f>
        <v/>
      </c>
      <c r="Y1593" s="14" t="str">
        <f t="shared" si="124"/>
        <v/>
      </c>
      <c r="Z1593" s="4" t="str">
        <f t="shared" si="125"/>
        <v/>
      </c>
    </row>
    <row r="1594" spans="16:26" x14ac:dyDescent="0.25">
      <c r="P1594" s="10" t="str">
        <f>IF('[1]All Data '!AZ1599="","",'[1]All Data '!AZ1599)</f>
        <v/>
      </c>
      <c r="Q1594" s="10" t="str">
        <f>IF('[1]All Data '!BB1599="","",'[1]All Data '!BB1599)</f>
        <v/>
      </c>
      <c r="R1594" s="10" t="str">
        <f>IF('[1]All Data '!BD1599="","",'[1]All Data '!BD1599)</f>
        <v/>
      </c>
      <c r="S1594" s="11" t="str">
        <f>IF(R1594="","",'[1]All Data '!BE1599)</f>
        <v/>
      </c>
      <c r="T1594" s="12" t="str">
        <f>IF(S1594="","",[1]Inputs_Outputs!$B$8*(1-'LOCH Calc COE Calc'!S1594))</f>
        <v/>
      </c>
      <c r="U1594" s="13" t="str">
        <f t="shared" si="121"/>
        <v/>
      </c>
      <c r="V1594" s="13" t="str">
        <f t="shared" si="122"/>
        <v/>
      </c>
      <c r="W1594" s="4" t="str">
        <f t="shared" si="123"/>
        <v/>
      </c>
      <c r="X1594" t="str">
        <f>IF(W1594="","",LOOKUP(_xlfn.CONCAT(P1594,", ",Q1594),'[1]T+S Costs'!$F$2:$F$3138,'[1]T+S Costs'!$N$2:$N$3138))</f>
        <v/>
      </c>
      <c r="Y1594" s="14" t="str">
        <f t="shared" si="124"/>
        <v/>
      </c>
      <c r="Z1594" s="4" t="str">
        <f t="shared" si="125"/>
        <v/>
      </c>
    </row>
    <row r="1595" spans="16:26" x14ac:dyDescent="0.25">
      <c r="P1595" s="10" t="str">
        <f>IF('[1]All Data '!AZ1600="","",'[1]All Data '!AZ1600)</f>
        <v/>
      </c>
      <c r="Q1595" s="10" t="str">
        <f>IF('[1]All Data '!BB1600="","",'[1]All Data '!BB1600)</f>
        <v/>
      </c>
      <c r="R1595" s="10" t="str">
        <f>IF('[1]All Data '!BD1600="","",'[1]All Data '!BD1600)</f>
        <v/>
      </c>
      <c r="S1595" s="11" t="str">
        <f>IF(R1595="","",'[1]All Data '!BE1600)</f>
        <v/>
      </c>
      <c r="T1595" s="12" t="str">
        <f>IF(S1595="","",[1]Inputs_Outputs!$B$8*(1-'LOCH Calc COE Calc'!S1595))</f>
        <v/>
      </c>
      <c r="U1595" s="13" t="str">
        <f t="shared" si="121"/>
        <v/>
      </c>
      <c r="V1595" s="13" t="str">
        <f t="shared" si="122"/>
        <v/>
      </c>
      <c r="W1595" s="4" t="str">
        <f t="shared" si="123"/>
        <v/>
      </c>
      <c r="X1595" t="str">
        <f>IF(W1595="","",LOOKUP(_xlfn.CONCAT(P1595,", ",Q1595),'[1]T+S Costs'!$F$2:$F$3138,'[1]T+S Costs'!$N$2:$N$3138))</f>
        <v/>
      </c>
      <c r="Y1595" s="14" t="str">
        <f t="shared" si="124"/>
        <v/>
      </c>
      <c r="Z1595" s="4" t="str">
        <f t="shared" si="125"/>
        <v/>
      </c>
    </row>
    <row r="1596" spans="16:26" x14ac:dyDescent="0.25">
      <c r="P1596" s="10" t="str">
        <f>IF('[1]All Data '!AZ1601="","",'[1]All Data '!AZ1601)</f>
        <v/>
      </c>
      <c r="Q1596" s="10" t="str">
        <f>IF('[1]All Data '!BB1601="","",'[1]All Data '!BB1601)</f>
        <v/>
      </c>
      <c r="R1596" s="10" t="str">
        <f>IF('[1]All Data '!BD1601="","",'[1]All Data '!BD1601)</f>
        <v/>
      </c>
      <c r="S1596" s="11" t="str">
        <f>IF(R1596="","",'[1]All Data '!BE1601)</f>
        <v/>
      </c>
      <c r="T1596" s="12" t="str">
        <f>IF(S1596="","",[1]Inputs_Outputs!$B$8*(1-'LOCH Calc COE Calc'!S1596))</f>
        <v/>
      </c>
      <c r="U1596" s="13" t="str">
        <f t="shared" si="121"/>
        <v/>
      </c>
      <c r="V1596" s="13" t="str">
        <f t="shared" si="122"/>
        <v/>
      </c>
      <c r="W1596" s="4" t="str">
        <f t="shared" si="123"/>
        <v/>
      </c>
      <c r="X1596" t="str">
        <f>IF(W1596="","",LOOKUP(_xlfn.CONCAT(P1596,", ",Q1596),'[1]T+S Costs'!$F$2:$F$3138,'[1]T+S Costs'!$N$2:$N$3138))</f>
        <v/>
      </c>
      <c r="Y1596" s="14" t="str">
        <f t="shared" si="124"/>
        <v/>
      </c>
      <c r="Z1596" s="4" t="str">
        <f t="shared" si="125"/>
        <v/>
      </c>
    </row>
    <row r="1597" spans="16:26" x14ac:dyDescent="0.25">
      <c r="P1597" s="10" t="str">
        <f>IF('[1]All Data '!AZ1602="","",'[1]All Data '!AZ1602)</f>
        <v/>
      </c>
      <c r="Q1597" s="10" t="str">
        <f>IF('[1]All Data '!BB1602="","",'[1]All Data '!BB1602)</f>
        <v/>
      </c>
      <c r="R1597" s="10" t="str">
        <f>IF('[1]All Data '!BD1602="","",'[1]All Data '!BD1602)</f>
        <v/>
      </c>
      <c r="S1597" s="11" t="str">
        <f>IF(R1597="","",'[1]All Data '!BE1602)</f>
        <v/>
      </c>
      <c r="T1597" s="12" t="str">
        <f>IF(S1597="","",[1]Inputs_Outputs!$B$8*(1-'LOCH Calc COE Calc'!S1597))</f>
        <v/>
      </c>
      <c r="U1597" s="13" t="str">
        <f t="shared" si="121"/>
        <v/>
      </c>
      <c r="V1597" s="13" t="str">
        <f t="shared" si="122"/>
        <v/>
      </c>
      <c r="W1597" s="4" t="str">
        <f t="shared" si="123"/>
        <v/>
      </c>
      <c r="X1597" t="str">
        <f>IF(W1597="","",LOOKUP(_xlfn.CONCAT(P1597,", ",Q1597),'[1]T+S Costs'!$F$2:$F$3138,'[1]T+S Costs'!$N$2:$N$3138))</f>
        <v/>
      </c>
      <c r="Y1597" s="14" t="str">
        <f t="shared" si="124"/>
        <v/>
      </c>
      <c r="Z1597" s="4" t="str">
        <f t="shared" si="125"/>
        <v/>
      </c>
    </row>
    <row r="1598" spans="16:26" x14ac:dyDescent="0.25">
      <c r="P1598" s="10" t="str">
        <f>IF('[1]All Data '!AZ1603="","",'[1]All Data '!AZ1603)</f>
        <v/>
      </c>
      <c r="Q1598" s="10" t="str">
        <f>IF('[1]All Data '!BB1603="","",'[1]All Data '!BB1603)</f>
        <v/>
      </c>
      <c r="R1598" s="10" t="str">
        <f>IF('[1]All Data '!BD1603="","",'[1]All Data '!BD1603)</f>
        <v/>
      </c>
      <c r="S1598" s="11" t="str">
        <f>IF(R1598="","",'[1]All Data '!BE1603)</f>
        <v/>
      </c>
      <c r="T1598" s="12" t="str">
        <f>IF(S1598="","",[1]Inputs_Outputs!$B$8*(1-'LOCH Calc COE Calc'!S1598))</f>
        <v/>
      </c>
      <c r="U1598" s="13" t="str">
        <f t="shared" si="121"/>
        <v/>
      </c>
      <c r="V1598" s="13" t="str">
        <f t="shared" si="122"/>
        <v/>
      </c>
      <c r="W1598" s="4" t="str">
        <f t="shared" si="123"/>
        <v/>
      </c>
      <c r="X1598" t="str">
        <f>IF(W1598="","",LOOKUP(_xlfn.CONCAT(P1598,", ",Q1598),'[1]T+S Costs'!$F$2:$F$3138,'[1]T+S Costs'!$N$2:$N$3138))</f>
        <v/>
      </c>
      <c r="Y1598" s="14" t="str">
        <f t="shared" si="124"/>
        <v/>
      </c>
      <c r="Z1598" s="4" t="str">
        <f t="shared" si="125"/>
        <v/>
      </c>
    </row>
    <row r="1599" spans="16:26" x14ac:dyDescent="0.25">
      <c r="P1599" s="10" t="str">
        <f>IF('[1]All Data '!AZ1604="","",'[1]All Data '!AZ1604)</f>
        <v/>
      </c>
      <c r="Q1599" s="10" t="str">
        <f>IF('[1]All Data '!BB1604="","",'[1]All Data '!BB1604)</f>
        <v/>
      </c>
      <c r="R1599" s="10" t="str">
        <f>IF('[1]All Data '!BD1604="","",'[1]All Data '!BD1604)</f>
        <v/>
      </c>
      <c r="S1599" s="11" t="str">
        <f>IF(R1599="","",'[1]All Data '!BE1604)</f>
        <v/>
      </c>
      <c r="T1599" s="12" t="str">
        <f>IF(S1599="","",[1]Inputs_Outputs!$B$8*(1-'LOCH Calc COE Calc'!S1599))</f>
        <v/>
      </c>
      <c r="U1599" s="13" t="str">
        <f t="shared" si="121"/>
        <v/>
      </c>
      <c r="V1599" s="13" t="str">
        <f t="shared" si="122"/>
        <v/>
      </c>
      <c r="W1599" s="4" t="str">
        <f t="shared" si="123"/>
        <v/>
      </c>
      <c r="X1599" t="str">
        <f>IF(W1599="","",LOOKUP(_xlfn.CONCAT(P1599,", ",Q1599),'[1]T+S Costs'!$F$2:$F$3138,'[1]T+S Costs'!$N$2:$N$3138))</f>
        <v/>
      </c>
      <c r="Y1599" s="14" t="str">
        <f t="shared" si="124"/>
        <v/>
      </c>
      <c r="Z1599" s="4" t="str">
        <f t="shared" si="125"/>
        <v/>
      </c>
    </row>
    <row r="1600" spans="16:26" x14ac:dyDescent="0.25">
      <c r="P1600" s="10" t="str">
        <f>IF('[1]All Data '!AZ1605="","",'[1]All Data '!AZ1605)</f>
        <v/>
      </c>
      <c r="Q1600" s="10" t="str">
        <f>IF('[1]All Data '!BB1605="","",'[1]All Data '!BB1605)</f>
        <v/>
      </c>
      <c r="R1600" s="10" t="str">
        <f>IF('[1]All Data '!BD1605="","",'[1]All Data '!BD1605)</f>
        <v/>
      </c>
      <c r="S1600" s="11" t="str">
        <f>IF(R1600="","",'[1]All Data '!BE1605)</f>
        <v/>
      </c>
      <c r="T1600" s="12" t="str">
        <f>IF(S1600="","",[1]Inputs_Outputs!$B$8*(1-'LOCH Calc COE Calc'!S1600))</f>
        <v/>
      </c>
      <c r="U1600" s="13" t="str">
        <f t="shared" si="121"/>
        <v/>
      </c>
      <c r="V1600" s="13" t="str">
        <f t="shared" si="122"/>
        <v/>
      </c>
      <c r="W1600" s="4" t="str">
        <f t="shared" si="123"/>
        <v/>
      </c>
      <c r="X1600" t="str">
        <f>IF(W1600="","",LOOKUP(_xlfn.CONCAT(P1600,", ",Q1600),'[1]T+S Costs'!$F$2:$F$3138,'[1]T+S Costs'!$N$2:$N$3138))</f>
        <v/>
      </c>
      <c r="Y1600" s="14" t="str">
        <f t="shared" si="124"/>
        <v/>
      </c>
      <c r="Z1600" s="4" t="str">
        <f t="shared" si="125"/>
        <v/>
      </c>
    </row>
    <row r="1601" spans="16:26" x14ac:dyDescent="0.25">
      <c r="P1601" s="10" t="str">
        <f>IF('[1]All Data '!AZ1606="","",'[1]All Data '!AZ1606)</f>
        <v/>
      </c>
      <c r="Q1601" s="10" t="str">
        <f>IF('[1]All Data '!BB1606="","",'[1]All Data '!BB1606)</f>
        <v/>
      </c>
      <c r="R1601" s="10" t="str">
        <f>IF('[1]All Data '!BD1606="","",'[1]All Data '!BD1606)</f>
        <v/>
      </c>
      <c r="S1601" s="11" t="str">
        <f>IF(R1601="","",'[1]All Data '!BE1606)</f>
        <v/>
      </c>
      <c r="T1601" s="12" t="str">
        <f>IF(S1601="","",[1]Inputs_Outputs!$B$8*(1-'LOCH Calc COE Calc'!S1601))</f>
        <v/>
      </c>
      <c r="U1601" s="13" t="str">
        <f t="shared" si="121"/>
        <v/>
      </c>
      <c r="V1601" s="13" t="str">
        <f t="shared" si="122"/>
        <v/>
      </c>
      <c r="W1601" s="4" t="str">
        <f t="shared" si="123"/>
        <v/>
      </c>
      <c r="X1601" t="str">
        <f>IF(W1601="","",LOOKUP(_xlfn.CONCAT(P1601,", ",Q1601),'[1]T+S Costs'!$F$2:$F$3138,'[1]T+S Costs'!$N$2:$N$3138))</f>
        <v/>
      </c>
      <c r="Y1601" s="14" t="str">
        <f t="shared" si="124"/>
        <v/>
      </c>
      <c r="Z1601" s="4" t="str">
        <f t="shared" si="125"/>
        <v/>
      </c>
    </row>
    <row r="1602" spans="16:26" x14ac:dyDescent="0.25">
      <c r="P1602" s="10" t="str">
        <f>IF('[1]All Data '!AZ1607="","",'[1]All Data '!AZ1607)</f>
        <v/>
      </c>
      <c r="Q1602" s="10" t="str">
        <f>IF('[1]All Data '!BB1607="","",'[1]All Data '!BB1607)</f>
        <v/>
      </c>
      <c r="R1602" s="10" t="str">
        <f>IF('[1]All Data '!BD1607="","",'[1]All Data '!BD1607)</f>
        <v/>
      </c>
      <c r="S1602" s="11" t="str">
        <f>IF(R1602="","",'[1]All Data '!BE1607)</f>
        <v/>
      </c>
      <c r="T1602" s="12" t="str">
        <f>IF(S1602="","",[1]Inputs_Outputs!$B$8*(1-'LOCH Calc COE Calc'!S1602))</f>
        <v/>
      </c>
      <c r="U1602" s="13" t="str">
        <f t="shared" si="121"/>
        <v/>
      </c>
      <c r="V1602" s="13" t="str">
        <f t="shared" si="122"/>
        <v/>
      </c>
      <c r="W1602" s="4" t="str">
        <f t="shared" si="123"/>
        <v/>
      </c>
      <c r="X1602" t="str">
        <f>IF(W1602="","",LOOKUP(_xlfn.CONCAT(P1602,", ",Q1602),'[1]T+S Costs'!$F$2:$F$3138,'[1]T+S Costs'!$N$2:$N$3138))</f>
        <v/>
      </c>
      <c r="Y1602" s="14" t="str">
        <f t="shared" si="124"/>
        <v/>
      </c>
      <c r="Z1602" s="4" t="str">
        <f t="shared" si="125"/>
        <v/>
      </c>
    </row>
    <row r="1603" spans="16:26" x14ac:dyDescent="0.25">
      <c r="P1603" s="10" t="str">
        <f>IF('[1]All Data '!AZ1608="","",'[1]All Data '!AZ1608)</f>
        <v/>
      </c>
      <c r="Q1603" s="10" t="str">
        <f>IF('[1]All Data '!BB1608="","",'[1]All Data '!BB1608)</f>
        <v/>
      </c>
      <c r="R1603" s="10" t="str">
        <f>IF('[1]All Data '!BD1608="","",'[1]All Data '!BD1608)</f>
        <v/>
      </c>
      <c r="S1603" s="11" t="str">
        <f>IF(R1603="","",'[1]All Data '!BE1608)</f>
        <v/>
      </c>
      <c r="T1603" s="12" t="str">
        <f>IF(S1603="","",[1]Inputs_Outputs!$B$8*(1-'LOCH Calc COE Calc'!S1603))</f>
        <v/>
      </c>
      <c r="U1603" s="13" t="str">
        <f t="shared" ref="U1603:U1666" si="126">IF(S1603="","",R1603*T1603*365*$B$19/100)</f>
        <v/>
      </c>
      <c r="V1603" s="13" t="str">
        <f t="shared" ref="V1603:V1666" si="127">IF(S1603="","",(U1603*$B$19)/(($B$28)*$B$19))</f>
        <v/>
      </c>
      <c r="W1603" s="4" t="str">
        <f t="shared" ref="W1603:W1666" si="128">IF(S1603="","",V1603+$C$49+$C$50+$C$51)</f>
        <v/>
      </c>
      <c r="X1603" t="str">
        <f>IF(W1603="","",LOOKUP(_xlfn.CONCAT(P1603,", ",Q1603),'[1]T+S Costs'!$F$2:$F$3138,'[1]T+S Costs'!$N$2:$N$3138))</f>
        <v/>
      </c>
      <c r="Y1603" s="14" t="str">
        <f t="shared" ref="Y1603:Y1666" si="129">IF(X1603="","",((X1603*$B$60/$B$59)*$C$44)/$C$28)</f>
        <v/>
      </c>
      <c r="Z1603" s="4" t="str">
        <f t="shared" ref="Z1603:Z1666" si="130">IF(Y1603="","",W1603+Y1603)</f>
        <v/>
      </c>
    </row>
    <row r="1604" spans="16:26" x14ac:dyDescent="0.25">
      <c r="P1604" s="10" t="str">
        <f>IF('[1]All Data '!AZ1609="","",'[1]All Data '!AZ1609)</f>
        <v/>
      </c>
      <c r="Q1604" s="10" t="str">
        <f>IF('[1]All Data '!BB1609="","",'[1]All Data '!BB1609)</f>
        <v/>
      </c>
      <c r="R1604" s="10" t="str">
        <f>IF('[1]All Data '!BD1609="","",'[1]All Data '!BD1609)</f>
        <v/>
      </c>
      <c r="S1604" s="11" t="str">
        <f>IF(R1604="","",'[1]All Data '!BE1609)</f>
        <v/>
      </c>
      <c r="T1604" s="12" t="str">
        <f>IF(S1604="","",[1]Inputs_Outputs!$B$8*(1-'LOCH Calc COE Calc'!S1604))</f>
        <v/>
      </c>
      <c r="U1604" s="13" t="str">
        <f t="shared" si="126"/>
        <v/>
      </c>
      <c r="V1604" s="13" t="str">
        <f t="shared" si="127"/>
        <v/>
      </c>
      <c r="W1604" s="4" t="str">
        <f t="shared" si="128"/>
        <v/>
      </c>
      <c r="X1604" t="str">
        <f>IF(W1604="","",LOOKUP(_xlfn.CONCAT(P1604,", ",Q1604),'[1]T+S Costs'!$F$2:$F$3138,'[1]T+S Costs'!$N$2:$N$3138))</f>
        <v/>
      </c>
      <c r="Y1604" s="14" t="str">
        <f t="shared" si="129"/>
        <v/>
      </c>
      <c r="Z1604" s="4" t="str">
        <f t="shared" si="130"/>
        <v/>
      </c>
    </row>
    <row r="1605" spans="16:26" x14ac:dyDescent="0.25">
      <c r="P1605" s="10" t="str">
        <f>IF('[1]All Data '!AZ1610="","",'[1]All Data '!AZ1610)</f>
        <v/>
      </c>
      <c r="Q1605" s="10" t="str">
        <f>IF('[1]All Data '!BB1610="","",'[1]All Data '!BB1610)</f>
        <v/>
      </c>
      <c r="R1605" s="10" t="str">
        <f>IF('[1]All Data '!BD1610="","",'[1]All Data '!BD1610)</f>
        <v/>
      </c>
      <c r="S1605" s="11" t="str">
        <f>IF(R1605="","",'[1]All Data '!BE1610)</f>
        <v/>
      </c>
      <c r="T1605" s="12" t="str">
        <f>IF(S1605="","",[1]Inputs_Outputs!$B$8*(1-'LOCH Calc COE Calc'!S1605))</f>
        <v/>
      </c>
      <c r="U1605" s="13" t="str">
        <f t="shared" si="126"/>
        <v/>
      </c>
      <c r="V1605" s="13" t="str">
        <f t="shared" si="127"/>
        <v/>
      </c>
      <c r="W1605" s="4" t="str">
        <f t="shared" si="128"/>
        <v/>
      </c>
      <c r="X1605" t="str">
        <f>IF(W1605="","",LOOKUP(_xlfn.CONCAT(P1605,", ",Q1605),'[1]T+S Costs'!$F$2:$F$3138,'[1]T+S Costs'!$N$2:$N$3138))</f>
        <v/>
      </c>
      <c r="Y1605" s="14" t="str">
        <f t="shared" si="129"/>
        <v/>
      </c>
      <c r="Z1605" s="4" t="str">
        <f t="shared" si="130"/>
        <v/>
      </c>
    </row>
    <row r="1606" spans="16:26" x14ac:dyDescent="0.25">
      <c r="P1606" s="10" t="str">
        <f>IF('[1]All Data '!AZ1611="","",'[1]All Data '!AZ1611)</f>
        <v/>
      </c>
      <c r="Q1606" s="10" t="str">
        <f>IF('[1]All Data '!BB1611="","",'[1]All Data '!BB1611)</f>
        <v/>
      </c>
      <c r="R1606" s="10" t="str">
        <f>IF('[1]All Data '!BD1611="","",'[1]All Data '!BD1611)</f>
        <v/>
      </c>
      <c r="S1606" s="11" t="str">
        <f>IF(R1606="","",'[1]All Data '!BE1611)</f>
        <v/>
      </c>
      <c r="T1606" s="12" t="str">
        <f>IF(S1606="","",[1]Inputs_Outputs!$B$8*(1-'LOCH Calc COE Calc'!S1606))</f>
        <v/>
      </c>
      <c r="U1606" s="13" t="str">
        <f t="shared" si="126"/>
        <v/>
      </c>
      <c r="V1606" s="13" t="str">
        <f t="shared" si="127"/>
        <v/>
      </c>
      <c r="W1606" s="4" t="str">
        <f t="shared" si="128"/>
        <v/>
      </c>
      <c r="X1606" t="str">
        <f>IF(W1606="","",LOOKUP(_xlfn.CONCAT(P1606,", ",Q1606),'[1]T+S Costs'!$F$2:$F$3138,'[1]T+S Costs'!$N$2:$N$3138))</f>
        <v/>
      </c>
      <c r="Y1606" s="14" t="str">
        <f t="shared" si="129"/>
        <v/>
      </c>
      <c r="Z1606" s="4" t="str">
        <f t="shared" si="130"/>
        <v/>
      </c>
    </row>
    <row r="1607" spans="16:26" x14ac:dyDescent="0.25">
      <c r="P1607" s="10" t="str">
        <f>IF('[1]All Data '!AZ1612="","",'[1]All Data '!AZ1612)</f>
        <v/>
      </c>
      <c r="Q1607" s="10" t="str">
        <f>IF('[1]All Data '!BB1612="","",'[1]All Data '!BB1612)</f>
        <v/>
      </c>
      <c r="R1607" s="10" t="str">
        <f>IF('[1]All Data '!BD1612="","",'[1]All Data '!BD1612)</f>
        <v/>
      </c>
      <c r="S1607" s="11" t="str">
        <f>IF(R1607="","",'[1]All Data '!BE1612)</f>
        <v/>
      </c>
      <c r="T1607" s="12" t="str">
        <f>IF(S1607="","",[1]Inputs_Outputs!$B$8*(1-'LOCH Calc COE Calc'!S1607))</f>
        <v/>
      </c>
      <c r="U1607" s="13" t="str">
        <f t="shared" si="126"/>
        <v/>
      </c>
      <c r="V1607" s="13" t="str">
        <f t="shared" si="127"/>
        <v/>
      </c>
      <c r="W1607" s="4" t="str">
        <f t="shared" si="128"/>
        <v/>
      </c>
      <c r="X1607" t="str">
        <f>IF(W1607="","",LOOKUP(_xlfn.CONCAT(P1607,", ",Q1607),'[1]T+S Costs'!$F$2:$F$3138,'[1]T+S Costs'!$N$2:$N$3138))</f>
        <v/>
      </c>
      <c r="Y1607" s="14" t="str">
        <f t="shared" si="129"/>
        <v/>
      </c>
      <c r="Z1607" s="4" t="str">
        <f t="shared" si="130"/>
        <v/>
      </c>
    </row>
    <row r="1608" spans="16:26" x14ac:dyDescent="0.25">
      <c r="P1608" s="10" t="str">
        <f>IF('[1]All Data '!AZ1613="","",'[1]All Data '!AZ1613)</f>
        <v/>
      </c>
      <c r="Q1608" s="10" t="str">
        <f>IF('[1]All Data '!BB1613="","",'[1]All Data '!BB1613)</f>
        <v/>
      </c>
      <c r="R1608" s="10" t="str">
        <f>IF('[1]All Data '!BD1613="","",'[1]All Data '!BD1613)</f>
        <v/>
      </c>
      <c r="S1608" s="11" t="str">
        <f>IF(R1608="","",'[1]All Data '!BE1613)</f>
        <v/>
      </c>
      <c r="T1608" s="12" t="str">
        <f>IF(S1608="","",[1]Inputs_Outputs!$B$8*(1-'LOCH Calc COE Calc'!S1608))</f>
        <v/>
      </c>
      <c r="U1608" s="13" t="str">
        <f t="shared" si="126"/>
        <v/>
      </c>
      <c r="V1608" s="13" t="str">
        <f t="shared" si="127"/>
        <v/>
      </c>
      <c r="W1608" s="4" t="str">
        <f t="shared" si="128"/>
        <v/>
      </c>
      <c r="X1608" t="str">
        <f>IF(W1608="","",LOOKUP(_xlfn.CONCAT(P1608,", ",Q1608),'[1]T+S Costs'!$F$2:$F$3138,'[1]T+S Costs'!$N$2:$N$3138))</f>
        <v/>
      </c>
      <c r="Y1608" s="14" t="str">
        <f t="shared" si="129"/>
        <v/>
      </c>
      <c r="Z1608" s="4" t="str">
        <f t="shared" si="130"/>
        <v/>
      </c>
    </row>
    <row r="1609" spans="16:26" x14ac:dyDescent="0.25">
      <c r="P1609" s="10" t="str">
        <f>IF('[1]All Data '!AZ1614="","",'[1]All Data '!AZ1614)</f>
        <v/>
      </c>
      <c r="Q1609" s="10" t="str">
        <f>IF('[1]All Data '!BB1614="","",'[1]All Data '!BB1614)</f>
        <v/>
      </c>
      <c r="R1609" s="10" t="str">
        <f>IF('[1]All Data '!BD1614="","",'[1]All Data '!BD1614)</f>
        <v/>
      </c>
      <c r="S1609" s="11" t="str">
        <f>IF(R1609="","",'[1]All Data '!BE1614)</f>
        <v/>
      </c>
      <c r="T1609" s="12" t="str">
        <f>IF(S1609="","",[1]Inputs_Outputs!$B$8*(1-'LOCH Calc COE Calc'!S1609))</f>
        <v/>
      </c>
      <c r="U1609" s="13" t="str">
        <f t="shared" si="126"/>
        <v/>
      </c>
      <c r="V1609" s="13" t="str">
        <f t="shared" si="127"/>
        <v/>
      </c>
      <c r="W1609" s="4" t="str">
        <f t="shared" si="128"/>
        <v/>
      </c>
      <c r="X1609" t="str">
        <f>IF(W1609="","",LOOKUP(_xlfn.CONCAT(P1609,", ",Q1609),'[1]T+S Costs'!$F$2:$F$3138,'[1]T+S Costs'!$N$2:$N$3138))</f>
        <v/>
      </c>
      <c r="Y1609" s="14" t="str">
        <f t="shared" si="129"/>
        <v/>
      </c>
      <c r="Z1609" s="4" t="str">
        <f t="shared" si="130"/>
        <v/>
      </c>
    </row>
    <row r="1610" spans="16:26" x14ac:dyDescent="0.25">
      <c r="P1610" s="10" t="str">
        <f>IF('[1]All Data '!AZ1615="","",'[1]All Data '!AZ1615)</f>
        <v/>
      </c>
      <c r="Q1610" s="10" t="str">
        <f>IF('[1]All Data '!BB1615="","",'[1]All Data '!BB1615)</f>
        <v/>
      </c>
      <c r="R1610" s="10" t="str">
        <f>IF('[1]All Data '!BD1615="","",'[1]All Data '!BD1615)</f>
        <v/>
      </c>
      <c r="S1610" s="11" t="str">
        <f>IF(R1610="","",'[1]All Data '!BE1615)</f>
        <v/>
      </c>
      <c r="T1610" s="12" t="str">
        <f>IF(S1610="","",[1]Inputs_Outputs!$B$8*(1-'LOCH Calc COE Calc'!S1610))</f>
        <v/>
      </c>
      <c r="U1610" s="13" t="str">
        <f t="shared" si="126"/>
        <v/>
      </c>
      <c r="V1610" s="13" t="str">
        <f t="shared" si="127"/>
        <v/>
      </c>
      <c r="W1610" s="4" t="str">
        <f t="shared" si="128"/>
        <v/>
      </c>
      <c r="X1610" t="str">
        <f>IF(W1610="","",LOOKUP(_xlfn.CONCAT(P1610,", ",Q1610),'[1]T+S Costs'!$F$2:$F$3138,'[1]T+S Costs'!$N$2:$N$3138))</f>
        <v/>
      </c>
      <c r="Y1610" s="14" t="str">
        <f t="shared" si="129"/>
        <v/>
      </c>
      <c r="Z1610" s="4" t="str">
        <f t="shared" si="130"/>
        <v/>
      </c>
    </row>
    <row r="1611" spans="16:26" x14ac:dyDescent="0.25">
      <c r="P1611" s="10" t="str">
        <f>IF('[1]All Data '!AZ1616="","",'[1]All Data '!AZ1616)</f>
        <v/>
      </c>
      <c r="Q1611" s="10" t="str">
        <f>IF('[1]All Data '!BB1616="","",'[1]All Data '!BB1616)</f>
        <v/>
      </c>
      <c r="R1611" s="10" t="str">
        <f>IF('[1]All Data '!BD1616="","",'[1]All Data '!BD1616)</f>
        <v/>
      </c>
      <c r="S1611" s="11" t="str">
        <f>IF(R1611="","",'[1]All Data '!BE1616)</f>
        <v/>
      </c>
      <c r="T1611" s="12" t="str">
        <f>IF(S1611="","",[1]Inputs_Outputs!$B$8*(1-'LOCH Calc COE Calc'!S1611))</f>
        <v/>
      </c>
      <c r="U1611" s="13" t="str">
        <f t="shared" si="126"/>
        <v/>
      </c>
      <c r="V1611" s="13" t="str">
        <f t="shared" si="127"/>
        <v/>
      </c>
      <c r="W1611" s="4" t="str">
        <f t="shared" si="128"/>
        <v/>
      </c>
      <c r="X1611" t="str">
        <f>IF(W1611="","",LOOKUP(_xlfn.CONCAT(P1611,", ",Q1611),'[1]T+S Costs'!$F$2:$F$3138,'[1]T+S Costs'!$N$2:$N$3138))</f>
        <v/>
      </c>
      <c r="Y1611" s="14" t="str">
        <f t="shared" si="129"/>
        <v/>
      </c>
      <c r="Z1611" s="4" t="str">
        <f t="shared" si="130"/>
        <v/>
      </c>
    </row>
    <row r="1612" spans="16:26" x14ac:dyDescent="0.25">
      <c r="P1612" s="10" t="str">
        <f>IF('[1]All Data '!AZ1617="","",'[1]All Data '!AZ1617)</f>
        <v/>
      </c>
      <c r="Q1612" s="10" t="str">
        <f>IF('[1]All Data '!BB1617="","",'[1]All Data '!BB1617)</f>
        <v/>
      </c>
      <c r="R1612" s="10" t="str">
        <f>IF('[1]All Data '!BD1617="","",'[1]All Data '!BD1617)</f>
        <v/>
      </c>
      <c r="S1612" s="11" t="str">
        <f>IF(R1612="","",'[1]All Data '!BE1617)</f>
        <v/>
      </c>
      <c r="T1612" s="12" t="str">
        <f>IF(S1612="","",[1]Inputs_Outputs!$B$8*(1-'LOCH Calc COE Calc'!S1612))</f>
        <v/>
      </c>
      <c r="U1612" s="13" t="str">
        <f t="shared" si="126"/>
        <v/>
      </c>
      <c r="V1612" s="13" t="str">
        <f t="shared" si="127"/>
        <v/>
      </c>
      <c r="W1612" s="4" t="str">
        <f t="shared" si="128"/>
        <v/>
      </c>
      <c r="X1612" t="str">
        <f>IF(W1612="","",LOOKUP(_xlfn.CONCAT(P1612,", ",Q1612),'[1]T+S Costs'!$F$2:$F$3138,'[1]T+S Costs'!$N$2:$N$3138))</f>
        <v/>
      </c>
      <c r="Y1612" s="14" t="str">
        <f t="shared" si="129"/>
        <v/>
      </c>
      <c r="Z1612" s="4" t="str">
        <f t="shared" si="130"/>
        <v/>
      </c>
    </row>
    <row r="1613" spans="16:26" x14ac:dyDescent="0.25">
      <c r="P1613" s="10" t="str">
        <f>IF('[1]All Data '!AZ1618="","",'[1]All Data '!AZ1618)</f>
        <v/>
      </c>
      <c r="Q1613" s="10" t="str">
        <f>IF('[1]All Data '!BB1618="","",'[1]All Data '!BB1618)</f>
        <v/>
      </c>
      <c r="R1613" s="10" t="str">
        <f>IF('[1]All Data '!BD1618="","",'[1]All Data '!BD1618)</f>
        <v/>
      </c>
      <c r="S1613" s="11" t="str">
        <f>IF(R1613="","",'[1]All Data '!BE1618)</f>
        <v/>
      </c>
      <c r="T1613" s="12" t="str">
        <f>IF(S1613="","",[1]Inputs_Outputs!$B$8*(1-'LOCH Calc COE Calc'!S1613))</f>
        <v/>
      </c>
      <c r="U1613" s="13" t="str">
        <f t="shared" si="126"/>
        <v/>
      </c>
      <c r="V1613" s="13" t="str">
        <f t="shared" si="127"/>
        <v/>
      </c>
      <c r="W1613" s="4" t="str">
        <f t="shared" si="128"/>
        <v/>
      </c>
      <c r="X1613" t="str">
        <f>IF(W1613="","",LOOKUP(_xlfn.CONCAT(P1613,", ",Q1613),'[1]T+S Costs'!$F$2:$F$3138,'[1]T+S Costs'!$N$2:$N$3138))</f>
        <v/>
      </c>
      <c r="Y1613" s="14" t="str">
        <f t="shared" si="129"/>
        <v/>
      </c>
      <c r="Z1613" s="4" t="str">
        <f t="shared" si="130"/>
        <v/>
      </c>
    </row>
    <row r="1614" spans="16:26" x14ac:dyDescent="0.25">
      <c r="P1614" s="10" t="str">
        <f>IF('[1]All Data '!AZ1619="","",'[1]All Data '!AZ1619)</f>
        <v/>
      </c>
      <c r="Q1614" s="10" t="str">
        <f>IF('[1]All Data '!BB1619="","",'[1]All Data '!BB1619)</f>
        <v/>
      </c>
      <c r="R1614" s="10" t="str">
        <f>IF('[1]All Data '!BD1619="","",'[1]All Data '!BD1619)</f>
        <v/>
      </c>
      <c r="S1614" s="11" t="str">
        <f>IF(R1614="","",'[1]All Data '!BE1619)</f>
        <v/>
      </c>
      <c r="T1614" s="12" t="str">
        <f>IF(S1614="","",[1]Inputs_Outputs!$B$8*(1-'LOCH Calc COE Calc'!S1614))</f>
        <v/>
      </c>
      <c r="U1614" s="13" t="str">
        <f t="shared" si="126"/>
        <v/>
      </c>
      <c r="V1614" s="13" t="str">
        <f t="shared" si="127"/>
        <v/>
      </c>
      <c r="W1614" s="4" t="str">
        <f t="shared" si="128"/>
        <v/>
      </c>
      <c r="X1614" t="str">
        <f>IF(W1614="","",LOOKUP(_xlfn.CONCAT(P1614,", ",Q1614),'[1]T+S Costs'!$F$2:$F$3138,'[1]T+S Costs'!$N$2:$N$3138))</f>
        <v/>
      </c>
      <c r="Y1614" s="14" t="str">
        <f t="shared" si="129"/>
        <v/>
      </c>
      <c r="Z1614" s="4" t="str">
        <f t="shared" si="130"/>
        <v/>
      </c>
    </row>
    <row r="1615" spans="16:26" x14ac:dyDescent="0.25">
      <c r="P1615" s="10" t="str">
        <f>IF('[1]All Data '!AZ1620="","",'[1]All Data '!AZ1620)</f>
        <v/>
      </c>
      <c r="Q1615" s="10" t="str">
        <f>IF('[1]All Data '!BB1620="","",'[1]All Data '!BB1620)</f>
        <v/>
      </c>
      <c r="R1615" s="10" t="str">
        <f>IF('[1]All Data '!BD1620="","",'[1]All Data '!BD1620)</f>
        <v/>
      </c>
      <c r="S1615" s="11" t="str">
        <f>IF(R1615="","",'[1]All Data '!BE1620)</f>
        <v/>
      </c>
      <c r="T1615" s="12" t="str">
        <f>IF(S1615="","",[1]Inputs_Outputs!$B$8*(1-'LOCH Calc COE Calc'!S1615))</f>
        <v/>
      </c>
      <c r="U1615" s="13" t="str">
        <f t="shared" si="126"/>
        <v/>
      </c>
      <c r="V1615" s="13" t="str">
        <f t="shared" si="127"/>
        <v/>
      </c>
      <c r="W1615" s="4" t="str">
        <f t="shared" si="128"/>
        <v/>
      </c>
      <c r="X1615" t="str">
        <f>IF(W1615="","",LOOKUP(_xlfn.CONCAT(P1615,", ",Q1615),'[1]T+S Costs'!$F$2:$F$3138,'[1]T+S Costs'!$N$2:$N$3138))</f>
        <v/>
      </c>
      <c r="Y1615" s="14" t="str">
        <f t="shared" si="129"/>
        <v/>
      </c>
      <c r="Z1615" s="4" t="str">
        <f t="shared" si="130"/>
        <v/>
      </c>
    </row>
    <row r="1616" spans="16:26" x14ac:dyDescent="0.25">
      <c r="P1616" s="10" t="str">
        <f>IF('[1]All Data '!AZ1621="","",'[1]All Data '!AZ1621)</f>
        <v/>
      </c>
      <c r="Q1616" s="10" t="str">
        <f>IF('[1]All Data '!BB1621="","",'[1]All Data '!BB1621)</f>
        <v/>
      </c>
      <c r="R1616" s="10" t="str">
        <f>IF('[1]All Data '!BD1621="","",'[1]All Data '!BD1621)</f>
        <v/>
      </c>
      <c r="S1616" s="11" t="str">
        <f>IF(R1616="","",'[1]All Data '!BE1621)</f>
        <v/>
      </c>
      <c r="T1616" s="12" t="str">
        <f>IF(S1616="","",[1]Inputs_Outputs!$B$8*(1-'LOCH Calc COE Calc'!S1616))</f>
        <v/>
      </c>
      <c r="U1616" s="13" t="str">
        <f t="shared" si="126"/>
        <v/>
      </c>
      <c r="V1616" s="13" t="str">
        <f t="shared" si="127"/>
        <v/>
      </c>
      <c r="W1616" s="4" t="str">
        <f t="shared" si="128"/>
        <v/>
      </c>
      <c r="X1616" t="str">
        <f>IF(W1616="","",LOOKUP(_xlfn.CONCAT(P1616,", ",Q1616),'[1]T+S Costs'!$F$2:$F$3138,'[1]T+S Costs'!$N$2:$N$3138))</f>
        <v/>
      </c>
      <c r="Y1616" s="14" t="str">
        <f t="shared" si="129"/>
        <v/>
      </c>
      <c r="Z1616" s="4" t="str">
        <f t="shared" si="130"/>
        <v/>
      </c>
    </row>
    <row r="1617" spans="16:26" x14ac:dyDescent="0.25">
      <c r="P1617" s="10" t="str">
        <f>IF('[1]All Data '!AZ1622="","",'[1]All Data '!AZ1622)</f>
        <v/>
      </c>
      <c r="Q1617" s="10" t="str">
        <f>IF('[1]All Data '!BB1622="","",'[1]All Data '!BB1622)</f>
        <v/>
      </c>
      <c r="R1617" s="10" t="str">
        <f>IF('[1]All Data '!BD1622="","",'[1]All Data '!BD1622)</f>
        <v/>
      </c>
      <c r="S1617" s="11" t="str">
        <f>IF(R1617="","",'[1]All Data '!BE1622)</f>
        <v/>
      </c>
      <c r="T1617" s="12" t="str">
        <f>IF(S1617="","",[1]Inputs_Outputs!$B$8*(1-'LOCH Calc COE Calc'!S1617))</f>
        <v/>
      </c>
      <c r="U1617" s="13" t="str">
        <f t="shared" si="126"/>
        <v/>
      </c>
      <c r="V1617" s="13" t="str">
        <f t="shared" si="127"/>
        <v/>
      </c>
      <c r="W1617" s="4" t="str">
        <f t="shared" si="128"/>
        <v/>
      </c>
      <c r="X1617" t="str">
        <f>IF(W1617="","",LOOKUP(_xlfn.CONCAT(P1617,", ",Q1617),'[1]T+S Costs'!$F$2:$F$3138,'[1]T+S Costs'!$N$2:$N$3138))</f>
        <v/>
      </c>
      <c r="Y1617" s="14" t="str">
        <f t="shared" si="129"/>
        <v/>
      </c>
      <c r="Z1617" s="4" t="str">
        <f t="shared" si="130"/>
        <v/>
      </c>
    </row>
    <row r="1618" spans="16:26" x14ac:dyDescent="0.25">
      <c r="P1618" s="10" t="str">
        <f>IF('[1]All Data '!AZ1623="","",'[1]All Data '!AZ1623)</f>
        <v/>
      </c>
      <c r="Q1618" s="10" t="str">
        <f>IF('[1]All Data '!BB1623="","",'[1]All Data '!BB1623)</f>
        <v/>
      </c>
      <c r="R1618" s="10" t="str">
        <f>IF('[1]All Data '!BD1623="","",'[1]All Data '!BD1623)</f>
        <v/>
      </c>
      <c r="S1618" s="11" t="str">
        <f>IF(R1618="","",'[1]All Data '!BE1623)</f>
        <v/>
      </c>
      <c r="T1618" s="12" t="str">
        <f>IF(S1618="","",[1]Inputs_Outputs!$B$8*(1-'LOCH Calc COE Calc'!S1618))</f>
        <v/>
      </c>
      <c r="U1618" s="13" t="str">
        <f t="shared" si="126"/>
        <v/>
      </c>
      <c r="V1618" s="13" t="str">
        <f t="shared" si="127"/>
        <v/>
      </c>
      <c r="W1618" s="4" t="str">
        <f t="shared" si="128"/>
        <v/>
      </c>
      <c r="X1618" t="str">
        <f>IF(W1618="","",LOOKUP(_xlfn.CONCAT(P1618,", ",Q1618),'[1]T+S Costs'!$F$2:$F$3138,'[1]T+S Costs'!$N$2:$N$3138))</f>
        <v/>
      </c>
      <c r="Y1618" s="14" t="str">
        <f t="shared" si="129"/>
        <v/>
      </c>
      <c r="Z1618" s="4" t="str">
        <f t="shared" si="130"/>
        <v/>
      </c>
    </row>
    <row r="1619" spans="16:26" x14ac:dyDescent="0.25">
      <c r="P1619" s="10" t="str">
        <f>IF('[1]All Data '!AZ1624="","",'[1]All Data '!AZ1624)</f>
        <v/>
      </c>
      <c r="Q1619" s="10" t="str">
        <f>IF('[1]All Data '!BB1624="","",'[1]All Data '!BB1624)</f>
        <v/>
      </c>
      <c r="R1619" s="10" t="str">
        <f>IF('[1]All Data '!BD1624="","",'[1]All Data '!BD1624)</f>
        <v/>
      </c>
      <c r="S1619" s="11" t="str">
        <f>IF(R1619="","",'[1]All Data '!BE1624)</f>
        <v/>
      </c>
      <c r="T1619" s="12" t="str">
        <f>IF(S1619="","",[1]Inputs_Outputs!$B$8*(1-'LOCH Calc COE Calc'!S1619))</f>
        <v/>
      </c>
      <c r="U1619" s="13" t="str">
        <f t="shared" si="126"/>
        <v/>
      </c>
      <c r="V1619" s="13" t="str">
        <f t="shared" si="127"/>
        <v/>
      </c>
      <c r="W1619" s="4" t="str">
        <f t="shared" si="128"/>
        <v/>
      </c>
      <c r="X1619" t="str">
        <f>IF(W1619="","",LOOKUP(_xlfn.CONCAT(P1619,", ",Q1619),'[1]T+S Costs'!$F$2:$F$3138,'[1]T+S Costs'!$N$2:$N$3138))</f>
        <v/>
      </c>
      <c r="Y1619" s="14" t="str">
        <f t="shared" si="129"/>
        <v/>
      </c>
      <c r="Z1619" s="4" t="str">
        <f t="shared" si="130"/>
        <v/>
      </c>
    </row>
    <row r="1620" spans="16:26" x14ac:dyDescent="0.25">
      <c r="P1620" s="10" t="str">
        <f>IF('[1]All Data '!AZ1625="","",'[1]All Data '!AZ1625)</f>
        <v/>
      </c>
      <c r="Q1620" s="10" t="str">
        <f>IF('[1]All Data '!BB1625="","",'[1]All Data '!BB1625)</f>
        <v/>
      </c>
      <c r="R1620" s="10" t="str">
        <f>IF('[1]All Data '!BD1625="","",'[1]All Data '!BD1625)</f>
        <v/>
      </c>
      <c r="S1620" s="11" t="str">
        <f>IF(R1620="","",'[1]All Data '!BE1625)</f>
        <v/>
      </c>
      <c r="T1620" s="12" t="str">
        <f>IF(S1620="","",[1]Inputs_Outputs!$B$8*(1-'LOCH Calc COE Calc'!S1620))</f>
        <v/>
      </c>
      <c r="U1620" s="13" t="str">
        <f t="shared" si="126"/>
        <v/>
      </c>
      <c r="V1620" s="13" t="str">
        <f t="shared" si="127"/>
        <v/>
      </c>
      <c r="W1620" s="4" t="str">
        <f t="shared" si="128"/>
        <v/>
      </c>
      <c r="X1620" t="str">
        <f>IF(W1620="","",LOOKUP(_xlfn.CONCAT(P1620,", ",Q1620),'[1]T+S Costs'!$F$2:$F$3138,'[1]T+S Costs'!$N$2:$N$3138))</f>
        <v/>
      </c>
      <c r="Y1620" s="14" t="str">
        <f t="shared" si="129"/>
        <v/>
      </c>
      <c r="Z1620" s="4" t="str">
        <f t="shared" si="130"/>
        <v/>
      </c>
    </row>
    <row r="1621" spans="16:26" x14ac:dyDescent="0.25">
      <c r="P1621" s="10" t="str">
        <f>IF('[1]All Data '!AZ1626="","",'[1]All Data '!AZ1626)</f>
        <v/>
      </c>
      <c r="Q1621" s="10" t="str">
        <f>IF('[1]All Data '!BB1626="","",'[1]All Data '!BB1626)</f>
        <v/>
      </c>
      <c r="R1621" s="10" t="str">
        <f>IF('[1]All Data '!BD1626="","",'[1]All Data '!BD1626)</f>
        <v/>
      </c>
      <c r="S1621" s="11" t="str">
        <f>IF(R1621="","",'[1]All Data '!BE1626)</f>
        <v/>
      </c>
      <c r="T1621" s="12" t="str">
        <f>IF(S1621="","",[1]Inputs_Outputs!$B$8*(1-'LOCH Calc COE Calc'!S1621))</f>
        <v/>
      </c>
      <c r="U1621" s="13" t="str">
        <f t="shared" si="126"/>
        <v/>
      </c>
      <c r="V1621" s="13" t="str">
        <f t="shared" si="127"/>
        <v/>
      </c>
      <c r="W1621" s="4" t="str">
        <f t="shared" si="128"/>
        <v/>
      </c>
      <c r="X1621" t="str">
        <f>IF(W1621="","",LOOKUP(_xlfn.CONCAT(P1621,", ",Q1621),'[1]T+S Costs'!$F$2:$F$3138,'[1]T+S Costs'!$N$2:$N$3138))</f>
        <v/>
      </c>
      <c r="Y1621" s="14" t="str">
        <f t="shared" si="129"/>
        <v/>
      </c>
      <c r="Z1621" s="4" t="str">
        <f t="shared" si="130"/>
        <v/>
      </c>
    </row>
    <row r="1622" spans="16:26" x14ac:dyDescent="0.25">
      <c r="P1622" s="10" t="str">
        <f>IF('[1]All Data '!AZ1627="","",'[1]All Data '!AZ1627)</f>
        <v/>
      </c>
      <c r="Q1622" s="10" t="str">
        <f>IF('[1]All Data '!BB1627="","",'[1]All Data '!BB1627)</f>
        <v/>
      </c>
      <c r="R1622" s="10" t="str">
        <f>IF('[1]All Data '!BD1627="","",'[1]All Data '!BD1627)</f>
        <v/>
      </c>
      <c r="S1622" s="11" t="str">
        <f>IF(R1622="","",'[1]All Data '!BE1627)</f>
        <v/>
      </c>
      <c r="T1622" s="12" t="str">
        <f>IF(S1622="","",[1]Inputs_Outputs!$B$8*(1-'LOCH Calc COE Calc'!S1622))</f>
        <v/>
      </c>
      <c r="U1622" s="13" t="str">
        <f t="shared" si="126"/>
        <v/>
      </c>
      <c r="V1622" s="13" t="str">
        <f t="shared" si="127"/>
        <v/>
      </c>
      <c r="W1622" s="4" t="str">
        <f t="shared" si="128"/>
        <v/>
      </c>
      <c r="X1622" t="str">
        <f>IF(W1622="","",LOOKUP(_xlfn.CONCAT(P1622,", ",Q1622),'[1]T+S Costs'!$F$2:$F$3138,'[1]T+S Costs'!$N$2:$N$3138))</f>
        <v/>
      </c>
      <c r="Y1622" s="14" t="str">
        <f t="shared" si="129"/>
        <v/>
      </c>
      <c r="Z1622" s="4" t="str">
        <f t="shared" si="130"/>
        <v/>
      </c>
    </row>
    <row r="1623" spans="16:26" x14ac:dyDescent="0.25">
      <c r="P1623" s="10" t="str">
        <f>IF('[1]All Data '!AZ1628="","",'[1]All Data '!AZ1628)</f>
        <v/>
      </c>
      <c r="Q1623" s="10" t="str">
        <f>IF('[1]All Data '!BB1628="","",'[1]All Data '!BB1628)</f>
        <v/>
      </c>
      <c r="R1623" s="10" t="str">
        <f>IF('[1]All Data '!BD1628="","",'[1]All Data '!BD1628)</f>
        <v/>
      </c>
      <c r="S1623" s="11" t="str">
        <f>IF(R1623="","",'[1]All Data '!BE1628)</f>
        <v/>
      </c>
      <c r="T1623" s="12" t="str">
        <f>IF(S1623="","",[1]Inputs_Outputs!$B$8*(1-'LOCH Calc COE Calc'!S1623))</f>
        <v/>
      </c>
      <c r="U1623" s="13" t="str">
        <f t="shared" si="126"/>
        <v/>
      </c>
      <c r="V1623" s="13" t="str">
        <f t="shared" si="127"/>
        <v/>
      </c>
      <c r="W1623" s="4" t="str">
        <f t="shared" si="128"/>
        <v/>
      </c>
      <c r="X1623" t="str">
        <f>IF(W1623="","",LOOKUP(_xlfn.CONCAT(P1623,", ",Q1623),'[1]T+S Costs'!$F$2:$F$3138,'[1]T+S Costs'!$N$2:$N$3138))</f>
        <v/>
      </c>
      <c r="Y1623" s="14" t="str">
        <f t="shared" si="129"/>
        <v/>
      </c>
      <c r="Z1623" s="4" t="str">
        <f t="shared" si="130"/>
        <v/>
      </c>
    </row>
    <row r="1624" spans="16:26" x14ac:dyDescent="0.25">
      <c r="P1624" s="10" t="str">
        <f>IF('[1]All Data '!AZ1629="","",'[1]All Data '!AZ1629)</f>
        <v/>
      </c>
      <c r="Q1624" s="10" t="str">
        <f>IF('[1]All Data '!BB1629="","",'[1]All Data '!BB1629)</f>
        <v/>
      </c>
      <c r="R1624" s="10" t="str">
        <f>IF('[1]All Data '!BD1629="","",'[1]All Data '!BD1629)</f>
        <v/>
      </c>
      <c r="S1624" s="11" t="str">
        <f>IF(R1624="","",'[1]All Data '!BE1629)</f>
        <v/>
      </c>
      <c r="T1624" s="12" t="str">
        <f>IF(S1624="","",[1]Inputs_Outputs!$B$8*(1-'LOCH Calc COE Calc'!S1624))</f>
        <v/>
      </c>
      <c r="U1624" s="13" t="str">
        <f t="shared" si="126"/>
        <v/>
      </c>
      <c r="V1624" s="13" t="str">
        <f t="shared" si="127"/>
        <v/>
      </c>
      <c r="W1624" s="4" t="str">
        <f t="shared" si="128"/>
        <v/>
      </c>
      <c r="X1624" t="str">
        <f>IF(W1624="","",LOOKUP(_xlfn.CONCAT(P1624,", ",Q1624),'[1]T+S Costs'!$F$2:$F$3138,'[1]T+S Costs'!$N$2:$N$3138))</f>
        <v/>
      </c>
      <c r="Y1624" s="14" t="str">
        <f t="shared" si="129"/>
        <v/>
      </c>
      <c r="Z1624" s="4" t="str">
        <f t="shared" si="130"/>
        <v/>
      </c>
    </row>
    <row r="1625" spans="16:26" x14ac:dyDescent="0.25">
      <c r="P1625" s="10" t="str">
        <f>IF('[1]All Data '!AZ1630="","",'[1]All Data '!AZ1630)</f>
        <v/>
      </c>
      <c r="Q1625" s="10" t="str">
        <f>IF('[1]All Data '!BB1630="","",'[1]All Data '!BB1630)</f>
        <v/>
      </c>
      <c r="R1625" s="10" t="str">
        <f>IF('[1]All Data '!BD1630="","",'[1]All Data '!BD1630)</f>
        <v/>
      </c>
      <c r="S1625" s="11" t="str">
        <f>IF(R1625="","",'[1]All Data '!BE1630)</f>
        <v/>
      </c>
      <c r="T1625" s="12" t="str">
        <f>IF(S1625="","",[1]Inputs_Outputs!$B$8*(1-'LOCH Calc COE Calc'!S1625))</f>
        <v/>
      </c>
      <c r="U1625" s="13" t="str">
        <f t="shared" si="126"/>
        <v/>
      </c>
      <c r="V1625" s="13" t="str">
        <f t="shared" si="127"/>
        <v/>
      </c>
      <c r="W1625" s="4" t="str">
        <f t="shared" si="128"/>
        <v/>
      </c>
      <c r="X1625" t="str">
        <f>IF(W1625="","",LOOKUP(_xlfn.CONCAT(P1625,", ",Q1625),'[1]T+S Costs'!$F$2:$F$3138,'[1]T+S Costs'!$N$2:$N$3138))</f>
        <v/>
      </c>
      <c r="Y1625" s="14" t="str">
        <f t="shared" si="129"/>
        <v/>
      </c>
      <c r="Z1625" s="4" t="str">
        <f t="shared" si="130"/>
        <v/>
      </c>
    </row>
    <row r="1626" spans="16:26" x14ac:dyDescent="0.25">
      <c r="P1626" s="10" t="str">
        <f>IF('[1]All Data '!AZ1631="","",'[1]All Data '!AZ1631)</f>
        <v/>
      </c>
      <c r="Q1626" s="10" t="str">
        <f>IF('[1]All Data '!BB1631="","",'[1]All Data '!BB1631)</f>
        <v/>
      </c>
      <c r="R1626" s="10" t="str">
        <f>IF('[1]All Data '!BD1631="","",'[1]All Data '!BD1631)</f>
        <v/>
      </c>
      <c r="S1626" s="11" t="str">
        <f>IF(R1626="","",'[1]All Data '!BE1631)</f>
        <v/>
      </c>
      <c r="T1626" s="12" t="str">
        <f>IF(S1626="","",[1]Inputs_Outputs!$B$8*(1-'LOCH Calc COE Calc'!S1626))</f>
        <v/>
      </c>
      <c r="U1626" s="13" t="str">
        <f t="shared" si="126"/>
        <v/>
      </c>
      <c r="V1626" s="13" t="str">
        <f t="shared" si="127"/>
        <v/>
      </c>
      <c r="W1626" s="4" t="str">
        <f t="shared" si="128"/>
        <v/>
      </c>
      <c r="X1626" t="str">
        <f>IF(W1626="","",LOOKUP(_xlfn.CONCAT(P1626,", ",Q1626),'[1]T+S Costs'!$F$2:$F$3138,'[1]T+S Costs'!$N$2:$N$3138))</f>
        <v/>
      </c>
      <c r="Y1626" s="14" t="str">
        <f t="shared" si="129"/>
        <v/>
      </c>
      <c r="Z1626" s="4" t="str">
        <f t="shared" si="130"/>
        <v/>
      </c>
    </row>
    <row r="1627" spans="16:26" x14ac:dyDescent="0.25">
      <c r="P1627" s="10" t="str">
        <f>IF('[1]All Data '!AZ1632="","",'[1]All Data '!AZ1632)</f>
        <v/>
      </c>
      <c r="Q1627" s="10" t="str">
        <f>IF('[1]All Data '!BB1632="","",'[1]All Data '!BB1632)</f>
        <v/>
      </c>
      <c r="R1627" s="10" t="str">
        <f>IF('[1]All Data '!BD1632="","",'[1]All Data '!BD1632)</f>
        <v/>
      </c>
      <c r="S1627" s="11" t="str">
        <f>IF(R1627="","",'[1]All Data '!BE1632)</f>
        <v/>
      </c>
      <c r="T1627" s="12" t="str">
        <f>IF(S1627="","",[1]Inputs_Outputs!$B$8*(1-'LOCH Calc COE Calc'!S1627))</f>
        <v/>
      </c>
      <c r="U1627" s="13" t="str">
        <f t="shared" si="126"/>
        <v/>
      </c>
      <c r="V1627" s="13" t="str">
        <f t="shared" si="127"/>
        <v/>
      </c>
      <c r="W1627" s="4" t="str">
        <f t="shared" si="128"/>
        <v/>
      </c>
      <c r="X1627" t="str">
        <f>IF(W1627="","",LOOKUP(_xlfn.CONCAT(P1627,", ",Q1627),'[1]T+S Costs'!$F$2:$F$3138,'[1]T+S Costs'!$N$2:$N$3138))</f>
        <v/>
      </c>
      <c r="Y1627" s="14" t="str">
        <f t="shared" si="129"/>
        <v/>
      </c>
      <c r="Z1627" s="4" t="str">
        <f t="shared" si="130"/>
        <v/>
      </c>
    </row>
    <row r="1628" spans="16:26" x14ac:dyDescent="0.25">
      <c r="P1628" s="10" t="str">
        <f>IF('[1]All Data '!AZ1633="","",'[1]All Data '!AZ1633)</f>
        <v/>
      </c>
      <c r="Q1628" s="10" t="str">
        <f>IF('[1]All Data '!BB1633="","",'[1]All Data '!BB1633)</f>
        <v/>
      </c>
      <c r="R1628" s="10" t="str">
        <f>IF('[1]All Data '!BD1633="","",'[1]All Data '!BD1633)</f>
        <v/>
      </c>
      <c r="S1628" s="11" t="str">
        <f>IF(R1628="","",'[1]All Data '!BE1633)</f>
        <v/>
      </c>
      <c r="T1628" s="12" t="str">
        <f>IF(S1628="","",[1]Inputs_Outputs!$B$8*(1-'LOCH Calc COE Calc'!S1628))</f>
        <v/>
      </c>
      <c r="U1628" s="13" t="str">
        <f t="shared" si="126"/>
        <v/>
      </c>
      <c r="V1628" s="13" t="str">
        <f t="shared" si="127"/>
        <v/>
      </c>
      <c r="W1628" s="4" t="str">
        <f t="shared" si="128"/>
        <v/>
      </c>
      <c r="X1628" t="str">
        <f>IF(W1628="","",LOOKUP(_xlfn.CONCAT(P1628,", ",Q1628),'[1]T+S Costs'!$F$2:$F$3138,'[1]T+S Costs'!$N$2:$N$3138))</f>
        <v/>
      </c>
      <c r="Y1628" s="14" t="str">
        <f t="shared" si="129"/>
        <v/>
      </c>
      <c r="Z1628" s="4" t="str">
        <f t="shared" si="130"/>
        <v/>
      </c>
    </row>
    <row r="1629" spans="16:26" x14ac:dyDescent="0.25">
      <c r="P1629" s="10" t="str">
        <f>IF('[1]All Data '!AZ1634="","",'[1]All Data '!AZ1634)</f>
        <v/>
      </c>
      <c r="Q1629" s="10" t="str">
        <f>IF('[1]All Data '!BB1634="","",'[1]All Data '!BB1634)</f>
        <v/>
      </c>
      <c r="R1629" s="10" t="str">
        <f>IF('[1]All Data '!BD1634="","",'[1]All Data '!BD1634)</f>
        <v/>
      </c>
      <c r="S1629" s="11" t="str">
        <f>IF(R1629="","",'[1]All Data '!BE1634)</f>
        <v/>
      </c>
      <c r="T1629" s="12" t="str">
        <f>IF(S1629="","",[1]Inputs_Outputs!$B$8*(1-'LOCH Calc COE Calc'!S1629))</f>
        <v/>
      </c>
      <c r="U1629" s="13" t="str">
        <f t="shared" si="126"/>
        <v/>
      </c>
      <c r="V1629" s="13" t="str">
        <f t="shared" si="127"/>
        <v/>
      </c>
      <c r="W1629" s="4" t="str">
        <f t="shared" si="128"/>
        <v/>
      </c>
      <c r="X1629" t="str">
        <f>IF(W1629="","",LOOKUP(_xlfn.CONCAT(P1629,", ",Q1629),'[1]T+S Costs'!$F$2:$F$3138,'[1]T+S Costs'!$N$2:$N$3138))</f>
        <v/>
      </c>
      <c r="Y1629" s="14" t="str">
        <f t="shared" si="129"/>
        <v/>
      </c>
      <c r="Z1629" s="4" t="str">
        <f t="shared" si="130"/>
        <v/>
      </c>
    </row>
    <row r="1630" spans="16:26" x14ac:dyDescent="0.25">
      <c r="P1630" s="10" t="str">
        <f>IF('[1]All Data '!AZ1635="","",'[1]All Data '!AZ1635)</f>
        <v/>
      </c>
      <c r="Q1630" s="10" t="str">
        <f>IF('[1]All Data '!BB1635="","",'[1]All Data '!BB1635)</f>
        <v/>
      </c>
      <c r="R1630" s="10" t="str">
        <f>IF('[1]All Data '!BD1635="","",'[1]All Data '!BD1635)</f>
        <v/>
      </c>
      <c r="S1630" s="11" t="str">
        <f>IF(R1630="","",'[1]All Data '!BE1635)</f>
        <v/>
      </c>
      <c r="T1630" s="12" t="str">
        <f>IF(S1630="","",[1]Inputs_Outputs!$B$8*(1-'LOCH Calc COE Calc'!S1630))</f>
        <v/>
      </c>
      <c r="U1630" s="13" t="str">
        <f t="shared" si="126"/>
        <v/>
      </c>
      <c r="V1630" s="13" t="str">
        <f t="shared" si="127"/>
        <v/>
      </c>
      <c r="W1630" s="4" t="str">
        <f t="shared" si="128"/>
        <v/>
      </c>
      <c r="X1630" t="str">
        <f>IF(W1630="","",LOOKUP(_xlfn.CONCAT(P1630,", ",Q1630),'[1]T+S Costs'!$F$2:$F$3138,'[1]T+S Costs'!$N$2:$N$3138))</f>
        <v/>
      </c>
      <c r="Y1630" s="14" t="str">
        <f t="shared" si="129"/>
        <v/>
      </c>
      <c r="Z1630" s="4" t="str">
        <f t="shared" si="130"/>
        <v/>
      </c>
    </row>
    <row r="1631" spans="16:26" x14ac:dyDescent="0.25">
      <c r="P1631" s="10" t="str">
        <f>IF('[1]All Data '!AZ1636="","",'[1]All Data '!AZ1636)</f>
        <v/>
      </c>
      <c r="Q1631" s="10" t="str">
        <f>IF('[1]All Data '!BB1636="","",'[1]All Data '!BB1636)</f>
        <v/>
      </c>
      <c r="R1631" s="10" t="str">
        <f>IF('[1]All Data '!BD1636="","",'[1]All Data '!BD1636)</f>
        <v/>
      </c>
      <c r="S1631" s="11" t="str">
        <f>IF(R1631="","",'[1]All Data '!BE1636)</f>
        <v/>
      </c>
      <c r="T1631" s="12" t="str">
        <f>IF(S1631="","",[1]Inputs_Outputs!$B$8*(1-'LOCH Calc COE Calc'!S1631))</f>
        <v/>
      </c>
      <c r="U1631" s="13" t="str">
        <f t="shared" si="126"/>
        <v/>
      </c>
      <c r="V1631" s="13" t="str">
        <f t="shared" si="127"/>
        <v/>
      </c>
      <c r="W1631" s="4" t="str">
        <f t="shared" si="128"/>
        <v/>
      </c>
      <c r="X1631" t="str">
        <f>IF(W1631="","",LOOKUP(_xlfn.CONCAT(P1631,", ",Q1631),'[1]T+S Costs'!$F$2:$F$3138,'[1]T+S Costs'!$N$2:$N$3138))</f>
        <v/>
      </c>
      <c r="Y1631" s="14" t="str">
        <f t="shared" si="129"/>
        <v/>
      </c>
      <c r="Z1631" s="4" t="str">
        <f t="shared" si="130"/>
        <v/>
      </c>
    </row>
    <row r="1632" spans="16:26" x14ac:dyDescent="0.25">
      <c r="P1632" s="10" t="str">
        <f>IF('[1]All Data '!AZ1637="","",'[1]All Data '!AZ1637)</f>
        <v/>
      </c>
      <c r="Q1632" s="10" t="str">
        <f>IF('[1]All Data '!BB1637="","",'[1]All Data '!BB1637)</f>
        <v/>
      </c>
      <c r="R1632" s="10" t="str">
        <f>IF('[1]All Data '!BD1637="","",'[1]All Data '!BD1637)</f>
        <v/>
      </c>
      <c r="S1632" s="11" t="str">
        <f>IF(R1632="","",'[1]All Data '!BE1637)</f>
        <v/>
      </c>
      <c r="T1632" s="12" t="str">
        <f>IF(S1632="","",[1]Inputs_Outputs!$B$8*(1-'LOCH Calc COE Calc'!S1632))</f>
        <v/>
      </c>
      <c r="U1632" s="13" t="str">
        <f t="shared" si="126"/>
        <v/>
      </c>
      <c r="V1632" s="13" t="str">
        <f t="shared" si="127"/>
        <v/>
      </c>
      <c r="W1632" s="4" t="str">
        <f t="shared" si="128"/>
        <v/>
      </c>
      <c r="X1632" t="str">
        <f>IF(W1632="","",LOOKUP(_xlfn.CONCAT(P1632,", ",Q1632),'[1]T+S Costs'!$F$2:$F$3138,'[1]T+S Costs'!$N$2:$N$3138))</f>
        <v/>
      </c>
      <c r="Y1632" s="14" t="str">
        <f t="shared" si="129"/>
        <v/>
      </c>
      <c r="Z1632" s="4" t="str">
        <f t="shared" si="130"/>
        <v/>
      </c>
    </row>
    <row r="1633" spans="16:26" x14ac:dyDescent="0.25">
      <c r="P1633" s="10" t="str">
        <f>IF('[1]All Data '!AZ1638="","",'[1]All Data '!AZ1638)</f>
        <v/>
      </c>
      <c r="Q1633" s="10" t="str">
        <f>IF('[1]All Data '!BB1638="","",'[1]All Data '!BB1638)</f>
        <v/>
      </c>
      <c r="R1633" s="10" t="str">
        <f>IF('[1]All Data '!BD1638="","",'[1]All Data '!BD1638)</f>
        <v/>
      </c>
      <c r="S1633" s="11" t="str">
        <f>IF(R1633="","",'[1]All Data '!BE1638)</f>
        <v/>
      </c>
      <c r="T1633" s="12" t="str">
        <f>IF(S1633="","",[1]Inputs_Outputs!$B$8*(1-'LOCH Calc COE Calc'!S1633))</f>
        <v/>
      </c>
      <c r="U1633" s="13" t="str">
        <f t="shared" si="126"/>
        <v/>
      </c>
      <c r="V1633" s="13" t="str">
        <f t="shared" si="127"/>
        <v/>
      </c>
      <c r="W1633" s="4" t="str">
        <f t="shared" si="128"/>
        <v/>
      </c>
      <c r="X1633" t="str">
        <f>IF(W1633="","",LOOKUP(_xlfn.CONCAT(P1633,", ",Q1633),'[1]T+S Costs'!$F$2:$F$3138,'[1]T+S Costs'!$N$2:$N$3138))</f>
        <v/>
      </c>
      <c r="Y1633" s="14" t="str">
        <f t="shared" si="129"/>
        <v/>
      </c>
      <c r="Z1633" s="4" t="str">
        <f t="shared" si="130"/>
        <v/>
      </c>
    </row>
    <row r="1634" spans="16:26" x14ac:dyDescent="0.25">
      <c r="P1634" s="10" t="str">
        <f>IF('[1]All Data '!AZ1639="","",'[1]All Data '!AZ1639)</f>
        <v/>
      </c>
      <c r="Q1634" s="10" t="str">
        <f>IF('[1]All Data '!BB1639="","",'[1]All Data '!BB1639)</f>
        <v/>
      </c>
      <c r="R1634" s="10" t="str">
        <f>IF('[1]All Data '!BD1639="","",'[1]All Data '!BD1639)</f>
        <v/>
      </c>
      <c r="S1634" s="11" t="str">
        <f>IF(R1634="","",'[1]All Data '!BE1639)</f>
        <v/>
      </c>
      <c r="T1634" s="12" t="str">
        <f>IF(S1634="","",[1]Inputs_Outputs!$B$8*(1-'LOCH Calc COE Calc'!S1634))</f>
        <v/>
      </c>
      <c r="U1634" s="13" t="str">
        <f t="shared" si="126"/>
        <v/>
      </c>
      <c r="V1634" s="13" t="str">
        <f t="shared" si="127"/>
        <v/>
      </c>
      <c r="W1634" s="4" t="str">
        <f t="shared" si="128"/>
        <v/>
      </c>
      <c r="X1634" t="str">
        <f>IF(W1634="","",LOOKUP(_xlfn.CONCAT(P1634,", ",Q1634),'[1]T+S Costs'!$F$2:$F$3138,'[1]T+S Costs'!$N$2:$N$3138))</f>
        <v/>
      </c>
      <c r="Y1634" s="14" t="str">
        <f t="shared" si="129"/>
        <v/>
      </c>
      <c r="Z1634" s="4" t="str">
        <f t="shared" si="130"/>
        <v/>
      </c>
    </row>
    <row r="1635" spans="16:26" x14ac:dyDescent="0.25">
      <c r="P1635" s="10" t="str">
        <f>IF('[1]All Data '!AZ1640="","",'[1]All Data '!AZ1640)</f>
        <v/>
      </c>
      <c r="Q1635" s="10" t="str">
        <f>IF('[1]All Data '!BB1640="","",'[1]All Data '!BB1640)</f>
        <v/>
      </c>
      <c r="R1635" s="10" t="str">
        <f>IF('[1]All Data '!BD1640="","",'[1]All Data '!BD1640)</f>
        <v/>
      </c>
      <c r="S1635" s="11" t="str">
        <f>IF(R1635="","",'[1]All Data '!BE1640)</f>
        <v/>
      </c>
      <c r="T1635" s="12" t="str">
        <f>IF(S1635="","",[1]Inputs_Outputs!$B$8*(1-'LOCH Calc COE Calc'!S1635))</f>
        <v/>
      </c>
      <c r="U1635" s="13" t="str">
        <f t="shared" si="126"/>
        <v/>
      </c>
      <c r="V1635" s="13" t="str">
        <f t="shared" si="127"/>
        <v/>
      </c>
      <c r="W1635" s="4" t="str">
        <f t="shared" si="128"/>
        <v/>
      </c>
      <c r="X1635" t="str">
        <f>IF(W1635="","",LOOKUP(_xlfn.CONCAT(P1635,", ",Q1635),'[1]T+S Costs'!$F$2:$F$3138,'[1]T+S Costs'!$N$2:$N$3138))</f>
        <v/>
      </c>
      <c r="Y1635" s="14" t="str">
        <f t="shared" si="129"/>
        <v/>
      </c>
      <c r="Z1635" s="4" t="str">
        <f t="shared" si="130"/>
        <v/>
      </c>
    </row>
    <row r="1636" spans="16:26" x14ac:dyDescent="0.25">
      <c r="P1636" s="10" t="str">
        <f>IF('[1]All Data '!AZ1641="","",'[1]All Data '!AZ1641)</f>
        <v/>
      </c>
      <c r="Q1636" s="10" t="str">
        <f>IF('[1]All Data '!BB1641="","",'[1]All Data '!BB1641)</f>
        <v/>
      </c>
      <c r="R1636" s="10" t="str">
        <f>IF('[1]All Data '!BD1641="","",'[1]All Data '!BD1641)</f>
        <v/>
      </c>
      <c r="S1636" s="11" t="str">
        <f>IF(R1636="","",'[1]All Data '!BE1641)</f>
        <v/>
      </c>
      <c r="T1636" s="12" t="str">
        <f>IF(S1636="","",[1]Inputs_Outputs!$B$8*(1-'LOCH Calc COE Calc'!S1636))</f>
        <v/>
      </c>
      <c r="U1636" s="13" t="str">
        <f t="shared" si="126"/>
        <v/>
      </c>
      <c r="V1636" s="13" t="str">
        <f t="shared" si="127"/>
        <v/>
      </c>
      <c r="W1636" s="4" t="str">
        <f t="shared" si="128"/>
        <v/>
      </c>
      <c r="X1636" t="str">
        <f>IF(W1636="","",LOOKUP(_xlfn.CONCAT(P1636,", ",Q1636),'[1]T+S Costs'!$F$2:$F$3138,'[1]T+S Costs'!$N$2:$N$3138))</f>
        <v/>
      </c>
      <c r="Y1636" s="14" t="str">
        <f t="shared" si="129"/>
        <v/>
      </c>
      <c r="Z1636" s="4" t="str">
        <f t="shared" si="130"/>
        <v/>
      </c>
    </row>
    <row r="1637" spans="16:26" x14ac:dyDescent="0.25">
      <c r="P1637" s="10" t="str">
        <f>IF('[1]All Data '!AZ1642="","",'[1]All Data '!AZ1642)</f>
        <v/>
      </c>
      <c r="Q1637" s="10" t="str">
        <f>IF('[1]All Data '!BB1642="","",'[1]All Data '!BB1642)</f>
        <v/>
      </c>
      <c r="R1637" s="10" t="str">
        <f>IF('[1]All Data '!BD1642="","",'[1]All Data '!BD1642)</f>
        <v/>
      </c>
      <c r="S1637" s="11" t="str">
        <f>IF(R1637="","",'[1]All Data '!BE1642)</f>
        <v/>
      </c>
      <c r="T1637" s="12" t="str">
        <f>IF(S1637="","",[1]Inputs_Outputs!$B$8*(1-'LOCH Calc COE Calc'!S1637))</f>
        <v/>
      </c>
      <c r="U1637" s="13" t="str">
        <f t="shared" si="126"/>
        <v/>
      </c>
      <c r="V1637" s="13" t="str">
        <f t="shared" si="127"/>
        <v/>
      </c>
      <c r="W1637" s="4" t="str">
        <f t="shared" si="128"/>
        <v/>
      </c>
      <c r="X1637" t="str">
        <f>IF(W1637="","",LOOKUP(_xlfn.CONCAT(P1637,", ",Q1637),'[1]T+S Costs'!$F$2:$F$3138,'[1]T+S Costs'!$N$2:$N$3138))</f>
        <v/>
      </c>
      <c r="Y1637" s="14" t="str">
        <f t="shared" si="129"/>
        <v/>
      </c>
      <c r="Z1637" s="4" t="str">
        <f t="shared" si="130"/>
        <v/>
      </c>
    </row>
    <row r="1638" spans="16:26" x14ac:dyDescent="0.25">
      <c r="P1638" s="10" t="str">
        <f>IF('[1]All Data '!AZ1643="","",'[1]All Data '!AZ1643)</f>
        <v/>
      </c>
      <c r="Q1638" s="10" t="str">
        <f>IF('[1]All Data '!BB1643="","",'[1]All Data '!BB1643)</f>
        <v/>
      </c>
      <c r="R1638" s="10" t="str">
        <f>IF('[1]All Data '!BD1643="","",'[1]All Data '!BD1643)</f>
        <v/>
      </c>
      <c r="S1638" s="11" t="str">
        <f>IF(R1638="","",'[1]All Data '!BE1643)</f>
        <v/>
      </c>
      <c r="T1638" s="12" t="str">
        <f>IF(S1638="","",[1]Inputs_Outputs!$B$8*(1-'LOCH Calc COE Calc'!S1638))</f>
        <v/>
      </c>
      <c r="U1638" s="13" t="str">
        <f t="shared" si="126"/>
        <v/>
      </c>
      <c r="V1638" s="13" t="str">
        <f t="shared" si="127"/>
        <v/>
      </c>
      <c r="W1638" s="4" t="str">
        <f t="shared" si="128"/>
        <v/>
      </c>
      <c r="X1638" t="str">
        <f>IF(W1638="","",LOOKUP(_xlfn.CONCAT(P1638,", ",Q1638),'[1]T+S Costs'!$F$2:$F$3138,'[1]T+S Costs'!$N$2:$N$3138))</f>
        <v/>
      </c>
      <c r="Y1638" s="14" t="str">
        <f t="shared" si="129"/>
        <v/>
      </c>
      <c r="Z1638" s="4" t="str">
        <f t="shared" si="130"/>
        <v/>
      </c>
    </row>
    <row r="1639" spans="16:26" x14ac:dyDescent="0.25">
      <c r="P1639" s="10" t="str">
        <f>IF('[1]All Data '!AZ1644="","",'[1]All Data '!AZ1644)</f>
        <v/>
      </c>
      <c r="Q1639" s="10" t="str">
        <f>IF('[1]All Data '!BB1644="","",'[1]All Data '!BB1644)</f>
        <v/>
      </c>
      <c r="R1639" s="10" t="str">
        <f>IF('[1]All Data '!BD1644="","",'[1]All Data '!BD1644)</f>
        <v/>
      </c>
      <c r="S1639" s="11" t="str">
        <f>IF(R1639="","",'[1]All Data '!BE1644)</f>
        <v/>
      </c>
      <c r="T1639" s="12" t="str">
        <f>IF(S1639="","",[1]Inputs_Outputs!$B$8*(1-'LOCH Calc COE Calc'!S1639))</f>
        <v/>
      </c>
      <c r="U1639" s="13" t="str">
        <f t="shared" si="126"/>
        <v/>
      </c>
      <c r="V1639" s="13" t="str">
        <f t="shared" si="127"/>
        <v/>
      </c>
      <c r="W1639" s="4" t="str">
        <f t="shared" si="128"/>
        <v/>
      </c>
      <c r="X1639" t="str">
        <f>IF(W1639="","",LOOKUP(_xlfn.CONCAT(P1639,", ",Q1639),'[1]T+S Costs'!$F$2:$F$3138,'[1]T+S Costs'!$N$2:$N$3138))</f>
        <v/>
      </c>
      <c r="Y1639" s="14" t="str">
        <f t="shared" si="129"/>
        <v/>
      </c>
      <c r="Z1639" s="4" t="str">
        <f t="shared" si="130"/>
        <v/>
      </c>
    </row>
    <row r="1640" spans="16:26" x14ac:dyDescent="0.25">
      <c r="P1640" s="10" t="str">
        <f>IF('[1]All Data '!AZ1645="","",'[1]All Data '!AZ1645)</f>
        <v/>
      </c>
      <c r="Q1640" s="10" t="str">
        <f>IF('[1]All Data '!BB1645="","",'[1]All Data '!BB1645)</f>
        <v/>
      </c>
      <c r="R1640" s="10" t="str">
        <f>IF('[1]All Data '!BD1645="","",'[1]All Data '!BD1645)</f>
        <v/>
      </c>
      <c r="S1640" s="11" t="str">
        <f>IF(R1640="","",'[1]All Data '!BE1645)</f>
        <v/>
      </c>
      <c r="T1640" s="12" t="str">
        <f>IF(S1640="","",[1]Inputs_Outputs!$B$8*(1-'LOCH Calc COE Calc'!S1640))</f>
        <v/>
      </c>
      <c r="U1640" s="13" t="str">
        <f t="shared" si="126"/>
        <v/>
      </c>
      <c r="V1640" s="13" t="str">
        <f t="shared" si="127"/>
        <v/>
      </c>
      <c r="W1640" s="4" t="str">
        <f t="shared" si="128"/>
        <v/>
      </c>
      <c r="X1640" t="str">
        <f>IF(W1640="","",LOOKUP(_xlfn.CONCAT(P1640,", ",Q1640),'[1]T+S Costs'!$F$2:$F$3138,'[1]T+S Costs'!$N$2:$N$3138))</f>
        <v/>
      </c>
      <c r="Y1640" s="14" t="str">
        <f t="shared" si="129"/>
        <v/>
      </c>
      <c r="Z1640" s="4" t="str">
        <f t="shared" si="130"/>
        <v/>
      </c>
    </row>
    <row r="1641" spans="16:26" x14ac:dyDescent="0.25">
      <c r="P1641" s="10" t="str">
        <f>IF('[1]All Data '!AZ1646="","",'[1]All Data '!AZ1646)</f>
        <v/>
      </c>
      <c r="Q1641" s="10" t="str">
        <f>IF('[1]All Data '!BB1646="","",'[1]All Data '!BB1646)</f>
        <v/>
      </c>
      <c r="R1641" s="10" t="str">
        <f>IF('[1]All Data '!BD1646="","",'[1]All Data '!BD1646)</f>
        <v/>
      </c>
      <c r="S1641" s="11" t="str">
        <f>IF(R1641="","",'[1]All Data '!BE1646)</f>
        <v/>
      </c>
      <c r="T1641" s="12" t="str">
        <f>IF(S1641="","",[1]Inputs_Outputs!$B$8*(1-'LOCH Calc COE Calc'!S1641))</f>
        <v/>
      </c>
      <c r="U1641" s="13" t="str">
        <f t="shared" si="126"/>
        <v/>
      </c>
      <c r="V1641" s="13" t="str">
        <f t="shared" si="127"/>
        <v/>
      </c>
      <c r="W1641" s="4" t="str">
        <f t="shared" si="128"/>
        <v/>
      </c>
      <c r="X1641" t="str">
        <f>IF(W1641="","",LOOKUP(_xlfn.CONCAT(P1641,", ",Q1641),'[1]T+S Costs'!$F$2:$F$3138,'[1]T+S Costs'!$N$2:$N$3138))</f>
        <v/>
      </c>
      <c r="Y1641" s="14" t="str">
        <f t="shared" si="129"/>
        <v/>
      </c>
      <c r="Z1641" s="4" t="str">
        <f t="shared" si="130"/>
        <v/>
      </c>
    </row>
    <row r="1642" spans="16:26" x14ac:dyDescent="0.25">
      <c r="P1642" s="10" t="str">
        <f>IF('[1]All Data '!AZ1647="","",'[1]All Data '!AZ1647)</f>
        <v/>
      </c>
      <c r="Q1642" s="10" t="str">
        <f>IF('[1]All Data '!BB1647="","",'[1]All Data '!BB1647)</f>
        <v/>
      </c>
      <c r="R1642" s="10" t="str">
        <f>IF('[1]All Data '!BD1647="","",'[1]All Data '!BD1647)</f>
        <v/>
      </c>
      <c r="S1642" s="11" t="str">
        <f>IF(R1642="","",'[1]All Data '!BE1647)</f>
        <v/>
      </c>
      <c r="T1642" s="12" t="str">
        <f>IF(S1642="","",[1]Inputs_Outputs!$B$8*(1-'LOCH Calc COE Calc'!S1642))</f>
        <v/>
      </c>
      <c r="U1642" s="13" t="str">
        <f t="shared" si="126"/>
        <v/>
      </c>
      <c r="V1642" s="13" t="str">
        <f t="shared" si="127"/>
        <v/>
      </c>
      <c r="W1642" s="4" t="str">
        <f t="shared" si="128"/>
        <v/>
      </c>
      <c r="X1642" t="str">
        <f>IF(W1642="","",LOOKUP(_xlfn.CONCAT(P1642,", ",Q1642),'[1]T+S Costs'!$F$2:$F$3138,'[1]T+S Costs'!$N$2:$N$3138))</f>
        <v/>
      </c>
      <c r="Y1642" s="14" t="str">
        <f t="shared" si="129"/>
        <v/>
      </c>
      <c r="Z1642" s="4" t="str">
        <f t="shared" si="130"/>
        <v/>
      </c>
    </row>
    <row r="1643" spans="16:26" x14ac:dyDescent="0.25">
      <c r="P1643" s="10" t="str">
        <f>IF('[1]All Data '!AZ1648="","",'[1]All Data '!AZ1648)</f>
        <v/>
      </c>
      <c r="Q1643" s="10" t="str">
        <f>IF('[1]All Data '!BB1648="","",'[1]All Data '!BB1648)</f>
        <v/>
      </c>
      <c r="R1643" s="10" t="str">
        <f>IF('[1]All Data '!BD1648="","",'[1]All Data '!BD1648)</f>
        <v/>
      </c>
      <c r="S1643" s="11" t="str">
        <f>IF(R1643="","",'[1]All Data '!BE1648)</f>
        <v/>
      </c>
      <c r="T1643" s="12" t="str">
        <f>IF(S1643="","",[1]Inputs_Outputs!$B$8*(1-'LOCH Calc COE Calc'!S1643))</f>
        <v/>
      </c>
      <c r="U1643" s="13" t="str">
        <f t="shared" si="126"/>
        <v/>
      </c>
      <c r="V1643" s="13" t="str">
        <f t="shared" si="127"/>
        <v/>
      </c>
      <c r="W1643" s="4" t="str">
        <f t="shared" si="128"/>
        <v/>
      </c>
      <c r="X1643" t="str">
        <f>IF(W1643="","",LOOKUP(_xlfn.CONCAT(P1643,", ",Q1643),'[1]T+S Costs'!$F$2:$F$3138,'[1]T+S Costs'!$N$2:$N$3138))</f>
        <v/>
      </c>
      <c r="Y1643" s="14" t="str">
        <f t="shared" si="129"/>
        <v/>
      </c>
      <c r="Z1643" s="4" t="str">
        <f t="shared" si="130"/>
        <v/>
      </c>
    </row>
    <row r="1644" spans="16:26" x14ac:dyDescent="0.25">
      <c r="P1644" s="10" t="str">
        <f>IF('[1]All Data '!AZ1649="","",'[1]All Data '!AZ1649)</f>
        <v/>
      </c>
      <c r="Q1644" s="10" t="str">
        <f>IF('[1]All Data '!BB1649="","",'[1]All Data '!BB1649)</f>
        <v/>
      </c>
      <c r="R1644" s="10" t="str">
        <f>IF('[1]All Data '!BD1649="","",'[1]All Data '!BD1649)</f>
        <v/>
      </c>
      <c r="S1644" s="11" t="str">
        <f>IF(R1644="","",'[1]All Data '!BE1649)</f>
        <v/>
      </c>
      <c r="T1644" s="12" t="str">
        <f>IF(S1644="","",[1]Inputs_Outputs!$B$8*(1-'LOCH Calc COE Calc'!S1644))</f>
        <v/>
      </c>
      <c r="U1644" s="13" t="str">
        <f t="shared" si="126"/>
        <v/>
      </c>
      <c r="V1644" s="13" t="str">
        <f t="shared" si="127"/>
        <v/>
      </c>
      <c r="W1644" s="4" t="str">
        <f t="shared" si="128"/>
        <v/>
      </c>
      <c r="X1644" t="str">
        <f>IF(W1644="","",LOOKUP(_xlfn.CONCAT(P1644,", ",Q1644),'[1]T+S Costs'!$F$2:$F$3138,'[1]T+S Costs'!$N$2:$N$3138))</f>
        <v/>
      </c>
      <c r="Y1644" s="14" t="str">
        <f t="shared" si="129"/>
        <v/>
      </c>
      <c r="Z1644" s="4" t="str">
        <f t="shared" si="130"/>
        <v/>
      </c>
    </row>
    <row r="1645" spans="16:26" x14ac:dyDescent="0.25">
      <c r="P1645" s="10" t="str">
        <f>IF('[1]All Data '!AZ1650="","",'[1]All Data '!AZ1650)</f>
        <v/>
      </c>
      <c r="Q1645" s="10" t="str">
        <f>IF('[1]All Data '!BB1650="","",'[1]All Data '!BB1650)</f>
        <v/>
      </c>
      <c r="R1645" s="10" t="str">
        <f>IF('[1]All Data '!BD1650="","",'[1]All Data '!BD1650)</f>
        <v/>
      </c>
      <c r="S1645" s="11" t="str">
        <f>IF(R1645="","",'[1]All Data '!BE1650)</f>
        <v/>
      </c>
      <c r="T1645" s="12" t="str">
        <f>IF(S1645="","",[1]Inputs_Outputs!$B$8*(1-'LOCH Calc COE Calc'!S1645))</f>
        <v/>
      </c>
      <c r="U1645" s="13" t="str">
        <f t="shared" si="126"/>
        <v/>
      </c>
      <c r="V1645" s="13" t="str">
        <f t="shared" si="127"/>
        <v/>
      </c>
      <c r="W1645" s="4" t="str">
        <f t="shared" si="128"/>
        <v/>
      </c>
      <c r="X1645" t="str">
        <f>IF(W1645="","",LOOKUP(_xlfn.CONCAT(P1645,", ",Q1645),'[1]T+S Costs'!$F$2:$F$3138,'[1]T+S Costs'!$N$2:$N$3138))</f>
        <v/>
      </c>
      <c r="Y1645" s="14" t="str">
        <f t="shared" si="129"/>
        <v/>
      </c>
      <c r="Z1645" s="4" t="str">
        <f t="shared" si="130"/>
        <v/>
      </c>
    </row>
    <row r="1646" spans="16:26" x14ac:dyDescent="0.25">
      <c r="P1646" s="10" t="str">
        <f>IF('[1]All Data '!AZ1651="","",'[1]All Data '!AZ1651)</f>
        <v/>
      </c>
      <c r="Q1646" s="10" t="str">
        <f>IF('[1]All Data '!BB1651="","",'[1]All Data '!BB1651)</f>
        <v/>
      </c>
      <c r="R1646" s="10" t="str">
        <f>IF('[1]All Data '!BD1651="","",'[1]All Data '!BD1651)</f>
        <v/>
      </c>
      <c r="S1646" s="11" t="str">
        <f>IF(R1646="","",'[1]All Data '!BE1651)</f>
        <v/>
      </c>
      <c r="T1646" s="12" t="str">
        <f>IF(S1646="","",[1]Inputs_Outputs!$B$8*(1-'LOCH Calc COE Calc'!S1646))</f>
        <v/>
      </c>
      <c r="U1646" s="13" t="str">
        <f t="shared" si="126"/>
        <v/>
      </c>
      <c r="V1646" s="13" t="str">
        <f t="shared" si="127"/>
        <v/>
      </c>
      <c r="W1646" s="4" t="str">
        <f t="shared" si="128"/>
        <v/>
      </c>
      <c r="X1646" t="str">
        <f>IF(W1646="","",LOOKUP(_xlfn.CONCAT(P1646,", ",Q1646),'[1]T+S Costs'!$F$2:$F$3138,'[1]T+S Costs'!$N$2:$N$3138))</f>
        <v/>
      </c>
      <c r="Y1646" s="14" t="str">
        <f t="shared" si="129"/>
        <v/>
      </c>
      <c r="Z1646" s="4" t="str">
        <f t="shared" si="130"/>
        <v/>
      </c>
    </row>
    <row r="1647" spans="16:26" x14ac:dyDescent="0.25">
      <c r="P1647" s="10" t="str">
        <f>IF('[1]All Data '!AZ1652="","",'[1]All Data '!AZ1652)</f>
        <v/>
      </c>
      <c r="Q1647" s="10" t="str">
        <f>IF('[1]All Data '!BB1652="","",'[1]All Data '!BB1652)</f>
        <v/>
      </c>
      <c r="R1647" s="10" t="str">
        <f>IF('[1]All Data '!BD1652="","",'[1]All Data '!BD1652)</f>
        <v/>
      </c>
      <c r="S1647" s="11" t="str">
        <f>IF(R1647="","",'[1]All Data '!BE1652)</f>
        <v/>
      </c>
      <c r="T1647" s="12" t="str">
        <f>IF(S1647="","",[1]Inputs_Outputs!$B$8*(1-'LOCH Calc COE Calc'!S1647))</f>
        <v/>
      </c>
      <c r="U1647" s="13" t="str">
        <f t="shared" si="126"/>
        <v/>
      </c>
      <c r="V1647" s="13" t="str">
        <f t="shared" si="127"/>
        <v/>
      </c>
      <c r="W1647" s="4" t="str">
        <f t="shared" si="128"/>
        <v/>
      </c>
      <c r="X1647" t="str">
        <f>IF(W1647="","",LOOKUP(_xlfn.CONCAT(P1647,", ",Q1647),'[1]T+S Costs'!$F$2:$F$3138,'[1]T+S Costs'!$N$2:$N$3138))</f>
        <v/>
      </c>
      <c r="Y1647" s="14" t="str">
        <f t="shared" si="129"/>
        <v/>
      </c>
      <c r="Z1647" s="4" t="str">
        <f t="shared" si="130"/>
        <v/>
      </c>
    </row>
    <row r="1648" spans="16:26" x14ac:dyDescent="0.25">
      <c r="P1648" s="10" t="str">
        <f>IF('[1]All Data '!AZ1653="","",'[1]All Data '!AZ1653)</f>
        <v/>
      </c>
      <c r="Q1648" s="10" t="str">
        <f>IF('[1]All Data '!BB1653="","",'[1]All Data '!BB1653)</f>
        <v/>
      </c>
      <c r="R1648" s="10" t="str">
        <f>IF('[1]All Data '!BD1653="","",'[1]All Data '!BD1653)</f>
        <v/>
      </c>
      <c r="S1648" s="11" t="str">
        <f>IF(R1648="","",'[1]All Data '!BE1653)</f>
        <v/>
      </c>
      <c r="T1648" s="12" t="str">
        <f>IF(S1648="","",[1]Inputs_Outputs!$B$8*(1-'LOCH Calc COE Calc'!S1648))</f>
        <v/>
      </c>
      <c r="U1648" s="13" t="str">
        <f t="shared" si="126"/>
        <v/>
      </c>
      <c r="V1648" s="13" t="str">
        <f t="shared" si="127"/>
        <v/>
      </c>
      <c r="W1648" s="4" t="str">
        <f t="shared" si="128"/>
        <v/>
      </c>
      <c r="X1648" t="str">
        <f>IF(W1648="","",LOOKUP(_xlfn.CONCAT(P1648,", ",Q1648),'[1]T+S Costs'!$F$2:$F$3138,'[1]T+S Costs'!$N$2:$N$3138))</f>
        <v/>
      </c>
      <c r="Y1648" s="14" t="str">
        <f t="shared" si="129"/>
        <v/>
      </c>
      <c r="Z1648" s="4" t="str">
        <f t="shared" si="130"/>
        <v/>
      </c>
    </row>
    <row r="1649" spans="16:26" x14ac:dyDescent="0.25">
      <c r="P1649" s="10" t="str">
        <f>IF('[1]All Data '!AZ1654="","",'[1]All Data '!AZ1654)</f>
        <v/>
      </c>
      <c r="Q1649" s="10" t="str">
        <f>IF('[1]All Data '!BB1654="","",'[1]All Data '!BB1654)</f>
        <v/>
      </c>
      <c r="R1649" s="10" t="str">
        <f>IF('[1]All Data '!BD1654="","",'[1]All Data '!BD1654)</f>
        <v/>
      </c>
      <c r="S1649" s="11" t="str">
        <f>IF(R1649="","",'[1]All Data '!BE1654)</f>
        <v/>
      </c>
      <c r="T1649" s="12" t="str">
        <f>IF(S1649="","",[1]Inputs_Outputs!$B$8*(1-'LOCH Calc COE Calc'!S1649))</f>
        <v/>
      </c>
      <c r="U1649" s="13" t="str">
        <f t="shared" si="126"/>
        <v/>
      </c>
      <c r="V1649" s="13" t="str">
        <f t="shared" si="127"/>
        <v/>
      </c>
      <c r="W1649" s="4" t="str">
        <f t="shared" si="128"/>
        <v/>
      </c>
      <c r="X1649" t="str">
        <f>IF(W1649="","",LOOKUP(_xlfn.CONCAT(P1649,", ",Q1649),'[1]T+S Costs'!$F$2:$F$3138,'[1]T+S Costs'!$N$2:$N$3138))</f>
        <v/>
      </c>
      <c r="Y1649" s="14" t="str">
        <f t="shared" si="129"/>
        <v/>
      </c>
      <c r="Z1649" s="4" t="str">
        <f t="shared" si="130"/>
        <v/>
      </c>
    </row>
    <row r="1650" spans="16:26" x14ac:dyDescent="0.25">
      <c r="P1650" s="10" t="str">
        <f>IF('[1]All Data '!AZ1655="","",'[1]All Data '!AZ1655)</f>
        <v/>
      </c>
      <c r="Q1650" s="10" t="str">
        <f>IF('[1]All Data '!BB1655="","",'[1]All Data '!BB1655)</f>
        <v/>
      </c>
      <c r="R1650" s="10" t="str">
        <f>IF('[1]All Data '!BD1655="","",'[1]All Data '!BD1655)</f>
        <v/>
      </c>
      <c r="S1650" s="11" t="str">
        <f>IF(R1650="","",'[1]All Data '!BE1655)</f>
        <v/>
      </c>
      <c r="T1650" s="12" t="str">
        <f>IF(S1650="","",[1]Inputs_Outputs!$B$8*(1-'LOCH Calc COE Calc'!S1650))</f>
        <v/>
      </c>
      <c r="U1650" s="13" t="str">
        <f t="shared" si="126"/>
        <v/>
      </c>
      <c r="V1650" s="13" t="str">
        <f t="shared" si="127"/>
        <v/>
      </c>
      <c r="W1650" s="4" t="str">
        <f t="shared" si="128"/>
        <v/>
      </c>
      <c r="X1650" t="str">
        <f>IF(W1650="","",LOOKUP(_xlfn.CONCAT(P1650,", ",Q1650),'[1]T+S Costs'!$F$2:$F$3138,'[1]T+S Costs'!$N$2:$N$3138))</f>
        <v/>
      </c>
      <c r="Y1650" s="14" t="str">
        <f t="shared" si="129"/>
        <v/>
      </c>
      <c r="Z1650" s="4" t="str">
        <f t="shared" si="130"/>
        <v/>
      </c>
    </row>
    <row r="1651" spans="16:26" x14ac:dyDescent="0.25">
      <c r="P1651" s="10" t="str">
        <f>IF('[1]All Data '!AZ1656="","",'[1]All Data '!AZ1656)</f>
        <v/>
      </c>
      <c r="Q1651" s="10" t="str">
        <f>IF('[1]All Data '!BB1656="","",'[1]All Data '!BB1656)</f>
        <v/>
      </c>
      <c r="R1651" s="10" t="str">
        <f>IF('[1]All Data '!BD1656="","",'[1]All Data '!BD1656)</f>
        <v/>
      </c>
      <c r="S1651" s="11" t="str">
        <f>IF(R1651="","",'[1]All Data '!BE1656)</f>
        <v/>
      </c>
      <c r="T1651" s="12" t="str">
        <f>IF(S1651="","",[1]Inputs_Outputs!$B$8*(1-'LOCH Calc COE Calc'!S1651))</f>
        <v/>
      </c>
      <c r="U1651" s="13" t="str">
        <f t="shared" si="126"/>
        <v/>
      </c>
      <c r="V1651" s="13" t="str">
        <f t="shared" si="127"/>
        <v/>
      </c>
      <c r="W1651" s="4" t="str">
        <f t="shared" si="128"/>
        <v/>
      </c>
      <c r="X1651" t="str">
        <f>IF(W1651="","",LOOKUP(_xlfn.CONCAT(P1651,", ",Q1651),'[1]T+S Costs'!$F$2:$F$3138,'[1]T+S Costs'!$N$2:$N$3138))</f>
        <v/>
      </c>
      <c r="Y1651" s="14" t="str">
        <f t="shared" si="129"/>
        <v/>
      </c>
      <c r="Z1651" s="4" t="str">
        <f t="shared" si="130"/>
        <v/>
      </c>
    </row>
    <row r="1652" spans="16:26" x14ac:dyDescent="0.25">
      <c r="P1652" s="10" t="str">
        <f>IF('[1]All Data '!AZ1657="","",'[1]All Data '!AZ1657)</f>
        <v/>
      </c>
      <c r="Q1652" s="10" t="str">
        <f>IF('[1]All Data '!BB1657="","",'[1]All Data '!BB1657)</f>
        <v/>
      </c>
      <c r="R1652" s="10" t="str">
        <f>IF('[1]All Data '!BD1657="","",'[1]All Data '!BD1657)</f>
        <v/>
      </c>
      <c r="S1652" s="11" t="str">
        <f>IF(R1652="","",'[1]All Data '!BE1657)</f>
        <v/>
      </c>
      <c r="T1652" s="12" t="str">
        <f>IF(S1652="","",[1]Inputs_Outputs!$B$8*(1-'LOCH Calc COE Calc'!S1652))</f>
        <v/>
      </c>
      <c r="U1652" s="13" t="str">
        <f t="shared" si="126"/>
        <v/>
      </c>
      <c r="V1652" s="13" t="str">
        <f t="shared" si="127"/>
        <v/>
      </c>
      <c r="W1652" s="4" t="str">
        <f t="shared" si="128"/>
        <v/>
      </c>
      <c r="X1652" t="str">
        <f>IF(W1652="","",LOOKUP(_xlfn.CONCAT(P1652,", ",Q1652),'[1]T+S Costs'!$F$2:$F$3138,'[1]T+S Costs'!$N$2:$N$3138))</f>
        <v/>
      </c>
      <c r="Y1652" s="14" t="str">
        <f t="shared" si="129"/>
        <v/>
      </c>
      <c r="Z1652" s="4" t="str">
        <f t="shared" si="130"/>
        <v/>
      </c>
    </row>
    <row r="1653" spans="16:26" x14ac:dyDescent="0.25">
      <c r="P1653" s="10" t="str">
        <f>IF('[1]All Data '!AZ1658="","",'[1]All Data '!AZ1658)</f>
        <v/>
      </c>
      <c r="Q1653" s="10" t="str">
        <f>IF('[1]All Data '!BB1658="","",'[1]All Data '!BB1658)</f>
        <v/>
      </c>
      <c r="R1653" s="10" t="str">
        <f>IF('[1]All Data '!BD1658="","",'[1]All Data '!BD1658)</f>
        <v/>
      </c>
      <c r="S1653" s="11" t="str">
        <f>IF(R1653="","",'[1]All Data '!BE1658)</f>
        <v/>
      </c>
      <c r="T1653" s="12" t="str">
        <f>IF(S1653="","",[1]Inputs_Outputs!$B$8*(1-'LOCH Calc COE Calc'!S1653))</f>
        <v/>
      </c>
      <c r="U1653" s="13" t="str">
        <f t="shared" si="126"/>
        <v/>
      </c>
      <c r="V1653" s="13" t="str">
        <f t="shared" si="127"/>
        <v/>
      </c>
      <c r="W1653" s="4" t="str">
        <f t="shared" si="128"/>
        <v/>
      </c>
      <c r="X1653" t="str">
        <f>IF(W1653="","",LOOKUP(_xlfn.CONCAT(P1653,", ",Q1653),'[1]T+S Costs'!$F$2:$F$3138,'[1]T+S Costs'!$N$2:$N$3138))</f>
        <v/>
      </c>
      <c r="Y1653" s="14" t="str">
        <f t="shared" si="129"/>
        <v/>
      </c>
      <c r="Z1653" s="4" t="str">
        <f t="shared" si="130"/>
        <v/>
      </c>
    </row>
    <row r="1654" spans="16:26" x14ac:dyDescent="0.25">
      <c r="P1654" s="10" t="str">
        <f>IF('[1]All Data '!AZ1659="","",'[1]All Data '!AZ1659)</f>
        <v/>
      </c>
      <c r="Q1654" s="10" t="str">
        <f>IF('[1]All Data '!BB1659="","",'[1]All Data '!BB1659)</f>
        <v/>
      </c>
      <c r="R1654" s="10" t="str">
        <f>IF('[1]All Data '!BD1659="","",'[1]All Data '!BD1659)</f>
        <v/>
      </c>
      <c r="S1654" s="11" t="str">
        <f>IF(R1654="","",'[1]All Data '!BE1659)</f>
        <v/>
      </c>
      <c r="T1654" s="12" t="str">
        <f>IF(S1654="","",[1]Inputs_Outputs!$B$8*(1-'LOCH Calc COE Calc'!S1654))</f>
        <v/>
      </c>
      <c r="U1654" s="13" t="str">
        <f t="shared" si="126"/>
        <v/>
      </c>
      <c r="V1654" s="13" t="str">
        <f t="shared" si="127"/>
        <v/>
      </c>
      <c r="W1654" s="4" t="str">
        <f t="shared" si="128"/>
        <v/>
      </c>
      <c r="X1654" t="str">
        <f>IF(W1654="","",LOOKUP(_xlfn.CONCAT(P1654,", ",Q1654),'[1]T+S Costs'!$F$2:$F$3138,'[1]T+S Costs'!$N$2:$N$3138))</f>
        <v/>
      </c>
      <c r="Y1654" s="14" t="str">
        <f t="shared" si="129"/>
        <v/>
      </c>
      <c r="Z1654" s="4" t="str">
        <f t="shared" si="130"/>
        <v/>
      </c>
    </row>
    <row r="1655" spans="16:26" x14ac:dyDescent="0.25">
      <c r="P1655" s="10" t="str">
        <f>IF('[1]All Data '!AZ1660="","",'[1]All Data '!AZ1660)</f>
        <v/>
      </c>
      <c r="Q1655" s="10" t="str">
        <f>IF('[1]All Data '!BB1660="","",'[1]All Data '!BB1660)</f>
        <v/>
      </c>
      <c r="R1655" s="10" t="str">
        <f>IF('[1]All Data '!BD1660="","",'[1]All Data '!BD1660)</f>
        <v/>
      </c>
      <c r="S1655" s="11" t="str">
        <f>IF(R1655="","",'[1]All Data '!BE1660)</f>
        <v/>
      </c>
      <c r="T1655" s="12" t="str">
        <f>IF(S1655="","",[1]Inputs_Outputs!$B$8*(1-'LOCH Calc COE Calc'!S1655))</f>
        <v/>
      </c>
      <c r="U1655" s="13" t="str">
        <f t="shared" si="126"/>
        <v/>
      </c>
      <c r="V1655" s="13" t="str">
        <f t="shared" si="127"/>
        <v/>
      </c>
      <c r="W1655" s="4" t="str">
        <f t="shared" si="128"/>
        <v/>
      </c>
      <c r="X1655" t="str">
        <f>IF(W1655="","",LOOKUP(_xlfn.CONCAT(P1655,", ",Q1655),'[1]T+S Costs'!$F$2:$F$3138,'[1]T+S Costs'!$N$2:$N$3138))</f>
        <v/>
      </c>
      <c r="Y1655" s="14" t="str">
        <f t="shared" si="129"/>
        <v/>
      </c>
      <c r="Z1655" s="4" t="str">
        <f t="shared" si="130"/>
        <v/>
      </c>
    </row>
    <row r="1656" spans="16:26" x14ac:dyDescent="0.25">
      <c r="P1656" s="10" t="str">
        <f>IF('[1]All Data '!AZ1661="","",'[1]All Data '!AZ1661)</f>
        <v/>
      </c>
      <c r="Q1656" s="10" t="str">
        <f>IF('[1]All Data '!BB1661="","",'[1]All Data '!BB1661)</f>
        <v/>
      </c>
      <c r="R1656" s="10" t="str">
        <f>IF('[1]All Data '!BD1661="","",'[1]All Data '!BD1661)</f>
        <v/>
      </c>
      <c r="S1656" s="11" t="str">
        <f>IF(R1656="","",'[1]All Data '!BE1661)</f>
        <v/>
      </c>
      <c r="T1656" s="12" t="str">
        <f>IF(S1656="","",[1]Inputs_Outputs!$B$8*(1-'LOCH Calc COE Calc'!S1656))</f>
        <v/>
      </c>
      <c r="U1656" s="13" t="str">
        <f t="shared" si="126"/>
        <v/>
      </c>
      <c r="V1656" s="13" t="str">
        <f t="shared" si="127"/>
        <v/>
      </c>
      <c r="W1656" s="4" t="str">
        <f t="shared" si="128"/>
        <v/>
      </c>
      <c r="X1656" t="str">
        <f>IF(W1656="","",LOOKUP(_xlfn.CONCAT(P1656,", ",Q1656),'[1]T+S Costs'!$F$2:$F$3138,'[1]T+S Costs'!$N$2:$N$3138))</f>
        <v/>
      </c>
      <c r="Y1656" s="14" t="str">
        <f t="shared" si="129"/>
        <v/>
      </c>
      <c r="Z1656" s="4" t="str">
        <f t="shared" si="130"/>
        <v/>
      </c>
    </row>
    <row r="1657" spans="16:26" x14ac:dyDescent="0.25">
      <c r="P1657" s="10" t="str">
        <f>IF('[1]All Data '!AZ1662="","",'[1]All Data '!AZ1662)</f>
        <v/>
      </c>
      <c r="Q1657" s="10" t="str">
        <f>IF('[1]All Data '!BB1662="","",'[1]All Data '!BB1662)</f>
        <v/>
      </c>
      <c r="R1657" s="10" t="str">
        <f>IF('[1]All Data '!BD1662="","",'[1]All Data '!BD1662)</f>
        <v/>
      </c>
      <c r="S1657" s="11" t="str">
        <f>IF(R1657="","",'[1]All Data '!BE1662)</f>
        <v/>
      </c>
      <c r="T1657" s="12" t="str">
        <f>IF(S1657="","",[1]Inputs_Outputs!$B$8*(1-'LOCH Calc COE Calc'!S1657))</f>
        <v/>
      </c>
      <c r="U1657" s="13" t="str">
        <f t="shared" si="126"/>
        <v/>
      </c>
      <c r="V1657" s="13" t="str">
        <f t="shared" si="127"/>
        <v/>
      </c>
      <c r="W1657" s="4" t="str">
        <f t="shared" si="128"/>
        <v/>
      </c>
      <c r="X1657" t="str">
        <f>IF(W1657="","",LOOKUP(_xlfn.CONCAT(P1657,", ",Q1657),'[1]T+S Costs'!$F$2:$F$3138,'[1]T+S Costs'!$N$2:$N$3138))</f>
        <v/>
      </c>
      <c r="Y1657" s="14" t="str">
        <f t="shared" si="129"/>
        <v/>
      </c>
      <c r="Z1657" s="4" t="str">
        <f t="shared" si="130"/>
        <v/>
      </c>
    </row>
    <row r="1658" spans="16:26" x14ac:dyDescent="0.25">
      <c r="P1658" s="10" t="str">
        <f>IF('[1]All Data '!AZ1663="","",'[1]All Data '!AZ1663)</f>
        <v/>
      </c>
      <c r="Q1658" s="10" t="str">
        <f>IF('[1]All Data '!BB1663="","",'[1]All Data '!BB1663)</f>
        <v/>
      </c>
      <c r="R1658" s="10" t="str">
        <f>IF('[1]All Data '!BD1663="","",'[1]All Data '!BD1663)</f>
        <v/>
      </c>
      <c r="S1658" s="11" t="str">
        <f>IF(R1658="","",'[1]All Data '!BE1663)</f>
        <v/>
      </c>
      <c r="T1658" s="12" t="str">
        <f>IF(S1658="","",[1]Inputs_Outputs!$B$8*(1-'LOCH Calc COE Calc'!S1658))</f>
        <v/>
      </c>
      <c r="U1658" s="13" t="str">
        <f t="shared" si="126"/>
        <v/>
      </c>
      <c r="V1658" s="13" t="str">
        <f t="shared" si="127"/>
        <v/>
      </c>
      <c r="W1658" s="4" t="str">
        <f t="shared" si="128"/>
        <v/>
      </c>
      <c r="X1658" t="str">
        <f>IF(W1658="","",LOOKUP(_xlfn.CONCAT(P1658,", ",Q1658),'[1]T+S Costs'!$F$2:$F$3138,'[1]T+S Costs'!$N$2:$N$3138))</f>
        <v/>
      </c>
      <c r="Y1658" s="14" t="str">
        <f t="shared" si="129"/>
        <v/>
      </c>
      <c r="Z1658" s="4" t="str">
        <f t="shared" si="130"/>
        <v/>
      </c>
    </row>
    <row r="1659" spans="16:26" x14ac:dyDescent="0.25">
      <c r="P1659" s="10" t="str">
        <f>IF('[1]All Data '!AZ1664="","",'[1]All Data '!AZ1664)</f>
        <v/>
      </c>
      <c r="Q1659" s="10" t="str">
        <f>IF('[1]All Data '!BB1664="","",'[1]All Data '!BB1664)</f>
        <v/>
      </c>
      <c r="R1659" s="10" t="str">
        <f>IF('[1]All Data '!BD1664="","",'[1]All Data '!BD1664)</f>
        <v/>
      </c>
      <c r="S1659" s="11" t="str">
        <f>IF(R1659="","",'[1]All Data '!BE1664)</f>
        <v/>
      </c>
      <c r="T1659" s="12" t="str">
        <f>IF(S1659="","",[1]Inputs_Outputs!$B$8*(1-'LOCH Calc COE Calc'!S1659))</f>
        <v/>
      </c>
      <c r="U1659" s="13" t="str">
        <f t="shared" si="126"/>
        <v/>
      </c>
      <c r="V1659" s="13" t="str">
        <f t="shared" si="127"/>
        <v/>
      </c>
      <c r="W1659" s="4" t="str">
        <f t="shared" si="128"/>
        <v/>
      </c>
      <c r="X1659" t="str">
        <f>IF(W1659="","",LOOKUP(_xlfn.CONCAT(P1659,", ",Q1659),'[1]T+S Costs'!$F$2:$F$3138,'[1]T+S Costs'!$N$2:$N$3138))</f>
        <v/>
      </c>
      <c r="Y1659" s="14" t="str">
        <f t="shared" si="129"/>
        <v/>
      </c>
      <c r="Z1659" s="4" t="str">
        <f t="shared" si="130"/>
        <v/>
      </c>
    </row>
    <row r="1660" spans="16:26" x14ac:dyDescent="0.25">
      <c r="P1660" s="10" t="str">
        <f>IF('[1]All Data '!AZ1665="","",'[1]All Data '!AZ1665)</f>
        <v/>
      </c>
      <c r="Q1660" s="10" t="str">
        <f>IF('[1]All Data '!BB1665="","",'[1]All Data '!BB1665)</f>
        <v/>
      </c>
      <c r="R1660" s="10" t="str">
        <f>IF('[1]All Data '!BD1665="","",'[1]All Data '!BD1665)</f>
        <v/>
      </c>
      <c r="S1660" s="11" t="str">
        <f>IF(R1660="","",'[1]All Data '!BE1665)</f>
        <v/>
      </c>
      <c r="T1660" s="12" t="str">
        <f>IF(S1660="","",[1]Inputs_Outputs!$B$8*(1-'LOCH Calc COE Calc'!S1660))</f>
        <v/>
      </c>
      <c r="U1660" s="13" t="str">
        <f t="shared" si="126"/>
        <v/>
      </c>
      <c r="V1660" s="13" t="str">
        <f t="shared" si="127"/>
        <v/>
      </c>
      <c r="W1660" s="4" t="str">
        <f t="shared" si="128"/>
        <v/>
      </c>
      <c r="X1660" t="str">
        <f>IF(W1660="","",LOOKUP(_xlfn.CONCAT(P1660,", ",Q1660),'[1]T+S Costs'!$F$2:$F$3138,'[1]T+S Costs'!$N$2:$N$3138))</f>
        <v/>
      </c>
      <c r="Y1660" s="14" t="str">
        <f t="shared" si="129"/>
        <v/>
      </c>
      <c r="Z1660" s="4" t="str">
        <f t="shared" si="130"/>
        <v/>
      </c>
    </row>
    <row r="1661" spans="16:26" x14ac:dyDescent="0.25">
      <c r="P1661" s="10" t="str">
        <f>IF('[1]All Data '!AZ1666="","",'[1]All Data '!AZ1666)</f>
        <v/>
      </c>
      <c r="Q1661" s="10" t="str">
        <f>IF('[1]All Data '!BB1666="","",'[1]All Data '!BB1666)</f>
        <v/>
      </c>
      <c r="R1661" s="10" t="str">
        <f>IF('[1]All Data '!BD1666="","",'[1]All Data '!BD1666)</f>
        <v/>
      </c>
      <c r="S1661" s="11" t="str">
        <f>IF(R1661="","",'[1]All Data '!BE1666)</f>
        <v/>
      </c>
      <c r="T1661" s="12" t="str">
        <f>IF(S1661="","",[1]Inputs_Outputs!$B$8*(1-'LOCH Calc COE Calc'!S1661))</f>
        <v/>
      </c>
      <c r="U1661" s="13" t="str">
        <f t="shared" si="126"/>
        <v/>
      </c>
      <c r="V1661" s="13" t="str">
        <f t="shared" si="127"/>
        <v/>
      </c>
      <c r="W1661" s="4" t="str">
        <f t="shared" si="128"/>
        <v/>
      </c>
      <c r="X1661" t="str">
        <f>IF(W1661="","",LOOKUP(_xlfn.CONCAT(P1661,", ",Q1661),'[1]T+S Costs'!$F$2:$F$3138,'[1]T+S Costs'!$N$2:$N$3138))</f>
        <v/>
      </c>
      <c r="Y1661" s="14" t="str">
        <f t="shared" si="129"/>
        <v/>
      </c>
      <c r="Z1661" s="4" t="str">
        <f t="shared" si="130"/>
        <v/>
      </c>
    </row>
    <row r="1662" spans="16:26" x14ac:dyDescent="0.25">
      <c r="P1662" s="10" t="str">
        <f>IF('[1]All Data '!AZ1667="","",'[1]All Data '!AZ1667)</f>
        <v/>
      </c>
      <c r="Q1662" s="10" t="str">
        <f>IF('[1]All Data '!BB1667="","",'[1]All Data '!BB1667)</f>
        <v/>
      </c>
      <c r="R1662" s="10" t="str">
        <f>IF('[1]All Data '!BD1667="","",'[1]All Data '!BD1667)</f>
        <v/>
      </c>
      <c r="S1662" s="11" t="str">
        <f>IF(R1662="","",'[1]All Data '!BE1667)</f>
        <v/>
      </c>
      <c r="T1662" s="12" t="str">
        <f>IF(S1662="","",[1]Inputs_Outputs!$B$8*(1-'LOCH Calc COE Calc'!S1662))</f>
        <v/>
      </c>
      <c r="U1662" s="13" t="str">
        <f t="shared" si="126"/>
        <v/>
      </c>
      <c r="V1662" s="13" t="str">
        <f t="shared" si="127"/>
        <v/>
      </c>
      <c r="W1662" s="4" t="str">
        <f t="shared" si="128"/>
        <v/>
      </c>
      <c r="X1662" t="str">
        <f>IF(W1662="","",LOOKUP(_xlfn.CONCAT(P1662,", ",Q1662),'[1]T+S Costs'!$F$2:$F$3138,'[1]T+S Costs'!$N$2:$N$3138))</f>
        <v/>
      </c>
      <c r="Y1662" s="14" t="str">
        <f t="shared" si="129"/>
        <v/>
      </c>
      <c r="Z1662" s="4" t="str">
        <f t="shared" si="130"/>
        <v/>
      </c>
    </row>
    <row r="1663" spans="16:26" x14ac:dyDescent="0.25">
      <c r="P1663" s="10" t="str">
        <f>IF('[1]All Data '!AZ1668="","",'[1]All Data '!AZ1668)</f>
        <v/>
      </c>
      <c r="Q1663" s="10" t="str">
        <f>IF('[1]All Data '!BB1668="","",'[1]All Data '!BB1668)</f>
        <v/>
      </c>
      <c r="R1663" s="10" t="str">
        <f>IF('[1]All Data '!BD1668="","",'[1]All Data '!BD1668)</f>
        <v/>
      </c>
      <c r="S1663" s="11" t="str">
        <f>IF(R1663="","",'[1]All Data '!BE1668)</f>
        <v/>
      </c>
      <c r="T1663" s="12" t="str">
        <f>IF(S1663="","",[1]Inputs_Outputs!$B$8*(1-'LOCH Calc COE Calc'!S1663))</f>
        <v/>
      </c>
      <c r="U1663" s="13" t="str">
        <f t="shared" si="126"/>
        <v/>
      </c>
      <c r="V1663" s="13" t="str">
        <f t="shared" si="127"/>
        <v/>
      </c>
      <c r="W1663" s="4" t="str">
        <f t="shared" si="128"/>
        <v/>
      </c>
      <c r="X1663" t="str">
        <f>IF(W1663="","",LOOKUP(_xlfn.CONCAT(P1663,", ",Q1663),'[1]T+S Costs'!$F$2:$F$3138,'[1]T+S Costs'!$N$2:$N$3138))</f>
        <v/>
      </c>
      <c r="Y1663" s="14" t="str">
        <f t="shared" si="129"/>
        <v/>
      </c>
      <c r="Z1663" s="4" t="str">
        <f t="shared" si="130"/>
        <v/>
      </c>
    </row>
    <row r="1664" spans="16:26" x14ac:dyDescent="0.25">
      <c r="P1664" s="10" t="str">
        <f>IF('[1]All Data '!AZ1669="","",'[1]All Data '!AZ1669)</f>
        <v/>
      </c>
      <c r="Q1664" s="10" t="str">
        <f>IF('[1]All Data '!BB1669="","",'[1]All Data '!BB1669)</f>
        <v/>
      </c>
      <c r="R1664" s="10" t="str">
        <f>IF('[1]All Data '!BD1669="","",'[1]All Data '!BD1669)</f>
        <v/>
      </c>
      <c r="S1664" s="11" t="str">
        <f>IF(R1664="","",'[1]All Data '!BE1669)</f>
        <v/>
      </c>
      <c r="T1664" s="12" t="str">
        <f>IF(S1664="","",[1]Inputs_Outputs!$B$8*(1-'LOCH Calc COE Calc'!S1664))</f>
        <v/>
      </c>
      <c r="U1664" s="13" t="str">
        <f t="shared" si="126"/>
        <v/>
      </c>
      <c r="V1664" s="13" t="str">
        <f t="shared" si="127"/>
        <v/>
      </c>
      <c r="W1664" s="4" t="str">
        <f t="shared" si="128"/>
        <v/>
      </c>
      <c r="X1664" t="str">
        <f>IF(W1664="","",LOOKUP(_xlfn.CONCAT(P1664,", ",Q1664),'[1]T+S Costs'!$F$2:$F$3138,'[1]T+S Costs'!$N$2:$N$3138))</f>
        <v/>
      </c>
      <c r="Y1664" s="14" t="str">
        <f t="shared" si="129"/>
        <v/>
      </c>
      <c r="Z1664" s="4" t="str">
        <f t="shared" si="130"/>
        <v/>
      </c>
    </row>
    <row r="1665" spans="16:26" x14ac:dyDescent="0.25">
      <c r="P1665" s="10" t="str">
        <f>IF('[1]All Data '!AZ1670="","",'[1]All Data '!AZ1670)</f>
        <v/>
      </c>
      <c r="Q1665" s="10" t="str">
        <f>IF('[1]All Data '!BB1670="","",'[1]All Data '!BB1670)</f>
        <v/>
      </c>
      <c r="R1665" s="10" t="str">
        <f>IF('[1]All Data '!BD1670="","",'[1]All Data '!BD1670)</f>
        <v/>
      </c>
      <c r="S1665" s="11" t="str">
        <f>IF(R1665="","",'[1]All Data '!BE1670)</f>
        <v/>
      </c>
      <c r="T1665" s="12" t="str">
        <f>IF(S1665="","",[1]Inputs_Outputs!$B$8*(1-'LOCH Calc COE Calc'!S1665))</f>
        <v/>
      </c>
      <c r="U1665" s="13" t="str">
        <f t="shared" si="126"/>
        <v/>
      </c>
      <c r="V1665" s="13" t="str">
        <f t="shared" si="127"/>
        <v/>
      </c>
      <c r="W1665" s="4" t="str">
        <f t="shared" si="128"/>
        <v/>
      </c>
      <c r="X1665" t="str">
        <f>IF(W1665="","",LOOKUP(_xlfn.CONCAT(P1665,", ",Q1665),'[1]T+S Costs'!$F$2:$F$3138,'[1]T+S Costs'!$N$2:$N$3138))</f>
        <v/>
      </c>
      <c r="Y1665" s="14" t="str">
        <f t="shared" si="129"/>
        <v/>
      </c>
      <c r="Z1665" s="4" t="str">
        <f t="shared" si="130"/>
        <v/>
      </c>
    </row>
    <row r="1666" spans="16:26" x14ac:dyDescent="0.25">
      <c r="P1666" s="10" t="str">
        <f>IF('[1]All Data '!AZ1671="","",'[1]All Data '!AZ1671)</f>
        <v/>
      </c>
      <c r="Q1666" s="10" t="str">
        <f>IF('[1]All Data '!BB1671="","",'[1]All Data '!BB1671)</f>
        <v/>
      </c>
      <c r="R1666" s="10" t="str">
        <f>IF('[1]All Data '!BD1671="","",'[1]All Data '!BD1671)</f>
        <v/>
      </c>
      <c r="S1666" s="11" t="str">
        <f>IF(R1666="","",'[1]All Data '!BE1671)</f>
        <v/>
      </c>
      <c r="T1666" s="12" t="str">
        <f>IF(S1666="","",[1]Inputs_Outputs!$B$8*(1-'LOCH Calc COE Calc'!S1666))</f>
        <v/>
      </c>
      <c r="U1666" s="13" t="str">
        <f t="shared" si="126"/>
        <v/>
      </c>
      <c r="V1666" s="13" t="str">
        <f t="shared" si="127"/>
        <v/>
      </c>
      <c r="W1666" s="4" t="str">
        <f t="shared" si="128"/>
        <v/>
      </c>
      <c r="X1666" t="str">
        <f>IF(W1666="","",LOOKUP(_xlfn.CONCAT(P1666,", ",Q1666),'[1]T+S Costs'!$F$2:$F$3138,'[1]T+S Costs'!$N$2:$N$3138))</f>
        <v/>
      </c>
      <c r="Y1666" s="14" t="str">
        <f t="shared" si="129"/>
        <v/>
      </c>
      <c r="Z1666" s="4" t="str">
        <f t="shared" si="130"/>
        <v/>
      </c>
    </row>
    <row r="1667" spans="16:26" x14ac:dyDescent="0.25">
      <c r="P1667" s="10" t="str">
        <f>IF('[1]All Data '!AZ1672="","",'[1]All Data '!AZ1672)</f>
        <v/>
      </c>
      <c r="Q1667" s="10" t="str">
        <f>IF('[1]All Data '!BB1672="","",'[1]All Data '!BB1672)</f>
        <v/>
      </c>
      <c r="R1667" s="10" t="str">
        <f>IF('[1]All Data '!BD1672="","",'[1]All Data '!BD1672)</f>
        <v/>
      </c>
      <c r="S1667" s="11" t="str">
        <f>IF(R1667="","",'[1]All Data '!BE1672)</f>
        <v/>
      </c>
      <c r="T1667" s="12" t="str">
        <f>IF(S1667="","",[1]Inputs_Outputs!$B$8*(1-'LOCH Calc COE Calc'!S1667))</f>
        <v/>
      </c>
      <c r="U1667" s="13" t="str">
        <f t="shared" ref="U1667:U1730" si="131">IF(S1667="","",R1667*T1667*365*$B$19/100)</f>
        <v/>
      </c>
      <c r="V1667" s="13" t="str">
        <f t="shared" ref="V1667:V1730" si="132">IF(S1667="","",(U1667*$B$19)/(($B$28)*$B$19))</f>
        <v/>
      </c>
      <c r="W1667" s="4" t="str">
        <f t="shared" ref="W1667:W1730" si="133">IF(S1667="","",V1667+$C$49+$C$50+$C$51)</f>
        <v/>
      </c>
      <c r="X1667" t="str">
        <f>IF(W1667="","",LOOKUP(_xlfn.CONCAT(P1667,", ",Q1667),'[1]T+S Costs'!$F$2:$F$3138,'[1]T+S Costs'!$N$2:$N$3138))</f>
        <v/>
      </c>
      <c r="Y1667" s="14" t="str">
        <f t="shared" ref="Y1667:Y1730" si="134">IF(X1667="","",((X1667*$B$60/$B$59)*$C$44)/$C$28)</f>
        <v/>
      </c>
      <c r="Z1667" s="4" t="str">
        <f t="shared" ref="Z1667:Z1730" si="135">IF(Y1667="","",W1667+Y1667)</f>
        <v/>
      </c>
    </row>
    <row r="1668" spans="16:26" x14ac:dyDescent="0.25">
      <c r="P1668" s="10" t="str">
        <f>IF('[1]All Data '!AZ1673="","",'[1]All Data '!AZ1673)</f>
        <v/>
      </c>
      <c r="Q1668" s="10" t="str">
        <f>IF('[1]All Data '!BB1673="","",'[1]All Data '!BB1673)</f>
        <v/>
      </c>
      <c r="R1668" s="10" t="str">
        <f>IF('[1]All Data '!BD1673="","",'[1]All Data '!BD1673)</f>
        <v/>
      </c>
      <c r="S1668" s="11" t="str">
        <f>IF(R1668="","",'[1]All Data '!BE1673)</f>
        <v/>
      </c>
      <c r="T1668" s="12" t="str">
        <f>IF(S1668="","",[1]Inputs_Outputs!$B$8*(1-'LOCH Calc COE Calc'!S1668))</f>
        <v/>
      </c>
      <c r="U1668" s="13" t="str">
        <f t="shared" si="131"/>
        <v/>
      </c>
      <c r="V1668" s="13" t="str">
        <f t="shared" si="132"/>
        <v/>
      </c>
      <c r="W1668" s="4" t="str">
        <f t="shared" si="133"/>
        <v/>
      </c>
      <c r="X1668" t="str">
        <f>IF(W1668="","",LOOKUP(_xlfn.CONCAT(P1668,", ",Q1668),'[1]T+S Costs'!$F$2:$F$3138,'[1]T+S Costs'!$N$2:$N$3138))</f>
        <v/>
      </c>
      <c r="Y1668" s="14" t="str">
        <f t="shared" si="134"/>
        <v/>
      </c>
      <c r="Z1668" s="4" t="str">
        <f t="shared" si="135"/>
        <v/>
      </c>
    </row>
    <row r="1669" spans="16:26" x14ac:dyDescent="0.25">
      <c r="P1669" s="10" t="str">
        <f>IF('[1]All Data '!AZ1674="","",'[1]All Data '!AZ1674)</f>
        <v/>
      </c>
      <c r="Q1669" s="10" t="str">
        <f>IF('[1]All Data '!BB1674="","",'[1]All Data '!BB1674)</f>
        <v/>
      </c>
      <c r="R1669" s="10" t="str">
        <f>IF('[1]All Data '!BD1674="","",'[1]All Data '!BD1674)</f>
        <v/>
      </c>
      <c r="S1669" s="11" t="str">
        <f>IF(R1669="","",'[1]All Data '!BE1674)</f>
        <v/>
      </c>
      <c r="T1669" s="12" t="str">
        <f>IF(S1669="","",[1]Inputs_Outputs!$B$8*(1-'LOCH Calc COE Calc'!S1669))</f>
        <v/>
      </c>
      <c r="U1669" s="13" t="str">
        <f t="shared" si="131"/>
        <v/>
      </c>
      <c r="V1669" s="13" t="str">
        <f t="shared" si="132"/>
        <v/>
      </c>
      <c r="W1669" s="4" t="str">
        <f t="shared" si="133"/>
        <v/>
      </c>
      <c r="X1669" t="str">
        <f>IF(W1669="","",LOOKUP(_xlfn.CONCAT(P1669,", ",Q1669),'[1]T+S Costs'!$F$2:$F$3138,'[1]T+S Costs'!$N$2:$N$3138))</f>
        <v/>
      </c>
      <c r="Y1669" s="14" t="str">
        <f t="shared" si="134"/>
        <v/>
      </c>
      <c r="Z1669" s="4" t="str">
        <f t="shared" si="135"/>
        <v/>
      </c>
    </row>
    <row r="1670" spans="16:26" x14ac:dyDescent="0.25">
      <c r="P1670" s="10" t="str">
        <f>IF('[1]All Data '!AZ1675="","",'[1]All Data '!AZ1675)</f>
        <v/>
      </c>
      <c r="Q1670" s="10" t="str">
        <f>IF('[1]All Data '!BB1675="","",'[1]All Data '!BB1675)</f>
        <v/>
      </c>
      <c r="R1670" s="10" t="str">
        <f>IF('[1]All Data '!BD1675="","",'[1]All Data '!BD1675)</f>
        <v/>
      </c>
      <c r="S1670" s="11" t="str">
        <f>IF(R1670="","",'[1]All Data '!BE1675)</f>
        <v/>
      </c>
      <c r="T1670" s="12" t="str">
        <f>IF(S1670="","",[1]Inputs_Outputs!$B$8*(1-'LOCH Calc COE Calc'!S1670))</f>
        <v/>
      </c>
      <c r="U1670" s="13" t="str">
        <f t="shared" si="131"/>
        <v/>
      </c>
      <c r="V1670" s="13" t="str">
        <f t="shared" si="132"/>
        <v/>
      </c>
      <c r="W1670" s="4" t="str">
        <f t="shared" si="133"/>
        <v/>
      </c>
      <c r="X1670" t="str">
        <f>IF(W1670="","",LOOKUP(_xlfn.CONCAT(P1670,", ",Q1670),'[1]T+S Costs'!$F$2:$F$3138,'[1]T+S Costs'!$N$2:$N$3138))</f>
        <v/>
      </c>
      <c r="Y1670" s="14" t="str">
        <f t="shared" si="134"/>
        <v/>
      </c>
      <c r="Z1670" s="4" t="str">
        <f t="shared" si="135"/>
        <v/>
      </c>
    </row>
    <row r="1671" spans="16:26" x14ac:dyDescent="0.25">
      <c r="P1671" s="10" t="str">
        <f>IF('[1]All Data '!AZ1676="","",'[1]All Data '!AZ1676)</f>
        <v/>
      </c>
      <c r="Q1671" s="10" t="str">
        <f>IF('[1]All Data '!BB1676="","",'[1]All Data '!BB1676)</f>
        <v/>
      </c>
      <c r="R1671" s="10" t="str">
        <f>IF('[1]All Data '!BD1676="","",'[1]All Data '!BD1676)</f>
        <v/>
      </c>
      <c r="S1671" s="11" t="str">
        <f>IF(R1671="","",'[1]All Data '!BE1676)</f>
        <v/>
      </c>
      <c r="T1671" s="12" t="str">
        <f>IF(S1671="","",[1]Inputs_Outputs!$B$8*(1-'LOCH Calc COE Calc'!S1671))</f>
        <v/>
      </c>
      <c r="U1671" s="13" t="str">
        <f t="shared" si="131"/>
        <v/>
      </c>
      <c r="V1671" s="13" t="str">
        <f t="shared" si="132"/>
        <v/>
      </c>
      <c r="W1671" s="4" t="str">
        <f t="shared" si="133"/>
        <v/>
      </c>
      <c r="X1671" t="str">
        <f>IF(W1671="","",LOOKUP(_xlfn.CONCAT(P1671,", ",Q1671),'[1]T+S Costs'!$F$2:$F$3138,'[1]T+S Costs'!$N$2:$N$3138))</f>
        <v/>
      </c>
      <c r="Y1671" s="14" t="str">
        <f t="shared" si="134"/>
        <v/>
      </c>
      <c r="Z1671" s="4" t="str">
        <f t="shared" si="135"/>
        <v/>
      </c>
    </row>
    <row r="1672" spans="16:26" x14ac:dyDescent="0.25">
      <c r="P1672" s="10" t="str">
        <f>IF('[1]All Data '!AZ1677="","",'[1]All Data '!AZ1677)</f>
        <v/>
      </c>
      <c r="Q1672" s="10" t="str">
        <f>IF('[1]All Data '!BB1677="","",'[1]All Data '!BB1677)</f>
        <v/>
      </c>
      <c r="R1672" s="10" t="str">
        <f>IF('[1]All Data '!BD1677="","",'[1]All Data '!BD1677)</f>
        <v/>
      </c>
      <c r="S1672" s="11" t="str">
        <f>IF(R1672="","",'[1]All Data '!BE1677)</f>
        <v/>
      </c>
      <c r="T1672" s="12" t="str">
        <f>IF(S1672="","",[1]Inputs_Outputs!$B$8*(1-'LOCH Calc COE Calc'!S1672))</f>
        <v/>
      </c>
      <c r="U1672" s="13" t="str">
        <f t="shared" si="131"/>
        <v/>
      </c>
      <c r="V1672" s="13" t="str">
        <f t="shared" si="132"/>
        <v/>
      </c>
      <c r="W1672" s="4" t="str">
        <f t="shared" si="133"/>
        <v/>
      </c>
      <c r="X1672" t="str">
        <f>IF(W1672="","",LOOKUP(_xlfn.CONCAT(P1672,", ",Q1672),'[1]T+S Costs'!$F$2:$F$3138,'[1]T+S Costs'!$N$2:$N$3138))</f>
        <v/>
      </c>
      <c r="Y1672" s="14" t="str">
        <f t="shared" si="134"/>
        <v/>
      </c>
      <c r="Z1672" s="4" t="str">
        <f t="shared" si="135"/>
        <v/>
      </c>
    </row>
    <row r="1673" spans="16:26" x14ac:dyDescent="0.25">
      <c r="P1673" s="10" t="str">
        <f>IF('[1]All Data '!AZ1678="","",'[1]All Data '!AZ1678)</f>
        <v/>
      </c>
      <c r="Q1673" s="10" t="str">
        <f>IF('[1]All Data '!BB1678="","",'[1]All Data '!BB1678)</f>
        <v/>
      </c>
      <c r="R1673" s="10" t="str">
        <f>IF('[1]All Data '!BD1678="","",'[1]All Data '!BD1678)</f>
        <v/>
      </c>
      <c r="S1673" s="11" t="str">
        <f>IF(R1673="","",'[1]All Data '!BE1678)</f>
        <v/>
      </c>
      <c r="T1673" s="12" t="str">
        <f>IF(S1673="","",[1]Inputs_Outputs!$B$8*(1-'LOCH Calc COE Calc'!S1673))</f>
        <v/>
      </c>
      <c r="U1673" s="13" t="str">
        <f t="shared" si="131"/>
        <v/>
      </c>
      <c r="V1673" s="13" t="str">
        <f t="shared" si="132"/>
        <v/>
      </c>
      <c r="W1673" s="4" t="str">
        <f t="shared" si="133"/>
        <v/>
      </c>
      <c r="X1673" t="str">
        <f>IF(W1673="","",LOOKUP(_xlfn.CONCAT(P1673,", ",Q1673),'[1]T+S Costs'!$F$2:$F$3138,'[1]T+S Costs'!$N$2:$N$3138))</f>
        <v/>
      </c>
      <c r="Y1673" s="14" t="str">
        <f t="shared" si="134"/>
        <v/>
      </c>
      <c r="Z1673" s="4" t="str">
        <f t="shared" si="135"/>
        <v/>
      </c>
    </row>
    <row r="1674" spans="16:26" x14ac:dyDescent="0.25">
      <c r="P1674" s="10" t="str">
        <f>IF('[1]All Data '!AZ1679="","",'[1]All Data '!AZ1679)</f>
        <v/>
      </c>
      <c r="Q1674" s="10" t="str">
        <f>IF('[1]All Data '!BB1679="","",'[1]All Data '!BB1679)</f>
        <v/>
      </c>
      <c r="R1674" s="10" t="str">
        <f>IF('[1]All Data '!BD1679="","",'[1]All Data '!BD1679)</f>
        <v/>
      </c>
      <c r="S1674" s="11" t="str">
        <f>IF(R1674="","",'[1]All Data '!BE1679)</f>
        <v/>
      </c>
      <c r="T1674" s="12" t="str">
        <f>IF(S1674="","",[1]Inputs_Outputs!$B$8*(1-'LOCH Calc COE Calc'!S1674))</f>
        <v/>
      </c>
      <c r="U1674" s="13" t="str">
        <f t="shared" si="131"/>
        <v/>
      </c>
      <c r="V1674" s="13" t="str">
        <f t="shared" si="132"/>
        <v/>
      </c>
      <c r="W1674" s="4" t="str">
        <f t="shared" si="133"/>
        <v/>
      </c>
      <c r="X1674" t="str">
        <f>IF(W1674="","",LOOKUP(_xlfn.CONCAT(P1674,", ",Q1674),'[1]T+S Costs'!$F$2:$F$3138,'[1]T+S Costs'!$N$2:$N$3138))</f>
        <v/>
      </c>
      <c r="Y1674" s="14" t="str">
        <f t="shared" si="134"/>
        <v/>
      </c>
      <c r="Z1674" s="4" t="str">
        <f t="shared" si="135"/>
        <v/>
      </c>
    </row>
    <row r="1675" spans="16:26" x14ac:dyDescent="0.25">
      <c r="P1675" s="10" t="str">
        <f>IF('[1]All Data '!AZ1680="","",'[1]All Data '!AZ1680)</f>
        <v/>
      </c>
      <c r="Q1675" s="10" t="str">
        <f>IF('[1]All Data '!BB1680="","",'[1]All Data '!BB1680)</f>
        <v/>
      </c>
      <c r="R1675" s="10" t="str">
        <f>IF('[1]All Data '!BD1680="","",'[1]All Data '!BD1680)</f>
        <v/>
      </c>
      <c r="S1675" s="11" t="str">
        <f>IF(R1675="","",'[1]All Data '!BE1680)</f>
        <v/>
      </c>
      <c r="T1675" s="12" t="str">
        <f>IF(S1675="","",[1]Inputs_Outputs!$B$8*(1-'LOCH Calc COE Calc'!S1675))</f>
        <v/>
      </c>
      <c r="U1675" s="13" t="str">
        <f t="shared" si="131"/>
        <v/>
      </c>
      <c r="V1675" s="13" t="str">
        <f t="shared" si="132"/>
        <v/>
      </c>
      <c r="W1675" s="4" t="str">
        <f t="shared" si="133"/>
        <v/>
      </c>
      <c r="X1675" t="str">
        <f>IF(W1675="","",LOOKUP(_xlfn.CONCAT(P1675,", ",Q1675),'[1]T+S Costs'!$F$2:$F$3138,'[1]T+S Costs'!$N$2:$N$3138))</f>
        <v/>
      </c>
      <c r="Y1675" s="14" t="str">
        <f t="shared" si="134"/>
        <v/>
      </c>
      <c r="Z1675" s="4" t="str">
        <f t="shared" si="135"/>
        <v/>
      </c>
    </row>
    <row r="1676" spans="16:26" x14ac:dyDescent="0.25">
      <c r="P1676" s="10" t="str">
        <f>IF('[1]All Data '!AZ1681="","",'[1]All Data '!AZ1681)</f>
        <v/>
      </c>
      <c r="Q1676" s="10" t="str">
        <f>IF('[1]All Data '!BB1681="","",'[1]All Data '!BB1681)</f>
        <v/>
      </c>
      <c r="R1676" s="10" t="str">
        <f>IF('[1]All Data '!BD1681="","",'[1]All Data '!BD1681)</f>
        <v/>
      </c>
      <c r="S1676" s="11" t="str">
        <f>IF(R1676="","",'[1]All Data '!BE1681)</f>
        <v/>
      </c>
      <c r="T1676" s="12" t="str">
        <f>IF(S1676="","",[1]Inputs_Outputs!$B$8*(1-'LOCH Calc COE Calc'!S1676))</f>
        <v/>
      </c>
      <c r="U1676" s="13" t="str">
        <f t="shared" si="131"/>
        <v/>
      </c>
      <c r="V1676" s="13" t="str">
        <f t="shared" si="132"/>
        <v/>
      </c>
      <c r="W1676" s="4" t="str">
        <f t="shared" si="133"/>
        <v/>
      </c>
      <c r="X1676" t="str">
        <f>IF(W1676="","",LOOKUP(_xlfn.CONCAT(P1676,", ",Q1676),'[1]T+S Costs'!$F$2:$F$3138,'[1]T+S Costs'!$N$2:$N$3138))</f>
        <v/>
      </c>
      <c r="Y1676" s="14" t="str">
        <f t="shared" si="134"/>
        <v/>
      </c>
      <c r="Z1676" s="4" t="str">
        <f t="shared" si="135"/>
        <v/>
      </c>
    </row>
    <row r="1677" spans="16:26" x14ac:dyDescent="0.25">
      <c r="P1677" s="10" t="str">
        <f>IF('[1]All Data '!AZ1682="","",'[1]All Data '!AZ1682)</f>
        <v/>
      </c>
      <c r="Q1677" s="10" t="str">
        <f>IF('[1]All Data '!BB1682="","",'[1]All Data '!BB1682)</f>
        <v/>
      </c>
      <c r="R1677" s="10" t="str">
        <f>IF('[1]All Data '!BD1682="","",'[1]All Data '!BD1682)</f>
        <v/>
      </c>
      <c r="S1677" s="11" t="str">
        <f>IF(R1677="","",'[1]All Data '!BE1682)</f>
        <v/>
      </c>
      <c r="T1677" s="12" t="str">
        <f>IF(S1677="","",[1]Inputs_Outputs!$B$8*(1-'LOCH Calc COE Calc'!S1677))</f>
        <v/>
      </c>
      <c r="U1677" s="13" t="str">
        <f t="shared" si="131"/>
        <v/>
      </c>
      <c r="V1677" s="13" t="str">
        <f t="shared" si="132"/>
        <v/>
      </c>
      <c r="W1677" s="4" t="str">
        <f t="shared" si="133"/>
        <v/>
      </c>
      <c r="X1677" t="str">
        <f>IF(W1677="","",LOOKUP(_xlfn.CONCAT(P1677,", ",Q1677),'[1]T+S Costs'!$F$2:$F$3138,'[1]T+S Costs'!$N$2:$N$3138))</f>
        <v/>
      </c>
      <c r="Y1677" s="14" t="str">
        <f t="shared" si="134"/>
        <v/>
      </c>
      <c r="Z1677" s="4" t="str">
        <f t="shared" si="135"/>
        <v/>
      </c>
    </row>
    <row r="1678" spans="16:26" x14ac:dyDescent="0.25">
      <c r="P1678" s="10" t="str">
        <f>IF('[1]All Data '!AZ1683="","",'[1]All Data '!AZ1683)</f>
        <v/>
      </c>
      <c r="Q1678" s="10" t="str">
        <f>IF('[1]All Data '!BB1683="","",'[1]All Data '!BB1683)</f>
        <v/>
      </c>
      <c r="R1678" s="10" t="str">
        <f>IF('[1]All Data '!BD1683="","",'[1]All Data '!BD1683)</f>
        <v/>
      </c>
      <c r="S1678" s="11" t="str">
        <f>IF(R1678="","",'[1]All Data '!BE1683)</f>
        <v/>
      </c>
      <c r="T1678" s="12" t="str">
        <f>IF(S1678="","",[1]Inputs_Outputs!$B$8*(1-'LOCH Calc COE Calc'!S1678))</f>
        <v/>
      </c>
      <c r="U1678" s="13" t="str">
        <f t="shared" si="131"/>
        <v/>
      </c>
      <c r="V1678" s="13" t="str">
        <f t="shared" si="132"/>
        <v/>
      </c>
      <c r="W1678" s="4" t="str">
        <f t="shared" si="133"/>
        <v/>
      </c>
      <c r="X1678" t="str">
        <f>IF(W1678="","",LOOKUP(_xlfn.CONCAT(P1678,", ",Q1678),'[1]T+S Costs'!$F$2:$F$3138,'[1]T+S Costs'!$N$2:$N$3138))</f>
        <v/>
      </c>
      <c r="Y1678" s="14" t="str">
        <f t="shared" si="134"/>
        <v/>
      </c>
      <c r="Z1678" s="4" t="str">
        <f t="shared" si="135"/>
        <v/>
      </c>
    </row>
    <row r="1679" spans="16:26" x14ac:dyDescent="0.25">
      <c r="P1679" s="10" t="str">
        <f>IF('[1]All Data '!AZ1684="","",'[1]All Data '!AZ1684)</f>
        <v/>
      </c>
      <c r="Q1679" s="10" t="str">
        <f>IF('[1]All Data '!BB1684="","",'[1]All Data '!BB1684)</f>
        <v/>
      </c>
      <c r="R1679" s="10" t="str">
        <f>IF('[1]All Data '!BD1684="","",'[1]All Data '!BD1684)</f>
        <v/>
      </c>
      <c r="S1679" s="11" t="str">
        <f>IF(R1679="","",'[1]All Data '!BE1684)</f>
        <v/>
      </c>
      <c r="T1679" s="12" t="str">
        <f>IF(S1679="","",[1]Inputs_Outputs!$B$8*(1-'LOCH Calc COE Calc'!S1679))</f>
        <v/>
      </c>
      <c r="U1679" s="13" t="str">
        <f t="shared" si="131"/>
        <v/>
      </c>
      <c r="V1679" s="13" t="str">
        <f t="shared" si="132"/>
        <v/>
      </c>
      <c r="W1679" s="4" t="str">
        <f t="shared" si="133"/>
        <v/>
      </c>
      <c r="X1679" t="str">
        <f>IF(W1679="","",LOOKUP(_xlfn.CONCAT(P1679,", ",Q1679),'[1]T+S Costs'!$F$2:$F$3138,'[1]T+S Costs'!$N$2:$N$3138))</f>
        <v/>
      </c>
      <c r="Y1679" s="14" t="str">
        <f t="shared" si="134"/>
        <v/>
      </c>
      <c r="Z1679" s="4" t="str">
        <f t="shared" si="135"/>
        <v/>
      </c>
    </row>
    <row r="1680" spans="16:26" x14ac:dyDescent="0.25">
      <c r="P1680" s="10" t="str">
        <f>IF('[1]All Data '!AZ1685="","",'[1]All Data '!AZ1685)</f>
        <v/>
      </c>
      <c r="Q1680" s="10" t="str">
        <f>IF('[1]All Data '!BB1685="","",'[1]All Data '!BB1685)</f>
        <v/>
      </c>
      <c r="R1680" s="10" t="str">
        <f>IF('[1]All Data '!BD1685="","",'[1]All Data '!BD1685)</f>
        <v/>
      </c>
      <c r="S1680" s="11" t="str">
        <f>IF(R1680="","",'[1]All Data '!BE1685)</f>
        <v/>
      </c>
      <c r="T1680" s="12" t="str">
        <f>IF(S1680="","",[1]Inputs_Outputs!$B$8*(1-'LOCH Calc COE Calc'!S1680))</f>
        <v/>
      </c>
      <c r="U1680" s="13" t="str">
        <f t="shared" si="131"/>
        <v/>
      </c>
      <c r="V1680" s="13" t="str">
        <f t="shared" si="132"/>
        <v/>
      </c>
      <c r="W1680" s="4" t="str">
        <f t="shared" si="133"/>
        <v/>
      </c>
      <c r="X1680" t="str">
        <f>IF(W1680="","",LOOKUP(_xlfn.CONCAT(P1680,", ",Q1680),'[1]T+S Costs'!$F$2:$F$3138,'[1]T+S Costs'!$N$2:$N$3138))</f>
        <v/>
      </c>
      <c r="Y1680" s="14" t="str">
        <f t="shared" si="134"/>
        <v/>
      </c>
      <c r="Z1680" s="4" t="str">
        <f t="shared" si="135"/>
        <v/>
      </c>
    </row>
    <row r="1681" spans="16:26" x14ac:dyDescent="0.25">
      <c r="P1681" s="10" t="str">
        <f>IF('[1]All Data '!AZ1686="","",'[1]All Data '!AZ1686)</f>
        <v/>
      </c>
      <c r="Q1681" s="10" t="str">
        <f>IF('[1]All Data '!BB1686="","",'[1]All Data '!BB1686)</f>
        <v/>
      </c>
      <c r="R1681" s="10" t="str">
        <f>IF('[1]All Data '!BD1686="","",'[1]All Data '!BD1686)</f>
        <v/>
      </c>
      <c r="S1681" s="11" t="str">
        <f>IF(R1681="","",'[1]All Data '!BE1686)</f>
        <v/>
      </c>
      <c r="T1681" s="12" t="str">
        <f>IF(S1681="","",[1]Inputs_Outputs!$B$8*(1-'LOCH Calc COE Calc'!S1681))</f>
        <v/>
      </c>
      <c r="U1681" s="13" t="str">
        <f t="shared" si="131"/>
        <v/>
      </c>
      <c r="V1681" s="13" t="str">
        <f t="shared" si="132"/>
        <v/>
      </c>
      <c r="W1681" s="4" t="str">
        <f t="shared" si="133"/>
        <v/>
      </c>
      <c r="X1681" t="str">
        <f>IF(W1681="","",LOOKUP(_xlfn.CONCAT(P1681,", ",Q1681),'[1]T+S Costs'!$F$2:$F$3138,'[1]T+S Costs'!$N$2:$N$3138))</f>
        <v/>
      </c>
      <c r="Y1681" s="14" t="str">
        <f t="shared" si="134"/>
        <v/>
      </c>
      <c r="Z1681" s="4" t="str">
        <f t="shared" si="135"/>
        <v/>
      </c>
    </row>
    <row r="1682" spans="16:26" x14ac:dyDescent="0.25">
      <c r="P1682" s="10" t="str">
        <f>IF('[1]All Data '!AZ1687="","",'[1]All Data '!AZ1687)</f>
        <v/>
      </c>
      <c r="Q1682" s="10" t="str">
        <f>IF('[1]All Data '!BB1687="","",'[1]All Data '!BB1687)</f>
        <v/>
      </c>
      <c r="R1682" s="10" t="str">
        <f>IF('[1]All Data '!BD1687="","",'[1]All Data '!BD1687)</f>
        <v/>
      </c>
      <c r="S1682" s="11" t="str">
        <f>IF(R1682="","",'[1]All Data '!BE1687)</f>
        <v/>
      </c>
      <c r="T1682" s="12" t="str">
        <f>IF(S1682="","",[1]Inputs_Outputs!$B$8*(1-'LOCH Calc COE Calc'!S1682))</f>
        <v/>
      </c>
      <c r="U1682" s="13" t="str">
        <f t="shared" si="131"/>
        <v/>
      </c>
      <c r="V1682" s="13" t="str">
        <f t="shared" si="132"/>
        <v/>
      </c>
      <c r="W1682" s="4" t="str">
        <f t="shared" si="133"/>
        <v/>
      </c>
      <c r="X1682" t="str">
        <f>IF(W1682="","",LOOKUP(_xlfn.CONCAT(P1682,", ",Q1682),'[1]T+S Costs'!$F$2:$F$3138,'[1]T+S Costs'!$N$2:$N$3138))</f>
        <v/>
      </c>
      <c r="Y1682" s="14" t="str">
        <f t="shared" si="134"/>
        <v/>
      </c>
      <c r="Z1682" s="4" t="str">
        <f t="shared" si="135"/>
        <v/>
      </c>
    </row>
    <row r="1683" spans="16:26" x14ac:dyDescent="0.25">
      <c r="P1683" s="10" t="str">
        <f>IF('[1]All Data '!AZ1688="","",'[1]All Data '!AZ1688)</f>
        <v/>
      </c>
      <c r="Q1683" s="10" t="str">
        <f>IF('[1]All Data '!BB1688="","",'[1]All Data '!BB1688)</f>
        <v/>
      </c>
      <c r="R1683" s="10" t="str">
        <f>IF('[1]All Data '!BD1688="","",'[1]All Data '!BD1688)</f>
        <v/>
      </c>
      <c r="S1683" s="11" t="str">
        <f>IF(R1683="","",'[1]All Data '!BE1688)</f>
        <v/>
      </c>
      <c r="T1683" s="12" t="str">
        <f>IF(S1683="","",[1]Inputs_Outputs!$B$8*(1-'LOCH Calc COE Calc'!S1683))</f>
        <v/>
      </c>
      <c r="U1683" s="13" t="str">
        <f t="shared" si="131"/>
        <v/>
      </c>
      <c r="V1683" s="13" t="str">
        <f t="shared" si="132"/>
        <v/>
      </c>
      <c r="W1683" s="4" t="str">
        <f t="shared" si="133"/>
        <v/>
      </c>
      <c r="X1683" t="str">
        <f>IF(W1683="","",LOOKUP(_xlfn.CONCAT(P1683,", ",Q1683),'[1]T+S Costs'!$F$2:$F$3138,'[1]T+S Costs'!$N$2:$N$3138))</f>
        <v/>
      </c>
      <c r="Y1683" s="14" t="str">
        <f t="shared" si="134"/>
        <v/>
      </c>
      <c r="Z1683" s="4" t="str">
        <f t="shared" si="135"/>
        <v/>
      </c>
    </row>
    <row r="1684" spans="16:26" x14ac:dyDescent="0.25">
      <c r="P1684" s="10" t="str">
        <f>IF('[1]All Data '!AZ1689="","",'[1]All Data '!AZ1689)</f>
        <v/>
      </c>
      <c r="Q1684" s="10" t="str">
        <f>IF('[1]All Data '!BB1689="","",'[1]All Data '!BB1689)</f>
        <v/>
      </c>
      <c r="R1684" s="10" t="str">
        <f>IF('[1]All Data '!BD1689="","",'[1]All Data '!BD1689)</f>
        <v/>
      </c>
      <c r="S1684" s="11" t="str">
        <f>IF(R1684="","",'[1]All Data '!BE1689)</f>
        <v/>
      </c>
      <c r="T1684" s="12" t="str">
        <f>IF(S1684="","",[1]Inputs_Outputs!$B$8*(1-'LOCH Calc COE Calc'!S1684))</f>
        <v/>
      </c>
      <c r="U1684" s="13" t="str">
        <f t="shared" si="131"/>
        <v/>
      </c>
      <c r="V1684" s="13" t="str">
        <f t="shared" si="132"/>
        <v/>
      </c>
      <c r="W1684" s="4" t="str">
        <f t="shared" si="133"/>
        <v/>
      </c>
      <c r="X1684" t="str">
        <f>IF(W1684="","",LOOKUP(_xlfn.CONCAT(P1684,", ",Q1684),'[1]T+S Costs'!$F$2:$F$3138,'[1]T+S Costs'!$N$2:$N$3138))</f>
        <v/>
      </c>
      <c r="Y1684" s="14" t="str">
        <f t="shared" si="134"/>
        <v/>
      </c>
      <c r="Z1684" s="4" t="str">
        <f t="shared" si="135"/>
        <v/>
      </c>
    </row>
    <row r="1685" spans="16:26" x14ac:dyDescent="0.25">
      <c r="P1685" s="10" t="str">
        <f>IF('[1]All Data '!AZ1690="","",'[1]All Data '!AZ1690)</f>
        <v/>
      </c>
      <c r="Q1685" s="10" t="str">
        <f>IF('[1]All Data '!BB1690="","",'[1]All Data '!BB1690)</f>
        <v/>
      </c>
      <c r="R1685" s="10" t="str">
        <f>IF('[1]All Data '!BD1690="","",'[1]All Data '!BD1690)</f>
        <v/>
      </c>
      <c r="S1685" s="11" t="str">
        <f>IF(R1685="","",'[1]All Data '!BE1690)</f>
        <v/>
      </c>
      <c r="T1685" s="12" t="str">
        <f>IF(S1685="","",[1]Inputs_Outputs!$B$8*(1-'LOCH Calc COE Calc'!S1685))</f>
        <v/>
      </c>
      <c r="U1685" s="13" t="str">
        <f t="shared" si="131"/>
        <v/>
      </c>
      <c r="V1685" s="13" t="str">
        <f t="shared" si="132"/>
        <v/>
      </c>
      <c r="W1685" s="4" t="str">
        <f t="shared" si="133"/>
        <v/>
      </c>
      <c r="X1685" t="str">
        <f>IF(W1685="","",LOOKUP(_xlfn.CONCAT(P1685,", ",Q1685),'[1]T+S Costs'!$F$2:$F$3138,'[1]T+S Costs'!$N$2:$N$3138))</f>
        <v/>
      </c>
      <c r="Y1685" s="14" t="str">
        <f t="shared" si="134"/>
        <v/>
      </c>
      <c r="Z1685" s="4" t="str">
        <f t="shared" si="135"/>
        <v/>
      </c>
    </row>
    <row r="1686" spans="16:26" x14ac:dyDescent="0.25">
      <c r="P1686" s="10" t="str">
        <f>IF('[1]All Data '!AZ1691="","",'[1]All Data '!AZ1691)</f>
        <v/>
      </c>
      <c r="Q1686" s="10" t="str">
        <f>IF('[1]All Data '!BB1691="","",'[1]All Data '!BB1691)</f>
        <v/>
      </c>
      <c r="R1686" s="10" t="str">
        <f>IF('[1]All Data '!BD1691="","",'[1]All Data '!BD1691)</f>
        <v/>
      </c>
      <c r="S1686" s="11" t="str">
        <f>IF(R1686="","",'[1]All Data '!BE1691)</f>
        <v/>
      </c>
      <c r="T1686" s="12" t="str">
        <f>IF(S1686="","",[1]Inputs_Outputs!$B$8*(1-'LOCH Calc COE Calc'!S1686))</f>
        <v/>
      </c>
      <c r="U1686" s="13" t="str">
        <f t="shared" si="131"/>
        <v/>
      </c>
      <c r="V1686" s="13" t="str">
        <f t="shared" si="132"/>
        <v/>
      </c>
      <c r="W1686" s="4" t="str">
        <f t="shared" si="133"/>
        <v/>
      </c>
      <c r="X1686" t="str">
        <f>IF(W1686="","",LOOKUP(_xlfn.CONCAT(P1686,", ",Q1686),'[1]T+S Costs'!$F$2:$F$3138,'[1]T+S Costs'!$N$2:$N$3138))</f>
        <v/>
      </c>
      <c r="Y1686" s="14" t="str">
        <f t="shared" si="134"/>
        <v/>
      </c>
      <c r="Z1686" s="4" t="str">
        <f t="shared" si="135"/>
        <v/>
      </c>
    </row>
    <row r="1687" spans="16:26" x14ac:dyDescent="0.25">
      <c r="P1687" s="10" t="str">
        <f>IF('[1]All Data '!AZ1692="","",'[1]All Data '!AZ1692)</f>
        <v/>
      </c>
      <c r="Q1687" s="10" t="str">
        <f>IF('[1]All Data '!BB1692="","",'[1]All Data '!BB1692)</f>
        <v/>
      </c>
      <c r="R1687" s="10" t="str">
        <f>IF('[1]All Data '!BD1692="","",'[1]All Data '!BD1692)</f>
        <v/>
      </c>
      <c r="S1687" s="11" t="str">
        <f>IF(R1687="","",'[1]All Data '!BE1692)</f>
        <v/>
      </c>
      <c r="T1687" s="12" t="str">
        <f>IF(S1687="","",[1]Inputs_Outputs!$B$8*(1-'LOCH Calc COE Calc'!S1687))</f>
        <v/>
      </c>
      <c r="U1687" s="13" t="str">
        <f t="shared" si="131"/>
        <v/>
      </c>
      <c r="V1687" s="13" t="str">
        <f t="shared" si="132"/>
        <v/>
      </c>
      <c r="W1687" s="4" t="str">
        <f t="shared" si="133"/>
        <v/>
      </c>
      <c r="X1687" t="str">
        <f>IF(W1687="","",LOOKUP(_xlfn.CONCAT(P1687,", ",Q1687),'[1]T+S Costs'!$F$2:$F$3138,'[1]T+S Costs'!$N$2:$N$3138))</f>
        <v/>
      </c>
      <c r="Y1687" s="14" t="str">
        <f t="shared" si="134"/>
        <v/>
      </c>
      <c r="Z1687" s="4" t="str">
        <f t="shared" si="135"/>
        <v/>
      </c>
    </row>
    <row r="1688" spans="16:26" x14ac:dyDescent="0.25">
      <c r="P1688" s="10" t="str">
        <f>IF('[1]All Data '!AZ1693="","",'[1]All Data '!AZ1693)</f>
        <v/>
      </c>
      <c r="Q1688" s="10" t="str">
        <f>IF('[1]All Data '!BB1693="","",'[1]All Data '!BB1693)</f>
        <v/>
      </c>
      <c r="R1688" s="10" t="str">
        <f>IF('[1]All Data '!BD1693="","",'[1]All Data '!BD1693)</f>
        <v/>
      </c>
      <c r="S1688" s="11" t="str">
        <f>IF(R1688="","",'[1]All Data '!BE1693)</f>
        <v/>
      </c>
      <c r="T1688" s="12" t="str">
        <f>IF(S1688="","",[1]Inputs_Outputs!$B$8*(1-'LOCH Calc COE Calc'!S1688))</f>
        <v/>
      </c>
      <c r="U1688" s="13" t="str">
        <f t="shared" si="131"/>
        <v/>
      </c>
      <c r="V1688" s="13" t="str">
        <f t="shared" si="132"/>
        <v/>
      </c>
      <c r="W1688" s="4" t="str">
        <f t="shared" si="133"/>
        <v/>
      </c>
      <c r="X1688" t="str">
        <f>IF(W1688="","",LOOKUP(_xlfn.CONCAT(P1688,", ",Q1688),'[1]T+S Costs'!$F$2:$F$3138,'[1]T+S Costs'!$N$2:$N$3138))</f>
        <v/>
      </c>
      <c r="Y1688" s="14" t="str">
        <f t="shared" si="134"/>
        <v/>
      </c>
      <c r="Z1688" s="4" t="str">
        <f t="shared" si="135"/>
        <v/>
      </c>
    </row>
    <row r="1689" spans="16:26" x14ac:dyDescent="0.25">
      <c r="P1689" s="10" t="str">
        <f>IF('[1]All Data '!AZ1694="","",'[1]All Data '!AZ1694)</f>
        <v/>
      </c>
      <c r="Q1689" s="10" t="str">
        <f>IF('[1]All Data '!BB1694="","",'[1]All Data '!BB1694)</f>
        <v/>
      </c>
      <c r="R1689" s="10" t="str">
        <f>IF('[1]All Data '!BD1694="","",'[1]All Data '!BD1694)</f>
        <v/>
      </c>
      <c r="S1689" s="11" t="str">
        <f>IF(R1689="","",'[1]All Data '!BE1694)</f>
        <v/>
      </c>
      <c r="T1689" s="12" t="str">
        <f>IF(S1689="","",[1]Inputs_Outputs!$B$8*(1-'LOCH Calc COE Calc'!S1689))</f>
        <v/>
      </c>
      <c r="U1689" s="13" t="str">
        <f t="shared" si="131"/>
        <v/>
      </c>
      <c r="V1689" s="13" t="str">
        <f t="shared" si="132"/>
        <v/>
      </c>
      <c r="W1689" s="4" t="str">
        <f t="shared" si="133"/>
        <v/>
      </c>
      <c r="X1689" t="str">
        <f>IF(W1689="","",LOOKUP(_xlfn.CONCAT(P1689,", ",Q1689),'[1]T+S Costs'!$F$2:$F$3138,'[1]T+S Costs'!$N$2:$N$3138))</f>
        <v/>
      </c>
      <c r="Y1689" s="14" t="str">
        <f t="shared" si="134"/>
        <v/>
      </c>
      <c r="Z1689" s="4" t="str">
        <f t="shared" si="135"/>
        <v/>
      </c>
    </row>
    <row r="1690" spans="16:26" x14ac:dyDescent="0.25">
      <c r="P1690" s="10" t="str">
        <f>IF('[1]All Data '!AZ1695="","",'[1]All Data '!AZ1695)</f>
        <v/>
      </c>
      <c r="Q1690" s="10" t="str">
        <f>IF('[1]All Data '!BB1695="","",'[1]All Data '!BB1695)</f>
        <v/>
      </c>
      <c r="R1690" s="10" t="str">
        <f>IF('[1]All Data '!BD1695="","",'[1]All Data '!BD1695)</f>
        <v/>
      </c>
      <c r="S1690" s="11" t="str">
        <f>IF(R1690="","",'[1]All Data '!BE1695)</f>
        <v/>
      </c>
      <c r="T1690" s="12" t="str">
        <f>IF(S1690="","",[1]Inputs_Outputs!$B$8*(1-'LOCH Calc COE Calc'!S1690))</f>
        <v/>
      </c>
      <c r="U1690" s="13" t="str">
        <f t="shared" si="131"/>
        <v/>
      </c>
      <c r="V1690" s="13" t="str">
        <f t="shared" si="132"/>
        <v/>
      </c>
      <c r="W1690" s="4" t="str">
        <f t="shared" si="133"/>
        <v/>
      </c>
      <c r="X1690" t="str">
        <f>IF(W1690="","",LOOKUP(_xlfn.CONCAT(P1690,", ",Q1690),'[1]T+S Costs'!$F$2:$F$3138,'[1]T+S Costs'!$N$2:$N$3138))</f>
        <v/>
      </c>
      <c r="Y1690" s="14" t="str">
        <f t="shared" si="134"/>
        <v/>
      </c>
      <c r="Z1690" s="4" t="str">
        <f t="shared" si="135"/>
        <v/>
      </c>
    </row>
    <row r="1691" spans="16:26" x14ac:dyDescent="0.25">
      <c r="P1691" s="10" t="str">
        <f>IF('[1]All Data '!AZ1696="","",'[1]All Data '!AZ1696)</f>
        <v/>
      </c>
      <c r="Q1691" s="10" t="str">
        <f>IF('[1]All Data '!BB1696="","",'[1]All Data '!BB1696)</f>
        <v/>
      </c>
      <c r="R1691" s="10" t="str">
        <f>IF('[1]All Data '!BD1696="","",'[1]All Data '!BD1696)</f>
        <v/>
      </c>
      <c r="S1691" s="11" t="str">
        <f>IF(R1691="","",'[1]All Data '!BE1696)</f>
        <v/>
      </c>
      <c r="T1691" s="12" t="str">
        <f>IF(S1691="","",[1]Inputs_Outputs!$B$8*(1-'LOCH Calc COE Calc'!S1691))</f>
        <v/>
      </c>
      <c r="U1691" s="13" t="str">
        <f t="shared" si="131"/>
        <v/>
      </c>
      <c r="V1691" s="13" t="str">
        <f t="shared" si="132"/>
        <v/>
      </c>
      <c r="W1691" s="4" t="str">
        <f t="shared" si="133"/>
        <v/>
      </c>
      <c r="X1691" t="str">
        <f>IF(W1691="","",LOOKUP(_xlfn.CONCAT(P1691,", ",Q1691),'[1]T+S Costs'!$F$2:$F$3138,'[1]T+S Costs'!$N$2:$N$3138))</f>
        <v/>
      </c>
      <c r="Y1691" s="14" t="str">
        <f t="shared" si="134"/>
        <v/>
      </c>
      <c r="Z1691" s="4" t="str">
        <f t="shared" si="135"/>
        <v/>
      </c>
    </row>
    <row r="1692" spans="16:26" x14ac:dyDescent="0.25">
      <c r="P1692" s="10" t="str">
        <f>IF('[1]All Data '!AZ1697="","",'[1]All Data '!AZ1697)</f>
        <v/>
      </c>
      <c r="Q1692" s="10" t="str">
        <f>IF('[1]All Data '!BB1697="","",'[1]All Data '!BB1697)</f>
        <v/>
      </c>
      <c r="R1692" s="10" t="str">
        <f>IF('[1]All Data '!BD1697="","",'[1]All Data '!BD1697)</f>
        <v/>
      </c>
      <c r="S1692" s="11" t="str">
        <f>IF(R1692="","",'[1]All Data '!BE1697)</f>
        <v/>
      </c>
      <c r="T1692" s="12" t="str">
        <f>IF(S1692="","",[1]Inputs_Outputs!$B$8*(1-'LOCH Calc COE Calc'!S1692))</f>
        <v/>
      </c>
      <c r="U1692" s="13" t="str">
        <f t="shared" si="131"/>
        <v/>
      </c>
      <c r="V1692" s="13" t="str">
        <f t="shared" si="132"/>
        <v/>
      </c>
      <c r="W1692" s="4" t="str">
        <f t="shared" si="133"/>
        <v/>
      </c>
      <c r="X1692" t="str">
        <f>IF(W1692="","",LOOKUP(_xlfn.CONCAT(P1692,", ",Q1692),'[1]T+S Costs'!$F$2:$F$3138,'[1]T+S Costs'!$N$2:$N$3138))</f>
        <v/>
      </c>
      <c r="Y1692" s="14" t="str">
        <f t="shared" si="134"/>
        <v/>
      </c>
      <c r="Z1692" s="4" t="str">
        <f t="shared" si="135"/>
        <v/>
      </c>
    </row>
    <row r="1693" spans="16:26" x14ac:dyDescent="0.25">
      <c r="P1693" s="10" t="str">
        <f>IF('[1]All Data '!AZ1698="","",'[1]All Data '!AZ1698)</f>
        <v/>
      </c>
      <c r="Q1693" s="10" t="str">
        <f>IF('[1]All Data '!BB1698="","",'[1]All Data '!BB1698)</f>
        <v/>
      </c>
      <c r="R1693" s="10" t="str">
        <f>IF('[1]All Data '!BD1698="","",'[1]All Data '!BD1698)</f>
        <v/>
      </c>
      <c r="S1693" s="11" t="str">
        <f>IF(R1693="","",'[1]All Data '!BE1698)</f>
        <v/>
      </c>
      <c r="T1693" s="12" t="str">
        <f>IF(S1693="","",[1]Inputs_Outputs!$B$8*(1-'LOCH Calc COE Calc'!S1693))</f>
        <v/>
      </c>
      <c r="U1693" s="13" t="str">
        <f t="shared" si="131"/>
        <v/>
      </c>
      <c r="V1693" s="13" t="str">
        <f t="shared" si="132"/>
        <v/>
      </c>
      <c r="W1693" s="4" t="str">
        <f t="shared" si="133"/>
        <v/>
      </c>
      <c r="X1693" t="str">
        <f>IF(W1693="","",LOOKUP(_xlfn.CONCAT(P1693,", ",Q1693),'[1]T+S Costs'!$F$2:$F$3138,'[1]T+S Costs'!$N$2:$N$3138))</f>
        <v/>
      </c>
      <c r="Y1693" s="14" t="str">
        <f t="shared" si="134"/>
        <v/>
      </c>
      <c r="Z1693" s="4" t="str">
        <f t="shared" si="135"/>
        <v/>
      </c>
    </row>
    <row r="1694" spans="16:26" x14ac:dyDescent="0.25">
      <c r="P1694" s="10" t="str">
        <f>IF('[1]All Data '!AZ1699="","",'[1]All Data '!AZ1699)</f>
        <v/>
      </c>
      <c r="Q1694" s="10" t="str">
        <f>IF('[1]All Data '!BB1699="","",'[1]All Data '!BB1699)</f>
        <v/>
      </c>
      <c r="R1694" s="10" t="str">
        <f>IF('[1]All Data '!BD1699="","",'[1]All Data '!BD1699)</f>
        <v/>
      </c>
      <c r="S1694" s="11" t="str">
        <f>IF(R1694="","",'[1]All Data '!BE1699)</f>
        <v/>
      </c>
      <c r="T1694" s="12" t="str">
        <f>IF(S1694="","",[1]Inputs_Outputs!$B$8*(1-'LOCH Calc COE Calc'!S1694))</f>
        <v/>
      </c>
      <c r="U1694" s="13" t="str">
        <f t="shared" si="131"/>
        <v/>
      </c>
      <c r="V1694" s="13" t="str">
        <f t="shared" si="132"/>
        <v/>
      </c>
      <c r="W1694" s="4" t="str">
        <f t="shared" si="133"/>
        <v/>
      </c>
      <c r="X1694" t="str">
        <f>IF(W1694="","",LOOKUP(_xlfn.CONCAT(P1694,", ",Q1694),'[1]T+S Costs'!$F$2:$F$3138,'[1]T+S Costs'!$N$2:$N$3138))</f>
        <v/>
      </c>
      <c r="Y1694" s="14" t="str">
        <f t="shared" si="134"/>
        <v/>
      </c>
      <c r="Z1694" s="4" t="str">
        <f t="shared" si="135"/>
        <v/>
      </c>
    </row>
    <row r="1695" spans="16:26" x14ac:dyDescent="0.25">
      <c r="P1695" s="10" t="str">
        <f>IF('[1]All Data '!AZ1700="","",'[1]All Data '!AZ1700)</f>
        <v/>
      </c>
      <c r="Q1695" s="10" t="str">
        <f>IF('[1]All Data '!BB1700="","",'[1]All Data '!BB1700)</f>
        <v/>
      </c>
      <c r="R1695" s="10" t="str">
        <f>IF('[1]All Data '!BD1700="","",'[1]All Data '!BD1700)</f>
        <v/>
      </c>
      <c r="S1695" s="11" t="str">
        <f>IF(R1695="","",'[1]All Data '!BE1700)</f>
        <v/>
      </c>
      <c r="T1695" s="12" t="str">
        <f>IF(S1695="","",[1]Inputs_Outputs!$B$8*(1-'LOCH Calc COE Calc'!S1695))</f>
        <v/>
      </c>
      <c r="U1695" s="13" t="str">
        <f t="shared" si="131"/>
        <v/>
      </c>
      <c r="V1695" s="13" t="str">
        <f t="shared" si="132"/>
        <v/>
      </c>
      <c r="W1695" s="4" t="str">
        <f t="shared" si="133"/>
        <v/>
      </c>
      <c r="X1695" t="str">
        <f>IF(W1695="","",LOOKUP(_xlfn.CONCAT(P1695,", ",Q1695),'[1]T+S Costs'!$F$2:$F$3138,'[1]T+S Costs'!$N$2:$N$3138))</f>
        <v/>
      </c>
      <c r="Y1695" s="14" t="str">
        <f t="shared" si="134"/>
        <v/>
      </c>
      <c r="Z1695" s="4" t="str">
        <f t="shared" si="135"/>
        <v/>
      </c>
    </row>
    <row r="1696" spans="16:26" x14ac:dyDescent="0.25">
      <c r="P1696" s="10" t="str">
        <f>IF('[1]All Data '!AZ1701="","",'[1]All Data '!AZ1701)</f>
        <v/>
      </c>
      <c r="Q1696" s="10" t="str">
        <f>IF('[1]All Data '!BB1701="","",'[1]All Data '!BB1701)</f>
        <v/>
      </c>
      <c r="R1696" s="10" t="str">
        <f>IF('[1]All Data '!BD1701="","",'[1]All Data '!BD1701)</f>
        <v/>
      </c>
      <c r="S1696" s="11" t="str">
        <f>IF(R1696="","",'[1]All Data '!BE1701)</f>
        <v/>
      </c>
      <c r="T1696" s="12" t="str">
        <f>IF(S1696="","",[1]Inputs_Outputs!$B$8*(1-'LOCH Calc COE Calc'!S1696))</f>
        <v/>
      </c>
      <c r="U1696" s="13" t="str">
        <f t="shared" si="131"/>
        <v/>
      </c>
      <c r="V1696" s="13" t="str">
        <f t="shared" si="132"/>
        <v/>
      </c>
      <c r="W1696" s="4" t="str">
        <f t="shared" si="133"/>
        <v/>
      </c>
      <c r="X1696" t="str">
        <f>IF(W1696="","",LOOKUP(_xlfn.CONCAT(P1696,", ",Q1696),'[1]T+S Costs'!$F$2:$F$3138,'[1]T+S Costs'!$N$2:$N$3138))</f>
        <v/>
      </c>
      <c r="Y1696" s="14" t="str">
        <f t="shared" si="134"/>
        <v/>
      </c>
      <c r="Z1696" s="4" t="str">
        <f t="shared" si="135"/>
        <v/>
      </c>
    </row>
    <row r="1697" spans="16:26" x14ac:dyDescent="0.25">
      <c r="P1697" s="10" t="str">
        <f>IF('[1]All Data '!AZ1702="","",'[1]All Data '!AZ1702)</f>
        <v/>
      </c>
      <c r="Q1697" s="10" t="str">
        <f>IF('[1]All Data '!BB1702="","",'[1]All Data '!BB1702)</f>
        <v/>
      </c>
      <c r="R1697" s="10" t="str">
        <f>IF('[1]All Data '!BD1702="","",'[1]All Data '!BD1702)</f>
        <v/>
      </c>
      <c r="S1697" s="11" t="str">
        <f>IF(R1697="","",'[1]All Data '!BE1702)</f>
        <v/>
      </c>
      <c r="T1697" s="12" t="str">
        <f>IF(S1697="","",[1]Inputs_Outputs!$B$8*(1-'LOCH Calc COE Calc'!S1697))</f>
        <v/>
      </c>
      <c r="U1697" s="13" t="str">
        <f t="shared" si="131"/>
        <v/>
      </c>
      <c r="V1697" s="13" t="str">
        <f t="shared" si="132"/>
        <v/>
      </c>
      <c r="W1697" s="4" t="str">
        <f t="shared" si="133"/>
        <v/>
      </c>
      <c r="X1697" t="str">
        <f>IF(W1697="","",LOOKUP(_xlfn.CONCAT(P1697,", ",Q1697),'[1]T+S Costs'!$F$2:$F$3138,'[1]T+S Costs'!$N$2:$N$3138))</f>
        <v/>
      </c>
      <c r="Y1697" s="14" t="str">
        <f t="shared" si="134"/>
        <v/>
      </c>
      <c r="Z1697" s="4" t="str">
        <f t="shared" si="135"/>
        <v/>
      </c>
    </row>
    <row r="1698" spans="16:26" x14ac:dyDescent="0.25">
      <c r="P1698" s="10" t="str">
        <f>IF('[1]All Data '!AZ1703="","",'[1]All Data '!AZ1703)</f>
        <v/>
      </c>
      <c r="Q1698" s="10" t="str">
        <f>IF('[1]All Data '!BB1703="","",'[1]All Data '!BB1703)</f>
        <v/>
      </c>
      <c r="R1698" s="10" t="str">
        <f>IF('[1]All Data '!BD1703="","",'[1]All Data '!BD1703)</f>
        <v/>
      </c>
      <c r="S1698" s="11" t="str">
        <f>IF(R1698="","",'[1]All Data '!BE1703)</f>
        <v/>
      </c>
      <c r="T1698" s="12" t="str">
        <f>IF(S1698="","",[1]Inputs_Outputs!$B$8*(1-'LOCH Calc COE Calc'!S1698))</f>
        <v/>
      </c>
      <c r="U1698" s="13" t="str">
        <f t="shared" si="131"/>
        <v/>
      </c>
      <c r="V1698" s="13" t="str">
        <f t="shared" si="132"/>
        <v/>
      </c>
      <c r="W1698" s="4" t="str">
        <f t="shared" si="133"/>
        <v/>
      </c>
      <c r="X1698" t="str">
        <f>IF(W1698="","",LOOKUP(_xlfn.CONCAT(P1698,", ",Q1698),'[1]T+S Costs'!$F$2:$F$3138,'[1]T+S Costs'!$N$2:$N$3138))</f>
        <v/>
      </c>
      <c r="Y1698" s="14" t="str">
        <f t="shared" si="134"/>
        <v/>
      </c>
      <c r="Z1698" s="4" t="str">
        <f t="shared" si="135"/>
        <v/>
      </c>
    </row>
    <row r="1699" spans="16:26" x14ac:dyDescent="0.25">
      <c r="P1699" s="10" t="str">
        <f>IF('[1]All Data '!AZ1704="","",'[1]All Data '!AZ1704)</f>
        <v/>
      </c>
      <c r="Q1699" s="10" t="str">
        <f>IF('[1]All Data '!BB1704="","",'[1]All Data '!BB1704)</f>
        <v/>
      </c>
      <c r="R1699" s="10" t="str">
        <f>IF('[1]All Data '!BD1704="","",'[1]All Data '!BD1704)</f>
        <v/>
      </c>
      <c r="S1699" s="11" t="str">
        <f>IF(R1699="","",'[1]All Data '!BE1704)</f>
        <v/>
      </c>
      <c r="T1699" s="12" t="str">
        <f>IF(S1699="","",[1]Inputs_Outputs!$B$8*(1-'LOCH Calc COE Calc'!S1699))</f>
        <v/>
      </c>
      <c r="U1699" s="13" t="str">
        <f t="shared" si="131"/>
        <v/>
      </c>
      <c r="V1699" s="13" t="str">
        <f t="shared" si="132"/>
        <v/>
      </c>
      <c r="W1699" s="4" t="str">
        <f t="shared" si="133"/>
        <v/>
      </c>
      <c r="X1699" t="str">
        <f>IF(W1699="","",LOOKUP(_xlfn.CONCAT(P1699,", ",Q1699),'[1]T+S Costs'!$F$2:$F$3138,'[1]T+S Costs'!$N$2:$N$3138))</f>
        <v/>
      </c>
      <c r="Y1699" s="14" t="str">
        <f t="shared" si="134"/>
        <v/>
      </c>
      <c r="Z1699" s="4" t="str">
        <f t="shared" si="135"/>
        <v/>
      </c>
    </row>
    <row r="1700" spans="16:26" x14ac:dyDescent="0.25">
      <c r="P1700" s="10" t="str">
        <f>IF('[1]All Data '!AZ1705="","",'[1]All Data '!AZ1705)</f>
        <v/>
      </c>
      <c r="Q1700" s="10" t="str">
        <f>IF('[1]All Data '!BB1705="","",'[1]All Data '!BB1705)</f>
        <v/>
      </c>
      <c r="R1700" s="10" t="str">
        <f>IF('[1]All Data '!BD1705="","",'[1]All Data '!BD1705)</f>
        <v/>
      </c>
      <c r="S1700" s="11" t="str">
        <f>IF(R1700="","",'[1]All Data '!BE1705)</f>
        <v/>
      </c>
      <c r="T1700" s="12" t="str">
        <f>IF(S1700="","",[1]Inputs_Outputs!$B$8*(1-'LOCH Calc COE Calc'!S1700))</f>
        <v/>
      </c>
      <c r="U1700" s="13" t="str">
        <f t="shared" si="131"/>
        <v/>
      </c>
      <c r="V1700" s="13" t="str">
        <f t="shared" si="132"/>
        <v/>
      </c>
      <c r="W1700" s="4" t="str">
        <f t="shared" si="133"/>
        <v/>
      </c>
      <c r="X1700" t="str">
        <f>IF(W1700="","",LOOKUP(_xlfn.CONCAT(P1700,", ",Q1700),'[1]T+S Costs'!$F$2:$F$3138,'[1]T+S Costs'!$N$2:$N$3138))</f>
        <v/>
      </c>
      <c r="Y1700" s="14" t="str">
        <f t="shared" si="134"/>
        <v/>
      </c>
      <c r="Z1700" s="4" t="str">
        <f t="shared" si="135"/>
        <v/>
      </c>
    </row>
    <row r="1701" spans="16:26" x14ac:dyDescent="0.25">
      <c r="P1701" s="10" t="str">
        <f>IF('[1]All Data '!AZ1706="","",'[1]All Data '!AZ1706)</f>
        <v/>
      </c>
      <c r="Q1701" s="10" t="str">
        <f>IF('[1]All Data '!BB1706="","",'[1]All Data '!BB1706)</f>
        <v/>
      </c>
      <c r="R1701" s="10" t="str">
        <f>IF('[1]All Data '!BD1706="","",'[1]All Data '!BD1706)</f>
        <v/>
      </c>
      <c r="S1701" s="11" t="str">
        <f>IF(R1701="","",'[1]All Data '!BE1706)</f>
        <v/>
      </c>
      <c r="T1701" s="12" t="str">
        <f>IF(S1701="","",[1]Inputs_Outputs!$B$8*(1-'LOCH Calc COE Calc'!S1701))</f>
        <v/>
      </c>
      <c r="U1701" s="13" t="str">
        <f t="shared" si="131"/>
        <v/>
      </c>
      <c r="V1701" s="13" t="str">
        <f t="shared" si="132"/>
        <v/>
      </c>
      <c r="W1701" s="4" t="str">
        <f t="shared" si="133"/>
        <v/>
      </c>
      <c r="X1701" t="str">
        <f>IF(W1701="","",LOOKUP(_xlfn.CONCAT(P1701,", ",Q1701),'[1]T+S Costs'!$F$2:$F$3138,'[1]T+S Costs'!$N$2:$N$3138))</f>
        <v/>
      </c>
      <c r="Y1701" s="14" t="str">
        <f t="shared" si="134"/>
        <v/>
      </c>
      <c r="Z1701" s="4" t="str">
        <f t="shared" si="135"/>
        <v/>
      </c>
    </row>
    <row r="1702" spans="16:26" x14ac:dyDescent="0.25">
      <c r="P1702" s="10" t="str">
        <f>IF('[1]All Data '!AZ1707="","",'[1]All Data '!AZ1707)</f>
        <v/>
      </c>
      <c r="Q1702" s="10" t="str">
        <f>IF('[1]All Data '!BB1707="","",'[1]All Data '!BB1707)</f>
        <v/>
      </c>
      <c r="R1702" s="10" t="str">
        <f>IF('[1]All Data '!BD1707="","",'[1]All Data '!BD1707)</f>
        <v/>
      </c>
      <c r="S1702" s="11" t="str">
        <f>IF(R1702="","",'[1]All Data '!BE1707)</f>
        <v/>
      </c>
      <c r="T1702" s="12" t="str">
        <f>IF(S1702="","",[1]Inputs_Outputs!$B$8*(1-'LOCH Calc COE Calc'!S1702))</f>
        <v/>
      </c>
      <c r="U1702" s="13" t="str">
        <f t="shared" si="131"/>
        <v/>
      </c>
      <c r="V1702" s="13" t="str">
        <f t="shared" si="132"/>
        <v/>
      </c>
      <c r="W1702" s="4" t="str">
        <f t="shared" si="133"/>
        <v/>
      </c>
      <c r="X1702" t="str">
        <f>IF(W1702="","",LOOKUP(_xlfn.CONCAT(P1702,", ",Q1702),'[1]T+S Costs'!$F$2:$F$3138,'[1]T+S Costs'!$N$2:$N$3138))</f>
        <v/>
      </c>
      <c r="Y1702" s="14" t="str">
        <f t="shared" si="134"/>
        <v/>
      </c>
      <c r="Z1702" s="4" t="str">
        <f t="shared" si="135"/>
        <v/>
      </c>
    </row>
    <row r="1703" spans="16:26" x14ac:dyDescent="0.25">
      <c r="P1703" s="10" t="str">
        <f>IF('[1]All Data '!AZ1708="","",'[1]All Data '!AZ1708)</f>
        <v/>
      </c>
      <c r="Q1703" s="10" t="str">
        <f>IF('[1]All Data '!BB1708="","",'[1]All Data '!BB1708)</f>
        <v/>
      </c>
      <c r="R1703" s="10" t="str">
        <f>IF('[1]All Data '!BD1708="","",'[1]All Data '!BD1708)</f>
        <v/>
      </c>
      <c r="S1703" s="11" t="str">
        <f>IF(R1703="","",'[1]All Data '!BE1708)</f>
        <v/>
      </c>
      <c r="T1703" s="12" t="str">
        <f>IF(S1703="","",[1]Inputs_Outputs!$B$8*(1-'LOCH Calc COE Calc'!S1703))</f>
        <v/>
      </c>
      <c r="U1703" s="13" t="str">
        <f t="shared" si="131"/>
        <v/>
      </c>
      <c r="V1703" s="13" t="str">
        <f t="shared" si="132"/>
        <v/>
      </c>
      <c r="W1703" s="4" t="str">
        <f t="shared" si="133"/>
        <v/>
      </c>
      <c r="X1703" t="str">
        <f>IF(W1703="","",LOOKUP(_xlfn.CONCAT(P1703,", ",Q1703),'[1]T+S Costs'!$F$2:$F$3138,'[1]T+S Costs'!$N$2:$N$3138))</f>
        <v/>
      </c>
      <c r="Y1703" s="14" t="str">
        <f t="shared" si="134"/>
        <v/>
      </c>
      <c r="Z1703" s="4" t="str">
        <f t="shared" si="135"/>
        <v/>
      </c>
    </row>
    <row r="1704" spans="16:26" x14ac:dyDescent="0.25">
      <c r="P1704" s="10" t="str">
        <f>IF('[1]All Data '!AZ1709="","",'[1]All Data '!AZ1709)</f>
        <v/>
      </c>
      <c r="Q1704" s="10" t="str">
        <f>IF('[1]All Data '!BB1709="","",'[1]All Data '!BB1709)</f>
        <v/>
      </c>
      <c r="R1704" s="10" t="str">
        <f>IF('[1]All Data '!BD1709="","",'[1]All Data '!BD1709)</f>
        <v/>
      </c>
      <c r="S1704" s="11" t="str">
        <f>IF(R1704="","",'[1]All Data '!BE1709)</f>
        <v/>
      </c>
      <c r="T1704" s="12" t="str">
        <f>IF(S1704="","",[1]Inputs_Outputs!$B$8*(1-'LOCH Calc COE Calc'!S1704))</f>
        <v/>
      </c>
      <c r="U1704" s="13" t="str">
        <f t="shared" si="131"/>
        <v/>
      </c>
      <c r="V1704" s="13" t="str">
        <f t="shared" si="132"/>
        <v/>
      </c>
      <c r="W1704" s="4" t="str">
        <f t="shared" si="133"/>
        <v/>
      </c>
      <c r="X1704" t="str">
        <f>IF(W1704="","",LOOKUP(_xlfn.CONCAT(P1704,", ",Q1704),'[1]T+S Costs'!$F$2:$F$3138,'[1]T+S Costs'!$N$2:$N$3138))</f>
        <v/>
      </c>
      <c r="Y1704" s="14" t="str">
        <f t="shared" si="134"/>
        <v/>
      </c>
      <c r="Z1704" s="4" t="str">
        <f t="shared" si="135"/>
        <v/>
      </c>
    </row>
    <row r="1705" spans="16:26" x14ac:dyDescent="0.25">
      <c r="P1705" s="10" t="str">
        <f>IF('[1]All Data '!AZ1710="","",'[1]All Data '!AZ1710)</f>
        <v/>
      </c>
      <c r="Q1705" s="10" t="str">
        <f>IF('[1]All Data '!BB1710="","",'[1]All Data '!BB1710)</f>
        <v/>
      </c>
      <c r="R1705" s="10" t="str">
        <f>IF('[1]All Data '!BD1710="","",'[1]All Data '!BD1710)</f>
        <v/>
      </c>
      <c r="S1705" s="11" t="str">
        <f>IF(R1705="","",'[1]All Data '!BE1710)</f>
        <v/>
      </c>
      <c r="T1705" s="12" t="str">
        <f>IF(S1705="","",[1]Inputs_Outputs!$B$8*(1-'LOCH Calc COE Calc'!S1705))</f>
        <v/>
      </c>
      <c r="U1705" s="13" t="str">
        <f t="shared" si="131"/>
        <v/>
      </c>
      <c r="V1705" s="13" t="str">
        <f t="shared" si="132"/>
        <v/>
      </c>
      <c r="W1705" s="4" t="str">
        <f t="shared" si="133"/>
        <v/>
      </c>
      <c r="X1705" t="str">
        <f>IF(W1705="","",LOOKUP(_xlfn.CONCAT(P1705,", ",Q1705),'[1]T+S Costs'!$F$2:$F$3138,'[1]T+S Costs'!$N$2:$N$3138))</f>
        <v/>
      </c>
      <c r="Y1705" s="14" t="str">
        <f t="shared" si="134"/>
        <v/>
      </c>
      <c r="Z1705" s="4" t="str">
        <f t="shared" si="135"/>
        <v/>
      </c>
    </row>
    <row r="1706" spans="16:26" x14ac:dyDescent="0.25">
      <c r="P1706" s="10" t="str">
        <f>IF('[1]All Data '!AZ1711="","",'[1]All Data '!AZ1711)</f>
        <v/>
      </c>
      <c r="Q1706" s="10" t="str">
        <f>IF('[1]All Data '!BB1711="","",'[1]All Data '!BB1711)</f>
        <v/>
      </c>
      <c r="R1706" s="10" t="str">
        <f>IF('[1]All Data '!BD1711="","",'[1]All Data '!BD1711)</f>
        <v/>
      </c>
      <c r="S1706" s="11" t="str">
        <f>IF(R1706="","",'[1]All Data '!BE1711)</f>
        <v/>
      </c>
      <c r="T1706" s="12" t="str">
        <f>IF(S1706="","",[1]Inputs_Outputs!$B$8*(1-'LOCH Calc COE Calc'!S1706))</f>
        <v/>
      </c>
      <c r="U1706" s="13" t="str">
        <f t="shared" si="131"/>
        <v/>
      </c>
      <c r="V1706" s="13" t="str">
        <f t="shared" si="132"/>
        <v/>
      </c>
      <c r="W1706" s="4" t="str">
        <f t="shared" si="133"/>
        <v/>
      </c>
      <c r="X1706" t="str">
        <f>IF(W1706="","",LOOKUP(_xlfn.CONCAT(P1706,", ",Q1706),'[1]T+S Costs'!$F$2:$F$3138,'[1]T+S Costs'!$N$2:$N$3138))</f>
        <v/>
      </c>
      <c r="Y1706" s="14" t="str">
        <f t="shared" si="134"/>
        <v/>
      </c>
      <c r="Z1706" s="4" t="str">
        <f t="shared" si="135"/>
        <v/>
      </c>
    </row>
    <row r="1707" spans="16:26" x14ac:dyDescent="0.25">
      <c r="P1707" s="10" t="str">
        <f>IF('[1]All Data '!AZ1712="","",'[1]All Data '!AZ1712)</f>
        <v/>
      </c>
      <c r="Q1707" s="10" t="str">
        <f>IF('[1]All Data '!BB1712="","",'[1]All Data '!BB1712)</f>
        <v/>
      </c>
      <c r="R1707" s="10" t="str">
        <f>IF('[1]All Data '!BD1712="","",'[1]All Data '!BD1712)</f>
        <v/>
      </c>
      <c r="S1707" s="11" t="str">
        <f>IF(R1707="","",'[1]All Data '!BE1712)</f>
        <v/>
      </c>
      <c r="T1707" s="12" t="str">
        <f>IF(S1707="","",[1]Inputs_Outputs!$B$8*(1-'LOCH Calc COE Calc'!S1707))</f>
        <v/>
      </c>
      <c r="U1707" s="13" t="str">
        <f t="shared" si="131"/>
        <v/>
      </c>
      <c r="V1707" s="13" t="str">
        <f t="shared" si="132"/>
        <v/>
      </c>
      <c r="W1707" s="4" t="str">
        <f t="shared" si="133"/>
        <v/>
      </c>
      <c r="X1707" t="str">
        <f>IF(W1707="","",LOOKUP(_xlfn.CONCAT(P1707,", ",Q1707),'[1]T+S Costs'!$F$2:$F$3138,'[1]T+S Costs'!$N$2:$N$3138))</f>
        <v/>
      </c>
      <c r="Y1707" s="14" t="str">
        <f t="shared" si="134"/>
        <v/>
      </c>
      <c r="Z1707" s="4" t="str">
        <f t="shared" si="135"/>
        <v/>
      </c>
    </row>
    <row r="1708" spans="16:26" x14ac:dyDescent="0.25">
      <c r="P1708" s="10" t="str">
        <f>IF('[1]All Data '!AZ1713="","",'[1]All Data '!AZ1713)</f>
        <v/>
      </c>
      <c r="Q1708" s="10" t="str">
        <f>IF('[1]All Data '!BB1713="","",'[1]All Data '!BB1713)</f>
        <v/>
      </c>
      <c r="R1708" s="10" t="str">
        <f>IF('[1]All Data '!BD1713="","",'[1]All Data '!BD1713)</f>
        <v/>
      </c>
      <c r="S1708" s="11" t="str">
        <f>IF(R1708="","",'[1]All Data '!BE1713)</f>
        <v/>
      </c>
      <c r="T1708" s="12" t="str">
        <f>IF(S1708="","",[1]Inputs_Outputs!$B$8*(1-'LOCH Calc COE Calc'!S1708))</f>
        <v/>
      </c>
      <c r="U1708" s="13" t="str">
        <f t="shared" si="131"/>
        <v/>
      </c>
      <c r="V1708" s="13" t="str">
        <f t="shared" si="132"/>
        <v/>
      </c>
      <c r="W1708" s="4" t="str">
        <f t="shared" si="133"/>
        <v/>
      </c>
      <c r="X1708" t="str">
        <f>IF(W1708="","",LOOKUP(_xlfn.CONCAT(P1708,", ",Q1708),'[1]T+S Costs'!$F$2:$F$3138,'[1]T+S Costs'!$N$2:$N$3138))</f>
        <v/>
      </c>
      <c r="Y1708" s="14" t="str">
        <f t="shared" si="134"/>
        <v/>
      </c>
      <c r="Z1708" s="4" t="str">
        <f t="shared" si="135"/>
        <v/>
      </c>
    </row>
    <row r="1709" spans="16:26" x14ac:dyDescent="0.25">
      <c r="P1709" s="10" t="str">
        <f>IF('[1]All Data '!AZ1714="","",'[1]All Data '!AZ1714)</f>
        <v/>
      </c>
      <c r="Q1709" s="10" t="str">
        <f>IF('[1]All Data '!BB1714="","",'[1]All Data '!BB1714)</f>
        <v/>
      </c>
      <c r="R1709" s="10" t="str">
        <f>IF('[1]All Data '!BD1714="","",'[1]All Data '!BD1714)</f>
        <v/>
      </c>
      <c r="S1709" s="11" t="str">
        <f>IF(R1709="","",'[1]All Data '!BE1714)</f>
        <v/>
      </c>
      <c r="T1709" s="12" t="str">
        <f>IF(S1709="","",[1]Inputs_Outputs!$B$8*(1-'LOCH Calc COE Calc'!S1709))</f>
        <v/>
      </c>
      <c r="U1709" s="13" t="str">
        <f t="shared" si="131"/>
        <v/>
      </c>
      <c r="V1709" s="13" t="str">
        <f t="shared" si="132"/>
        <v/>
      </c>
      <c r="W1709" s="4" t="str">
        <f t="shared" si="133"/>
        <v/>
      </c>
      <c r="X1709" t="str">
        <f>IF(W1709="","",LOOKUP(_xlfn.CONCAT(P1709,", ",Q1709),'[1]T+S Costs'!$F$2:$F$3138,'[1]T+S Costs'!$N$2:$N$3138))</f>
        <v/>
      </c>
      <c r="Y1709" s="14" t="str">
        <f t="shared" si="134"/>
        <v/>
      </c>
      <c r="Z1709" s="4" t="str">
        <f t="shared" si="135"/>
        <v/>
      </c>
    </row>
    <row r="1710" spans="16:26" x14ac:dyDescent="0.25">
      <c r="P1710" s="10" t="str">
        <f>IF('[1]All Data '!AZ1715="","",'[1]All Data '!AZ1715)</f>
        <v/>
      </c>
      <c r="Q1710" s="10" t="str">
        <f>IF('[1]All Data '!BB1715="","",'[1]All Data '!BB1715)</f>
        <v/>
      </c>
      <c r="R1710" s="10" t="str">
        <f>IF('[1]All Data '!BD1715="","",'[1]All Data '!BD1715)</f>
        <v/>
      </c>
      <c r="S1710" s="11" t="str">
        <f>IF(R1710="","",'[1]All Data '!BE1715)</f>
        <v/>
      </c>
      <c r="T1710" s="12" t="str">
        <f>IF(S1710="","",[1]Inputs_Outputs!$B$8*(1-'LOCH Calc COE Calc'!S1710))</f>
        <v/>
      </c>
      <c r="U1710" s="13" t="str">
        <f t="shared" si="131"/>
        <v/>
      </c>
      <c r="V1710" s="13" t="str">
        <f t="shared" si="132"/>
        <v/>
      </c>
      <c r="W1710" s="4" t="str">
        <f t="shared" si="133"/>
        <v/>
      </c>
      <c r="X1710" t="str">
        <f>IF(W1710="","",LOOKUP(_xlfn.CONCAT(P1710,", ",Q1710),'[1]T+S Costs'!$F$2:$F$3138,'[1]T+S Costs'!$N$2:$N$3138))</f>
        <v/>
      </c>
      <c r="Y1710" s="14" t="str">
        <f t="shared" si="134"/>
        <v/>
      </c>
      <c r="Z1710" s="4" t="str">
        <f t="shared" si="135"/>
        <v/>
      </c>
    </row>
    <row r="1711" spans="16:26" x14ac:dyDescent="0.25">
      <c r="P1711" s="10" t="str">
        <f>IF('[1]All Data '!AZ1716="","",'[1]All Data '!AZ1716)</f>
        <v/>
      </c>
      <c r="Q1711" s="10" t="str">
        <f>IF('[1]All Data '!BB1716="","",'[1]All Data '!BB1716)</f>
        <v/>
      </c>
      <c r="R1711" s="10" t="str">
        <f>IF('[1]All Data '!BD1716="","",'[1]All Data '!BD1716)</f>
        <v/>
      </c>
      <c r="S1711" s="11" t="str">
        <f>IF(R1711="","",'[1]All Data '!BE1716)</f>
        <v/>
      </c>
      <c r="T1711" s="12" t="str">
        <f>IF(S1711="","",[1]Inputs_Outputs!$B$8*(1-'LOCH Calc COE Calc'!S1711))</f>
        <v/>
      </c>
      <c r="U1711" s="13" t="str">
        <f t="shared" si="131"/>
        <v/>
      </c>
      <c r="V1711" s="13" t="str">
        <f t="shared" si="132"/>
        <v/>
      </c>
      <c r="W1711" s="4" t="str">
        <f t="shared" si="133"/>
        <v/>
      </c>
      <c r="X1711" t="str">
        <f>IF(W1711="","",LOOKUP(_xlfn.CONCAT(P1711,", ",Q1711),'[1]T+S Costs'!$F$2:$F$3138,'[1]T+S Costs'!$N$2:$N$3138))</f>
        <v/>
      </c>
      <c r="Y1711" s="14" t="str">
        <f t="shared" si="134"/>
        <v/>
      </c>
      <c r="Z1711" s="4" t="str">
        <f t="shared" si="135"/>
        <v/>
      </c>
    </row>
    <row r="1712" spans="16:26" x14ac:dyDescent="0.25">
      <c r="P1712" s="10" t="str">
        <f>IF('[1]All Data '!AZ1717="","",'[1]All Data '!AZ1717)</f>
        <v/>
      </c>
      <c r="Q1712" s="10" t="str">
        <f>IF('[1]All Data '!BB1717="","",'[1]All Data '!BB1717)</f>
        <v/>
      </c>
      <c r="R1712" s="10" t="str">
        <f>IF('[1]All Data '!BD1717="","",'[1]All Data '!BD1717)</f>
        <v/>
      </c>
      <c r="S1712" s="11" t="str">
        <f>IF(R1712="","",'[1]All Data '!BE1717)</f>
        <v/>
      </c>
      <c r="T1712" s="12" t="str">
        <f>IF(S1712="","",[1]Inputs_Outputs!$B$8*(1-'LOCH Calc COE Calc'!S1712))</f>
        <v/>
      </c>
      <c r="U1712" s="13" t="str">
        <f t="shared" si="131"/>
        <v/>
      </c>
      <c r="V1712" s="13" t="str">
        <f t="shared" si="132"/>
        <v/>
      </c>
      <c r="W1712" s="4" t="str">
        <f t="shared" si="133"/>
        <v/>
      </c>
      <c r="X1712" t="str">
        <f>IF(W1712="","",LOOKUP(_xlfn.CONCAT(P1712,", ",Q1712),'[1]T+S Costs'!$F$2:$F$3138,'[1]T+S Costs'!$N$2:$N$3138))</f>
        <v/>
      </c>
      <c r="Y1712" s="14" t="str">
        <f t="shared" si="134"/>
        <v/>
      </c>
      <c r="Z1712" s="4" t="str">
        <f t="shared" si="135"/>
        <v/>
      </c>
    </row>
    <row r="1713" spans="16:26" x14ac:dyDescent="0.25">
      <c r="P1713" s="10" t="str">
        <f>IF('[1]All Data '!AZ1718="","",'[1]All Data '!AZ1718)</f>
        <v/>
      </c>
      <c r="Q1713" s="10" t="str">
        <f>IF('[1]All Data '!BB1718="","",'[1]All Data '!BB1718)</f>
        <v/>
      </c>
      <c r="R1713" s="10" t="str">
        <f>IF('[1]All Data '!BD1718="","",'[1]All Data '!BD1718)</f>
        <v/>
      </c>
      <c r="S1713" s="11" t="str">
        <f>IF(R1713="","",'[1]All Data '!BE1718)</f>
        <v/>
      </c>
      <c r="T1713" s="12" t="str">
        <f>IF(S1713="","",[1]Inputs_Outputs!$B$8*(1-'LOCH Calc COE Calc'!S1713))</f>
        <v/>
      </c>
      <c r="U1713" s="13" t="str">
        <f t="shared" si="131"/>
        <v/>
      </c>
      <c r="V1713" s="13" t="str">
        <f t="shared" si="132"/>
        <v/>
      </c>
      <c r="W1713" s="4" t="str">
        <f t="shared" si="133"/>
        <v/>
      </c>
      <c r="X1713" t="str">
        <f>IF(W1713="","",LOOKUP(_xlfn.CONCAT(P1713,", ",Q1713),'[1]T+S Costs'!$F$2:$F$3138,'[1]T+S Costs'!$N$2:$N$3138))</f>
        <v/>
      </c>
      <c r="Y1713" s="14" t="str">
        <f t="shared" si="134"/>
        <v/>
      </c>
      <c r="Z1713" s="4" t="str">
        <f t="shared" si="135"/>
        <v/>
      </c>
    </row>
    <row r="1714" spans="16:26" x14ac:dyDescent="0.25">
      <c r="P1714" s="10" t="str">
        <f>IF('[1]All Data '!AZ1719="","",'[1]All Data '!AZ1719)</f>
        <v/>
      </c>
      <c r="Q1714" s="10" t="str">
        <f>IF('[1]All Data '!BB1719="","",'[1]All Data '!BB1719)</f>
        <v/>
      </c>
      <c r="R1714" s="10" t="str">
        <f>IF('[1]All Data '!BD1719="","",'[1]All Data '!BD1719)</f>
        <v/>
      </c>
      <c r="S1714" s="11" t="str">
        <f>IF(R1714="","",'[1]All Data '!BE1719)</f>
        <v/>
      </c>
      <c r="T1714" s="12" t="str">
        <f>IF(S1714="","",[1]Inputs_Outputs!$B$8*(1-'LOCH Calc COE Calc'!S1714))</f>
        <v/>
      </c>
      <c r="U1714" s="13" t="str">
        <f t="shared" si="131"/>
        <v/>
      </c>
      <c r="V1714" s="13" t="str">
        <f t="shared" si="132"/>
        <v/>
      </c>
      <c r="W1714" s="4" t="str">
        <f t="shared" si="133"/>
        <v/>
      </c>
      <c r="X1714" t="str">
        <f>IF(W1714="","",LOOKUP(_xlfn.CONCAT(P1714,", ",Q1714),'[1]T+S Costs'!$F$2:$F$3138,'[1]T+S Costs'!$N$2:$N$3138))</f>
        <v/>
      </c>
      <c r="Y1714" s="14" t="str">
        <f t="shared" si="134"/>
        <v/>
      </c>
      <c r="Z1714" s="4" t="str">
        <f t="shared" si="135"/>
        <v/>
      </c>
    </row>
    <row r="1715" spans="16:26" x14ac:dyDescent="0.25">
      <c r="P1715" s="10" t="str">
        <f>IF('[1]All Data '!AZ1720="","",'[1]All Data '!AZ1720)</f>
        <v/>
      </c>
      <c r="Q1715" s="10" t="str">
        <f>IF('[1]All Data '!BB1720="","",'[1]All Data '!BB1720)</f>
        <v/>
      </c>
      <c r="R1715" s="10" t="str">
        <f>IF('[1]All Data '!BD1720="","",'[1]All Data '!BD1720)</f>
        <v/>
      </c>
      <c r="S1715" s="11" t="str">
        <f>IF(R1715="","",'[1]All Data '!BE1720)</f>
        <v/>
      </c>
      <c r="T1715" s="12" t="str">
        <f>IF(S1715="","",[1]Inputs_Outputs!$B$8*(1-'LOCH Calc COE Calc'!S1715))</f>
        <v/>
      </c>
      <c r="U1715" s="13" t="str">
        <f t="shared" si="131"/>
        <v/>
      </c>
      <c r="V1715" s="13" t="str">
        <f t="shared" si="132"/>
        <v/>
      </c>
      <c r="W1715" s="4" t="str">
        <f t="shared" si="133"/>
        <v/>
      </c>
      <c r="X1715" t="str">
        <f>IF(W1715="","",LOOKUP(_xlfn.CONCAT(P1715,", ",Q1715),'[1]T+S Costs'!$F$2:$F$3138,'[1]T+S Costs'!$N$2:$N$3138))</f>
        <v/>
      </c>
      <c r="Y1715" s="14" t="str">
        <f t="shared" si="134"/>
        <v/>
      </c>
      <c r="Z1715" s="4" t="str">
        <f t="shared" si="135"/>
        <v/>
      </c>
    </row>
    <row r="1716" spans="16:26" x14ac:dyDescent="0.25">
      <c r="P1716" s="10" t="str">
        <f>IF('[1]All Data '!AZ1721="","",'[1]All Data '!AZ1721)</f>
        <v/>
      </c>
      <c r="Q1716" s="10" t="str">
        <f>IF('[1]All Data '!BB1721="","",'[1]All Data '!BB1721)</f>
        <v/>
      </c>
      <c r="R1716" s="10" t="str">
        <f>IF('[1]All Data '!BD1721="","",'[1]All Data '!BD1721)</f>
        <v/>
      </c>
      <c r="S1716" s="11" t="str">
        <f>IF(R1716="","",'[1]All Data '!BE1721)</f>
        <v/>
      </c>
      <c r="T1716" s="12" t="str">
        <f>IF(S1716="","",[1]Inputs_Outputs!$B$8*(1-'LOCH Calc COE Calc'!S1716))</f>
        <v/>
      </c>
      <c r="U1716" s="13" t="str">
        <f t="shared" si="131"/>
        <v/>
      </c>
      <c r="V1716" s="13" t="str">
        <f t="shared" si="132"/>
        <v/>
      </c>
      <c r="W1716" s="4" t="str">
        <f t="shared" si="133"/>
        <v/>
      </c>
      <c r="X1716" t="str">
        <f>IF(W1716="","",LOOKUP(_xlfn.CONCAT(P1716,", ",Q1716),'[1]T+S Costs'!$F$2:$F$3138,'[1]T+S Costs'!$N$2:$N$3138))</f>
        <v/>
      </c>
      <c r="Y1716" s="14" t="str">
        <f t="shared" si="134"/>
        <v/>
      </c>
      <c r="Z1716" s="4" t="str">
        <f t="shared" si="135"/>
        <v/>
      </c>
    </row>
    <row r="1717" spans="16:26" x14ac:dyDescent="0.25">
      <c r="P1717" s="10" t="str">
        <f>IF('[1]All Data '!AZ1722="","",'[1]All Data '!AZ1722)</f>
        <v/>
      </c>
      <c r="Q1717" s="10" t="str">
        <f>IF('[1]All Data '!BB1722="","",'[1]All Data '!BB1722)</f>
        <v/>
      </c>
      <c r="R1717" s="10" t="str">
        <f>IF('[1]All Data '!BD1722="","",'[1]All Data '!BD1722)</f>
        <v/>
      </c>
      <c r="S1717" s="11" t="str">
        <f>IF(R1717="","",'[1]All Data '!BE1722)</f>
        <v/>
      </c>
      <c r="T1717" s="12" t="str">
        <f>IF(S1717="","",[1]Inputs_Outputs!$B$8*(1-'LOCH Calc COE Calc'!S1717))</f>
        <v/>
      </c>
      <c r="U1717" s="13" t="str">
        <f t="shared" si="131"/>
        <v/>
      </c>
      <c r="V1717" s="13" t="str">
        <f t="shared" si="132"/>
        <v/>
      </c>
      <c r="W1717" s="4" t="str">
        <f t="shared" si="133"/>
        <v/>
      </c>
      <c r="X1717" t="str">
        <f>IF(W1717="","",LOOKUP(_xlfn.CONCAT(P1717,", ",Q1717),'[1]T+S Costs'!$F$2:$F$3138,'[1]T+S Costs'!$N$2:$N$3138))</f>
        <v/>
      </c>
      <c r="Y1717" s="14" t="str">
        <f t="shared" si="134"/>
        <v/>
      </c>
      <c r="Z1717" s="4" t="str">
        <f t="shared" si="135"/>
        <v/>
      </c>
    </row>
    <row r="1718" spans="16:26" x14ac:dyDescent="0.25">
      <c r="P1718" s="10" t="str">
        <f>IF('[1]All Data '!AZ1723="","",'[1]All Data '!AZ1723)</f>
        <v/>
      </c>
      <c r="Q1718" s="10" t="str">
        <f>IF('[1]All Data '!BB1723="","",'[1]All Data '!BB1723)</f>
        <v/>
      </c>
      <c r="R1718" s="10" t="str">
        <f>IF('[1]All Data '!BD1723="","",'[1]All Data '!BD1723)</f>
        <v/>
      </c>
      <c r="S1718" s="11" t="str">
        <f>IF(R1718="","",'[1]All Data '!BE1723)</f>
        <v/>
      </c>
      <c r="T1718" s="12" t="str">
        <f>IF(S1718="","",[1]Inputs_Outputs!$B$8*(1-'LOCH Calc COE Calc'!S1718))</f>
        <v/>
      </c>
      <c r="U1718" s="13" t="str">
        <f t="shared" si="131"/>
        <v/>
      </c>
      <c r="V1718" s="13" t="str">
        <f t="shared" si="132"/>
        <v/>
      </c>
      <c r="W1718" s="4" t="str">
        <f t="shared" si="133"/>
        <v/>
      </c>
      <c r="X1718" t="str">
        <f>IF(W1718="","",LOOKUP(_xlfn.CONCAT(P1718,", ",Q1718),'[1]T+S Costs'!$F$2:$F$3138,'[1]T+S Costs'!$N$2:$N$3138))</f>
        <v/>
      </c>
      <c r="Y1718" s="14" t="str">
        <f t="shared" si="134"/>
        <v/>
      </c>
      <c r="Z1718" s="4" t="str">
        <f t="shared" si="135"/>
        <v/>
      </c>
    </row>
    <row r="1719" spans="16:26" x14ac:dyDescent="0.25">
      <c r="P1719" s="10" t="str">
        <f>IF('[1]All Data '!AZ1724="","",'[1]All Data '!AZ1724)</f>
        <v/>
      </c>
      <c r="Q1719" s="10" t="str">
        <f>IF('[1]All Data '!BB1724="","",'[1]All Data '!BB1724)</f>
        <v/>
      </c>
      <c r="R1719" s="10" t="str">
        <f>IF('[1]All Data '!BD1724="","",'[1]All Data '!BD1724)</f>
        <v/>
      </c>
      <c r="S1719" s="11" t="str">
        <f>IF(R1719="","",'[1]All Data '!BE1724)</f>
        <v/>
      </c>
      <c r="T1719" s="12" t="str">
        <f>IF(S1719="","",[1]Inputs_Outputs!$B$8*(1-'LOCH Calc COE Calc'!S1719))</f>
        <v/>
      </c>
      <c r="U1719" s="13" t="str">
        <f t="shared" si="131"/>
        <v/>
      </c>
      <c r="V1719" s="13" t="str">
        <f t="shared" si="132"/>
        <v/>
      </c>
      <c r="W1719" s="4" t="str">
        <f t="shared" si="133"/>
        <v/>
      </c>
      <c r="X1719" t="str">
        <f>IF(W1719="","",LOOKUP(_xlfn.CONCAT(P1719,", ",Q1719),'[1]T+S Costs'!$F$2:$F$3138,'[1]T+S Costs'!$N$2:$N$3138))</f>
        <v/>
      </c>
      <c r="Y1719" s="14" t="str">
        <f t="shared" si="134"/>
        <v/>
      </c>
      <c r="Z1719" s="4" t="str">
        <f t="shared" si="135"/>
        <v/>
      </c>
    </row>
    <row r="1720" spans="16:26" x14ac:dyDescent="0.25">
      <c r="P1720" s="10" t="str">
        <f>IF('[1]All Data '!AZ1725="","",'[1]All Data '!AZ1725)</f>
        <v/>
      </c>
      <c r="Q1720" s="10" t="str">
        <f>IF('[1]All Data '!BB1725="","",'[1]All Data '!BB1725)</f>
        <v/>
      </c>
      <c r="R1720" s="10" t="str">
        <f>IF('[1]All Data '!BD1725="","",'[1]All Data '!BD1725)</f>
        <v/>
      </c>
      <c r="S1720" s="11" t="str">
        <f>IF(R1720="","",'[1]All Data '!BE1725)</f>
        <v/>
      </c>
      <c r="T1720" s="12" t="str">
        <f>IF(S1720="","",[1]Inputs_Outputs!$B$8*(1-'LOCH Calc COE Calc'!S1720))</f>
        <v/>
      </c>
      <c r="U1720" s="13" t="str">
        <f t="shared" si="131"/>
        <v/>
      </c>
      <c r="V1720" s="13" t="str">
        <f t="shared" si="132"/>
        <v/>
      </c>
      <c r="W1720" s="4" t="str">
        <f t="shared" si="133"/>
        <v/>
      </c>
      <c r="X1720" t="str">
        <f>IF(W1720="","",LOOKUP(_xlfn.CONCAT(P1720,", ",Q1720),'[1]T+S Costs'!$F$2:$F$3138,'[1]T+S Costs'!$N$2:$N$3138))</f>
        <v/>
      </c>
      <c r="Y1720" s="14" t="str">
        <f t="shared" si="134"/>
        <v/>
      </c>
      <c r="Z1720" s="4" t="str">
        <f t="shared" si="135"/>
        <v/>
      </c>
    </row>
    <row r="1721" spans="16:26" x14ac:dyDescent="0.25">
      <c r="P1721" s="10" t="str">
        <f>IF('[1]All Data '!AZ1726="","",'[1]All Data '!AZ1726)</f>
        <v/>
      </c>
      <c r="Q1721" s="10" t="str">
        <f>IF('[1]All Data '!BB1726="","",'[1]All Data '!BB1726)</f>
        <v/>
      </c>
      <c r="R1721" s="10" t="str">
        <f>IF('[1]All Data '!BD1726="","",'[1]All Data '!BD1726)</f>
        <v/>
      </c>
      <c r="S1721" s="11" t="str">
        <f>IF(R1721="","",'[1]All Data '!BE1726)</f>
        <v/>
      </c>
      <c r="T1721" s="12" t="str">
        <f>IF(S1721="","",[1]Inputs_Outputs!$B$8*(1-'LOCH Calc COE Calc'!S1721))</f>
        <v/>
      </c>
      <c r="U1721" s="13" t="str">
        <f t="shared" si="131"/>
        <v/>
      </c>
      <c r="V1721" s="13" t="str">
        <f t="shared" si="132"/>
        <v/>
      </c>
      <c r="W1721" s="4" t="str">
        <f t="shared" si="133"/>
        <v/>
      </c>
      <c r="X1721" t="str">
        <f>IF(W1721="","",LOOKUP(_xlfn.CONCAT(P1721,", ",Q1721),'[1]T+S Costs'!$F$2:$F$3138,'[1]T+S Costs'!$N$2:$N$3138))</f>
        <v/>
      </c>
      <c r="Y1721" s="14" t="str">
        <f t="shared" si="134"/>
        <v/>
      </c>
      <c r="Z1721" s="4" t="str">
        <f t="shared" si="135"/>
        <v/>
      </c>
    </row>
    <row r="1722" spans="16:26" x14ac:dyDescent="0.25">
      <c r="P1722" s="10" t="str">
        <f>IF('[1]All Data '!AZ1727="","",'[1]All Data '!AZ1727)</f>
        <v/>
      </c>
      <c r="Q1722" s="10" t="str">
        <f>IF('[1]All Data '!BB1727="","",'[1]All Data '!BB1727)</f>
        <v/>
      </c>
      <c r="R1722" s="10" t="str">
        <f>IF('[1]All Data '!BD1727="","",'[1]All Data '!BD1727)</f>
        <v/>
      </c>
      <c r="S1722" s="11" t="str">
        <f>IF(R1722="","",'[1]All Data '!BE1727)</f>
        <v/>
      </c>
      <c r="T1722" s="12" t="str">
        <f>IF(S1722="","",[1]Inputs_Outputs!$B$8*(1-'LOCH Calc COE Calc'!S1722))</f>
        <v/>
      </c>
      <c r="U1722" s="13" t="str">
        <f t="shared" si="131"/>
        <v/>
      </c>
      <c r="V1722" s="13" t="str">
        <f t="shared" si="132"/>
        <v/>
      </c>
      <c r="W1722" s="4" t="str">
        <f t="shared" si="133"/>
        <v/>
      </c>
      <c r="X1722" t="str">
        <f>IF(W1722="","",LOOKUP(_xlfn.CONCAT(P1722,", ",Q1722),'[1]T+S Costs'!$F$2:$F$3138,'[1]T+S Costs'!$N$2:$N$3138))</f>
        <v/>
      </c>
      <c r="Y1722" s="14" t="str">
        <f t="shared" si="134"/>
        <v/>
      </c>
      <c r="Z1722" s="4" t="str">
        <f t="shared" si="135"/>
        <v/>
      </c>
    </row>
    <row r="1723" spans="16:26" x14ac:dyDescent="0.25">
      <c r="P1723" s="10" t="str">
        <f>IF('[1]All Data '!AZ1728="","",'[1]All Data '!AZ1728)</f>
        <v/>
      </c>
      <c r="Q1723" s="10" t="str">
        <f>IF('[1]All Data '!BB1728="","",'[1]All Data '!BB1728)</f>
        <v/>
      </c>
      <c r="R1723" s="10" t="str">
        <f>IF('[1]All Data '!BD1728="","",'[1]All Data '!BD1728)</f>
        <v/>
      </c>
      <c r="S1723" s="11" t="str">
        <f>IF(R1723="","",'[1]All Data '!BE1728)</f>
        <v/>
      </c>
      <c r="T1723" s="12" t="str">
        <f>IF(S1723="","",[1]Inputs_Outputs!$B$8*(1-'LOCH Calc COE Calc'!S1723))</f>
        <v/>
      </c>
      <c r="U1723" s="13" t="str">
        <f t="shared" si="131"/>
        <v/>
      </c>
      <c r="V1723" s="13" t="str">
        <f t="shared" si="132"/>
        <v/>
      </c>
      <c r="W1723" s="4" t="str">
        <f t="shared" si="133"/>
        <v/>
      </c>
      <c r="X1723" t="str">
        <f>IF(W1723="","",LOOKUP(_xlfn.CONCAT(P1723,", ",Q1723),'[1]T+S Costs'!$F$2:$F$3138,'[1]T+S Costs'!$N$2:$N$3138))</f>
        <v/>
      </c>
      <c r="Y1723" s="14" t="str">
        <f t="shared" si="134"/>
        <v/>
      </c>
      <c r="Z1723" s="4" t="str">
        <f t="shared" si="135"/>
        <v/>
      </c>
    </row>
    <row r="1724" spans="16:26" x14ac:dyDescent="0.25">
      <c r="P1724" s="10" t="str">
        <f>IF('[1]All Data '!AZ1729="","",'[1]All Data '!AZ1729)</f>
        <v/>
      </c>
      <c r="Q1724" s="10" t="str">
        <f>IF('[1]All Data '!BB1729="","",'[1]All Data '!BB1729)</f>
        <v/>
      </c>
      <c r="R1724" s="10" t="str">
        <f>IF('[1]All Data '!BD1729="","",'[1]All Data '!BD1729)</f>
        <v/>
      </c>
      <c r="S1724" s="11" t="str">
        <f>IF(R1724="","",'[1]All Data '!BE1729)</f>
        <v/>
      </c>
      <c r="T1724" s="12" t="str">
        <f>IF(S1724="","",[1]Inputs_Outputs!$B$8*(1-'LOCH Calc COE Calc'!S1724))</f>
        <v/>
      </c>
      <c r="U1724" s="13" t="str">
        <f t="shared" si="131"/>
        <v/>
      </c>
      <c r="V1724" s="13" t="str">
        <f t="shared" si="132"/>
        <v/>
      </c>
      <c r="W1724" s="4" t="str">
        <f t="shared" si="133"/>
        <v/>
      </c>
      <c r="X1724" t="str">
        <f>IF(W1724="","",LOOKUP(_xlfn.CONCAT(P1724,", ",Q1724),'[1]T+S Costs'!$F$2:$F$3138,'[1]T+S Costs'!$N$2:$N$3138))</f>
        <v/>
      </c>
      <c r="Y1724" s="14" t="str">
        <f t="shared" si="134"/>
        <v/>
      </c>
      <c r="Z1724" s="4" t="str">
        <f t="shared" si="135"/>
        <v/>
      </c>
    </row>
    <row r="1725" spans="16:26" x14ac:dyDescent="0.25">
      <c r="P1725" s="10" t="str">
        <f>IF('[1]All Data '!AZ1730="","",'[1]All Data '!AZ1730)</f>
        <v/>
      </c>
      <c r="Q1725" s="10" t="str">
        <f>IF('[1]All Data '!BB1730="","",'[1]All Data '!BB1730)</f>
        <v/>
      </c>
      <c r="R1725" s="10" t="str">
        <f>IF('[1]All Data '!BD1730="","",'[1]All Data '!BD1730)</f>
        <v/>
      </c>
      <c r="S1725" s="11" t="str">
        <f>IF(R1725="","",'[1]All Data '!BE1730)</f>
        <v/>
      </c>
      <c r="T1725" s="12" t="str">
        <f>IF(S1725="","",[1]Inputs_Outputs!$B$8*(1-'LOCH Calc COE Calc'!S1725))</f>
        <v/>
      </c>
      <c r="U1725" s="13" t="str">
        <f t="shared" si="131"/>
        <v/>
      </c>
      <c r="V1725" s="13" t="str">
        <f t="shared" si="132"/>
        <v/>
      </c>
      <c r="W1725" s="4" t="str">
        <f t="shared" si="133"/>
        <v/>
      </c>
      <c r="X1725" t="str">
        <f>IF(W1725="","",LOOKUP(_xlfn.CONCAT(P1725,", ",Q1725),'[1]T+S Costs'!$F$2:$F$3138,'[1]T+S Costs'!$N$2:$N$3138))</f>
        <v/>
      </c>
      <c r="Y1725" s="14" t="str">
        <f t="shared" si="134"/>
        <v/>
      </c>
      <c r="Z1725" s="4" t="str">
        <f t="shared" si="135"/>
        <v/>
      </c>
    </row>
    <row r="1726" spans="16:26" x14ac:dyDescent="0.25">
      <c r="P1726" s="10" t="str">
        <f>IF('[1]All Data '!AZ1731="","",'[1]All Data '!AZ1731)</f>
        <v/>
      </c>
      <c r="Q1726" s="10" t="str">
        <f>IF('[1]All Data '!BB1731="","",'[1]All Data '!BB1731)</f>
        <v/>
      </c>
      <c r="R1726" s="10" t="str">
        <f>IF('[1]All Data '!BD1731="","",'[1]All Data '!BD1731)</f>
        <v/>
      </c>
      <c r="S1726" s="11" t="str">
        <f>IF(R1726="","",'[1]All Data '!BE1731)</f>
        <v/>
      </c>
      <c r="T1726" s="12" t="str">
        <f>IF(S1726="","",[1]Inputs_Outputs!$B$8*(1-'LOCH Calc COE Calc'!S1726))</f>
        <v/>
      </c>
      <c r="U1726" s="13" t="str">
        <f t="shared" si="131"/>
        <v/>
      </c>
      <c r="V1726" s="13" t="str">
        <f t="shared" si="132"/>
        <v/>
      </c>
      <c r="W1726" s="4" t="str">
        <f t="shared" si="133"/>
        <v/>
      </c>
      <c r="X1726" t="str">
        <f>IF(W1726="","",LOOKUP(_xlfn.CONCAT(P1726,", ",Q1726),'[1]T+S Costs'!$F$2:$F$3138,'[1]T+S Costs'!$N$2:$N$3138))</f>
        <v/>
      </c>
      <c r="Y1726" s="14" t="str">
        <f t="shared" si="134"/>
        <v/>
      </c>
      <c r="Z1726" s="4" t="str">
        <f t="shared" si="135"/>
        <v/>
      </c>
    </row>
    <row r="1727" spans="16:26" x14ac:dyDescent="0.25">
      <c r="P1727" s="10" t="str">
        <f>IF('[1]All Data '!AZ1732="","",'[1]All Data '!AZ1732)</f>
        <v/>
      </c>
      <c r="Q1727" s="10" t="str">
        <f>IF('[1]All Data '!BB1732="","",'[1]All Data '!BB1732)</f>
        <v/>
      </c>
      <c r="R1727" s="10" t="str">
        <f>IF('[1]All Data '!BD1732="","",'[1]All Data '!BD1732)</f>
        <v/>
      </c>
      <c r="S1727" s="11" t="str">
        <f>IF(R1727="","",'[1]All Data '!BE1732)</f>
        <v/>
      </c>
      <c r="T1727" s="12" t="str">
        <f>IF(S1727="","",[1]Inputs_Outputs!$B$8*(1-'LOCH Calc COE Calc'!S1727))</f>
        <v/>
      </c>
      <c r="U1727" s="13" t="str">
        <f t="shared" si="131"/>
        <v/>
      </c>
      <c r="V1727" s="13" t="str">
        <f t="shared" si="132"/>
        <v/>
      </c>
      <c r="W1727" s="4" t="str">
        <f t="shared" si="133"/>
        <v/>
      </c>
      <c r="X1727" t="str">
        <f>IF(W1727="","",LOOKUP(_xlfn.CONCAT(P1727,", ",Q1727),'[1]T+S Costs'!$F$2:$F$3138,'[1]T+S Costs'!$N$2:$N$3138))</f>
        <v/>
      </c>
      <c r="Y1727" s="14" t="str">
        <f t="shared" si="134"/>
        <v/>
      </c>
      <c r="Z1727" s="4" t="str">
        <f t="shared" si="135"/>
        <v/>
      </c>
    </row>
    <row r="1728" spans="16:26" x14ac:dyDescent="0.25">
      <c r="P1728" s="10" t="str">
        <f>IF('[1]All Data '!AZ1733="","",'[1]All Data '!AZ1733)</f>
        <v/>
      </c>
      <c r="Q1728" s="10" t="str">
        <f>IF('[1]All Data '!BB1733="","",'[1]All Data '!BB1733)</f>
        <v/>
      </c>
      <c r="R1728" s="10" t="str">
        <f>IF('[1]All Data '!BD1733="","",'[1]All Data '!BD1733)</f>
        <v/>
      </c>
      <c r="S1728" s="11" t="str">
        <f>IF(R1728="","",'[1]All Data '!BE1733)</f>
        <v/>
      </c>
      <c r="T1728" s="12" t="str">
        <f>IF(S1728="","",[1]Inputs_Outputs!$B$8*(1-'LOCH Calc COE Calc'!S1728))</f>
        <v/>
      </c>
      <c r="U1728" s="13" t="str">
        <f t="shared" si="131"/>
        <v/>
      </c>
      <c r="V1728" s="13" t="str">
        <f t="shared" si="132"/>
        <v/>
      </c>
      <c r="W1728" s="4" t="str">
        <f t="shared" si="133"/>
        <v/>
      </c>
      <c r="X1728" t="str">
        <f>IF(W1728="","",LOOKUP(_xlfn.CONCAT(P1728,", ",Q1728),'[1]T+S Costs'!$F$2:$F$3138,'[1]T+S Costs'!$N$2:$N$3138))</f>
        <v/>
      </c>
      <c r="Y1728" s="14" t="str">
        <f t="shared" si="134"/>
        <v/>
      </c>
      <c r="Z1728" s="4" t="str">
        <f t="shared" si="135"/>
        <v/>
      </c>
    </row>
    <row r="1729" spans="16:26" x14ac:dyDescent="0.25">
      <c r="P1729" s="10" t="str">
        <f>IF('[1]All Data '!AZ1734="","",'[1]All Data '!AZ1734)</f>
        <v/>
      </c>
      <c r="Q1729" s="10" t="str">
        <f>IF('[1]All Data '!BB1734="","",'[1]All Data '!BB1734)</f>
        <v/>
      </c>
      <c r="R1729" s="10" t="str">
        <f>IF('[1]All Data '!BD1734="","",'[1]All Data '!BD1734)</f>
        <v/>
      </c>
      <c r="S1729" s="11" t="str">
        <f>IF(R1729="","",'[1]All Data '!BE1734)</f>
        <v/>
      </c>
      <c r="T1729" s="12" t="str">
        <f>IF(S1729="","",[1]Inputs_Outputs!$B$8*(1-'LOCH Calc COE Calc'!S1729))</f>
        <v/>
      </c>
      <c r="U1729" s="13" t="str">
        <f t="shared" si="131"/>
        <v/>
      </c>
      <c r="V1729" s="13" t="str">
        <f t="shared" si="132"/>
        <v/>
      </c>
      <c r="W1729" s="4" t="str">
        <f t="shared" si="133"/>
        <v/>
      </c>
      <c r="X1729" t="str">
        <f>IF(W1729="","",LOOKUP(_xlfn.CONCAT(P1729,", ",Q1729),'[1]T+S Costs'!$F$2:$F$3138,'[1]T+S Costs'!$N$2:$N$3138))</f>
        <v/>
      </c>
      <c r="Y1729" s="14" t="str">
        <f t="shared" si="134"/>
        <v/>
      </c>
      <c r="Z1729" s="4" t="str">
        <f t="shared" si="135"/>
        <v/>
      </c>
    </row>
    <row r="1730" spans="16:26" x14ac:dyDescent="0.25">
      <c r="P1730" s="10" t="str">
        <f>IF('[1]All Data '!AZ1735="","",'[1]All Data '!AZ1735)</f>
        <v/>
      </c>
      <c r="Q1730" s="10" t="str">
        <f>IF('[1]All Data '!BB1735="","",'[1]All Data '!BB1735)</f>
        <v/>
      </c>
      <c r="R1730" s="10" t="str">
        <f>IF('[1]All Data '!BD1735="","",'[1]All Data '!BD1735)</f>
        <v/>
      </c>
      <c r="S1730" s="11" t="str">
        <f>IF(R1730="","",'[1]All Data '!BE1735)</f>
        <v/>
      </c>
      <c r="T1730" s="12" t="str">
        <f>IF(S1730="","",[1]Inputs_Outputs!$B$8*(1-'LOCH Calc COE Calc'!S1730))</f>
        <v/>
      </c>
      <c r="U1730" s="13" t="str">
        <f t="shared" si="131"/>
        <v/>
      </c>
      <c r="V1730" s="13" t="str">
        <f t="shared" si="132"/>
        <v/>
      </c>
      <c r="W1730" s="4" t="str">
        <f t="shared" si="133"/>
        <v/>
      </c>
      <c r="X1730" t="str">
        <f>IF(W1730="","",LOOKUP(_xlfn.CONCAT(P1730,", ",Q1730),'[1]T+S Costs'!$F$2:$F$3138,'[1]T+S Costs'!$N$2:$N$3138))</f>
        <v/>
      </c>
      <c r="Y1730" s="14" t="str">
        <f t="shared" si="134"/>
        <v/>
      </c>
      <c r="Z1730" s="4" t="str">
        <f t="shared" si="135"/>
        <v/>
      </c>
    </row>
    <row r="1731" spans="16:26" x14ac:dyDescent="0.25">
      <c r="P1731" s="10" t="str">
        <f>IF('[1]All Data '!AZ1736="","",'[1]All Data '!AZ1736)</f>
        <v/>
      </c>
      <c r="Q1731" s="10" t="str">
        <f>IF('[1]All Data '!BB1736="","",'[1]All Data '!BB1736)</f>
        <v/>
      </c>
      <c r="R1731" s="10" t="str">
        <f>IF('[1]All Data '!BD1736="","",'[1]All Data '!BD1736)</f>
        <v/>
      </c>
      <c r="S1731" s="11" t="str">
        <f>IF(R1731="","",'[1]All Data '!BE1736)</f>
        <v/>
      </c>
      <c r="T1731" s="12" t="str">
        <f>IF(S1731="","",[1]Inputs_Outputs!$B$8*(1-'LOCH Calc COE Calc'!S1731))</f>
        <v/>
      </c>
      <c r="U1731" s="13" t="str">
        <f t="shared" ref="U1731:U1794" si="136">IF(S1731="","",R1731*T1731*365*$B$19/100)</f>
        <v/>
      </c>
      <c r="V1731" s="13" t="str">
        <f t="shared" ref="V1731:V1794" si="137">IF(S1731="","",(U1731*$B$19)/(($B$28)*$B$19))</f>
        <v/>
      </c>
      <c r="W1731" s="4" t="str">
        <f t="shared" ref="W1731:W1794" si="138">IF(S1731="","",V1731+$C$49+$C$50+$C$51)</f>
        <v/>
      </c>
      <c r="X1731" t="str">
        <f>IF(W1731="","",LOOKUP(_xlfn.CONCAT(P1731,", ",Q1731),'[1]T+S Costs'!$F$2:$F$3138,'[1]T+S Costs'!$N$2:$N$3138))</f>
        <v/>
      </c>
      <c r="Y1731" s="14" t="str">
        <f t="shared" ref="Y1731:Y1794" si="139">IF(X1731="","",((X1731*$B$60/$B$59)*$C$44)/$C$28)</f>
        <v/>
      </c>
      <c r="Z1731" s="4" t="str">
        <f t="shared" ref="Z1731:Z1794" si="140">IF(Y1731="","",W1731+Y1731)</f>
        <v/>
      </c>
    </row>
    <row r="1732" spans="16:26" x14ac:dyDescent="0.25">
      <c r="P1732" s="10" t="str">
        <f>IF('[1]All Data '!AZ1737="","",'[1]All Data '!AZ1737)</f>
        <v/>
      </c>
      <c r="Q1732" s="10" t="str">
        <f>IF('[1]All Data '!BB1737="","",'[1]All Data '!BB1737)</f>
        <v/>
      </c>
      <c r="R1732" s="10" t="str">
        <f>IF('[1]All Data '!BD1737="","",'[1]All Data '!BD1737)</f>
        <v/>
      </c>
      <c r="S1732" s="11" t="str">
        <f>IF(R1732="","",'[1]All Data '!BE1737)</f>
        <v/>
      </c>
      <c r="T1732" s="12" t="str">
        <f>IF(S1732="","",[1]Inputs_Outputs!$B$8*(1-'LOCH Calc COE Calc'!S1732))</f>
        <v/>
      </c>
      <c r="U1732" s="13" t="str">
        <f t="shared" si="136"/>
        <v/>
      </c>
      <c r="V1732" s="13" t="str">
        <f t="shared" si="137"/>
        <v/>
      </c>
      <c r="W1732" s="4" t="str">
        <f t="shared" si="138"/>
        <v/>
      </c>
      <c r="X1732" t="str">
        <f>IF(W1732="","",LOOKUP(_xlfn.CONCAT(P1732,", ",Q1732),'[1]T+S Costs'!$F$2:$F$3138,'[1]T+S Costs'!$N$2:$N$3138))</f>
        <v/>
      </c>
      <c r="Y1732" s="14" t="str">
        <f t="shared" si="139"/>
        <v/>
      </c>
      <c r="Z1732" s="4" t="str">
        <f t="shared" si="140"/>
        <v/>
      </c>
    </row>
    <row r="1733" spans="16:26" x14ac:dyDescent="0.25">
      <c r="P1733" s="10" t="str">
        <f>IF('[1]All Data '!AZ1738="","",'[1]All Data '!AZ1738)</f>
        <v/>
      </c>
      <c r="Q1733" s="10" t="str">
        <f>IF('[1]All Data '!BB1738="","",'[1]All Data '!BB1738)</f>
        <v/>
      </c>
      <c r="R1733" s="10" t="str">
        <f>IF('[1]All Data '!BD1738="","",'[1]All Data '!BD1738)</f>
        <v/>
      </c>
      <c r="S1733" s="11" t="str">
        <f>IF(R1733="","",'[1]All Data '!BE1738)</f>
        <v/>
      </c>
      <c r="T1733" s="12" t="str">
        <f>IF(S1733="","",[1]Inputs_Outputs!$B$8*(1-'LOCH Calc COE Calc'!S1733))</f>
        <v/>
      </c>
      <c r="U1733" s="13" t="str">
        <f t="shared" si="136"/>
        <v/>
      </c>
      <c r="V1733" s="13" t="str">
        <f t="shared" si="137"/>
        <v/>
      </c>
      <c r="W1733" s="4" t="str">
        <f t="shared" si="138"/>
        <v/>
      </c>
      <c r="X1733" t="str">
        <f>IF(W1733="","",LOOKUP(_xlfn.CONCAT(P1733,", ",Q1733),'[1]T+S Costs'!$F$2:$F$3138,'[1]T+S Costs'!$N$2:$N$3138))</f>
        <v/>
      </c>
      <c r="Y1733" s="14" t="str">
        <f t="shared" si="139"/>
        <v/>
      </c>
      <c r="Z1733" s="4" t="str">
        <f t="shared" si="140"/>
        <v/>
      </c>
    </row>
    <row r="1734" spans="16:26" x14ac:dyDescent="0.25">
      <c r="P1734" s="10" t="str">
        <f>IF('[1]All Data '!AZ1739="","",'[1]All Data '!AZ1739)</f>
        <v/>
      </c>
      <c r="Q1734" s="10" t="str">
        <f>IF('[1]All Data '!BB1739="","",'[1]All Data '!BB1739)</f>
        <v/>
      </c>
      <c r="R1734" s="10" t="str">
        <f>IF('[1]All Data '!BD1739="","",'[1]All Data '!BD1739)</f>
        <v/>
      </c>
      <c r="S1734" s="11" t="str">
        <f>IF(R1734="","",'[1]All Data '!BE1739)</f>
        <v/>
      </c>
      <c r="T1734" s="12" t="str">
        <f>IF(S1734="","",[1]Inputs_Outputs!$B$8*(1-'LOCH Calc COE Calc'!S1734))</f>
        <v/>
      </c>
      <c r="U1734" s="13" t="str">
        <f t="shared" si="136"/>
        <v/>
      </c>
      <c r="V1734" s="13" t="str">
        <f t="shared" si="137"/>
        <v/>
      </c>
      <c r="W1734" s="4" t="str">
        <f t="shared" si="138"/>
        <v/>
      </c>
      <c r="X1734" t="str">
        <f>IF(W1734="","",LOOKUP(_xlfn.CONCAT(P1734,", ",Q1734),'[1]T+S Costs'!$F$2:$F$3138,'[1]T+S Costs'!$N$2:$N$3138))</f>
        <v/>
      </c>
      <c r="Y1734" s="14" t="str">
        <f t="shared" si="139"/>
        <v/>
      </c>
      <c r="Z1734" s="4" t="str">
        <f t="shared" si="140"/>
        <v/>
      </c>
    </row>
    <row r="1735" spans="16:26" x14ac:dyDescent="0.25">
      <c r="P1735" s="10" t="str">
        <f>IF('[1]All Data '!AZ1740="","",'[1]All Data '!AZ1740)</f>
        <v/>
      </c>
      <c r="Q1735" s="10" t="str">
        <f>IF('[1]All Data '!BB1740="","",'[1]All Data '!BB1740)</f>
        <v/>
      </c>
      <c r="R1735" s="10" t="str">
        <f>IF('[1]All Data '!BD1740="","",'[1]All Data '!BD1740)</f>
        <v/>
      </c>
      <c r="S1735" s="11" t="str">
        <f>IF(R1735="","",'[1]All Data '!BE1740)</f>
        <v/>
      </c>
      <c r="T1735" s="12" t="str">
        <f>IF(S1735="","",[1]Inputs_Outputs!$B$8*(1-'LOCH Calc COE Calc'!S1735))</f>
        <v/>
      </c>
      <c r="U1735" s="13" t="str">
        <f t="shared" si="136"/>
        <v/>
      </c>
      <c r="V1735" s="13" t="str">
        <f t="shared" si="137"/>
        <v/>
      </c>
      <c r="W1735" s="4" t="str">
        <f t="shared" si="138"/>
        <v/>
      </c>
      <c r="X1735" t="str">
        <f>IF(W1735="","",LOOKUP(_xlfn.CONCAT(P1735,", ",Q1735),'[1]T+S Costs'!$F$2:$F$3138,'[1]T+S Costs'!$N$2:$N$3138))</f>
        <v/>
      </c>
      <c r="Y1735" s="14" t="str">
        <f t="shared" si="139"/>
        <v/>
      </c>
      <c r="Z1735" s="4" t="str">
        <f t="shared" si="140"/>
        <v/>
      </c>
    </row>
    <row r="1736" spans="16:26" x14ac:dyDescent="0.25">
      <c r="P1736" s="10" t="str">
        <f>IF('[1]All Data '!AZ1741="","",'[1]All Data '!AZ1741)</f>
        <v/>
      </c>
      <c r="Q1736" s="10" t="str">
        <f>IF('[1]All Data '!BB1741="","",'[1]All Data '!BB1741)</f>
        <v/>
      </c>
      <c r="R1736" s="10" t="str">
        <f>IF('[1]All Data '!BD1741="","",'[1]All Data '!BD1741)</f>
        <v/>
      </c>
      <c r="S1736" s="11" t="str">
        <f>IF(R1736="","",'[1]All Data '!BE1741)</f>
        <v/>
      </c>
      <c r="T1736" s="12" t="str">
        <f>IF(S1736="","",[1]Inputs_Outputs!$B$8*(1-'LOCH Calc COE Calc'!S1736))</f>
        <v/>
      </c>
      <c r="U1736" s="13" t="str">
        <f t="shared" si="136"/>
        <v/>
      </c>
      <c r="V1736" s="13" t="str">
        <f t="shared" si="137"/>
        <v/>
      </c>
      <c r="W1736" s="4" t="str">
        <f t="shared" si="138"/>
        <v/>
      </c>
      <c r="X1736" t="str">
        <f>IF(W1736="","",LOOKUP(_xlfn.CONCAT(P1736,", ",Q1736),'[1]T+S Costs'!$F$2:$F$3138,'[1]T+S Costs'!$N$2:$N$3138))</f>
        <v/>
      </c>
      <c r="Y1736" s="14" t="str">
        <f t="shared" si="139"/>
        <v/>
      </c>
      <c r="Z1736" s="4" t="str">
        <f t="shared" si="140"/>
        <v/>
      </c>
    </row>
    <row r="1737" spans="16:26" x14ac:dyDescent="0.25">
      <c r="P1737" s="10" t="str">
        <f>IF('[1]All Data '!AZ1742="","",'[1]All Data '!AZ1742)</f>
        <v/>
      </c>
      <c r="Q1737" s="10" t="str">
        <f>IF('[1]All Data '!BB1742="","",'[1]All Data '!BB1742)</f>
        <v/>
      </c>
      <c r="R1737" s="10" t="str">
        <f>IF('[1]All Data '!BD1742="","",'[1]All Data '!BD1742)</f>
        <v/>
      </c>
      <c r="S1737" s="11" t="str">
        <f>IF(R1737="","",'[1]All Data '!BE1742)</f>
        <v/>
      </c>
      <c r="T1737" s="12" t="str">
        <f>IF(S1737="","",[1]Inputs_Outputs!$B$8*(1-'LOCH Calc COE Calc'!S1737))</f>
        <v/>
      </c>
      <c r="U1737" s="13" t="str">
        <f t="shared" si="136"/>
        <v/>
      </c>
      <c r="V1737" s="13" t="str">
        <f t="shared" si="137"/>
        <v/>
      </c>
      <c r="W1737" s="4" t="str">
        <f t="shared" si="138"/>
        <v/>
      </c>
      <c r="X1737" t="str">
        <f>IF(W1737="","",LOOKUP(_xlfn.CONCAT(P1737,", ",Q1737),'[1]T+S Costs'!$F$2:$F$3138,'[1]T+S Costs'!$N$2:$N$3138))</f>
        <v/>
      </c>
      <c r="Y1737" s="14" t="str">
        <f t="shared" si="139"/>
        <v/>
      </c>
      <c r="Z1737" s="4" t="str">
        <f t="shared" si="140"/>
        <v/>
      </c>
    </row>
    <row r="1738" spans="16:26" x14ac:dyDescent="0.25">
      <c r="P1738" s="10" t="str">
        <f>IF('[1]All Data '!AZ1743="","",'[1]All Data '!AZ1743)</f>
        <v/>
      </c>
      <c r="Q1738" s="10" t="str">
        <f>IF('[1]All Data '!BB1743="","",'[1]All Data '!BB1743)</f>
        <v/>
      </c>
      <c r="R1738" s="10" t="str">
        <f>IF('[1]All Data '!BD1743="","",'[1]All Data '!BD1743)</f>
        <v/>
      </c>
      <c r="S1738" s="11" t="str">
        <f>IF(R1738="","",'[1]All Data '!BE1743)</f>
        <v/>
      </c>
      <c r="T1738" s="12" t="str">
        <f>IF(S1738="","",[1]Inputs_Outputs!$B$8*(1-'LOCH Calc COE Calc'!S1738))</f>
        <v/>
      </c>
      <c r="U1738" s="13" t="str">
        <f t="shared" si="136"/>
        <v/>
      </c>
      <c r="V1738" s="13" t="str">
        <f t="shared" si="137"/>
        <v/>
      </c>
      <c r="W1738" s="4" t="str">
        <f t="shared" si="138"/>
        <v/>
      </c>
      <c r="X1738" t="str">
        <f>IF(W1738="","",LOOKUP(_xlfn.CONCAT(P1738,", ",Q1738),'[1]T+S Costs'!$F$2:$F$3138,'[1]T+S Costs'!$N$2:$N$3138))</f>
        <v/>
      </c>
      <c r="Y1738" s="14" t="str">
        <f t="shared" si="139"/>
        <v/>
      </c>
      <c r="Z1738" s="4" t="str">
        <f t="shared" si="140"/>
        <v/>
      </c>
    </row>
    <row r="1739" spans="16:26" x14ac:dyDescent="0.25">
      <c r="P1739" s="10" t="str">
        <f>IF('[1]All Data '!AZ1744="","",'[1]All Data '!AZ1744)</f>
        <v/>
      </c>
      <c r="Q1739" s="10" t="str">
        <f>IF('[1]All Data '!BB1744="","",'[1]All Data '!BB1744)</f>
        <v/>
      </c>
      <c r="R1739" s="10" t="str">
        <f>IF('[1]All Data '!BD1744="","",'[1]All Data '!BD1744)</f>
        <v/>
      </c>
      <c r="S1739" s="11" t="str">
        <f>IF(R1739="","",'[1]All Data '!BE1744)</f>
        <v/>
      </c>
      <c r="T1739" s="12" t="str">
        <f>IF(S1739="","",[1]Inputs_Outputs!$B$8*(1-'LOCH Calc COE Calc'!S1739))</f>
        <v/>
      </c>
      <c r="U1739" s="13" t="str">
        <f t="shared" si="136"/>
        <v/>
      </c>
      <c r="V1739" s="13" t="str">
        <f t="shared" si="137"/>
        <v/>
      </c>
      <c r="W1739" s="4" t="str">
        <f t="shared" si="138"/>
        <v/>
      </c>
      <c r="X1739" t="str">
        <f>IF(W1739="","",LOOKUP(_xlfn.CONCAT(P1739,", ",Q1739),'[1]T+S Costs'!$F$2:$F$3138,'[1]T+S Costs'!$N$2:$N$3138))</f>
        <v/>
      </c>
      <c r="Y1739" s="14" t="str">
        <f t="shared" si="139"/>
        <v/>
      </c>
      <c r="Z1739" s="4" t="str">
        <f t="shared" si="140"/>
        <v/>
      </c>
    </row>
    <row r="1740" spans="16:26" x14ac:dyDescent="0.25">
      <c r="P1740" s="10" t="str">
        <f>IF('[1]All Data '!AZ1745="","",'[1]All Data '!AZ1745)</f>
        <v/>
      </c>
      <c r="Q1740" s="10" t="str">
        <f>IF('[1]All Data '!BB1745="","",'[1]All Data '!BB1745)</f>
        <v/>
      </c>
      <c r="R1740" s="10" t="str">
        <f>IF('[1]All Data '!BD1745="","",'[1]All Data '!BD1745)</f>
        <v/>
      </c>
      <c r="S1740" s="11" t="str">
        <f>IF(R1740="","",'[1]All Data '!BE1745)</f>
        <v/>
      </c>
      <c r="T1740" s="12" t="str">
        <f>IF(S1740="","",[1]Inputs_Outputs!$B$8*(1-'LOCH Calc COE Calc'!S1740))</f>
        <v/>
      </c>
      <c r="U1740" s="13" t="str">
        <f t="shared" si="136"/>
        <v/>
      </c>
      <c r="V1740" s="13" t="str">
        <f t="shared" si="137"/>
        <v/>
      </c>
      <c r="W1740" s="4" t="str">
        <f t="shared" si="138"/>
        <v/>
      </c>
      <c r="X1740" t="str">
        <f>IF(W1740="","",LOOKUP(_xlfn.CONCAT(P1740,", ",Q1740),'[1]T+S Costs'!$F$2:$F$3138,'[1]T+S Costs'!$N$2:$N$3138))</f>
        <v/>
      </c>
      <c r="Y1740" s="14" t="str">
        <f t="shared" si="139"/>
        <v/>
      </c>
      <c r="Z1740" s="4" t="str">
        <f t="shared" si="140"/>
        <v/>
      </c>
    </row>
    <row r="1741" spans="16:26" x14ac:dyDescent="0.25">
      <c r="P1741" s="10" t="str">
        <f>IF('[1]All Data '!AZ1746="","",'[1]All Data '!AZ1746)</f>
        <v/>
      </c>
      <c r="Q1741" s="10" t="str">
        <f>IF('[1]All Data '!BB1746="","",'[1]All Data '!BB1746)</f>
        <v/>
      </c>
      <c r="R1741" s="10" t="str">
        <f>IF('[1]All Data '!BD1746="","",'[1]All Data '!BD1746)</f>
        <v/>
      </c>
      <c r="S1741" s="11" t="str">
        <f>IF(R1741="","",'[1]All Data '!BE1746)</f>
        <v/>
      </c>
      <c r="T1741" s="12" t="str">
        <f>IF(S1741="","",[1]Inputs_Outputs!$B$8*(1-'LOCH Calc COE Calc'!S1741))</f>
        <v/>
      </c>
      <c r="U1741" s="13" t="str">
        <f t="shared" si="136"/>
        <v/>
      </c>
      <c r="V1741" s="13" t="str">
        <f t="shared" si="137"/>
        <v/>
      </c>
      <c r="W1741" s="4" t="str">
        <f t="shared" si="138"/>
        <v/>
      </c>
      <c r="X1741" t="str">
        <f>IF(W1741="","",LOOKUP(_xlfn.CONCAT(P1741,", ",Q1741),'[1]T+S Costs'!$F$2:$F$3138,'[1]T+S Costs'!$N$2:$N$3138))</f>
        <v/>
      </c>
      <c r="Y1741" s="14" t="str">
        <f t="shared" si="139"/>
        <v/>
      </c>
      <c r="Z1741" s="4" t="str">
        <f t="shared" si="140"/>
        <v/>
      </c>
    </row>
    <row r="1742" spans="16:26" x14ac:dyDescent="0.25">
      <c r="P1742" s="10" t="str">
        <f>IF('[1]All Data '!AZ1747="","",'[1]All Data '!AZ1747)</f>
        <v/>
      </c>
      <c r="Q1742" s="10" t="str">
        <f>IF('[1]All Data '!BB1747="","",'[1]All Data '!BB1747)</f>
        <v/>
      </c>
      <c r="R1742" s="10" t="str">
        <f>IF('[1]All Data '!BD1747="","",'[1]All Data '!BD1747)</f>
        <v/>
      </c>
      <c r="S1742" s="11" t="str">
        <f>IF(R1742="","",'[1]All Data '!BE1747)</f>
        <v/>
      </c>
      <c r="T1742" s="12" t="str">
        <f>IF(S1742="","",[1]Inputs_Outputs!$B$8*(1-'LOCH Calc COE Calc'!S1742))</f>
        <v/>
      </c>
      <c r="U1742" s="13" t="str">
        <f t="shared" si="136"/>
        <v/>
      </c>
      <c r="V1742" s="13" t="str">
        <f t="shared" si="137"/>
        <v/>
      </c>
      <c r="W1742" s="4" t="str">
        <f t="shared" si="138"/>
        <v/>
      </c>
      <c r="X1742" t="str">
        <f>IF(W1742="","",LOOKUP(_xlfn.CONCAT(P1742,", ",Q1742),'[1]T+S Costs'!$F$2:$F$3138,'[1]T+S Costs'!$N$2:$N$3138))</f>
        <v/>
      </c>
      <c r="Y1742" s="14" t="str">
        <f t="shared" si="139"/>
        <v/>
      </c>
      <c r="Z1742" s="4" t="str">
        <f t="shared" si="140"/>
        <v/>
      </c>
    </row>
    <row r="1743" spans="16:26" x14ac:dyDescent="0.25">
      <c r="P1743" s="10" t="str">
        <f>IF('[1]All Data '!AZ1748="","",'[1]All Data '!AZ1748)</f>
        <v/>
      </c>
      <c r="Q1743" s="10" t="str">
        <f>IF('[1]All Data '!BB1748="","",'[1]All Data '!BB1748)</f>
        <v/>
      </c>
      <c r="R1743" s="10" t="str">
        <f>IF('[1]All Data '!BD1748="","",'[1]All Data '!BD1748)</f>
        <v/>
      </c>
      <c r="S1743" s="11" t="str">
        <f>IF(R1743="","",'[1]All Data '!BE1748)</f>
        <v/>
      </c>
      <c r="T1743" s="12" t="str">
        <f>IF(S1743="","",[1]Inputs_Outputs!$B$8*(1-'LOCH Calc COE Calc'!S1743))</f>
        <v/>
      </c>
      <c r="U1743" s="13" t="str">
        <f t="shared" si="136"/>
        <v/>
      </c>
      <c r="V1743" s="13" t="str">
        <f t="shared" si="137"/>
        <v/>
      </c>
      <c r="W1743" s="4" t="str">
        <f t="shared" si="138"/>
        <v/>
      </c>
      <c r="X1743" t="str">
        <f>IF(W1743="","",LOOKUP(_xlfn.CONCAT(P1743,", ",Q1743),'[1]T+S Costs'!$F$2:$F$3138,'[1]T+S Costs'!$N$2:$N$3138))</f>
        <v/>
      </c>
      <c r="Y1743" s="14" t="str">
        <f t="shared" si="139"/>
        <v/>
      </c>
      <c r="Z1743" s="4" t="str">
        <f t="shared" si="140"/>
        <v/>
      </c>
    </row>
    <row r="1744" spans="16:26" x14ac:dyDescent="0.25">
      <c r="P1744" s="10" t="str">
        <f>IF('[1]All Data '!AZ1749="","",'[1]All Data '!AZ1749)</f>
        <v/>
      </c>
      <c r="Q1744" s="10" t="str">
        <f>IF('[1]All Data '!BB1749="","",'[1]All Data '!BB1749)</f>
        <v/>
      </c>
      <c r="R1744" s="10" t="str">
        <f>IF('[1]All Data '!BD1749="","",'[1]All Data '!BD1749)</f>
        <v/>
      </c>
      <c r="S1744" s="11" t="str">
        <f>IF(R1744="","",'[1]All Data '!BE1749)</f>
        <v/>
      </c>
      <c r="T1744" s="12" t="str">
        <f>IF(S1744="","",[1]Inputs_Outputs!$B$8*(1-'LOCH Calc COE Calc'!S1744))</f>
        <v/>
      </c>
      <c r="U1744" s="13" t="str">
        <f t="shared" si="136"/>
        <v/>
      </c>
      <c r="V1744" s="13" t="str">
        <f t="shared" si="137"/>
        <v/>
      </c>
      <c r="W1744" s="4" t="str">
        <f t="shared" si="138"/>
        <v/>
      </c>
      <c r="X1744" t="str">
        <f>IF(W1744="","",LOOKUP(_xlfn.CONCAT(P1744,", ",Q1744),'[1]T+S Costs'!$F$2:$F$3138,'[1]T+S Costs'!$N$2:$N$3138))</f>
        <v/>
      </c>
      <c r="Y1744" s="14" t="str">
        <f t="shared" si="139"/>
        <v/>
      </c>
      <c r="Z1744" s="4" t="str">
        <f t="shared" si="140"/>
        <v/>
      </c>
    </row>
    <row r="1745" spans="16:26" x14ac:dyDescent="0.25">
      <c r="P1745" s="10" t="str">
        <f>IF('[1]All Data '!AZ1750="","",'[1]All Data '!AZ1750)</f>
        <v/>
      </c>
      <c r="Q1745" s="10" t="str">
        <f>IF('[1]All Data '!BB1750="","",'[1]All Data '!BB1750)</f>
        <v/>
      </c>
      <c r="R1745" s="10" t="str">
        <f>IF('[1]All Data '!BD1750="","",'[1]All Data '!BD1750)</f>
        <v/>
      </c>
      <c r="S1745" s="11" t="str">
        <f>IF(R1745="","",'[1]All Data '!BE1750)</f>
        <v/>
      </c>
      <c r="T1745" s="12" t="str">
        <f>IF(S1745="","",[1]Inputs_Outputs!$B$8*(1-'LOCH Calc COE Calc'!S1745))</f>
        <v/>
      </c>
      <c r="U1745" s="13" t="str">
        <f t="shared" si="136"/>
        <v/>
      </c>
      <c r="V1745" s="13" t="str">
        <f t="shared" si="137"/>
        <v/>
      </c>
      <c r="W1745" s="4" t="str">
        <f t="shared" si="138"/>
        <v/>
      </c>
      <c r="X1745" t="str">
        <f>IF(W1745="","",LOOKUP(_xlfn.CONCAT(P1745,", ",Q1745),'[1]T+S Costs'!$F$2:$F$3138,'[1]T+S Costs'!$N$2:$N$3138))</f>
        <v/>
      </c>
      <c r="Y1745" s="14" t="str">
        <f t="shared" si="139"/>
        <v/>
      </c>
      <c r="Z1745" s="4" t="str">
        <f t="shared" si="140"/>
        <v/>
      </c>
    </row>
    <row r="1746" spans="16:26" x14ac:dyDescent="0.25">
      <c r="P1746" s="10" t="str">
        <f>IF('[1]All Data '!AZ1751="","",'[1]All Data '!AZ1751)</f>
        <v/>
      </c>
      <c r="Q1746" s="10" t="str">
        <f>IF('[1]All Data '!BB1751="","",'[1]All Data '!BB1751)</f>
        <v/>
      </c>
      <c r="R1746" s="10" t="str">
        <f>IF('[1]All Data '!BD1751="","",'[1]All Data '!BD1751)</f>
        <v/>
      </c>
      <c r="S1746" s="11" t="str">
        <f>IF(R1746="","",'[1]All Data '!BE1751)</f>
        <v/>
      </c>
      <c r="T1746" s="12" t="str">
        <f>IF(S1746="","",[1]Inputs_Outputs!$B$8*(1-'LOCH Calc COE Calc'!S1746))</f>
        <v/>
      </c>
      <c r="U1746" s="13" t="str">
        <f t="shared" si="136"/>
        <v/>
      </c>
      <c r="V1746" s="13" t="str">
        <f t="shared" si="137"/>
        <v/>
      </c>
      <c r="W1746" s="4" t="str">
        <f t="shared" si="138"/>
        <v/>
      </c>
      <c r="X1746" t="str">
        <f>IF(W1746="","",LOOKUP(_xlfn.CONCAT(P1746,", ",Q1746),'[1]T+S Costs'!$F$2:$F$3138,'[1]T+S Costs'!$N$2:$N$3138))</f>
        <v/>
      </c>
      <c r="Y1746" s="14" t="str">
        <f t="shared" si="139"/>
        <v/>
      </c>
      <c r="Z1746" s="4" t="str">
        <f t="shared" si="140"/>
        <v/>
      </c>
    </row>
    <row r="1747" spans="16:26" x14ac:dyDescent="0.25">
      <c r="P1747" s="10" t="str">
        <f>IF('[1]All Data '!AZ1752="","",'[1]All Data '!AZ1752)</f>
        <v/>
      </c>
      <c r="Q1747" s="10" t="str">
        <f>IF('[1]All Data '!BB1752="","",'[1]All Data '!BB1752)</f>
        <v/>
      </c>
      <c r="R1747" s="10" t="str">
        <f>IF('[1]All Data '!BD1752="","",'[1]All Data '!BD1752)</f>
        <v/>
      </c>
      <c r="S1747" s="11" t="str">
        <f>IF(R1747="","",'[1]All Data '!BE1752)</f>
        <v/>
      </c>
      <c r="T1747" s="12" t="str">
        <f>IF(S1747="","",[1]Inputs_Outputs!$B$8*(1-'LOCH Calc COE Calc'!S1747))</f>
        <v/>
      </c>
      <c r="U1747" s="13" t="str">
        <f t="shared" si="136"/>
        <v/>
      </c>
      <c r="V1747" s="13" t="str">
        <f t="shared" si="137"/>
        <v/>
      </c>
      <c r="W1747" s="4" t="str">
        <f t="shared" si="138"/>
        <v/>
      </c>
      <c r="X1747" t="str">
        <f>IF(W1747="","",LOOKUP(_xlfn.CONCAT(P1747,", ",Q1747),'[1]T+S Costs'!$F$2:$F$3138,'[1]T+S Costs'!$N$2:$N$3138))</f>
        <v/>
      </c>
      <c r="Y1747" s="14" t="str">
        <f t="shared" si="139"/>
        <v/>
      </c>
      <c r="Z1747" s="4" t="str">
        <f t="shared" si="140"/>
        <v/>
      </c>
    </row>
    <row r="1748" spans="16:26" x14ac:dyDescent="0.25">
      <c r="P1748" s="10" t="str">
        <f>IF('[1]All Data '!AZ1753="","",'[1]All Data '!AZ1753)</f>
        <v/>
      </c>
      <c r="Q1748" s="10" t="str">
        <f>IF('[1]All Data '!BB1753="","",'[1]All Data '!BB1753)</f>
        <v/>
      </c>
      <c r="R1748" s="10" t="str">
        <f>IF('[1]All Data '!BD1753="","",'[1]All Data '!BD1753)</f>
        <v/>
      </c>
      <c r="S1748" s="11" t="str">
        <f>IF(R1748="","",'[1]All Data '!BE1753)</f>
        <v/>
      </c>
      <c r="T1748" s="12" t="str">
        <f>IF(S1748="","",[1]Inputs_Outputs!$B$8*(1-'LOCH Calc COE Calc'!S1748))</f>
        <v/>
      </c>
      <c r="U1748" s="13" t="str">
        <f t="shared" si="136"/>
        <v/>
      </c>
      <c r="V1748" s="13" t="str">
        <f t="shared" si="137"/>
        <v/>
      </c>
      <c r="W1748" s="4" t="str">
        <f t="shared" si="138"/>
        <v/>
      </c>
      <c r="X1748" t="str">
        <f>IF(W1748="","",LOOKUP(_xlfn.CONCAT(P1748,", ",Q1748),'[1]T+S Costs'!$F$2:$F$3138,'[1]T+S Costs'!$N$2:$N$3138))</f>
        <v/>
      </c>
      <c r="Y1748" s="14" t="str">
        <f t="shared" si="139"/>
        <v/>
      </c>
      <c r="Z1748" s="4" t="str">
        <f t="shared" si="140"/>
        <v/>
      </c>
    </row>
    <row r="1749" spans="16:26" x14ac:dyDescent="0.25">
      <c r="P1749" s="10" t="str">
        <f>IF('[1]All Data '!AZ1754="","",'[1]All Data '!AZ1754)</f>
        <v/>
      </c>
      <c r="Q1749" s="10" t="str">
        <f>IF('[1]All Data '!BB1754="","",'[1]All Data '!BB1754)</f>
        <v/>
      </c>
      <c r="R1749" s="10" t="str">
        <f>IF('[1]All Data '!BD1754="","",'[1]All Data '!BD1754)</f>
        <v/>
      </c>
      <c r="S1749" s="11" t="str">
        <f>IF(R1749="","",'[1]All Data '!BE1754)</f>
        <v/>
      </c>
      <c r="T1749" s="12" t="str">
        <f>IF(S1749="","",[1]Inputs_Outputs!$B$8*(1-'LOCH Calc COE Calc'!S1749))</f>
        <v/>
      </c>
      <c r="U1749" s="13" t="str">
        <f t="shared" si="136"/>
        <v/>
      </c>
      <c r="V1749" s="13" t="str">
        <f t="shared" si="137"/>
        <v/>
      </c>
      <c r="W1749" s="4" t="str">
        <f t="shared" si="138"/>
        <v/>
      </c>
      <c r="X1749" t="str">
        <f>IF(W1749="","",LOOKUP(_xlfn.CONCAT(P1749,", ",Q1749),'[1]T+S Costs'!$F$2:$F$3138,'[1]T+S Costs'!$N$2:$N$3138))</f>
        <v/>
      </c>
      <c r="Y1749" s="14" t="str">
        <f t="shared" si="139"/>
        <v/>
      </c>
      <c r="Z1749" s="4" t="str">
        <f t="shared" si="140"/>
        <v/>
      </c>
    </row>
    <row r="1750" spans="16:26" x14ac:dyDescent="0.25">
      <c r="P1750" s="10" t="str">
        <f>IF('[1]All Data '!AZ1755="","",'[1]All Data '!AZ1755)</f>
        <v/>
      </c>
      <c r="Q1750" s="10" t="str">
        <f>IF('[1]All Data '!BB1755="","",'[1]All Data '!BB1755)</f>
        <v/>
      </c>
      <c r="R1750" s="10" t="str">
        <f>IF('[1]All Data '!BD1755="","",'[1]All Data '!BD1755)</f>
        <v/>
      </c>
      <c r="S1750" s="11" t="str">
        <f>IF(R1750="","",'[1]All Data '!BE1755)</f>
        <v/>
      </c>
      <c r="T1750" s="12" t="str">
        <f>IF(S1750="","",[1]Inputs_Outputs!$B$8*(1-'LOCH Calc COE Calc'!S1750))</f>
        <v/>
      </c>
      <c r="U1750" s="13" t="str">
        <f t="shared" si="136"/>
        <v/>
      </c>
      <c r="V1750" s="13" t="str">
        <f t="shared" si="137"/>
        <v/>
      </c>
      <c r="W1750" s="4" t="str">
        <f t="shared" si="138"/>
        <v/>
      </c>
      <c r="X1750" t="str">
        <f>IF(W1750="","",LOOKUP(_xlfn.CONCAT(P1750,", ",Q1750),'[1]T+S Costs'!$F$2:$F$3138,'[1]T+S Costs'!$N$2:$N$3138))</f>
        <v/>
      </c>
      <c r="Y1750" s="14" t="str">
        <f t="shared" si="139"/>
        <v/>
      </c>
      <c r="Z1750" s="4" t="str">
        <f t="shared" si="140"/>
        <v/>
      </c>
    </row>
    <row r="1751" spans="16:26" x14ac:dyDescent="0.25">
      <c r="P1751" s="10" t="str">
        <f>IF('[1]All Data '!AZ1756="","",'[1]All Data '!AZ1756)</f>
        <v/>
      </c>
      <c r="Q1751" s="10" t="str">
        <f>IF('[1]All Data '!BB1756="","",'[1]All Data '!BB1756)</f>
        <v/>
      </c>
      <c r="R1751" s="10" t="str">
        <f>IF('[1]All Data '!BD1756="","",'[1]All Data '!BD1756)</f>
        <v/>
      </c>
      <c r="S1751" s="11" t="str">
        <f>IF(R1751="","",'[1]All Data '!BE1756)</f>
        <v/>
      </c>
      <c r="T1751" s="12" t="str">
        <f>IF(S1751="","",[1]Inputs_Outputs!$B$8*(1-'LOCH Calc COE Calc'!S1751))</f>
        <v/>
      </c>
      <c r="U1751" s="13" t="str">
        <f t="shared" si="136"/>
        <v/>
      </c>
      <c r="V1751" s="13" t="str">
        <f t="shared" si="137"/>
        <v/>
      </c>
      <c r="W1751" s="4" t="str">
        <f t="shared" si="138"/>
        <v/>
      </c>
      <c r="X1751" t="str">
        <f>IF(W1751="","",LOOKUP(_xlfn.CONCAT(P1751,", ",Q1751),'[1]T+S Costs'!$F$2:$F$3138,'[1]T+S Costs'!$N$2:$N$3138))</f>
        <v/>
      </c>
      <c r="Y1751" s="14" t="str">
        <f t="shared" si="139"/>
        <v/>
      </c>
      <c r="Z1751" s="4" t="str">
        <f t="shared" si="140"/>
        <v/>
      </c>
    </row>
    <row r="1752" spans="16:26" x14ac:dyDescent="0.25">
      <c r="P1752" s="10" t="str">
        <f>IF('[1]All Data '!AZ1757="","",'[1]All Data '!AZ1757)</f>
        <v/>
      </c>
      <c r="Q1752" s="10" t="str">
        <f>IF('[1]All Data '!BB1757="","",'[1]All Data '!BB1757)</f>
        <v/>
      </c>
      <c r="R1752" s="10" t="str">
        <f>IF('[1]All Data '!BD1757="","",'[1]All Data '!BD1757)</f>
        <v/>
      </c>
      <c r="S1752" s="11" t="str">
        <f>IF(R1752="","",'[1]All Data '!BE1757)</f>
        <v/>
      </c>
      <c r="T1752" s="12" t="str">
        <f>IF(S1752="","",[1]Inputs_Outputs!$B$8*(1-'LOCH Calc COE Calc'!S1752))</f>
        <v/>
      </c>
      <c r="U1752" s="13" t="str">
        <f t="shared" si="136"/>
        <v/>
      </c>
      <c r="V1752" s="13" t="str">
        <f t="shared" si="137"/>
        <v/>
      </c>
      <c r="W1752" s="4" t="str">
        <f t="shared" si="138"/>
        <v/>
      </c>
      <c r="X1752" t="str">
        <f>IF(W1752="","",LOOKUP(_xlfn.CONCAT(P1752,", ",Q1752),'[1]T+S Costs'!$F$2:$F$3138,'[1]T+S Costs'!$N$2:$N$3138))</f>
        <v/>
      </c>
      <c r="Y1752" s="14" t="str">
        <f t="shared" si="139"/>
        <v/>
      </c>
      <c r="Z1752" s="4" t="str">
        <f t="shared" si="140"/>
        <v/>
      </c>
    </row>
    <row r="1753" spans="16:26" x14ac:dyDescent="0.25">
      <c r="P1753" s="10" t="str">
        <f>IF('[1]All Data '!AZ1758="","",'[1]All Data '!AZ1758)</f>
        <v/>
      </c>
      <c r="Q1753" s="10" t="str">
        <f>IF('[1]All Data '!BB1758="","",'[1]All Data '!BB1758)</f>
        <v/>
      </c>
      <c r="R1753" s="10" t="str">
        <f>IF('[1]All Data '!BD1758="","",'[1]All Data '!BD1758)</f>
        <v/>
      </c>
      <c r="S1753" s="11" t="str">
        <f>IF(R1753="","",'[1]All Data '!BE1758)</f>
        <v/>
      </c>
      <c r="T1753" s="12" t="str">
        <f>IF(S1753="","",[1]Inputs_Outputs!$B$8*(1-'LOCH Calc COE Calc'!S1753))</f>
        <v/>
      </c>
      <c r="U1753" s="13" t="str">
        <f t="shared" si="136"/>
        <v/>
      </c>
      <c r="V1753" s="13" t="str">
        <f t="shared" si="137"/>
        <v/>
      </c>
      <c r="W1753" s="4" t="str">
        <f t="shared" si="138"/>
        <v/>
      </c>
      <c r="X1753" t="str">
        <f>IF(W1753="","",LOOKUP(_xlfn.CONCAT(P1753,", ",Q1753),'[1]T+S Costs'!$F$2:$F$3138,'[1]T+S Costs'!$N$2:$N$3138))</f>
        <v/>
      </c>
      <c r="Y1753" s="14" t="str">
        <f t="shared" si="139"/>
        <v/>
      </c>
      <c r="Z1753" s="4" t="str">
        <f t="shared" si="140"/>
        <v/>
      </c>
    </row>
    <row r="1754" spans="16:26" x14ac:dyDescent="0.25">
      <c r="P1754" s="10" t="str">
        <f>IF('[1]All Data '!AZ1759="","",'[1]All Data '!AZ1759)</f>
        <v/>
      </c>
      <c r="Q1754" s="10" t="str">
        <f>IF('[1]All Data '!BB1759="","",'[1]All Data '!BB1759)</f>
        <v/>
      </c>
      <c r="R1754" s="10" t="str">
        <f>IF('[1]All Data '!BD1759="","",'[1]All Data '!BD1759)</f>
        <v/>
      </c>
      <c r="S1754" s="11" t="str">
        <f>IF(R1754="","",'[1]All Data '!BE1759)</f>
        <v/>
      </c>
      <c r="T1754" s="12" t="str">
        <f>IF(S1754="","",[1]Inputs_Outputs!$B$8*(1-'LOCH Calc COE Calc'!S1754))</f>
        <v/>
      </c>
      <c r="U1754" s="13" t="str">
        <f t="shared" si="136"/>
        <v/>
      </c>
      <c r="V1754" s="13" t="str">
        <f t="shared" si="137"/>
        <v/>
      </c>
      <c r="W1754" s="4" t="str">
        <f t="shared" si="138"/>
        <v/>
      </c>
      <c r="X1754" t="str">
        <f>IF(W1754="","",LOOKUP(_xlfn.CONCAT(P1754,", ",Q1754),'[1]T+S Costs'!$F$2:$F$3138,'[1]T+S Costs'!$N$2:$N$3138))</f>
        <v/>
      </c>
      <c r="Y1754" s="14" t="str">
        <f t="shared" si="139"/>
        <v/>
      </c>
      <c r="Z1754" s="4" t="str">
        <f t="shared" si="140"/>
        <v/>
      </c>
    </row>
    <row r="1755" spans="16:26" x14ac:dyDescent="0.25">
      <c r="P1755" s="10" t="str">
        <f>IF('[1]All Data '!AZ1760="","",'[1]All Data '!AZ1760)</f>
        <v/>
      </c>
      <c r="Q1755" s="10" t="str">
        <f>IF('[1]All Data '!BB1760="","",'[1]All Data '!BB1760)</f>
        <v/>
      </c>
      <c r="R1755" s="10" t="str">
        <f>IF('[1]All Data '!BD1760="","",'[1]All Data '!BD1760)</f>
        <v/>
      </c>
      <c r="S1755" s="11" t="str">
        <f>IF(R1755="","",'[1]All Data '!BE1760)</f>
        <v/>
      </c>
      <c r="T1755" s="12" t="str">
        <f>IF(S1755="","",[1]Inputs_Outputs!$B$8*(1-'LOCH Calc COE Calc'!S1755))</f>
        <v/>
      </c>
      <c r="U1755" s="13" t="str">
        <f t="shared" si="136"/>
        <v/>
      </c>
      <c r="V1755" s="13" t="str">
        <f t="shared" si="137"/>
        <v/>
      </c>
      <c r="W1755" s="4" t="str">
        <f t="shared" si="138"/>
        <v/>
      </c>
      <c r="X1755" t="str">
        <f>IF(W1755="","",LOOKUP(_xlfn.CONCAT(P1755,", ",Q1755),'[1]T+S Costs'!$F$2:$F$3138,'[1]T+S Costs'!$N$2:$N$3138))</f>
        <v/>
      </c>
      <c r="Y1755" s="14" t="str">
        <f t="shared" si="139"/>
        <v/>
      </c>
      <c r="Z1755" s="4" t="str">
        <f t="shared" si="140"/>
        <v/>
      </c>
    </row>
    <row r="1756" spans="16:26" x14ac:dyDescent="0.25">
      <c r="P1756" s="10" t="str">
        <f>IF('[1]All Data '!AZ1761="","",'[1]All Data '!AZ1761)</f>
        <v/>
      </c>
      <c r="Q1756" s="10" t="str">
        <f>IF('[1]All Data '!BB1761="","",'[1]All Data '!BB1761)</f>
        <v/>
      </c>
      <c r="R1756" s="10" t="str">
        <f>IF('[1]All Data '!BD1761="","",'[1]All Data '!BD1761)</f>
        <v/>
      </c>
      <c r="S1756" s="11" t="str">
        <f>IF(R1756="","",'[1]All Data '!BE1761)</f>
        <v/>
      </c>
      <c r="T1756" s="12" t="str">
        <f>IF(S1756="","",[1]Inputs_Outputs!$B$8*(1-'LOCH Calc COE Calc'!S1756))</f>
        <v/>
      </c>
      <c r="U1756" s="13" t="str">
        <f t="shared" si="136"/>
        <v/>
      </c>
      <c r="V1756" s="13" t="str">
        <f t="shared" si="137"/>
        <v/>
      </c>
      <c r="W1756" s="4" t="str">
        <f t="shared" si="138"/>
        <v/>
      </c>
      <c r="X1756" t="str">
        <f>IF(W1756="","",LOOKUP(_xlfn.CONCAT(P1756,", ",Q1756),'[1]T+S Costs'!$F$2:$F$3138,'[1]T+S Costs'!$N$2:$N$3138))</f>
        <v/>
      </c>
      <c r="Y1756" s="14" t="str">
        <f t="shared" si="139"/>
        <v/>
      </c>
      <c r="Z1756" s="4" t="str">
        <f t="shared" si="140"/>
        <v/>
      </c>
    </row>
    <row r="1757" spans="16:26" x14ac:dyDescent="0.25">
      <c r="P1757" s="10" t="str">
        <f>IF('[1]All Data '!AZ1762="","",'[1]All Data '!AZ1762)</f>
        <v/>
      </c>
      <c r="Q1757" s="10" t="str">
        <f>IF('[1]All Data '!BB1762="","",'[1]All Data '!BB1762)</f>
        <v/>
      </c>
      <c r="R1757" s="10" t="str">
        <f>IF('[1]All Data '!BD1762="","",'[1]All Data '!BD1762)</f>
        <v/>
      </c>
      <c r="S1757" s="11" t="str">
        <f>IF(R1757="","",'[1]All Data '!BE1762)</f>
        <v/>
      </c>
      <c r="T1757" s="12" t="str">
        <f>IF(S1757="","",[1]Inputs_Outputs!$B$8*(1-'LOCH Calc COE Calc'!S1757))</f>
        <v/>
      </c>
      <c r="U1757" s="13" t="str">
        <f t="shared" si="136"/>
        <v/>
      </c>
      <c r="V1757" s="13" t="str">
        <f t="shared" si="137"/>
        <v/>
      </c>
      <c r="W1757" s="4" t="str">
        <f t="shared" si="138"/>
        <v/>
      </c>
      <c r="X1757" t="str">
        <f>IF(W1757="","",LOOKUP(_xlfn.CONCAT(P1757,", ",Q1757),'[1]T+S Costs'!$F$2:$F$3138,'[1]T+S Costs'!$N$2:$N$3138))</f>
        <v/>
      </c>
      <c r="Y1757" s="14" t="str">
        <f t="shared" si="139"/>
        <v/>
      </c>
      <c r="Z1757" s="4" t="str">
        <f t="shared" si="140"/>
        <v/>
      </c>
    </row>
    <row r="1758" spans="16:26" x14ac:dyDescent="0.25">
      <c r="P1758" s="10" t="str">
        <f>IF('[1]All Data '!AZ1763="","",'[1]All Data '!AZ1763)</f>
        <v/>
      </c>
      <c r="Q1758" s="10" t="str">
        <f>IF('[1]All Data '!BB1763="","",'[1]All Data '!BB1763)</f>
        <v/>
      </c>
      <c r="R1758" s="10" t="str">
        <f>IF('[1]All Data '!BD1763="","",'[1]All Data '!BD1763)</f>
        <v/>
      </c>
      <c r="S1758" s="11" t="str">
        <f>IF(R1758="","",'[1]All Data '!BE1763)</f>
        <v/>
      </c>
      <c r="T1758" s="12" t="str">
        <f>IF(S1758="","",[1]Inputs_Outputs!$B$8*(1-'LOCH Calc COE Calc'!S1758))</f>
        <v/>
      </c>
      <c r="U1758" s="13" t="str">
        <f t="shared" si="136"/>
        <v/>
      </c>
      <c r="V1758" s="13" t="str">
        <f t="shared" si="137"/>
        <v/>
      </c>
      <c r="W1758" s="4" t="str">
        <f t="shared" si="138"/>
        <v/>
      </c>
      <c r="X1758" t="str">
        <f>IF(W1758="","",LOOKUP(_xlfn.CONCAT(P1758,", ",Q1758),'[1]T+S Costs'!$F$2:$F$3138,'[1]T+S Costs'!$N$2:$N$3138))</f>
        <v/>
      </c>
      <c r="Y1758" s="14" t="str">
        <f t="shared" si="139"/>
        <v/>
      </c>
      <c r="Z1758" s="4" t="str">
        <f t="shared" si="140"/>
        <v/>
      </c>
    </row>
    <row r="1759" spans="16:26" x14ac:dyDescent="0.25">
      <c r="P1759" s="10" t="str">
        <f>IF('[1]All Data '!AZ1764="","",'[1]All Data '!AZ1764)</f>
        <v/>
      </c>
      <c r="Q1759" s="10" t="str">
        <f>IF('[1]All Data '!BB1764="","",'[1]All Data '!BB1764)</f>
        <v/>
      </c>
      <c r="R1759" s="10" t="str">
        <f>IF('[1]All Data '!BD1764="","",'[1]All Data '!BD1764)</f>
        <v/>
      </c>
      <c r="S1759" s="11" t="str">
        <f>IF(R1759="","",'[1]All Data '!BE1764)</f>
        <v/>
      </c>
      <c r="T1759" s="12" t="str">
        <f>IF(S1759="","",[1]Inputs_Outputs!$B$8*(1-'LOCH Calc COE Calc'!S1759))</f>
        <v/>
      </c>
      <c r="U1759" s="13" t="str">
        <f t="shared" si="136"/>
        <v/>
      </c>
      <c r="V1759" s="13" t="str">
        <f t="shared" si="137"/>
        <v/>
      </c>
      <c r="W1759" s="4" t="str">
        <f t="shared" si="138"/>
        <v/>
      </c>
      <c r="X1759" t="str">
        <f>IF(W1759="","",LOOKUP(_xlfn.CONCAT(P1759,", ",Q1759),'[1]T+S Costs'!$F$2:$F$3138,'[1]T+S Costs'!$N$2:$N$3138))</f>
        <v/>
      </c>
      <c r="Y1759" s="14" t="str">
        <f t="shared" si="139"/>
        <v/>
      </c>
      <c r="Z1759" s="4" t="str">
        <f t="shared" si="140"/>
        <v/>
      </c>
    </row>
    <row r="1760" spans="16:26" x14ac:dyDescent="0.25">
      <c r="P1760" s="10" t="str">
        <f>IF('[1]All Data '!AZ1765="","",'[1]All Data '!AZ1765)</f>
        <v/>
      </c>
      <c r="Q1760" s="10" t="str">
        <f>IF('[1]All Data '!BB1765="","",'[1]All Data '!BB1765)</f>
        <v/>
      </c>
      <c r="R1760" s="10" t="str">
        <f>IF('[1]All Data '!BD1765="","",'[1]All Data '!BD1765)</f>
        <v/>
      </c>
      <c r="S1760" s="11" t="str">
        <f>IF(R1760="","",'[1]All Data '!BE1765)</f>
        <v/>
      </c>
      <c r="T1760" s="12" t="str">
        <f>IF(S1760="","",[1]Inputs_Outputs!$B$8*(1-'LOCH Calc COE Calc'!S1760))</f>
        <v/>
      </c>
      <c r="U1760" s="13" t="str">
        <f t="shared" si="136"/>
        <v/>
      </c>
      <c r="V1760" s="13" t="str">
        <f t="shared" si="137"/>
        <v/>
      </c>
      <c r="W1760" s="4" t="str">
        <f t="shared" si="138"/>
        <v/>
      </c>
      <c r="X1760" t="str">
        <f>IF(W1760="","",LOOKUP(_xlfn.CONCAT(P1760,", ",Q1760),'[1]T+S Costs'!$F$2:$F$3138,'[1]T+S Costs'!$N$2:$N$3138))</f>
        <v/>
      </c>
      <c r="Y1760" s="14" t="str">
        <f t="shared" si="139"/>
        <v/>
      </c>
      <c r="Z1760" s="4" t="str">
        <f t="shared" si="140"/>
        <v/>
      </c>
    </row>
    <row r="1761" spans="16:26" x14ac:dyDescent="0.25">
      <c r="P1761" s="10" t="str">
        <f>IF('[1]All Data '!AZ1766="","",'[1]All Data '!AZ1766)</f>
        <v/>
      </c>
      <c r="Q1761" s="10" t="str">
        <f>IF('[1]All Data '!BB1766="","",'[1]All Data '!BB1766)</f>
        <v/>
      </c>
      <c r="R1761" s="10" t="str">
        <f>IF('[1]All Data '!BD1766="","",'[1]All Data '!BD1766)</f>
        <v/>
      </c>
      <c r="S1761" s="11" t="str">
        <f>IF(R1761="","",'[1]All Data '!BE1766)</f>
        <v/>
      </c>
      <c r="T1761" s="12" t="str">
        <f>IF(S1761="","",[1]Inputs_Outputs!$B$8*(1-'LOCH Calc COE Calc'!S1761))</f>
        <v/>
      </c>
      <c r="U1761" s="13" t="str">
        <f t="shared" si="136"/>
        <v/>
      </c>
      <c r="V1761" s="13" t="str">
        <f t="shared" si="137"/>
        <v/>
      </c>
      <c r="W1761" s="4" t="str">
        <f t="shared" si="138"/>
        <v/>
      </c>
      <c r="X1761" t="str">
        <f>IF(W1761="","",LOOKUP(_xlfn.CONCAT(P1761,", ",Q1761),'[1]T+S Costs'!$F$2:$F$3138,'[1]T+S Costs'!$N$2:$N$3138))</f>
        <v/>
      </c>
      <c r="Y1761" s="14" t="str">
        <f t="shared" si="139"/>
        <v/>
      </c>
      <c r="Z1761" s="4" t="str">
        <f t="shared" si="140"/>
        <v/>
      </c>
    </row>
    <row r="1762" spans="16:26" x14ac:dyDescent="0.25">
      <c r="P1762" s="10" t="str">
        <f>IF('[1]All Data '!AZ1767="","",'[1]All Data '!AZ1767)</f>
        <v/>
      </c>
      <c r="Q1762" s="10" t="str">
        <f>IF('[1]All Data '!BB1767="","",'[1]All Data '!BB1767)</f>
        <v/>
      </c>
      <c r="R1762" s="10" t="str">
        <f>IF('[1]All Data '!BD1767="","",'[1]All Data '!BD1767)</f>
        <v/>
      </c>
      <c r="S1762" s="11" t="str">
        <f>IF(R1762="","",'[1]All Data '!BE1767)</f>
        <v/>
      </c>
      <c r="T1762" s="12" t="str">
        <f>IF(S1762="","",[1]Inputs_Outputs!$B$8*(1-'LOCH Calc COE Calc'!S1762))</f>
        <v/>
      </c>
      <c r="U1762" s="13" t="str">
        <f t="shared" si="136"/>
        <v/>
      </c>
      <c r="V1762" s="13" t="str">
        <f t="shared" si="137"/>
        <v/>
      </c>
      <c r="W1762" s="4" t="str">
        <f t="shared" si="138"/>
        <v/>
      </c>
      <c r="X1762" t="str">
        <f>IF(W1762="","",LOOKUP(_xlfn.CONCAT(P1762,", ",Q1762),'[1]T+S Costs'!$F$2:$F$3138,'[1]T+S Costs'!$N$2:$N$3138))</f>
        <v/>
      </c>
      <c r="Y1762" s="14" t="str">
        <f t="shared" si="139"/>
        <v/>
      </c>
      <c r="Z1762" s="4" t="str">
        <f t="shared" si="140"/>
        <v/>
      </c>
    </row>
    <row r="1763" spans="16:26" x14ac:dyDescent="0.25">
      <c r="P1763" s="10" t="str">
        <f>IF('[1]All Data '!AZ1768="","",'[1]All Data '!AZ1768)</f>
        <v/>
      </c>
      <c r="Q1763" s="10" t="str">
        <f>IF('[1]All Data '!BB1768="","",'[1]All Data '!BB1768)</f>
        <v/>
      </c>
      <c r="R1763" s="10" t="str">
        <f>IF('[1]All Data '!BD1768="","",'[1]All Data '!BD1768)</f>
        <v/>
      </c>
      <c r="S1763" s="11" t="str">
        <f>IF(R1763="","",'[1]All Data '!BE1768)</f>
        <v/>
      </c>
      <c r="T1763" s="12" t="str">
        <f>IF(S1763="","",[1]Inputs_Outputs!$B$8*(1-'LOCH Calc COE Calc'!S1763))</f>
        <v/>
      </c>
      <c r="U1763" s="13" t="str">
        <f t="shared" si="136"/>
        <v/>
      </c>
      <c r="V1763" s="13" t="str">
        <f t="shared" si="137"/>
        <v/>
      </c>
      <c r="W1763" s="4" t="str">
        <f t="shared" si="138"/>
        <v/>
      </c>
      <c r="X1763" t="str">
        <f>IF(W1763="","",LOOKUP(_xlfn.CONCAT(P1763,", ",Q1763),'[1]T+S Costs'!$F$2:$F$3138,'[1]T+S Costs'!$N$2:$N$3138))</f>
        <v/>
      </c>
      <c r="Y1763" s="14" t="str">
        <f t="shared" si="139"/>
        <v/>
      </c>
      <c r="Z1763" s="4" t="str">
        <f t="shared" si="140"/>
        <v/>
      </c>
    </row>
    <row r="1764" spans="16:26" x14ac:dyDescent="0.25">
      <c r="P1764" s="10" t="str">
        <f>IF('[1]All Data '!AZ1769="","",'[1]All Data '!AZ1769)</f>
        <v/>
      </c>
      <c r="Q1764" s="10" t="str">
        <f>IF('[1]All Data '!BB1769="","",'[1]All Data '!BB1769)</f>
        <v/>
      </c>
      <c r="R1764" s="10" t="str">
        <f>IF('[1]All Data '!BD1769="","",'[1]All Data '!BD1769)</f>
        <v/>
      </c>
      <c r="S1764" s="11" t="str">
        <f>IF(R1764="","",'[1]All Data '!BE1769)</f>
        <v/>
      </c>
      <c r="T1764" s="12" t="str">
        <f>IF(S1764="","",[1]Inputs_Outputs!$B$8*(1-'LOCH Calc COE Calc'!S1764))</f>
        <v/>
      </c>
      <c r="U1764" s="13" t="str">
        <f t="shared" si="136"/>
        <v/>
      </c>
      <c r="V1764" s="13" t="str">
        <f t="shared" si="137"/>
        <v/>
      </c>
      <c r="W1764" s="4" t="str">
        <f t="shared" si="138"/>
        <v/>
      </c>
      <c r="X1764" t="str">
        <f>IF(W1764="","",LOOKUP(_xlfn.CONCAT(P1764,", ",Q1764),'[1]T+S Costs'!$F$2:$F$3138,'[1]T+S Costs'!$N$2:$N$3138))</f>
        <v/>
      </c>
      <c r="Y1764" s="14" t="str">
        <f t="shared" si="139"/>
        <v/>
      </c>
      <c r="Z1764" s="4" t="str">
        <f t="shared" si="140"/>
        <v/>
      </c>
    </row>
    <row r="1765" spans="16:26" x14ac:dyDescent="0.25">
      <c r="P1765" s="10" t="str">
        <f>IF('[1]All Data '!AZ1770="","",'[1]All Data '!AZ1770)</f>
        <v/>
      </c>
      <c r="Q1765" s="10" t="str">
        <f>IF('[1]All Data '!BB1770="","",'[1]All Data '!BB1770)</f>
        <v/>
      </c>
      <c r="R1765" s="10" t="str">
        <f>IF('[1]All Data '!BD1770="","",'[1]All Data '!BD1770)</f>
        <v/>
      </c>
      <c r="S1765" s="11" t="str">
        <f>IF(R1765="","",'[1]All Data '!BE1770)</f>
        <v/>
      </c>
      <c r="T1765" s="12" t="str">
        <f>IF(S1765="","",[1]Inputs_Outputs!$B$8*(1-'LOCH Calc COE Calc'!S1765))</f>
        <v/>
      </c>
      <c r="U1765" s="13" t="str">
        <f t="shared" si="136"/>
        <v/>
      </c>
      <c r="V1765" s="13" t="str">
        <f t="shared" si="137"/>
        <v/>
      </c>
      <c r="W1765" s="4" t="str">
        <f t="shared" si="138"/>
        <v/>
      </c>
      <c r="X1765" t="str">
        <f>IF(W1765="","",LOOKUP(_xlfn.CONCAT(P1765,", ",Q1765),'[1]T+S Costs'!$F$2:$F$3138,'[1]T+S Costs'!$N$2:$N$3138))</f>
        <v/>
      </c>
      <c r="Y1765" s="14" t="str">
        <f t="shared" si="139"/>
        <v/>
      </c>
      <c r="Z1765" s="4" t="str">
        <f t="shared" si="140"/>
        <v/>
      </c>
    </row>
    <row r="1766" spans="16:26" x14ac:dyDescent="0.25">
      <c r="P1766" s="10" t="str">
        <f>IF('[1]All Data '!AZ1771="","",'[1]All Data '!AZ1771)</f>
        <v/>
      </c>
      <c r="Q1766" s="10" t="str">
        <f>IF('[1]All Data '!BB1771="","",'[1]All Data '!BB1771)</f>
        <v/>
      </c>
      <c r="R1766" s="10" t="str">
        <f>IF('[1]All Data '!BD1771="","",'[1]All Data '!BD1771)</f>
        <v/>
      </c>
      <c r="S1766" s="11" t="str">
        <f>IF(R1766="","",'[1]All Data '!BE1771)</f>
        <v/>
      </c>
      <c r="T1766" s="12" t="str">
        <f>IF(S1766="","",[1]Inputs_Outputs!$B$8*(1-'LOCH Calc COE Calc'!S1766))</f>
        <v/>
      </c>
      <c r="U1766" s="13" t="str">
        <f t="shared" si="136"/>
        <v/>
      </c>
      <c r="V1766" s="13" t="str">
        <f t="shared" si="137"/>
        <v/>
      </c>
      <c r="W1766" s="4" t="str">
        <f t="shared" si="138"/>
        <v/>
      </c>
      <c r="X1766" t="str">
        <f>IF(W1766="","",LOOKUP(_xlfn.CONCAT(P1766,", ",Q1766),'[1]T+S Costs'!$F$2:$F$3138,'[1]T+S Costs'!$N$2:$N$3138))</f>
        <v/>
      </c>
      <c r="Y1766" s="14" t="str">
        <f t="shared" si="139"/>
        <v/>
      </c>
      <c r="Z1766" s="4" t="str">
        <f t="shared" si="140"/>
        <v/>
      </c>
    </row>
    <row r="1767" spans="16:26" x14ac:dyDescent="0.25">
      <c r="P1767" s="10" t="str">
        <f>IF('[1]All Data '!AZ1772="","",'[1]All Data '!AZ1772)</f>
        <v/>
      </c>
      <c r="Q1767" s="10" t="str">
        <f>IF('[1]All Data '!BB1772="","",'[1]All Data '!BB1772)</f>
        <v/>
      </c>
      <c r="R1767" s="10" t="str">
        <f>IF('[1]All Data '!BD1772="","",'[1]All Data '!BD1772)</f>
        <v/>
      </c>
      <c r="S1767" s="11" t="str">
        <f>IF(R1767="","",'[1]All Data '!BE1772)</f>
        <v/>
      </c>
      <c r="T1767" s="12" t="str">
        <f>IF(S1767="","",[1]Inputs_Outputs!$B$8*(1-'LOCH Calc COE Calc'!S1767))</f>
        <v/>
      </c>
      <c r="U1767" s="13" t="str">
        <f t="shared" si="136"/>
        <v/>
      </c>
      <c r="V1767" s="13" t="str">
        <f t="shared" si="137"/>
        <v/>
      </c>
      <c r="W1767" s="4" t="str">
        <f t="shared" si="138"/>
        <v/>
      </c>
      <c r="X1767" t="str">
        <f>IF(W1767="","",LOOKUP(_xlfn.CONCAT(P1767,", ",Q1767),'[1]T+S Costs'!$F$2:$F$3138,'[1]T+S Costs'!$N$2:$N$3138))</f>
        <v/>
      </c>
      <c r="Y1767" s="14" t="str">
        <f t="shared" si="139"/>
        <v/>
      </c>
      <c r="Z1767" s="4" t="str">
        <f t="shared" si="140"/>
        <v/>
      </c>
    </row>
    <row r="1768" spans="16:26" x14ac:dyDescent="0.25">
      <c r="P1768" s="10" t="str">
        <f>IF('[1]All Data '!AZ1773="","",'[1]All Data '!AZ1773)</f>
        <v/>
      </c>
      <c r="Q1768" s="10" t="str">
        <f>IF('[1]All Data '!BB1773="","",'[1]All Data '!BB1773)</f>
        <v/>
      </c>
      <c r="R1768" s="10" t="str">
        <f>IF('[1]All Data '!BD1773="","",'[1]All Data '!BD1773)</f>
        <v/>
      </c>
      <c r="S1768" s="11" t="str">
        <f>IF(R1768="","",'[1]All Data '!BE1773)</f>
        <v/>
      </c>
      <c r="T1768" s="12" t="str">
        <f>IF(S1768="","",[1]Inputs_Outputs!$B$8*(1-'LOCH Calc COE Calc'!S1768))</f>
        <v/>
      </c>
      <c r="U1768" s="13" t="str">
        <f t="shared" si="136"/>
        <v/>
      </c>
      <c r="V1768" s="13" t="str">
        <f t="shared" si="137"/>
        <v/>
      </c>
      <c r="W1768" s="4" t="str">
        <f t="shared" si="138"/>
        <v/>
      </c>
      <c r="X1768" t="str">
        <f>IF(W1768="","",LOOKUP(_xlfn.CONCAT(P1768,", ",Q1768),'[1]T+S Costs'!$F$2:$F$3138,'[1]T+S Costs'!$N$2:$N$3138))</f>
        <v/>
      </c>
      <c r="Y1768" s="14" t="str">
        <f t="shared" si="139"/>
        <v/>
      </c>
      <c r="Z1768" s="4" t="str">
        <f t="shared" si="140"/>
        <v/>
      </c>
    </row>
    <row r="1769" spans="16:26" x14ac:dyDescent="0.25">
      <c r="P1769" s="10" t="str">
        <f>IF('[1]All Data '!AZ1774="","",'[1]All Data '!AZ1774)</f>
        <v/>
      </c>
      <c r="Q1769" s="10" t="str">
        <f>IF('[1]All Data '!BB1774="","",'[1]All Data '!BB1774)</f>
        <v/>
      </c>
      <c r="R1769" s="10" t="str">
        <f>IF('[1]All Data '!BD1774="","",'[1]All Data '!BD1774)</f>
        <v/>
      </c>
      <c r="S1769" s="11" t="str">
        <f>IF(R1769="","",'[1]All Data '!BE1774)</f>
        <v/>
      </c>
      <c r="T1769" s="12" t="str">
        <f>IF(S1769="","",[1]Inputs_Outputs!$B$8*(1-'LOCH Calc COE Calc'!S1769))</f>
        <v/>
      </c>
      <c r="U1769" s="13" t="str">
        <f t="shared" si="136"/>
        <v/>
      </c>
      <c r="V1769" s="13" t="str">
        <f t="shared" si="137"/>
        <v/>
      </c>
      <c r="W1769" s="4" t="str">
        <f t="shared" si="138"/>
        <v/>
      </c>
      <c r="X1769" t="str">
        <f>IF(W1769="","",LOOKUP(_xlfn.CONCAT(P1769,", ",Q1769),'[1]T+S Costs'!$F$2:$F$3138,'[1]T+S Costs'!$N$2:$N$3138))</f>
        <v/>
      </c>
      <c r="Y1769" s="14" t="str">
        <f t="shared" si="139"/>
        <v/>
      </c>
      <c r="Z1769" s="4" t="str">
        <f t="shared" si="140"/>
        <v/>
      </c>
    </row>
    <row r="1770" spans="16:26" x14ac:dyDescent="0.25">
      <c r="P1770" s="10" t="str">
        <f>IF('[1]All Data '!AZ1775="","",'[1]All Data '!AZ1775)</f>
        <v/>
      </c>
      <c r="Q1770" s="10" t="str">
        <f>IF('[1]All Data '!BB1775="","",'[1]All Data '!BB1775)</f>
        <v/>
      </c>
      <c r="R1770" s="10" t="str">
        <f>IF('[1]All Data '!BD1775="","",'[1]All Data '!BD1775)</f>
        <v/>
      </c>
      <c r="S1770" s="11" t="str">
        <f>IF(R1770="","",'[1]All Data '!BE1775)</f>
        <v/>
      </c>
      <c r="T1770" s="12" t="str">
        <f>IF(S1770="","",[1]Inputs_Outputs!$B$8*(1-'LOCH Calc COE Calc'!S1770))</f>
        <v/>
      </c>
      <c r="U1770" s="13" t="str">
        <f t="shared" si="136"/>
        <v/>
      </c>
      <c r="V1770" s="13" t="str">
        <f t="shared" si="137"/>
        <v/>
      </c>
      <c r="W1770" s="4" t="str">
        <f t="shared" si="138"/>
        <v/>
      </c>
      <c r="X1770" t="str">
        <f>IF(W1770="","",LOOKUP(_xlfn.CONCAT(P1770,", ",Q1770),'[1]T+S Costs'!$F$2:$F$3138,'[1]T+S Costs'!$N$2:$N$3138))</f>
        <v/>
      </c>
      <c r="Y1770" s="14" t="str">
        <f t="shared" si="139"/>
        <v/>
      </c>
      <c r="Z1770" s="4" t="str">
        <f t="shared" si="140"/>
        <v/>
      </c>
    </row>
    <row r="1771" spans="16:26" x14ac:dyDescent="0.25">
      <c r="P1771" s="10" t="str">
        <f>IF('[1]All Data '!AZ1776="","",'[1]All Data '!AZ1776)</f>
        <v/>
      </c>
      <c r="Q1771" s="10" t="str">
        <f>IF('[1]All Data '!BB1776="","",'[1]All Data '!BB1776)</f>
        <v/>
      </c>
      <c r="R1771" s="10" t="str">
        <f>IF('[1]All Data '!BD1776="","",'[1]All Data '!BD1776)</f>
        <v/>
      </c>
      <c r="S1771" s="11" t="str">
        <f>IF(R1771="","",'[1]All Data '!BE1776)</f>
        <v/>
      </c>
      <c r="T1771" s="12" t="str">
        <f>IF(S1771="","",[1]Inputs_Outputs!$B$8*(1-'LOCH Calc COE Calc'!S1771))</f>
        <v/>
      </c>
      <c r="U1771" s="13" t="str">
        <f t="shared" si="136"/>
        <v/>
      </c>
      <c r="V1771" s="13" t="str">
        <f t="shared" si="137"/>
        <v/>
      </c>
      <c r="W1771" s="4" t="str">
        <f t="shared" si="138"/>
        <v/>
      </c>
      <c r="X1771" t="str">
        <f>IF(W1771="","",LOOKUP(_xlfn.CONCAT(P1771,", ",Q1771),'[1]T+S Costs'!$F$2:$F$3138,'[1]T+S Costs'!$N$2:$N$3138))</f>
        <v/>
      </c>
      <c r="Y1771" s="14" t="str">
        <f t="shared" si="139"/>
        <v/>
      </c>
      <c r="Z1771" s="4" t="str">
        <f t="shared" si="140"/>
        <v/>
      </c>
    </row>
    <row r="1772" spans="16:26" x14ac:dyDescent="0.25">
      <c r="P1772" s="10" t="str">
        <f>IF('[1]All Data '!AZ1777="","",'[1]All Data '!AZ1777)</f>
        <v/>
      </c>
      <c r="Q1772" s="10" t="str">
        <f>IF('[1]All Data '!BB1777="","",'[1]All Data '!BB1777)</f>
        <v/>
      </c>
      <c r="R1772" s="10" t="str">
        <f>IF('[1]All Data '!BD1777="","",'[1]All Data '!BD1777)</f>
        <v/>
      </c>
      <c r="S1772" s="11" t="str">
        <f>IF(R1772="","",'[1]All Data '!BE1777)</f>
        <v/>
      </c>
      <c r="T1772" s="12" t="str">
        <f>IF(S1772="","",[1]Inputs_Outputs!$B$8*(1-'LOCH Calc COE Calc'!S1772))</f>
        <v/>
      </c>
      <c r="U1772" s="13" t="str">
        <f t="shared" si="136"/>
        <v/>
      </c>
      <c r="V1772" s="13" t="str">
        <f t="shared" si="137"/>
        <v/>
      </c>
      <c r="W1772" s="4" t="str">
        <f t="shared" si="138"/>
        <v/>
      </c>
      <c r="X1772" t="str">
        <f>IF(W1772="","",LOOKUP(_xlfn.CONCAT(P1772,", ",Q1772),'[1]T+S Costs'!$F$2:$F$3138,'[1]T+S Costs'!$N$2:$N$3138))</f>
        <v/>
      </c>
      <c r="Y1772" s="14" t="str">
        <f t="shared" si="139"/>
        <v/>
      </c>
      <c r="Z1772" s="4" t="str">
        <f t="shared" si="140"/>
        <v/>
      </c>
    </row>
    <row r="1773" spans="16:26" x14ac:dyDescent="0.25">
      <c r="P1773" s="10" t="str">
        <f>IF('[1]All Data '!AZ1778="","",'[1]All Data '!AZ1778)</f>
        <v/>
      </c>
      <c r="Q1773" s="10" t="str">
        <f>IF('[1]All Data '!BB1778="","",'[1]All Data '!BB1778)</f>
        <v/>
      </c>
      <c r="R1773" s="10" t="str">
        <f>IF('[1]All Data '!BD1778="","",'[1]All Data '!BD1778)</f>
        <v/>
      </c>
      <c r="S1773" s="11" t="str">
        <f>IF(R1773="","",'[1]All Data '!BE1778)</f>
        <v/>
      </c>
      <c r="T1773" s="12" t="str">
        <f>IF(S1773="","",[1]Inputs_Outputs!$B$8*(1-'LOCH Calc COE Calc'!S1773))</f>
        <v/>
      </c>
      <c r="U1773" s="13" t="str">
        <f t="shared" si="136"/>
        <v/>
      </c>
      <c r="V1773" s="13" t="str">
        <f t="shared" si="137"/>
        <v/>
      </c>
      <c r="W1773" s="4" t="str">
        <f t="shared" si="138"/>
        <v/>
      </c>
      <c r="X1773" t="str">
        <f>IF(W1773="","",LOOKUP(_xlfn.CONCAT(P1773,", ",Q1773),'[1]T+S Costs'!$F$2:$F$3138,'[1]T+S Costs'!$N$2:$N$3138))</f>
        <v/>
      </c>
      <c r="Y1773" s="14" t="str">
        <f t="shared" si="139"/>
        <v/>
      </c>
      <c r="Z1773" s="4" t="str">
        <f t="shared" si="140"/>
        <v/>
      </c>
    </row>
    <row r="1774" spans="16:26" x14ac:dyDescent="0.25">
      <c r="P1774" s="10" t="str">
        <f>IF('[1]All Data '!AZ1779="","",'[1]All Data '!AZ1779)</f>
        <v/>
      </c>
      <c r="Q1774" s="10" t="str">
        <f>IF('[1]All Data '!BB1779="","",'[1]All Data '!BB1779)</f>
        <v/>
      </c>
      <c r="R1774" s="10" t="str">
        <f>IF('[1]All Data '!BD1779="","",'[1]All Data '!BD1779)</f>
        <v/>
      </c>
      <c r="S1774" s="11" t="str">
        <f>IF(R1774="","",'[1]All Data '!BE1779)</f>
        <v/>
      </c>
      <c r="T1774" s="12" t="str">
        <f>IF(S1774="","",[1]Inputs_Outputs!$B$8*(1-'LOCH Calc COE Calc'!S1774))</f>
        <v/>
      </c>
      <c r="U1774" s="13" t="str">
        <f t="shared" si="136"/>
        <v/>
      </c>
      <c r="V1774" s="13" t="str">
        <f t="shared" si="137"/>
        <v/>
      </c>
      <c r="W1774" s="4" t="str">
        <f t="shared" si="138"/>
        <v/>
      </c>
      <c r="X1774" t="str">
        <f>IF(W1774="","",LOOKUP(_xlfn.CONCAT(P1774,", ",Q1774),'[1]T+S Costs'!$F$2:$F$3138,'[1]T+S Costs'!$N$2:$N$3138))</f>
        <v/>
      </c>
      <c r="Y1774" s="14" t="str">
        <f t="shared" si="139"/>
        <v/>
      </c>
      <c r="Z1774" s="4" t="str">
        <f t="shared" si="140"/>
        <v/>
      </c>
    </row>
    <row r="1775" spans="16:26" x14ac:dyDescent="0.25">
      <c r="P1775" s="10" t="str">
        <f>IF('[1]All Data '!AZ1780="","",'[1]All Data '!AZ1780)</f>
        <v/>
      </c>
      <c r="Q1775" s="10" t="str">
        <f>IF('[1]All Data '!BB1780="","",'[1]All Data '!BB1780)</f>
        <v/>
      </c>
      <c r="R1775" s="10" t="str">
        <f>IF('[1]All Data '!BD1780="","",'[1]All Data '!BD1780)</f>
        <v/>
      </c>
      <c r="S1775" s="11" t="str">
        <f>IF(R1775="","",'[1]All Data '!BE1780)</f>
        <v/>
      </c>
      <c r="T1775" s="12" t="str">
        <f>IF(S1775="","",[1]Inputs_Outputs!$B$8*(1-'LOCH Calc COE Calc'!S1775))</f>
        <v/>
      </c>
      <c r="U1775" s="13" t="str">
        <f t="shared" si="136"/>
        <v/>
      </c>
      <c r="V1775" s="13" t="str">
        <f t="shared" si="137"/>
        <v/>
      </c>
      <c r="W1775" s="4" t="str">
        <f t="shared" si="138"/>
        <v/>
      </c>
      <c r="X1775" t="str">
        <f>IF(W1775="","",LOOKUP(_xlfn.CONCAT(P1775,", ",Q1775),'[1]T+S Costs'!$F$2:$F$3138,'[1]T+S Costs'!$N$2:$N$3138))</f>
        <v/>
      </c>
      <c r="Y1775" s="14" t="str">
        <f t="shared" si="139"/>
        <v/>
      </c>
      <c r="Z1775" s="4" t="str">
        <f t="shared" si="140"/>
        <v/>
      </c>
    </row>
    <row r="1776" spans="16:26" x14ac:dyDescent="0.25">
      <c r="P1776" s="10" t="str">
        <f>IF('[1]All Data '!AZ1781="","",'[1]All Data '!AZ1781)</f>
        <v/>
      </c>
      <c r="Q1776" s="10" t="str">
        <f>IF('[1]All Data '!BB1781="","",'[1]All Data '!BB1781)</f>
        <v/>
      </c>
      <c r="R1776" s="10" t="str">
        <f>IF('[1]All Data '!BD1781="","",'[1]All Data '!BD1781)</f>
        <v/>
      </c>
      <c r="S1776" s="11" t="str">
        <f>IF(R1776="","",'[1]All Data '!BE1781)</f>
        <v/>
      </c>
      <c r="T1776" s="12" t="str">
        <f>IF(S1776="","",[1]Inputs_Outputs!$B$8*(1-'LOCH Calc COE Calc'!S1776))</f>
        <v/>
      </c>
      <c r="U1776" s="13" t="str">
        <f t="shared" si="136"/>
        <v/>
      </c>
      <c r="V1776" s="13" t="str">
        <f t="shared" si="137"/>
        <v/>
      </c>
      <c r="W1776" s="4" t="str">
        <f t="shared" si="138"/>
        <v/>
      </c>
      <c r="X1776" t="str">
        <f>IF(W1776="","",LOOKUP(_xlfn.CONCAT(P1776,", ",Q1776),'[1]T+S Costs'!$F$2:$F$3138,'[1]T+S Costs'!$N$2:$N$3138))</f>
        <v/>
      </c>
      <c r="Y1776" s="14" t="str">
        <f t="shared" si="139"/>
        <v/>
      </c>
      <c r="Z1776" s="4" t="str">
        <f t="shared" si="140"/>
        <v/>
      </c>
    </row>
    <row r="1777" spans="16:26" x14ac:dyDescent="0.25">
      <c r="P1777" s="10" t="str">
        <f>IF('[1]All Data '!AZ1782="","",'[1]All Data '!AZ1782)</f>
        <v/>
      </c>
      <c r="Q1777" s="10" t="str">
        <f>IF('[1]All Data '!BB1782="","",'[1]All Data '!BB1782)</f>
        <v/>
      </c>
      <c r="R1777" s="10" t="str">
        <f>IF('[1]All Data '!BD1782="","",'[1]All Data '!BD1782)</f>
        <v/>
      </c>
      <c r="S1777" s="11" t="str">
        <f>IF(R1777="","",'[1]All Data '!BE1782)</f>
        <v/>
      </c>
      <c r="T1777" s="12" t="str">
        <f>IF(S1777="","",[1]Inputs_Outputs!$B$8*(1-'LOCH Calc COE Calc'!S1777))</f>
        <v/>
      </c>
      <c r="U1777" s="13" t="str">
        <f t="shared" si="136"/>
        <v/>
      </c>
      <c r="V1777" s="13" t="str">
        <f t="shared" si="137"/>
        <v/>
      </c>
      <c r="W1777" s="4" t="str">
        <f t="shared" si="138"/>
        <v/>
      </c>
      <c r="X1777" t="str">
        <f>IF(W1777="","",LOOKUP(_xlfn.CONCAT(P1777,", ",Q1777),'[1]T+S Costs'!$F$2:$F$3138,'[1]T+S Costs'!$N$2:$N$3138))</f>
        <v/>
      </c>
      <c r="Y1777" s="14" t="str">
        <f t="shared" si="139"/>
        <v/>
      </c>
      <c r="Z1777" s="4" t="str">
        <f t="shared" si="140"/>
        <v/>
      </c>
    </row>
    <row r="1778" spans="16:26" x14ac:dyDescent="0.25">
      <c r="P1778" s="10" t="str">
        <f>IF('[1]All Data '!AZ1783="","",'[1]All Data '!AZ1783)</f>
        <v/>
      </c>
      <c r="Q1778" s="10" t="str">
        <f>IF('[1]All Data '!BB1783="","",'[1]All Data '!BB1783)</f>
        <v/>
      </c>
      <c r="R1778" s="10" t="str">
        <f>IF('[1]All Data '!BD1783="","",'[1]All Data '!BD1783)</f>
        <v/>
      </c>
      <c r="S1778" s="11" t="str">
        <f>IF(R1778="","",'[1]All Data '!BE1783)</f>
        <v/>
      </c>
      <c r="T1778" s="12" t="str">
        <f>IF(S1778="","",[1]Inputs_Outputs!$B$8*(1-'LOCH Calc COE Calc'!S1778))</f>
        <v/>
      </c>
      <c r="U1778" s="13" t="str">
        <f t="shared" si="136"/>
        <v/>
      </c>
      <c r="V1778" s="13" t="str">
        <f t="shared" si="137"/>
        <v/>
      </c>
      <c r="W1778" s="4" t="str">
        <f t="shared" si="138"/>
        <v/>
      </c>
      <c r="X1778" t="str">
        <f>IF(W1778="","",LOOKUP(_xlfn.CONCAT(P1778,", ",Q1778),'[1]T+S Costs'!$F$2:$F$3138,'[1]T+S Costs'!$N$2:$N$3138))</f>
        <v/>
      </c>
      <c r="Y1778" s="14" t="str">
        <f t="shared" si="139"/>
        <v/>
      </c>
      <c r="Z1778" s="4" t="str">
        <f t="shared" si="140"/>
        <v/>
      </c>
    </row>
    <row r="1779" spans="16:26" x14ac:dyDescent="0.25">
      <c r="P1779" s="10" t="str">
        <f>IF('[1]All Data '!AZ1784="","",'[1]All Data '!AZ1784)</f>
        <v/>
      </c>
      <c r="Q1779" s="10" t="str">
        <f>IF('[1]All Data '!BB1784="","",'[1]All Data '!BB1784)</f>
        <v/>
      </c>
      <c r="R1779" s="10" t="str">
        <f>IF('[1]All Data '!BD1784="","",'[1]All Data '!BD1784)</f>
        <v/>
      </c>
      <c r="S1779" s="11" t="str">
        <f>IF(R1779="","",'[1]All Data '!BE1784)</f>
        <v/>
      </c>
      <c r="T1779" s="12" t="str">
        <f>IF(S1779="","",[1]Inputs_Outputs!$B$8*(1-'LOCH Calc COE Calc'!S1779))</f>
        <v/>
      </c>
      <c r="U1779" s="13" t="str">
        <f t="shared" si="136"/>
        <v/>
      </c>
      <c r="V1779" s="13" t="str">
        <f t="shared" si="137"/>
        <v/>
      </c>
      <c r="W1779" s="4" t="str">
        <f t="shared" si="138"/>
        <v/>
      </c>
      <c r="X1779" t="str">
        <f>IF(W1779="","",LOOKUP(_xlfn.CONCAT(P1779,", ",Q1779),'[1]T+S Costs'!$F$2:$F$3138,'[1]T+S Costs'!$N$2:$N$3138))</f>
        <v/>
      </c>
      <c r="Y1779" s="14" t="str">
        <f t="shared" si="139"/>
        <v/>
      </c>
      <c r="Z1779" s="4" t="str">
        <f t="shared" si="140"/>
        <v/>
      </c>
    </row>
    <row r="1780" spans="16:26" x14ac:dyDescent="0.25">
      <c r="P1780" s="10" t="str">
        <f>IF('[1]All Data '!AZ1785="","",'[1]All Data '!AZ1785)</f>
        <v/>
      </c>
      <c r="Q1780" s="10" t="str">
        <f>IF('[1]All Data '!BB1785="","",'[1]All Data '!BB1785)</f>
        <v/>
      </c>
      <c r="R1780" s="10" t="str">
        <f>IF('[1]All Data '!BD1785="","",'[1]All Data '!BD1785)</f>
        <v/>
      </c>
      <c r="S1780" s="11" t="str">
        <f>IF(R1780="","",'[1]All Data '!BE1785)</f>
        <v/>
      </c>
      <c r="T1780" s="12" t="str">
        <f>IF(S1780="","",[1]Inputs_Outputs!$B$8*(1-'LOCH Calc COE Calc'!S1780))</f>
        <v/>
      </c>
      <c r="U1780" s="13" t="str">
        <f t="shared" si="136"/>
        <v/>
      </c>
      <c r="V1780" s="13" t="str">
        <f t="shared" si="137"/>
        <v/>
      </c>
      <c r="W1780" s="4" t="str">
        <f t="shared" si="138"/>
        <v/>
      </c>
      <c r="X1780" t="str">
        <f>IF(W1780="","",LOOKUP(_xlfn.CONCAT(P1780,", ",Q1780),'[1]T+S Costs'!$F$2:$F$3138,'[1]T+S Costs'!$N$2:$N$3138))</f>
        <v/>
      </c>
      <c r="Y1780" s="14" t="str">
        <f t="shared" si="139"/>
        <v/>
      </c>
      <c r="Z1780" s="4" t="str">
        <f t="shared" si="140"/>
        <v/>
      </c>
    </row>
    <row r="1781" spans="16:26" x14ac:dyDescent="0.25">
      <c r="P1781" s="10" t="str">
        <f>IF('[1]All Data '!AZ1786="","",'[1]All Data '!AZ1786)</f>
        <v/>
      </c>
      <c r="Q1781" s="10" t="str">
        <f>IF('[1]All Data '!BB1786="","",'[1]All Data '!BB1786)</f>
        <v/>
      </c>
      <c r="R1781" s="10" t="str">
        <f>IF('[1]All Data '!BD1786="","",'[1]All Data '!BD1786)</f>
        <v/>
      </c>
      <c r="S1781" s="11" t="str">
        <f>IF(R1781="","",'[1]All Data '!BE1786)</f>
        <v/>
      </c>
      <c r="T1781" s="12" t="str">
        <f>IF(S1781="","",[1]Inputs_Outputs!$B$8*(1-'LOCH Calc COE Calc'!S1781))</f>
        <v/>
      </c>
      <c r="U1781" s="13" t="str">
        <f t="shared" si="136"/>
        <v/>
      </c>
      <c r="V1781" s="13" t="str">
        <f t="shared" si="137"/>
        <v/>
      </c>
      <c r="W1781" s="4" t="str">
        <f t="shared" si="138"/>
        <v/>
      </c>
      <c r="X1781" t="str">
        <f>IF(W1781="","",LOOKUP(_xlfn.CONCAT(P1781,", ",Q1781),'[1]T+S Costs'!$F$2:$F$3138,'[1]T+S Costs'!$N$2:$N$3138))</f>
        <v/>
      </c>
      <c r="Y1781" s="14" t="str">
        <f t="shared" si="139"/>
        <v/>
      </c>
      <c r="Z1781" s="4" t="str">
        <f t="shared" si="140"/>
        <v/>
      </c>
    </row>
    <row r="1782" spans="16:26" x14ac:dyDescent="0.25">
      <c r="P1782" s="10" t="str">
        <f>IF('[1]All Data '!AZ1787="","",'[1]All Data '!AZ1787)</f>
        <v/>
      </c>
      <c r="Q1782" s="10" t="str">
        <f>IF('[1]All Data '!BB1787="","",'[1]All Data '!BB1787)</f>
        <v/>
      </c>
      <c r="R1782" s="10" t="str">
        <f>IF('[1]All Data '!BD1787="","",'[1]All Data '!BD1787)</f>
        <v/>
      </c>
      <c r="S1782" s="11" t="str">
        <f>IF(R1782="","",'[1]All Data '!BE1787)</f>
        <v/>
      </c>
      <c r="T1782" s="12" t="str">
        <f>IF(S1782="","",[1]Inputs_Outputs!$B$8*(1-'LOCH Calc COE Calc'!S1782))</f>
        <v/>
      </c>
      <c r="U1782" s="13" t="str">
        <f t="shared" si="136"/>
        <v/>
      </c>
      <c r="V1782" s="13" t="str">
        <f t="shared" si="137"/>
        <v/>
      </c>
      <c r="W1782" s="4" t="str">
        <f t="shared" si="138"/>
        <v/>
      </c>
      <c r="X1782" t="str">
        <f>IF(W1782="","",LOOKUP(_xlfn.CONCAT(P1782,", ",Q1782),'[1]T+S Costs'!$F$2:$F$3138,'[1]T+S Costs'!$N$2:$N$3138))</f>
        <v/>
      </c>
      <c r="Y1782" s="14" t="str">
        <f t="shared" si="139"/>
        <v/>
      </c>
      <c r="Z1782" s="4" t="str">
        <f t="shared" si="140"/>
        <v/>
      </c>
    </row>
    <row r="1783" spans="16:26" x14ac:dyDescent="0.25">
      <c r="P1783" s="10" t="str">
        <f>IF('[1]All Data '!AZ1788="","",'[1]All Data '!AZ1788)</f>
        <v/>
      </c>
      <c r="Q1783" s="10" t="str">
        <f>IF('[1]All Data '!BB1788="","",'[1]All Data '!BB1788)</f>
        <v/>
      </c>
      <c r="R1783" s="10" t="str">
        <f>IF('[1]All Data '!BD1788="","",'[1]All Data '!BD1788)</f>
        <v/>
      </c>
      <c r="S1783" s="11" t="str">
        <f>IF(R1783="","",'[1]All Data '!BE1788)</f>
        <v/>
      </c>
      <c r="T1783" s="12" t="str">
        <f>IF(S1783="","",[1]Inputs_Outputs!$B$8*(1-'LOCH Calc COE Calc'!S1783))</f>
        <v/>
      </c>
      <c r="U1783" s="13" t="str">
        <f t="shared" si="136"/>
        <v/>
      </c>
      <c r="V1783" s="13" t="str">
        <f t="shared" si="137"/>
        <v/>
      </c>
      <c r="W1783" s="4" t="str">
        <f t="shared" si="138"/>
        <v/>
      </c>
      <c r="X1783" t="str">
        <f>IF(W1783="","",LOOKUP(_xlfn.CONCAT(P1783,", ",Q1783),'[1]T+S Costs'!$F$2:$F$3138,'[1]T+S Costs'!$N$2:$N$3138))</f>
        <v/>
      </c>
      <c r="Y1783" s="14" t="str">
        <f t="shared" si="139"/>
        <v/>
      </c>
      <c r="Z1783" s="4" t="str">
        <f t="shared" si="140"/>
        <v/>
      </c>
    </row>
    <row r="1784" spans="16:26" x14ac:dyDescent="0.25">
      <c r="P1784" s="10" t="str">
        <f>IF('[1]All Data '!AZ1789="","",'[1]All Data '!AZ1789)</f>
        <v/>
      </c>
      <c r="Q1784" s="10" t="str">
        <f>IF('[1]All Data '!BB1789="","",'[1]All Data '!BB1789)</f>
        <v/>
      </c>
      <c r="R1784" s="10" t="str">
        <f>IF('[1]All Data '!BD1789="","",'[1]All Data '!BD1789)</f>
        <v/>
      </c>
      <c r="S1784" s="11" t="str">
        <f>IF(R1784="","",'[1]All Data '!BE1789)</f>
        <v/>
      </c>
      <c r="T1784" s="12" t="str">
        <f>IF(S1784="","",[1]Inputs_Outputs!$B$8*(1-'LOCH Calc COE Calc'!S1784))</f>
        <v/>
      </c>
      <c r="U1784" s="13" t="str">
        <f t="shared" si="136"/>
        <v/>
      </c>
      <c r="V1784" s="13" t="str">
        <f t="shared" si="137"/>
        <v/>
      </c>
      <c r="W1784" s="4" t="str">
        <f t="shared" si="138"/>
        <v/>
      </c>
      <c r="X1784" t="str">
        <f>IF(W1784="","",LOOKUP(_xlfn.CONCAT(P1784,", ",Q1784),'[1]T+S Costs'!$F$2:$F$3138,'[1]T+S Costs'!$N$2:$N$3138))</f>
        <v/>
      </c>
      <c r="Y1784" s="14" t="str">
        <f t="shared" si="139"/>
        <v/>
      </c>
      <c r="Z1784" s="4" t="str">
        <f t="shared" si="140"/>
        <v/>
      </c>
    </row>
    <row r="1785" spans="16:26" x14ac:dyDescent="0.25">
      <c r="P1785" s="10" t="str">
        <f>IF('[1]All Data '!AZ1790="","",'[1]All Data '!AZ1790)</f>
        <v/>
      </c>
      <c r="Q1785" s="10" t="str">
        <f>IF('[1]All Data '!BB1790="","",'[1]All Data '!BB1790)</f>
        <v/>
      </c>
      <c r="R1785" s="10" t="str">
        <f>IF('[1]All Data '!BD1790="","",'[1]All Data '!BD1790)</f>
        <v/>
      </c>
      <c r="S1785" s="11" t="str">
        <f>IF(R1785="","",'[1]All Data '!BE1790)</f>
        <v/>
      </c>
      <c r="T1785" s="12" t="str">
        <f>IF(S1785="","",[1]Inputs_Outputs!$B$8*(1-'LOCH Calc COE Calc'!S1785))</f>
        <v/>
      </c>
      <c r="U1785" s="13" t="str">
        <f t="shared" si="136"/>
        <v/>
      </c>
      <c r="V1785" s="13" t="str">
        <f t="shared" si="137"/>
        <v/>
      </c>
      <c r="W1785" s="4" t="str">
        <f t="shared" si="138"/>
        <v/>
      </c>
      <c r="X1785" t="str">
        <f>IF(W1785="","",LOOKUP(_xlfn.CONCAT(P1785,", ",Q1785),'[1]T+S Costs'!$F$2:$F$3138,'[1]T+S Costs'!$N$2:$N$3138))</f>
        <v/>
      </c>
      <c r="Y1785" s="14" t="str">
        <f t="shared" si="139"/>
        <v/>
      </c>
      <c r="Z1785" s="4" t="str">
        <f t="shared" si="140"/>
        <v/>
      </c>
    </row>
    <row r="1786" spans="16:26" x14ac:dyDescent="0.25">
      <c r="P1786" s="10" t="str">
        <f>IF('[1]All Data '!AZ1791="","",'[1]All Data '!AZ1791)</f>
        <v/>
      </c>
      <c r="Q1786" s="10" t="str">
        <f>IF('[1]All Data '!BB1791="","",'[1]All Data '!BB1791)</f>
        <v/>
      </c>
      <c r="R1786" s="10" t="str">
        <f>IF('[1]All Data '!BD1791="","",'[1]All Data '!BD1791)</f>
        <v/>
      </c>
      <c r="S1786" s="11" t="str">
        <f>IF(R1786="","",'[1]All Data '!BE1791)</f>
        <v/>
      </c>
      <c r="T1786" s="12" t="str">
        <f>IF(S1786="","",[1]Inputs_Outputs!$B$8*(1-'LOCH Calc COE Calc'!S1786))</f>
        <v/>
      </c>
      <c r="U1786" s="13" t="str">
        <f t="shared" si="136"/>
        <v/>
      </c>
      <c r="V1786" s="13" t="str">
        <f t="shared" si="137"/>
        <v/>
      </c>
      <c r="W1786" s="4" t="str">
        <f t="shared" si="138"/>
        <v/>
      </c>
      <c r="X1786" t="str">
        <f>IF(W1786="","",LOOKUP(_xlfn.CONCAT(P1786,", ",Q1786),'[1]T+S Costs'!$F$2:$F$3138,'[1]T+S Costs'!$N$2:$N$3138))</f>
        <v/>
      </c>
      <c r="Y1786" s="14" t="str">
        <f t="shared" si="139"/>
        <v/>
      </c>
      <c r="Z1786" s="4" t="str">
        <f t="shared" si="140"/>
        <v/>
      </c>
    </row>
    <row r="1787" spans="16:26" x14ac:dyDescent="0.25">
      <c r="P1787" s="10" t="str">
        <f>IF('[1]All Data '!AZ1792="","",'[1]All Data '!AZ1792)</f>
        <v/>
      </c>
      <c r="Q1787" s="10" t="str">
        <f>IF('[1]All Data '!BB1792="","",'[1]All Data '!BB1792)</f>
        <v/>
      </c>
      <c r="R1787" s="10" t="str">
        <f>IF('[1]All Data '!BD1792="","",'[1]All Data '!BD1792)</f>
        <v/>
      </c>
      <c r="S1787" s="11" t="str">
        <f>IF(R1787="","",'[1]All Data '!BE1792)</f>
        <v/>
      </c>
      <c r="T1787" s="12" t="str">
        <f>IF(S1787="","",[1]Inputs_Outputs!$B$8*(1-'LOCH Calc COE Calc'!S1787))</f>
        <v/>
      </c>
      <c r="U1787" s="13" t="str">
        <f t="shared" si="136"/>
        <v/>
      </c>
      <c r="V1787" s="13" t="str">
        <f t="shared" si="137"/>
        <v/>
      </c>
      <c r="W1787" s="4" t="str">
        <f t="shared" si="138"/>
        <v/>
      </c>
      <c r="X1787" t="str">
        <f>IF(W1787="","",LOOKUP(_xlfn.CONCAT(P1787,", ",Q1787),'[1]T+S Costs'!$F$2:$F$3138,'[1]T+S Costs'!$N$2:$N$3138))</f>
        <v/>
      </c>
      <c r="Y1787" s="14" t="str">
        <f t="shared" si="139"/>
        <v/>
      </c>
      <c r="Z1787" s="4" t="str">
        <f t="shared" si="140"/>
        <v/>
      </c>
    </row>
    <row r="1788" spans="16:26" x14ac:dyDescent="0.25">
      <c r="P1788" s="10" t="str">
        <f>IF('[1]All Data '!AZ1793="","",'[1]All Data '!AZ1793)</f>
        <v/>
      </c>
      <c r="Q1788" s="10" t="str">
        <f>IF('[1]All Data '!BB1793="","",'[1]All Data '!BB1793)</f>
        <v/>
      </c>
      <c r="R1788" s="10" t="str">
        <f>IF('[1]All Data '!BD1793="","",'[1]All Data '!BD1793)</f>
        <v/>
      </c>
      <c r="S1788" s="11" t="str">
        <f>IF(R1788="","",'[1]All Data '!BE1793)</f>
        <v/>
      </c>
      <c r="T1788" s="12" t="str">
        <f>IF(S1788="","",[1]Inputs_Outputs!$B$8*(1-'LOCH Calc COE Calc'!S1788))</f>
        <v/>
      </c>
      <c r="U1788" s="13" t="str">
        <f t="shared" si="136"/>
        <v/>
      </c>
      <c r="V1788" s="13" t="str">
        <f t="shared" si="137"/>
        <v/>
      </c>
      <c r="W1788" s="4" t="str">
        <f t="shared" si="138"/>
        <v/>
      </c>
      <c r="X1788" t="str">
        <f>IF(W1788="","",LOOKUP(_xlfn.CONCAT(P1788,", ",Q1788),'[1]T+S Costs'!$F$2:$F$3138,'[1]T+S Costs'!$N$2:$N$3138))</f>
        <v/>
      </c>
      <c r="Y1788" s="14" t="str">
        <f t="shared" si="139"/>
        <v/>
      </c>
      <c r="Z1788" s="4" t="str">
        <f t="shared" si="140"/>
        <v/>
      </c>
    </row>
    <row r="1789" spans="16:26" x14ac:dyDescent="0.25">
      <c r="P1789" s="10" t="str">
        <f>IF('[1]All Data '!AZ1794="","",'[1]All Data '!AZ1794)</f>
        <v/>
      </c>
      <c r="Q1789" s="10" t="str">
        <f>IF('[1]All Data '!BB1794="","",'[1]All Data '!BB1794)</f>
        <v/>
      </c>
      <c r="R1789" s="10" t="str">
        <f>IF('[1]All Data '!BD1794="","",'[1]All Data '!BD1794)</f>
        <v/>
      </c>
      <c r="S1789" s="11" t="str">
        <f>IF(R1789="","",'[1]All Data '!BE1794)</f>
        <v/>
      </c>
      <c r="T1789" s="12" t="str">
        <f>IF(S1789="","",[1]Inputs_Outputs!$B$8*(1-'LOCH Calc COE Calc'!S1789))</f>
        <v/>
      </c>
      <c r="U1789" s="13" t="str">
        <f t="shared" si="136"/>
        <v/>
      </c>
      <c r="V1789" s="13" t="str">
        <f t="shared" si="137"/>
        <v/>
      </c>
      <c r="W1789" s="4" t="str">
        <f t="shared" si="138"/>
        <v/>
      </c>
      <c r="X1789" t="str">
        <f>IF(W1789="","",LOOKUP(_xlfn.CONCAT(P1789,", ",Q1789),'[1]T+S Costs'!$F$2:$F$3138,'[1]T+S Costs'!$N$2:$N$3138))</f>
        <v/>
      </c>
      <c r="Y1789" s="14" t="str">
        <f t="shared" si="139"/>
        <v/>
      </c>
      <c r="Z1789" s="4" t="str">
        <f t="shared" si="140"/>
        <v/>
      </c>
    </row>
    <row r="1790" spans="16:26" x14ac:dyDescent="0.25">
      <c r="P1790" s="10" t="str">
        <f>IF('[1]All Data '!AZ1795="","",'[1]All Data '!AZ1795)</f>
        <v/>
      </c>
      <c r="Q1790" s="10" t="str">
        <f>IF('[1]All Data '!BB1795="","",'[1]All Data '!BB1795)</f>
        <v/>
      </c>
      <c r="R1790" s="10" t="str">
        <f>IF('[1]All Data '!BD1795="","",'[1]All Data '!BD1795)</f>
        <v/>
      </c>
      <c r="S1790" s="11" t="str">
        <f>IF(R1790="","",'[1]All Data '!BE1795)</f>
        <v/>
      </c>
      <c r="T1790" s="12" t="str">
        <f>IF(S1790="","",[1]Inputs_Outputs!$B$8*(1-'LOCH Calc COE Calc'!S1790))</f>
        <v/>
      </c>
      <c r="U1790" s="13" t="str">
        <f t="shared" si="136"/>
        <v/>
      </c>
      <c r="V1790" s="13" t="str">
        <f t="shared" si="137"/>
        <v/>
      </c>
      <c r="W1790" s="4" t="str">
        <f t="shared" si="138"/>
        <v/>
      </c>
      <c r="X1790" t="str">
        <f>IF(W1790="","",LOOKUP(_xlfn.CONCAT(P1790,", ",Q1790),'[1]T+S Costs'!$F$2:$F$3138,'[1]T+S Costs'!$N$2:$N$3138))</f>
        <v/>
      </c>
      <c r="Y1790" s="14" t="str">
        <f t="shared" si="139"/>
        <v/>
      </c>
      <c r="Z1790" s="4" t="str">
        <f t="shared" si="140"/>
        <v/>
      </c>
    </row>
    <row r="1791" spans="16:26" x14ac:dyDescent="0.25">
      <c r="P1791" s="10" t="str">
        <f>IF('[1]All Data '!AZ1796="","",'[1]All Data '!AZ1796)</f>
        <v/>
      </c>
      <c r="Q1791" s="10" t="str">
        <f>IF('[1]All Data '!BB1796="","",'[1]All Data '!BB1796)</f>
        <v/>
      </c>
      <c r="R1791" s="10" t="str">
        <f>IF('[1]All Data '!BD1796="","",'[1]All Data '!BD1796)</f>
        <v/>
      </c>
      <c r="S1791" s="11" t="str">
        <f>IF(R1791="","",'[1]All Data '!BE1796)</f>
        <v/>
      </c>
      <c r="T1791" s="12" t="str">
        <f>IF(S1791="","",[1]Inputs_Outputs!$B$8*(1-'LOCH Calc COE Calc'!S1791))</f>
        <v/>
      </c>
      <c r="U1791" s="13" t="str">
        <f t="shared" si="136"/>
        <v/>
      </c>
      <c r="V1791" s="13" t="str">
        <f t="shared" si="137"/>
        <v/>
      </c>
      <c r="W1791" s="4" t="str">
        <f t="shared" si="138"/>
        <v/>
      </c>
      <c r="X1791" t="str">
        <f>IF(W1791="","",LOOKUP(_xlfn.CONCAT(P1791,", ",Q1791),'[1]T+S Costs'!$F$2:$F$3138,'[1]T+S Costs'!$N$2:$N$3138))</f>
        <v/>
      </c>
      <c r="Y1791" s="14" t="str">
        <f t="shared" si="139"/>
        <v/>
      </c>
      <c r="Z1791" s="4" t="str">
        <f t="shared" si="140"/>
        <v/>
      </c>
    </row>
    <row r="1792" spans="16:26" x14ac:dyDescent="0.25">
      <c r="P1792" s="10" t="str">
        <f>IF('[1]All Data '!AZ1797="","",'[1]All Data '!AZ1797)</f>
        <v/>
      </c>
      <c r="Q1792" s="10" t="str">
        <f>IF('[1]All Data '!BB1797="","",'[1]All Data '!BB1797)</f>
        <v/>
      </c>
      <c r="R1792" s="10" t="str">
        <f>IF('[1]All Data '!BD1797="","",'[1]All Data '!BD1797)</f>
        <v/>
      </c>
      <c r="S1792" s="11" t="str">
        <f>IF(R1792="","",'[1]All Data '!BE1797)</f>
        <v/>
      </c>
      <c r="T1792" s="12" t="str">
        <f>IF(S1792="","",[1]Inputs_Outputs!$B$8*(1-'LOCH Calc COE Calc'!S1792))</f>
        <v/>
      </c>
      <c r="U1792" s="13" t="str">
        <f t="shared" si="136"/>
        <v/>
      </c>
      <c r="V1792" s="13" t="str">
        <f t="shared" si="137"/>
        <v/>
      </c>
      <c r="W1792" s="4" t="str">
        <f t="shared" si="138"/>
        <v/>
      </c>
      <c r="X1792" t="str">
        <f>IF(W1792="","",LOOKUP(_xlfn.CONCAT(P1792,", ",Q1792),'[1]T+S Costs'!$F$2:$F$3138,'[1]T+S Costs'!$N$2:$N$3138))</f>
        <v/>
      </c>
      <c r="Y1792" s="14" t="str">
        <f t="shared" si="139"/>
        <v/>
      </c>
      <c r="Z1792" s="4" t="str">
        <f t="shared" si="140"/>
        <v/>
      </c>
    </row>
    <row r="1793" spans="16:26" x14ac:dyDescent="0.25">
      <c r="P1793" s="10" t="str">
        <f>IF('[1]All Data '!AZ1798="","",'[1]All Data '!AZ1798)</f>
        <v/>
      </c>
      <c r="Q1793" s="10" t="str">
        <f>IF('[1]All Data '!BB1798="","",'[1]All Data '!BB1798)</f>
        <v/>
      </c>
      <c r="R1793" s="10" t="str">
        <f>IF('[1]All Data '!BD1798="","",'[1]All Data '!BD1798)</f>
        <v/>
      </c>
      <c r="S1793" s="11" t="str">
        <f>IF(R1793="","",'[1]All Data '!BE1798)</f>
        <v/>
      </c>
      <c r="T1793" s="12" t="str">
        <f>IF(S1793="","",[1]Inputs_Outputs!$B$8*(1-'LOCH Calc COE Calc'!S1793))</f>
        <v/>
      </c>
      <c r="U1793" s="13" t="str">
        <f t="shared" si="136"/>
        <v/>
      </c>
      <c r="V1793" s="13" t="str">
        <f t="shared" si="137"/>
        <v/>
      </c>
      <c r="W1793" s="4" t="str">
        <f t="shared" si="138"/>
        <v/>
      </c>
      <c r="X1793" t="str">
        <f>IF(W1793="","",LOOKUP(_xlfn.CONCAT(P1793,", ",Q1793),'[1]T+S Costs'!$F$2:$F$3138,'[1]T+S Costs'!$N$2:$N$3138))</f>
        <v/>
      </c>
      <c r="Y1793" s="14" t="str">
        <f t="shared" si="139"/>
        <v/>
      </c>
      <c r="Z1793" s="4" t="str">
        <f t="shared" si="140"/>
        <v/>
      </c>
    </row>
    <row r="1794" spans="16:26" x14ac:dyDescent="0.25">
      <c r="P1794" s="10" t="str">
        <f>IF('[1]All Data '!AZ1799="","",'[1]All Data '!AZ1799)</f>
        <v/>
      </c>
      <c r="Q1794" s="10" t="str">
        <f>IF('[1]All Data '!BB1799="","",'[1]All Data '!BB1799)</f>
        <v/>
      </c>
      <c r="R1794" s="10" t="str">
        <f>IF('[1]All Data '!BD1799="","",'[1]All Data '!BD1799)</f>
        <v/>
      </c>
      <c r="S1794" s="11" t="str">
        <f>IF(R1794="","",'[1]All Data '!BE1799)</f>
        <v/>
      </c>
      <c r="T1794" s="12" t="str">
        <f>IF(S1794="","",[1]Inputs_Outputs!$B$8*(1-'LOCH Calc COE Calc'!S1794))</f>
        <v/>
      </c>
      <c r="U1794" s="13" t="str">
        <f t="shared" si="136"/>
        <v/>
      </c>
      <c r="V1794" s="13" t="str">
        <f t="shared" si="137"/>
        <v/>
      </c>
      <c r="W1794" s="4" t="str">
        <f t="shared" si="138"/>
        <v/>
      </c>
      <c r="X1794" t="str">
        <f>IF(W1794="","",LOOKUP(_xlfn.CONCAT(P1794,", ",Q1794),'[1]T+S Costs'!$F$2:$F$3138,'[1]T+S Costs'!$N$2:$N$3138))</f>
        <v/>
      </c>
      <c r="Y1794" s="14" t="str">
        <f t="shared" si="139"/>
        <v/>
      </c>
      <c r="Z1794" s="4" t="str">
        <f t="shared" si="140"/>
        <v/>
      </c>
    </row>
    <row r="1795" spans="16:26" x14ac:dyDescent="0.25">
      <c r="P1795" s="10" t="str">
        <f>IF('[1]All Data '!AZ1800="","",'[1]All Data '!AZ1800)</f>
        <v/>
      </c>
      <c r="Q1795" s="10" t="str">
        <f>IF('[1]All Data '!BB1800="","",'[1]All Data '!BB1800)</f>
        <v/>
      </c>
      <c r="R1795" s="10" t="str">
        <f>IF('[1]All Data '!BD1800="","",'[1]All Data '!BD1800)</f>
        <v/>
      </c>
      <c r="S1795" s="11" t="str">
        <f>IF(R1795="","",'[1]All Data '!BE1800)</f>
        <v/>
      </c>
      <c r="T1795" s="12" t="str">
        <f>IF(S1795="","",[1]Inputs_Outputs!$B$8*(1-'LOCH Calc COE Calc'!S1795))</f>
        <v/>
      </c>
      <c r="U1795" s="13" t="str">
        <f t="shared" ref="U1795:U1858" si="141">IF(S1795="","",R1795*T1795*365*$B$19/100)</f>
        <v/>
      </c>
      <c r="V1795" s="13" t="str">
        <f t="shared" ref="V1795:V1858" si="142">IF(S1795="","",(U1795*$B$19)/(($B$28)*$B$19))</f>
        <v/>
      </c>
      <c r="W1795" s="4" t="str">
        <f t="shared" ref="W1795:W1858" si="143">IF(S1795="","",V1795+$C$49+$C$50+$C$51)</f>
        <v/>
      </c>
      <c r="X1795" t="str">
        <f>IF(W1795="","",LOOKUP(_xlfn.CONCAT(P1795,", ",Q1795),'[1]T+S Costs'!$F$2:$F$3138,'[1]T+S Costs'!$N$2:$N$3138))</f>
        <v/>
      </c>
      <c r="Y1795" s="14" t="str">
        <f t="shared" ref="Y1795:Y1858" si="144">IF(X1795="","",((X1795*$B$60/$B$59)*$C$44)/$C$28)</f>
        <v/>
      </c>
      <c r="Z1795" s="4" t="str">
        <f t="shared" ref="Z1795:Z1858" si="145">IF(Y1795="","",W1795+Y1795)</f>
        <v/>
      </c>
    </row>
    <row r="1796" spans="16:26" x14ac:dyDescent="0.25">
      <c r="P1796" s="10" t="str">
        <f>IF('[1]All Data '!AZ1801="","",'[1]All Data '!AZ1801)</f>
        <v/>
      </c>
      <c r="Q1796" s="10" t="str">
        <f>IF('[1]All Data '!BB1801="","",'[1]All Data '!BB1801)</f>
        <v/>
      </c>
      <c r="R1796" s="10" t="str">
        <f>IF('[1]All Data '!BD1801="","",'[1]All Data '!BD1801)</f>
        <v/>
      </c>
      <c r="S1796" s="11" t="str">
        <f>IF(R1796="","",'[1]All Data '!BE1801)</f>
        <v/>
      </c>
      <c r="T1796" s="12" t="str">
        <f>IF(S1796="","",[1]Inputs_Outputs!$B$8*(1-'LOCH Calc COE Calc'!S1796))</f>
        <v/>
      </c>
      <c r="U1796" s="13" t="str">
        <f t="shared" si="141"/>
        <v/>
      </c>
      <c r="V1796" s="13" t="str">
        <f t="shared" si="142"/>
        <v/>
      </c>
      <c r="W1796" s="4" t="str">
        <f t="shared" si="143"/>
        <v/>
      </c>
      <c r="X1796" t="str">
        <f>IF(W1796="","",LOOKUP(_xlfn.CONCAT(P1796,", ",Q1796),'[1]T+S Costs'!$F$2:$F$3138,'[1]T+S Costs'!$N$2:$N$3138))</f>
        <v/>
      </c>
      <c r="Y1796" s="14" t="str">
        <f t="shared" si="144"/>
        <v/>
      </c>
      <c r="Z1796" s="4" t="str">
        <f t="shared" si="145"/>
        <v/>
      </c>
    </row>
    <row r="1797" spans="16:26" x14ac:dyDescent="0.25">
      <c r="P1797" s="10" t="str">
        <f>IF('[1]All Data '!AZ1802="","",'[1]All Data '!AZ1802)</f>
        <v/>
      </c>
      <c r="Q1797" s="10" t="str">
        <f>IF('[1]All Data '!BB1802="","",'[1]All Data '!BB1802)</f>
        <v/>
      </c>
      <c r="R1797" s="10" t="str">
        <f>IF('[1]All Data '!BD1802="","",'[1]All Data '!BD1802)</f>
        <v/>
      </c>
      <c r="S1797" s="11" t="str">
        <f>IF(R1797="","",'[1]All Data '!BE1802)</f>
        <v/>
      </c>
      <c r="T1797" s="12" t="str">
        <f>IF(S1797="","",[1]Inputs_Outputs!$B$8*(1-'LOCH Calc COE Calc'!S1797))</f>
        <v/>
      </c>
      <c r="U1797" s="13" t="str">
        <f t="shared" si="141"/>
        <v/>
      </c>
      <c r="V1797" s="13" t="str">
        <f t="shared" si="142"/>
        <v/>
      </c>
      <c r="W1797" s="4" t="str">
        <f t="shared" si="143"/>
        <v/>
      </c>
      <c r="X1797" t="str">
        <f>IF(W1797="","",LOOKUP(_xlfn.CONCAT(P1797,", ",Q1797),'[1]T+S Costs'!$F$2:$F$3138,'[1]T+S Costs'!$N$2:$N$3138))</f>
        <v/>
      </c>
      <c r="Y1797" s="14" t="str">
        <f t="shared" si="144"/>
        <v/>
      </c>
      <c r="Z1797" s="4" t="str">
        <f t="shared" si="145"/>
        <v/>
      </c>
    </row>
    <row r="1798" spans="16:26" x14ac:dyDescent="0.25">
      <c r="P1798" s="10" t="str">
        <f>IF('[1]All Data '!AZ1803="","",'[1]All Data '!AZ1803)</f>
        <v/>
      </c>
      <c r="Q1798" s="10" t="str">
        <f>IF('[1]All Data '!BB1803="","",'[1]All Data '!BB1803)</f>
        <v/>
      </c>
      <c r="R1798" s="10" t="str">
        <f>IF('[1]All Data '!BD1803="","",'[1]All Data '!BD1803)</f>
        <v/>
      </c>
      <c r="S1798" s="11" t="str">
        <f>IF(R1798="","",'[1]All Data '!BE1803)</f>
        <v/>
      </c>
      <c r="T1798" s="12" t="str">
        <f>IF(S1798="","",[1]Inputs_Outputs!$B$8*(1-'LOCH Calc COE Calc'!S1798))</f>
        <v/>
      </c>
      <c r="U1798" s="13" t="str">
        <f t="shared" si="141"/>
        <v/>
      </c>
      <c r="V1798" s="13" t="str">
        <f t="shared" si="142"/>
        <v/>
      </c>
      <c r="W1798" s="4" t="str">
        <f t="shared" si="143"/>
        <v/>
      </c>
      <c r="X1798" t="str">
        <f>IF(W1798="","",LOOKUP(_xlfn.CONCAT(P1798,", ",Q1798),'[1]T+S Costs'!$F$2:$F$3138,'[1]T+S Costs'!$N$2:$N$3138))</f>
        <v/>
      </c>
      <c r="Y1798" s="14" t="str">
        <f t="shared" si="144"/>
        <v/>
      </c>
      <c r="Z1798" s="4" t="str">
        <f t="shared" si="145"/>
        <v/>
      </c>
    </row>
    <row r="1799" spans="16:26" x14ac:dyDescent="0.25">
      <c r="P1799" s="10" t="str">
        <f>IF('[1]All Data '!AZ1804="","",'[1]All Data '!AZ1804)</f>
        <v/>
      </c>
      <c r="Q1799" s="10" t="str">
        <f>IF('[1]All Data '!BB1804="","",'[1]All Data '!BB1804)</f>
        <v/>
      </c>
      <c r="R1799" s="10" t="str">
        <f>IF('[1]All Data '!BD1804="","",'[1]All Data '!BD1804)</f>
        <v/>
      </c>
      <c r="S1799" s="11" t="str">
        <f>IF(R1799="","",'[1]All Data '!BE1804)</f>
        <v/>
      </c>
      <c r="T1799" s="12" t="str">
        <f>IF(S1799="","",[1]Inputs_Outputs!$B$8*(1-'LOCH Calc COE Calc'!S1799))</f>
        <v/>
      </c>
      <c r="U1799" s="13" t="str">
        <f t="shared" si="141"/>
        <v/>
      </c>
      <c r="V1799" s="13" t="str">
        <f t="shared" si="142"/>
        <v/>
      </c>
      <c r="W1799" s="4" t="str">
        <f t="shared" si="143"/>
        <v/>
      </c>
      <c r="X1799" t="str">
        <f>IF(W1799="","",LOOKUP(_xlfn.CONCAT(P1799,", ",Q1799),'[1]T+S Costs'!$F$2:$F$3138,'[1]T+S Costs'!$N$2:$N$3138))</f>
        <v/>
      </c>
      <c r="Y1799" s="14" t="str">
        <f t="shared" si="144"/>
        <v/>
      </c>
      <c r="Z1799" s="4" t="str">
        <f t="shared" si="145"/>
        <v/>
      </c>
    </row>
    <row r="1800" spans="16:26" x14ac:dyDescent="0.25">
      <c r="P1800" s="10" t="str">
        <f>IF('[1]All Data '!AZ1805="","",'[1]All Data '!AZ1805)</f>
        <v/>
      </c>
      <c r="Q1800" s="10" t="str">
        <f>IF('[1]All Data '!BB1805="","",'[1]All Data '!BB1805)</f>
        <v/>
      </c>
      <c r="R1800" s="10" t="str">
        <f>IF('[1]All Data '!BD1805="","",'[1]All Data '!BD1805)</f>
        <v/>
      </c>
      <c r="S1800" s="11" t="str">
        <f>IF(R1800="","",'[1]All Data '!BE1805)</f>
        <v/>
      </c>
      <c r="T1800" s="12" t="str">
        <f>IF(S1800="","",[1]Inputs_Outputs!$B$8*(1-'LOCH Calc COE Calc'!S1800))</f>
        <v/>
      </c>
      <c r="U1800" s="13" t="str">
        <f t="shared" si="141"/>
        <v/>
      </c>
      <c r="V1800" s="13" t="str">
        <f t="shared" si="142"/>
        <v/>
      </c>
      <c r="W1800" s="4" t="str">
        <f t="shared" si="143"/>
        <v/>
      </c>
      <c r="X1800" t="str">
        <f>IF(W1800="","",LOOKUP(_xlfn.CONCAT(P1800,", ",Q1800),'[1]T+S Costs'!$F$2:$F$3138,'[1]T+S Costs'!$N$2:$N$3138))</f>
        <v/>
      </c>
      <c r="Y1800" s="14" t="str">
        <f t="shared" si="144"/>
        <v/>
      </c>
      <c r="Z1800" s="4" t="str">
        <f t="shared" si="145"/>
        <v/>
      </c>
    </row>
    <row r="1801" spans="16:26" x14ac:dyDescent="0.25">
      <c r="P1801" s="10" t="str">
        <f>IF('[1]All Data '!AZ1806="","",'[1]All Data '!AZ1806)</f>
        <v/>
      </c>
      <c r="Q1801" s="10" t="str">
        <f>IF('[1]All Data '!BB1806="","",'[1]All Data '!BB1806)</f>
        <v/>
      </c>
      <c r="R1801" s="10" t="str">
        <f>IF('[1]All Data '!BD1806="","",'[1]All Data '!BD1806)</f>
        <v/>
      </c>
      <c r="S1801" s="11" t="str">
        <f>IF(R1801="","",'[1]All Data '!BE1806)</f>
        <v/>
      </c>
      <c r="T1801" s="12" t="str">
        <f>IF(S1801="","",[1]Inputs_Outputs!$B$8*(1-'LOCH Calc COE Calc'!S1801))</f>
        <v/>
      </c>
      <c r="U1801" s="13" t="str">
        <f t="shared" si="141"/>
        <v/>
      </c>
      <c r="V1801" s="13" t="str">
        <f t="shared" si="142"/>
        <v/>
      </c>
      <c r="W1801" s="4" t="str">
        <f t="shared" si="143"/>
        <v/>
      </c>
      <c r="X1801" t="str">
        <f>IF(W1801="","",LOOKUP(_xlfn.CONCAT(P1801,", ",Q1801),'[1]T+S Costs'!$F$2:$F$3138,'[1]T+S Costs'!$N$2:$N$3138))</f>
        <v/>
      </c>
      <c r="Y1801" s="14" t="str">
        <f t="shared" si="144"/>
        <v/>
      </c>
      <c r="Z1801" s="4" t="str">
        <f t="shared" si="145"/>
        <v/>
      </c>
    </row>
    <row r="1802" spans="16:26" x14ac:dyDescent="0.25">
      <c r="P1802" s="10" t="str">
        <f>IF('[1]All Data '!AZ1807="","",'[1]All Data '!AZ1807)</f>
        <v/>
      </c>
      <c r="Q1802" s="10" t="str">
        <f>IF('[1]All Data '!BB1807="","",'[1]All Data '!BB1807)</f>
        <v/>
      </c>
      <c r="R1802" s="10" t="str">
        <f>IF('[1]All Data '!BD1807="","",'[1]All Data '!BD1807)</f>
        <v/>
      </c>
      <c r="S1802" s="11" t="str">
        <f>IF(R1802="","",'[1]All Data '!BE1807)</f>
        <v/>
      </c>
      <c r="T1802" s="12" t="str">
        <f>IF(S1802="","",[1]Inputs_Outputs!$B$8*(1-'LOCH Calc COE Calc'!S1802))</f>
        <v/>
      </c>
      <c r="U1802" s="13" t="str">
        <f t="shared" si="141"/>
        <v/>
      </c>
      <c r="V1802" s="13" t="str">
        <f t="shared" si="142"/>
        <v/>
      </c>
      <c r="W1802" s="4" t="str">
        <f t="shared" si="143"/>
        <v/>
      </c>
      <c r="X1802" t="str">
        <f>IF(W1802="","",LOOKUP(_xlfn.CONCAT(P1802,", ",Q1802),'[1]T+S Costs'!$F$2:$F$3138,'[1]T+S Costs'!$N$2:$N$3138))</f>
        <v/>
      </c>
      <c r="Y1802" s="14" t="str">
        <f t="shared" si="144"/>
        <v/>
      </c>
      <c r="Z1802" s="4" t="str">
        <f t="shared" si="145"/>
        <v/>
      </c>
    </row>
    <row r="1803" spans="16:26" x14ac:dyDescent="0.25">
      <c r="P1803" s="10" t="str">
        <f>IF('[1]All Data '!AZ1808="","",'[1]All Data '!AZ1808)</f>
        <v/>
      </c>
      <c r="Q1803" s="10" t="str">
        <f>IF('[1]All Data '!BB1808="","",'[1]All Data '!BB1808)</f>
        <v/>
      </c>
      <c r="R1803" s="10" t="str">
        <f>IF('[1]All Data '!BD1808="","",'[1]All Data '!BD1808)</f>
        <v/>
      </c>
      <c r="S1803" s="11" t="str">
        <f>IF(R1803="","",'[1]All Data '!BE1808)</f>
        <v/>
      </c>
      <c r="T1803" s="12" t="str">
        <f>IF(S1803="","",[1]Inputs_Outputs!$B$8*(1-'LOCH Calc COE Calc'!S1803))</f>
        <v/>
      </c>
      <c r="U1803" s="13" t="str">
        <f t="shared" si="141"/>
        <v/>
      </c>
      <c r="V1803" s="13" t="str">
        <f t="shared" si="142"/>
        <v/>
      </c>
      <c r="W1803" s="4" t="str">
        <f t="shared" si="143"/>
        <v/>
      </c>
      <c r="X1803" t="str">
        <f>IF(W1803="","",LOOKUP(_xlfn.CONCAT(P1803,", ",Q1803),'[1]T+S Costs'!$F$2:$F$3138,'[1]T+S Costs'!$N$2:$N$3138))</f>
        <v/>
      </c>
      <c r="Y1803" s="14" t="str">
        <f t="shared" si="144"/>
        <v/>
      </c>
      <c r="Z1803" s="4" t="str">
        <f t="shared" si="145"/>
        <v/>
      </c>
    </row>
    <row r="1804" spans="16:26" x14ac:dyDescent="0.25">
      <c r="P1804" s="10" t="str">
        <f>IF('[1]All Data '!AZ1809="","",'[1]All Data '!AZ1809)</f>
        <v/>
      </c>
      <c r="Q1804" s="10" t="str">
        <f>IF('[1]All Data '!BB1809="","",'[1]All Data '!BB1809)</f>
        <v/>
      </c>
      <c r="R1804" s="10" t="str">
        <f>IF('[1]All Data '!BD1809="","",'[1]All Data '!BD1809)</f>
        <v/>
      </c>
      <c r="S1804" s="11" t="str">
        <f>IF(R1804="","",'[1]All Data '!BE1809)</f>
        <v/>
      </c>
      <c r="T1804" s="12" t="str">
        <f>IF(S1804="","",[1]Inputs_Outputs!$B$8*(1-'LOCH Calc COE Calc'!S1804))</f>
        <v/>
      </c>
      <c r="U1804" s="13" t="str">
        <f t="shared" si="141"/>
        <v/>
      </c>
      <c r="V1804" s="13" t="str">
        <f t="shared" si="142"/>
        <v/>
      </c>
      <c r="W1804" s="4" t="str">
        <f t="shared" si="143"/>
        <v/>
      </c>
      <c r="X1804" t="str">
        <f>IF(W1804="","",LOOKUP(_xlfn.CONCAT(P1804,", ",Q1804),'[1]T+S Costs'!$F$2:$F$3138,'[1]T+S Costs'!$N$2:$N$3138))</f>
        <v/>
      </c>
      <c r="Y1804" s="14" t="str">
        <f t="shared" si="144"/>
        <v/>
      </c>
      <c r="Z1804" s="4" t="str">
        <f t="shared" si="145"/>
        <v/>
      </c>
    </row>
    <row r="1805" spans="16:26" x14ac:dyDescent="0.25">
      <c r="P1805" s="10" t="str">
        <f>IF('[1]All Data '!AZ1810="","",'[1]All Data '!AZ1810)</f>
        <v/>
      </c>
      <c r="Q1805" s="10" t="str">
        <f>IF('[1]All Data '!BB1810="","",'[1]All Data '!BB1810)</f>
        <v/>
      </c>
      <c r="R1805" s="10" t="str">
        <f>IF('[1]All Data '!BD1810="","",'[1]All Data '!BD1810)</f>
        <v/>
      </c>
      <c r="S1805" s="11" t="str">
        <f>IF(R1805="","",'[1]All Data '!BE1810)</f>
        <v/>
      </c>
      <c r="T1805" s="12" t="str">
        <f>IF(S1805="","",[1]Inputs_Outputs!$B$8*(1-'LOCH Calc COE Calc'!S1805))</f>
        <v/>
      </c>
      <c r="U1805" s="13" t="str">
        <f t="shared" si="141"/>
        <v/>
      </c>
      <c r="V1805" s="13" t="str">
        <f t="shared" si="142"/>
        <v/>
      </c>
      <c r="W1805" s="4" t="str">
        <f t="shared" si="143"/>
        <v/>
      </c>
      <c r="X1805" t="str">
        <f>IF(W1805="","",LOOKUP(_xlfn.CONCAT(P1805,", ",Q1805),'[1]T+S Costs'!$F$2:$F$3138,'[1]T+S Costs'!$N$2:$N$3138))</f>
        <v/>
      </c>
      <c r="Y1805" s="14" t="str">
        <f t="shared" si="144"/>
        <v/>
      </c>
      <c r="Z1805" s="4" t="str">
        <f t="shared" si="145"/>
        <v/>
      </c>
    </row>
    <row r="1806" spans="16:26" x14ac:dyDescent="0.25">
      <c r="P1806" s="10" t="str">
        <f>IF('[1]All Data '!AZ1811="","",'[1]All Data '!AZ1811)</f>
        <v/>
      </c>
      <c r="Q1806" s="10" t="str">
        <f>IF('[1]All Data '!BB1811="","",'[1]All Data '!BB1811)</f>
        <v/>
      </c>
      <c r="R1806" s="10" t="str">
        <f>IF('[1]All Data '!BD1811="","",'[1]All Data '!BD1811)</f>
        <v/>
      </c>
      <c r="S1806" s="11" t="str">
        <f>IF(R1806="","",'[1]All Data '!BE1811)</f>
        <v/>
      </c>
      <c r="T1806" s="12" t="str">
        <f>IF(S1806="","",[1]Inputs_Outputs!$B$8*(1-'LOCH Calc COE Calc'!S1806))</f>
        <v/>
      </c>
      <c r="U1806" s="13" t="str">
        <f t="shared" si="141"/>
        <v/>
      </c>
      <c r="V1806" s="13" t="str">
        <f t="shared" si="142"/>
        <v/>
      </c>
      <c r="W1806" s="4" t="str">
        <f t="shared" si="143"/>
        <v/>
      </c>
      <c r="X1806" t="str">
        <f>IF(W1806="","",LOOKUP(_xlfn.CONCAT(P1806,", ",Q1806),'[1]T+S Costs'!$F$2:$F$3138,'[1]T+S Costs'!$N$2:$N$3138))</f>
        <v/>
      </c>
      <c r="Y1806" s="14" t="str">
        <f t="shared" si="144"/>
        <v/>
      </c>
      <c r="Z1806" s="4" t="str">
        <f t="shared" si="145"/>
        <v/>
      </c>
    </row>
    <row r="1807" spans="16:26" x14ac:dyDescent="0.25">
      <c r="P1807" s="10" t="str">
        <f>IF('[1]All Data '!AZ1812="","",'[1]All Data '!AZ1812)</f>
        <v/>
      </c>
      <c r="Q1807" s="10" t="str">
        <f>IF('[1]All Data '!BB1812="","",'[1]All Data '!BB1812)</f>
        <v/>
      </c>
      <c r="R1807" s="10" t="str">
        <f>IF('[1]All Data '!BD1812="","",'[1]All Data '!BD1812)</f>
        <v/>
      </c>
      <c r="S1807" s="11" t="str">
        <f>IF(R1807="","",'[1]All Data '!BE1812)</f>
        <v/>
      </c>
      <c r="T1807" s="12" t="str">
        <f>IF(S1807="","",[1]Inputs_Outputs!$B$8*(1-'LOCH Calc COE Calc'!S1807))</f>
        <v/>
      </c>
      <c r="U1807" s="13" t="str">
        <f t="shared" si="141"/>
        <v/>
      </c>
      <c r="V1807" s="13" t="str">
        <f t="shared" si="142"/>
        <v/>
      </c>
      <c r="W1807" s="4" t="str">
        <f t="shared" si="143"/>
        <v/>
      </c>
      <c r="X1807" t="str">
        <f>IF(W1807="","",LOOKUP(_xlfn.CONCAT(P1807,", ",Q1807),'[1]T+S Costs'!$F$2:$F$3138,'[1]T+S Costs'!$N$2:$N$3138))</f>
        <v/>
      </c>
      <c r="Y1807" s="14" t="str">
        <f t="shared" si="144"/>
        <v/>
      </c>
      <c r="Z1807" s="4" t="str">
        <f t="shared" si="145"/>
        <v/>
      </c>
    </row>
    <row r="1808" spans="16:26" x14ac:dyDescent="0.25">
      <c r="P1808" s="10" t="str">
        <f>IF('[1]All Data '!AZ1813="","",'[1]All Data '!AZ1813)</f>
        <v/>
      </c>
      <c r="Q1808" s="10" t="str">
        <f>IF('[1]All Data '!BB1813="","",'[1]All Data '!BB1813)</f>
        <v/>
      </c>
      <c r="R1808" s="10" t="str">
        <f>IF('[1]All Data '!BD1813="","",'[1]All Data '!BD1813)</f>
        <v/>
      </c>
      <c r="S1808" s="11" t="str">
        <f>IF(R1808="","",'[1]All Data '!BE1813)</f>
        <v/>
      </c>
      <c r="T1808" s="12" t="str">
        <f>IF(S1808="","",[1]Inputs_Outputs!$B$8*(1-'LOCH Calc COE Calc'!S1808))</f>
        <v/>
      </c>
      <c r="U1808" s="13" t="str">
        <f t="shared" si="141"/>
        <v/>
      </c>
      <c r="V1808" s="13" t="str">
        <f t="shared" si="142"/>
        <v/>
      </c>
      <c r="W1808" s="4" t="str">
        <f t="shared" si="143"/>
        <v/>
      </c>
      <c r="X1808" t="str">
        <f>IF(W1808="","",LOOKUP(_xlfn.CONCAT(P1808,", ",Q1808),'[1]T+S Costs'!$F$2:$F$3138,'[1]T+S Costs'!$N$2:$N$3138))</f>
        <v/>
      </c>
      <c r="Y1808" s="14" t="str">
        <f t="shared" si="144"/>
        <v/>
      </c>
      <c r="Z1808" s="4" t="str">
        <f t="shared" si="145"/>
        <v/>
      </c>
    </row>
    <row r="1809" spans="16:26" x14ac:dyDescent="0.25">
      <c r="P1809" s="10" t="str">
        <f>IF('[1]All Data '!AZ1814="","",'[1]All Data '!AZ1814)</f>
        <v/>
      </c>
      <c r="Q1809" s="10" t="str">
        <f>IF('[1]All Data '!BB1814="","",'[1]All Data '!BB1814)</f>
        <v/>
      </c>
      <c r="R1809" s="10" t="str">
        <f>IF('[1]All Data '!BD1814="","",'[1]All Data '!BD1814)</f>
        <v/>
      </c>
      <c r="S1809" s="11" t="str">
        <f>IF(R1809="","",'[1]All Data '!BE1814)</f>
        <v/>
      </c>
      <c r="T1809" s="12" t="str">
        <f>IF(S1809="","",[1]Inputs_Outputs!$B$8*(1-'LOCH Calc COE Calc'!S1809))</f>
        <v/>
      </c>
      <c r="U1809" s="13" t="str">
        <f t="shared" si="141"/>
        <v/>
      </c>
      <c r="V1809" s="13" t="str">
        <f t="shared" si="142"/>
        <v/>
      </c>
      <c r="W1809" s="4" t="str">
        <f t="shared" si="143"/>
        <v/>
      </c>
      <c r="X1809" t="str">
        <f>IF(W1809="","",LOOKUP(_xlfn.CONCAT(P1809,", ",Q1809),'[1]T+S Costs'!$F$2:$F$3138,'[1]T+S Costs'!$N$2:$N$3138))</f>
        <v/>
      </c>
      <c r="Y1809" s="14" t="str">
        <f t="shared" si="144"/>
        <v/>
      </c>
      <c r="Z1809" s="4" t="str">
        <f t="shared" si="145"/>
        <v/>
      </c>
    </row>
    <row r="1810" spans="16:26" x14ac:dyDescent="0.25">
      <c r="P1810" s="10" t="str">
        <f>IF('[1]All Data '!AZ1815="","",'[1]All Data '!AZ1815)</f>
        <v/>
      </c>
      <c r="Q1810" s="10" t="str">
        <f>IF('[1]All Data '!BB1815="","",'[1]All Data '!BB1815)</f>
        <v/>
      </c>
      <c r="R1810" s="10" t="str">
        <f>IF('[1]All Data '!BD1815="","",'[1]All Data '!BD1815)</f>
        <v/>
      </c>
      <c r="S1810" s="11" t="str">
        <f>IF(R1810="","",'[1]All Data '!BE1815)</f>
        <v/>
      </c>
      <c r="T1810" s="12" t="str">
        <f>IF(S1810="","",[1]Inputs_Outputs!$B$8*(1-'LOCH Calc COE Calc'!S1810))</f>
        <v/>
      </c>
      <c r="U1810" s="13" t="str">
        <f t="shared" si="141"/>
        <v/>
      </c>
      <c r="V1810" s="13" t="str">
        <f t="shared" si="142"/>
        <v/>
      </c>
      <c r="W1810" s="4" t="str">
        <f t="shared" si="143"/>
        <v/>
      </c>
      <c r="X1810" t="str">
        <f>IF(W1810="","",LOOKUP(_xlfn.CONCAT(P1810,", ",Q1810),'[1]T+S Costs'!$F$2:$F$3138,'[1]T+S Costs'!$N$2:$N$3138))</f>
        <v/>
      </c>
      <c r="Y1810" s="14" t="str">
        <f t="shared" si="144"/>
        <v/>
      </c>
      <c r="Z1810" s="4" t="str">
        <f t="shared" si="145"/>
        <v/>
      </c>
    </row>
    <row r="1811" spans="16:26" x14ac:dyDescent="0.25">
      <c r="P1811" s="10" t="str">
        <f>IF('[1]All Data '!AZ1816="","",'[1]All Data '!AZ1816)</f>
        <v/>
      </c>
      <c r="Q1811" s="10" t="str">
        <f>IF('[1]All Data '!BB1816="","",'[1]All Data '!BB1816)</f>
        <v/>
      </c>
      <c r="R1811" s="10" t="str">
        <f>IF('[1]All Data '!BD1816="","",'[1]All Data '!BD1816)</f>
        <v/>
      </c>
      <c r="S1811" s="11" t="str">
        <f>IF(R1811="","",'[1]All Data '!BE1816)</f>
        <v/>
      </c>
      <c r="T1811" s="12" t="str">
        <f>IF(S1811="","",[1]Inputs_Outputs!$B$8*(1-'LOCH Calc COE Calc'!S1811))</f>
        <v/>
      </c>
      <c r="U1811" s="13" t="str">
        <f t="shared" si="141"/>
        <v/>
      </c>
      <c r="V1811" s="13" t="str">
        <f t="shared" si="142"/>
        <v/>
      </c>
      <c r="W1811" s="4" t="str">
        <f t="shared" si="143"/>
        <v/>
      </c>
      <c r="X1811" t="str">
        <f>IF(W1811="","",LOOKUP(_xlfn.CONCAT(P1811,", ",Q1811),'[1]T+S Costs'!$F$2:$F$3138,'[1]T+S Costs'!$N$2:$N$3138))</f>
        <v/>
      </c>
      <c r="Y1811" s="14" t="str">
        <f t="shared" si="144"/>
        <v/>
      </c>
      <c r="Z1811" s="4" t="str">
        <f t="shared" si="145"/>
        <v/>
      </c>
    </row>
    <row r="1812" spans="16:26" x14ac:dyDescent="0.25">
      <c r="P1812" s="10" t="str">
        <f>IF('[1]All Data '!AZ1817="","",'[1]All Data '!AZ1817)</f>
        <v/>
      </c>
      <c r="Q1812" s="10" t="str">
        <f>IF('[1]All Data '!BB1817="","",'[1]All Data '!BB1817)</f>
        <v/>
      </c>
      <c r="R1812" s="10" t="str">
        <f>IF('[1]All Data '!BD1817="","",'[1]All Data '!BD1817)</f>
        <v/>
      </c>
      <c r="S1812" s="11" t="str">
        <f>IF(R1812="","",'[1]All Data '!BE1817)</f>
        <v/>
      </c>
      <c r="T1812" s="12" t="str">
        <f>IF(S1812="","",[1]Inputs_Outputs!$B$8*(1-'LOCH Calc COE Calc'!S1812))</f>
        <v/>
      </c>
      <c r="U1812" s="13" t="str">
        <f t="shared" si="141"/>
        <v/>
      </c>
      <c r="V1812" s="13" t="str">
        <f t="shared" si="142"/>
        <v/>
      </c>
      <c r="W1812" s="4" t="str">
        <f t="shared" si="143"/>
        <v/>
      </c>
      <c r="X1812" t="str">
        <f>IF(W1812="","",LOOKUP(_xlfn.CONCAT(P1812,", ",Q1812),'[1]T+S Costs'!$F$2:$F$3138,'[1]T+S Costs'!$N$2:$N$3138))</f>
        <v/>
      </c>
      <c r="Y1812" s="14" t="str">
        <f t="shared" si="144"/>
        <v/>
      </c>
      <c r="Z1812" s="4" t="str">
        <f t="shared" si="145"/>
        <v/>
      </c>
    </row>
    <row r="1813" spans="16:26" x14ac:dyDescent="0.25">
      <c r="P1813" s="10" t="str">
        <f>IF('[1]All Data '!AZ1818="","",'[1]All Data '!AZ1818)</f>
        <v/>
      </c>
      <c r="Q1813" s="10" t="str">
        <f>IF('[1]All Data '!BB1818="","",'[1]All Data '!BB1818)</f>
        <v/>
      </c>
      <c r="R1813" s="10" t="str">
        <f>IF('[1]All Data '!BD1818="","",'[1]All Data '!BD1818)</f>
        <v/>
      </c>
      <c r="S1813" s="11" t="str">
        <f>IF(R1813="","",'[1]All Data '!BE1818)</f>
        <v/>
      </c>
      <c r="T1813" s="12" t="str">
        <f>IF(S1813="","",[1]Inputs_Outputs!$B$8*(1-'LOCH Calc COE Calc'!S1813))</f>
        <v/>
      </c>
      <c r="U1813" s="13" t="str">
        <f t="shared" si="141"/>
        <v/>
      </c>
      <c r="V1813" s="13" t="str">
        <f t="shared" si="142"/>
        <v/>
      </c>
      <c r="W1813" s="4" t="str">
        <f t="shared" si="143"/>
        <v/>
      </c>
      <c r="X1813" t="str">
        <f>IF(W1813="","",LOOKUP(_xlfn.CONCAT(P1813,", ",Q1813),'[1]T+S Costs'!$F$2:$F$3138,'[1]T+S Costs'!$N$2:$N$3138))</f>
        <v/>
      </c>
      <c r="Y1813" s="14" t="str">
        <f t="shared" si="144"/>
        <v/>
      </c>
      <c r="Z1813" s="4" t="str">
        <f t="shared" si="145"/>
        <v/>
      </c>
    </row>
    <row r="1814" spans="16:26" x14ac:dyDescent="0.25">
      <c r="P1814" s="10" t="str">
        <f>IF('[1]All Data '!AZ1819="","",'[1]All Data '!AZ1819)</f>
        <v/>
      </c>
      <c r="Q1814" s="10" t="str">
        <f>IF('[1]All Data '!BB1819="","",'[1]All Data '!BB1819)</f>
        <v/>
      </c>
      <c r="R1814" s="10" t="str">
        <f>IF('[1]All Data '!BD1819="","",'[1]All Data '!BD1819)</f>
        <v/>
      </c>
      <c r="S1814" s="11" t="str">
        <f>IF(R1814="","",'[1]All Data '!BE1819)</f>
        <v/>
      </c>
      <c r="T1814" s="12" t="str">
        <f>IF(S1814="","",[1]Inputs_Outputs!$B$8*(1-'LOCH Calc COE Calc'!S1814))</f>
        <v/>
      </c>
      <c r="U1814" s="13" t="str">
        <f t="shared" si="141"/>
        <v/>
      </c>
      <c r="V1814" s="13" t="str">
        <f t="shared" si="142"/>
        <v/>
      </c>
      <c r="W1814" s="4" t="str">
        <f t="shared" si="143"/>
        <v/>
      </c>
      <c r="X1814" t="str">
        <f>IF(W1814="","",LOOKUP(_xlfn.CONCAT(P1814,", ",Q1814),'[1]T+S Costs'!$F$2:$F$3138,'[1]T+S Costs'!$N$2:$N$3138))</f>
        <v/>
      </c>
      <c r="Y1814" s="14" t="str">
        <f t="shared" si="144"/>
        <v/>
      </c>
      <c r="Z1814" s="4" t="str">
        <f t="shared" si="145"/>
        <v/>
      </c>
    </row>
    <row r="1815" spans="16:26" x14ac:dyDescent="0.25">
      <c r="P1815" s="10" t="str">
        <f>IF('[1]All Data '!AZ1820="","",'[1]All Data '!AZ1820)</f>
        <v/>
      </c>
      <c r="Q1815" s="10" t="str">
        <f>IF('[1]All Data '!BB1820="","",'[1]All Data '!BB1820)</f>
        <v/>
      </c>
      <c r="R1815" s="10" t="str">
        <f>IF('[1]All Data '!BD1820="","",'[1]All Data '!BD1820)</f>
        <v/>
      </c>
      <c r="S1815" s="11" t="str">
        <f>IF(R1815="","",'[1]All Data '!BE1820)</f>
        <v/>
      </c>
      <c r="T1815" s="12" t="str">
        <f>IF(S1815="","",[1]Inputs_Outputs!$B$8*(1-'LOCH Calc COE Calc'!S1815))</f>
        <v/>
      </c>
      <c r="U1815" s="13" t="str">
        <f t="shared" si="141"/>
        <v/>
      </c>
      <c r="V1815" s="13" t="str">
        <f t="shared" si="142"/>
        <v/>
      </c>
      <c r="W1815" s="4" t="str">
        <f t="shared" si="143"/>
        <v/>
      </c>
      <c r="X1815" t="str">
        <f>IF(W1815="","",LOOKUP(_xlfn.CONCAT(P1815,", ",Q1815),'[1]T+S Costs'!$F$2:$F$3138,'[1]T+S Costs'!$N$2:$N$3138))</f>
        <v/>
      </c>
      <c r="Y1815" s="14" t="str">
        <f t="shared" si="144"/>
        <v/>
      </c>
      <c r="Z1815" s="4" t="str">
        <f t="shared" si="145"/>
        <v/>
      </c>
    </row>
    <row r="1816" spans="16:26" x14ac:dyDescent="0.25">
      <c r="P1816" s="10" t="str">
        <f>IF('[1]All Data '!AZ1821="","",'[1]All Data '!AZ1821)</f>
        <v/>
      </c>
      <c r="Q1816" s="10" t="str">
        <f>IF('[1]All Data '!BB1821="","",'[1]All Data '!BB1821)</f>
        <v/>
      </c>
      <c r="R1816" s="10" t="str">
        <f>IF('[1]All Data '!BD1821="","",'[1]All Data '!BD1821)</f>
        <v/>
      </c>
      <c r="S1816" s="11" t="str">
        <f>IF(R1816="","",'[1]All Data '!BE1821)</f>
        <v/>
      </c>
      <c r="T1816" s="12" t="str">
        <f>IF(S1816="","",[1]Inputs_Outputs!$B$8*(1-'LOCH Calc COE Calc'!S1816))</f>
        <v/>
      </c>
      <c r="U1816" s="13" t="str">
        <f t="shared" si="141"/>
        <v/>
      </c>
      <c r="V1816" s="13" t="str">
        <f t="shared" si="142"/>
        <v/>
      </c>
      <c r="W1816" s="4" t="str">
        <f t="shared" si="143"/>
        <v/>
      </c>
      <c r="X1816" t="str">
        <f>IF(W1816="","",LOOKUP(_xlfn.CONCAT(P1816,", ",Q1816),'[1]T+S Costs'!$F$2:$F$3138,'[1]T+S Costs'!$N$2:$N$3138))</f>
        <v/>
      </c>
      <c r="Y1816" s="14" t="str">
        <f t="shared" si="144"/>
        <v/>
      </c>
      <c r="Z1816" s="4" t="str">
        <f t="shared" si="145"/>
        <v/>
      </c>
    </row>
    <row r="1817" spans="16:26" x14ac:dyDescent="0.25">
      <c r="P1817" s="10" t="str">
        <f>IF('[1]All Data '!AZ1822="","",'[1]All Data '!AZ1822)</f>
        <v/>
      </c>
      <c r="Q1817" s="10" t="str">
        <f>IF('[1]All Data '!BB1822="","",'[1]All Data '!BB1822)</f>
        <v/>
      </c>
      <c r="R1817" s="10" t="str">
        <f>IF('[1]All Data '!BD1822="","",'[1]All Data '!BD1822)</f>
        <v/>
      </c>
      <c r="S1817" s="11" t="str">
        <f>IF(R1817="","",'[1]All Data '!BE1822)</f>
        <v/>
      </c>
      <c r="T1817" s="12" t="str">
        <f>IF(S1817="","",[1]Inputs_Outputs!$B$8*(1-'LOCH Calc COE Calc'!S1817))</f>
        <v/>
      </c>
      <c r="U1817" s="13" t="str">
        <f t="shared" si="141"/>
        <v/>
      </c>
      <c r="V1817" s="13" t="str">
        <f t="shared" si="142"/>
        <v/>
      </c>
      <c r="W1817" s="4" t="str">
        <f t="shared" si="143"/>
        <v/>
      </c>
      <c r="X1817" t="str">
        <f>IF(W1817="","",LOOKUP(_xlfn.CONCAT(P1817,", ",Q1817),'[1]T+S Costs'!$F$2:$F$3138,'[1]T+S Costs'!$N$2:$N$3138))</f>
        <v/>
      </c>
      <c r="Y1817" s="14" t="str">
        <f t="shared" si="144"/>
        <v/>
      </c>
      <c r="Z1817" s="4" t="str">
        <f t="shared" si="145"/>
        <v/>
      </c>
    </row>
    <row r="1818" spans="16:26" x14ac:dyDescent="0.25">
      <c r="P1818" s="10" t="str">
        <f>IF('[1]All Data '!AZ1823="","",'[1]All Data '!AZ1823)</f>
        <v/>
      </c>
      <c r="Q1818" s="10" t="str">
        <f>IF('[1]All Data '!BB1823="","",'[1]All Data '!BB1823)</f>
        <v/>
      </c>
      <c r="R1818" s="10" t="str">
        <f>IF('[1]All Data '!BD1823="","",'[1]All Data '!BD1823)</f>
        <v/>
      </c>
      <c r="S1818" s="11" t="str">
        <f>IF(R1818="","",'[1]All Data '!BE1823)</f>
        <v/>
      </c>
      <c r="T1818" s="12" t="str">
        <f>IF(S1818="","",[1]Inputs_Outputs!$B$8*(1-'LOCH Calc COE Calc'!S1818))</f>
        <v/>
      </c>
      <c r="U1818" s="13" t="str">
        <f t="shared" si="141"/>
        <v/>
      </c>
      <c r="V1818" s="13" t="str">
        <f t="shared" si="142"/>
        <v/>
      </c>
      <c r="W1818" s="4" t="str">
        <f t="shared" si="143"/>
        <v/>
      </c>
      <c r="X1818" t="str">
        <f>IF(W1818="","",LOOKUP(_xlfn.CONCAT(P1818,", ",Q1818),'[1]T+S Costs'!$F$2:$F$3138,'[1]T+S Costs'!$N$2:$N$3138))</f>
        <v/>
      </c>
      <c r="Y1818" s="14" t="str">
        <f t="shared" si="144"/>
        <v/>
      </c>
      <c r="Z1818" s="4" t="str">
        <f t="shared" si="145"/>
        <v/>
      </c>
    </row>
    <row r="1819" spans="16:26" x14ac:dyDescent="0.25">
      <c r="P1819" s="10" t="str">
        <f>IF('[1]All Data '!AZ1824="","",'[1]All Data '!AZ1824)</f>
        <v/>
      </c>
      <c r="Q1819" s="10" t="str">
        <f>IF('[1]All Data '!BB1824="","",'[1]All Data '!BB1824)</f>
        <v/>
      </c>
      <c r="R1819" s="10" t="str">
        <f>IF('[1]All Data '!BD1824="","",'[1]All Data '!BD1824)</f>
        <v/>
      </c>
      <c r="S1819" s="11" t="str">
        <f>IF(R1819="","",'[1]All Data '!BE1824)</f>
        <v/>
      </c>
      <c r="T1819" s="12" t="str">
        <f>IF(S1819="","",[1]Inputs_Outputs!$B$8*(1-'LOCH Calc COE Calc'!S1819))</f>
        <v/>
      </c>
      <c r="U1819" s="13" t="str">
        <f t="shared" si="141"/>
        <v/>
      </c>
      <c r="V1819" s="13" t="str">
        <f t="shared" si="142"/>
        <v/>
      </c>
      <c r="W1819" s="4" t="str">
        <f t="shared" si="143"/>
        <v/>
      </c>
      <c r="X1819" t="str">
        <f>IF(W1819="","",LOOKUP(_xlfn.CONCAT(P1819,", ",Q1819),'[1]T+S Costs'!$F$2:$F$3138,'[1]T+S Costs'!$N$2:$N$3138))</f>
        <v/>
      </c>
      <c r="Y1819" s="14" t="str">
        <f t="shared" si="144"/>
        <v/>
      </c>
      <c r="Z1819" s="4" t="str">
        <f t="shared" si="145"/>
        <v/>
      </c>
    </row>
    <row r="1820" spans="16:26" x14ac:dyDescent="0.25">
      <c r="P1820" s="10" t="str">
        <f>IF('[1]All Data '!AZ1825="","",'[1]All Data '!AZ1825)</f>
        <v/>
      </c>
      <c r="Q1820" s="10" t="str">
        <f>IF('[1]All Data '!BB1825="","",'[1]All Data '!BB1825)</f>
        <v/>
      </c>
      <c r="R1820" s="10" t="str">
        <f>IF('[1]All Data '!BD1825="","",'[1]All Data '!BD1825)</f>
        <v/>
      </c>
      <c r="S1820" s="11" t="str">
        <f>IF(R1820="","",'[1]All Data '!BE1825)</f>
        <v/>
      </c>
      <c r="T1820" s="12" t="str">
        <f>IF(S1820="","",[1]Inputs_Outputs!$B$8*(1-'LOCH Calc COE Calc'!S1820))</f>
        <v/>
      </c>
      <c r="U1820" s="13" t="str">
        <f t="shared" si="141"/>
        <v/>
      </c>
      <c r="V1820" s="13" t="str">
        <f t="shared" si="142"/>
        <v/>
      </c>
      <c r="W1820" s="4" t="str">
        <f t="shared" si="143"/>
        <v/>
      </c>
      <c r="X1820" t="str">
        <f>IF(W1820="","",LOOKUP(_xlfn.CONCAT(P1820,", ",Q1820),'[1]T+S Costs'!$F$2:$F$3138,'[1]T+S Costs'!$N$2:$N$3138))</f>
        <v/>
      </c>
      <c r="Y1820" s="14" t="str">
        <f t="shared" si="144"/>
        <v/>
      </c>
      <c r="Z1820" s="4" t="str">
        <f t="shared" si="145"/>
        <v/>
      </c>
    </row>
    <row r="1821" spans="16:26" x14ac:dyDescent="0.25">
      <c r="P1821" s="10" t="str">
        <f>IF('[1]All Data '!AZ1826="","",'[1]All Data '!AZ1826)</f>
        <v/>
      </c>
      <c r="Q1821" s="10" t="str">
        <f>IF('[1]All Data '!BB1826="","",'[1]All Data '!BB1826)</f>
        <v/>
      </c>
      <c r="R1821" s="10" t="str">
        <f>IF('[1]All Data '!BD1826="","",'[1]All Data '!BD1826)</f>
        <v/>
      </c>
      <c r="S1821" s="11" t="str">
        <f>IF(R1821="","",'[1]All Data '!BE1826)</f>
        <v/>
      </c>
      <c r="T1821" s="12" t="str">
        <f>IF(S1821="","",[1]Inputs_Outputs!$B$8*(1-'LOCH Calc COE Calc'!S1821))</f>
        <v/>
      </c>
      <c r="U1821" s="13" t="str">
        <f t="shared" si="141"/>
        <v/>
      </c>
      <c r="V1821" s="13" t="str">
        <f t="shared" si="142"/>
        <v/>
      </c>
      <c r="W1821" s="4" t="str">
        <f t="shared" si="143"/>
        <v/>
      </c>
      <c r="X1821" t="str">
        <f>IF(W1821="","",LOOKUP(_xlfn.CONCAT(P1821,", ",Q1821),'[1]T+S Costs'!$F$2:$F$3138,'[1]T+S Costs'!$N$2:$N$3138))</f>
        <v/>
      </c>
      <c r="Y1821" s="14" t="str">
        <f t="shared" si="144"/>
        <v/>
      </c>
      <c r="Z1821" s="4" t="str">
        <f t="shared" si="145"/>
        <v/>
      </c>
    </row>
    <row r="1822" spans="16:26" x14ac:dyDescent="0.25">
      <c r="P1822" s="10" t="str">
        <f>IF('[1]All Data '!AZ1827="","",'[1]All Data '!AZ1827)</f>
        <v/>
      </c>
      <c r="Q1822" s="10" t="str">
        <f>IF('[1]All Data '!BB1827="","",'[1]All Data '!BB1827)</f>
        <v/>
      </c>
      <c r="R1822" s="10" t="str">
        <f>IF('[1]All Data '!BD1827="","",'[1]All Data '!BD1827)</f>
        <v/>
      </c>
      <c r="S1822" s="11" t="str">
        <f>IF(R1822="","",'[1]All Data '!BE1827)</f>
        <v/>
      </c>
      <c r="T1822" s="12" t="str">
        <f>IF(S1822="","",[1]Inputs_Outputs!$B$8*(1-'LOCH Calc COE Calc'!S1822))</f>
        <v/>
      </c>
      <c r="U1822" s="13" t="str">
        <f t="shared" si="141"/>
        <v/>
      </c>
      <c r="V1822" s="13" t="str">
        <f t="shared" si="142"/>
        <v/>
      </c>
      <c r="W1822" s="4" t="str">
        <f t="shared" si="143"/>
        <v/>
      </c>
      <c r="X1822" t="str">
        <f>IF(W1822="","",LOOKUP(_xlfn.CONCAT(P1822,", ",Q1822),'[1]T+S Costs'!$F$2:$F$3138,'[1]T+S Costs'!$N$2:$N$3138))</f>
        <v/>
      </c>
      <c r="Y1822" s="14" t="str">
        <f t="shared" si="144"/>
        <v/>
      </c>
      <c r="Z1822" s="4" t="str">
        <f t="shared" si="145"/>
        <v/>
      </c>
    </row>
    <row r="1823" spans="16:26" x14ac:dyDescent="0.25">
      <c r="P1823" s="10" t="str">
        <f>IF('[1]All Data '!AZ1828="","",'[1]All Data '!AZ1828)</f>
        <v/>
      </c>
      <c r="Q1823" s="10" t="str">
        <f>IF('[1]All Data '!BB1828="","",'[1]All Data '!BB1828)</f>
        <v/>
      </c>
      <c r="R1823" s="10" t="str">
        <f>IF('[1]All Data '!BD1828="","",'[1]All Data '!BD1828)</f>
        <v/>
      </c>
      <c r="S1823" s="11" t="str">
        <f>IF(R1823="","",'[1]All Data '!BE1828)</f>
        <v/>
      </c>
      <c r="T1823" s="12" t="str">
        <f>IF(S1823="","",[1]Inputs_Outputs!$B$8*(1-'LOCH Calc COE Calc'!S1823))</f>
        <v/>
      </c>
      <c r="U1823" s="13" t="str">
        <f t="shared" si="141"/>
        <v/>
      </c>
      <c r="V1823" s="13" t="str">
        <f t="shared" si="142"/>
        <v/>
      </c>
      <c r="W1823" s="4" t="str">
        <f t="shared" si="143"/>
        <v/>
      </c>
      <c r="X1823" t="str">
        <f>IF(W1823="","",LOOKUP(_xlfn.CONCAT(P1823,", ",Q1823),'[1]T+S Costs'!$F$2:$F$3138,'[1]T+S Costs'!$N$2:$N$3138))</f>
        <v/>
      </c>
      <c r="Y1823" s="14" t="str">
        <f t="shared" si="144"/>
        <v/>
      </c>
      <c r="Z1823" s="4" t="str">
        <f t="shared" si="145"/>
        <v/>
      </c>
    </row>
    <row r="1824" spans="16:26" x14ac:dyDescent="0.25">
      <c r="P1824" s="10" t="str">
        <f>IF('[1]All Data '!AZ1829="","",'[1]All Data '!AZ1829)</f>
        <v/>
      </c>
      <c r="Q1824" s="10" t="str">
        <f>IF('[1]All Data '!BB1829="","",'[1]All Data '!BB1829)</f>
        <v/>
      </c>
      <c r="R1824" s="10" t="str">
        <f>IF('[1]All Data '!BD1829="","",'[1]All Data '!BD1829)</f>
        <v/>
      </c>
      <c r="S1824" s="11" t="str">
        <f>IF(R1824="","",'[1]All Data '!BE1829)</f>
        <v/>
      </c>
      <c r="T1824" s="12" t="str">
        <f>IF(S1824="","",[1]Inputs_Outputs!$B$8*(1-'LOCH Calc COE Calc'!S1824))</f>
        <v/>
      </c>
      <c r="U1824" s="13" t="str">
        <f t="shared" si="141"/>
        <v/>
      </c>
      <c r="V1824" s="13" t="str">
        <f t="shared" si="142"/>
        <v/>
      </c>
      <c r="W1824" s="4" t="str">
        <f t="shared" si="143"/>
        <v/>
      </c>
      <c r="X1824" t="str">
        <f>IF(W1824="","",LOOKUP(_xlfn.CONCAT(P1824,", ",Q1824),'[1]T+S Costs'!$F$2:$F$3138,'[1]T+S Costs'!$N$2:$N$3138))</f>
        <v/>
      </c>
      <c r="Y1824" s="14" t="str">
        <f t="shared" si="144"/>
        <v/>
      </c>
      <c r="Z1824" s="4" t="str">
        <f t="shared" si="145"/>
        <v/>
      </c>
    </row>
    <row r="1825" spans="16:26" x14ac:dyDescent="0.25">
      <c r="P1825" s="10" t="str">
        <f>IF('[1]All Data '!AZ1830="","",'[1]All Data '!AZ1830)</f>
        <v/>
      </c>
      <c r="Q1825" s="10" t="str">
        <f>IF('[1]All Data '!BB1830="","",'[1]All Data '!BB1830)</f>
        <v/>
      </c>
      <c r="R1825" s="10" t="str">
        <f>IF('[1]All Data '!BD1830="","",'[1]All Data '!BD1830)</f>
        <v/>
      </c>
      <c r="S1825" s="11" t="str">
        <f>IF(R1825="","",'[1]All Data '!BE1830)</f>
        <v/>
      </c>
      <c r="T1825" s="12" t="str">
        <f>IF(S1825="","",[1]Inputs_Outputs!$B$8*(1-'LOCH Calc COE Calc'!S1825))</f>
        <v/>
      </c>
      <c r="U1825" s="13" t="str">
        <f t="shared" si="141"/>
        <v/>
      </c>
      <c r="V1825" s="13" t="str">
        <f t="shared" si="142"/>
        <v/>
      </c>
      <c r="W1825" s="4" t="str">
        <f t="shared" si="143"/>
        <v/>
      </c>
      <c r="X1825" t="str">
        <f>IF(W1825="","",LOOKUP(_xlfn.CONCAT(P1825,", ",Q1825),'[1]T+S Costs'!$F$2:$F$3138,'[1]T+S Costs'!$N$2:$N$3138))</f>
        <v/>
      </c>
      <c r="Y1825" s="14" t="str">
        <f t="shared" si="144"/>
        <v/>
      </c>
      <c r="Z1825" s="4" t="str">
        <f t="shared" si="145"/>
        <v/>
      </c>
    </row>
    <row r="1826" spans="16:26" x14ac:dyDescent="0.25">
      <c r="P1826" s="10" t="str">
        <f>IF('[1]All Data '!AZ1831="","",'[1]All Data '!AZ1831)</f>
        <v/>
      </c>
      <c r="Q1826" s="10" t="str">
        <f>IF('[1]All Data '!BB1831="","",'[1]All Data '!BB1831)</f>
        <v/>
      </c>
      <c r="R1826" s="10" t="str">
        <f>IF('[1]All Data '!BD1831="","",'[1]All Data '!BD1831)</f>
        <v/>
      </c>
      <c r="S1826" s="11" t="str">
        <f>IF(R1826="","",'[1]All Data '!BE1831)</f>
        <v/>
      </c>
      <c r="T1826" s="12" t="str">
        <f>IF(S1826="","",[1]Inputs_Outputs!$B$8*(1-'LOCH Calc COE Calc'!S1826))</f>
        <v/>
      </c>
      <c r="U1826" s="13" t="str">
        <f t="shared" si="141"/>
        <v/>
      </c>
      <c r="V1826" s="13" t="str">
        <f t="shared" si="142"/>
        <v/>
      </c>
      <c r="W1826" s="4" t="str">
        <f t="shared" si="143"/>
        <v/>
      </c>
      <c r="X1826" t="str">
        <f>IF(W1826="","",LOOKUP(_xlfn.CONCAT(P1826,", ",Q1826),'[1]T+S Costs'!$F$2:$F$3138,'[1]T+S Costs'!$N$2:$N$3138))</f>
        <v/>
      </c>
      <c r="Y1826" s="14" t="str">
        <f t="shared" si="144"/>
        <v/>
      </c>
      <c r="Z1826" s="4" t="str">
        <f t="shared" si="145"/>
        <v/>
      </c>
    </row>
    <row r="1827" spans="16:26" x14ac:dyDescent="0.25">
      <c r="P1827" s="10" t="str">
        <f>IF('[1]All Data '!AZ1832="","",'[1]All Data '!AZ1832)</f>
        <v/>
      </c>
      <c r="Q1827" s="10" t="str">
        <f>IF('[1]All Data '!BB1832="","",'[1]All Data '!BB1832)</f>
        <v/>
      </c>
      <c r="R1827" s="10" t="str">
        <f>IF('[1]All Data '!BD1832="","",'[1]All Data '!BD1832)</f>
        <v/>
      </c>
      <c r="S1827" s="11" t="str">
        <f>IF(R1827="","",'[1]All Data '!BE1832)</f>
        <v/>
      </c>
      <c r="T1827" s="12" t="str">
        <f>IF(S1827="","",[1]Inputs_Outputs!$B$8*(1-'LOCH Calc COE Calc'!S1827))</f>
        <v/>
      </c>
      <c r="U1827" s="13" t="str">
        <f t="shared" si="141"/>
        <v/>
      </c>
      <c r="V1827" s="13" t="str">
        <f t="shared" si="142"/>
        <v/>
      </c>
      <c r="W1827" s="4" t="str">
        <f t="shared" si="143"/>
        <v/>
      </c>
      <c r="X1827" t="str">
        <f>IF(W1827="","",LOOKUP(_xlfn.CONCAT(P1827,", ",Q1827),'[1]T+S Costs'!$F$2:$F$3138,'[1]T+S Costs'!$N$2:$N$3138))</f>
        <v/>
      </c>
      <c r="Y1827" s="14" t="str">
        <f t="shared" si="144"/>
        <v/>
      </c>
      <c r="Z1827" s="4" t="str">
        <f t="shared" si="145"/>
        <v/>
      </c>
    </row>
    <row r="1828" spans="16:26" x14ac:dyDescent="0.25">
      <c r="P1828" s="10" t="str">
        <f>IF('[1]All Data '!AZ1833="","",'[1]All Data '!AZ1833)</f>
        <v/>
      </c>
      <c r="Q1828" s="10" t="str">
        <f>IF('[1]All Data '!BB1833="","",'[1]All Data '!BB1833)</f>
        <v/>
      </c>
      <c r="R1828" s="10" t="str">
        <f>IF('[1]All Data '!BD1833="","",'[1]All Data '!BD1833)</f>
        <v/>
      </c>
      <c r="S1828" s="11" t="str">
        <f>IF(R1828="","",'[1]All Data '!BE1833)</f>
        <v/>
      </c>
      <c r="T1828" s="12" t="str">
        <f>IF(S1828="","",[1]Inputs_Outputs!$B$8*(1-'LOCH Calc COE Calc'!S1828))</f>
        <v/>
      </c>
      <c r="U1828" s="13" t="str">
        <f t="shared" si="141"/>
        <v/>
      </c>
      <c r="V1828" s="13" t="str">
        <f t="shared" si="142"/>
        <v/>
      </c>
      <c r="W1828" s="4" t="str">
        <f t="shared" si="143"/>
        <v/>
      </c>
      <c r="X1828" t="str">
        <f>IF(W1828="","",LOOKUP(_xlfn.CONCAT(P1828,", ",Q1828),'[1]T+S Costs'!$F$2:$F$3138,'[1]T+S Costs'!$N$2:$N$3138))</f>
        <v/>
      </c>
      <c r="Y1828" s="14" t="str">
        <f t="shared" si="144"/>
        <v/>
      </c>
      <c r="Z1828" s="4" t="str">
        <f t="shared" si="145"/>
        <v/>
      </c>
    </row>
    <row r="1829" spans="16:26" x14ac:dyDescent="0.25">
      <c r="P1829" s="10" t="str">
        <f>IF('[1]All Data '!AZ1834="","",'[1]All Data '!AZ1834)</f>
        <v/>
      </c>
      <c r="Q1829" s="10" t="str">
        <f>IF('[1]All Data '!BB1834="","",'[1]All Data '!BB1834)</f>
        <v/>
      </c>
      <c r="R1829" s="10" t="str">
        <f>IF('[1]All Data '!BD1834="","",'[1]All Data '!BD1834)</f>
        <v/>
      </c>
      <c r="S1829" s="11" t="str">
        <f>IF(R1829="","",'[1]All Data '!BE1834)</f>
        <v/>
      </c>
      <c r="T1829" s="12" t="str">
        <f>IF(S1829="","",[1]Inputs_Outputs!$B$8*(1-'LOCH Calc COE Calc'!S1829))</f>
        <v/>
      </c>
      <c r="U1829" s="13" t="str">
        <f t="shared" si="141"/>
        <v/>
      </c>
      <c r="V1829" s="13" t="str">
        <f t="shared" si="142"/>
        <v/>
      </c>
      <c r="W1829" s="4" t="str">
        <f t="shared" si="143"/>
        <v/>
      </c>
      <c r="X1829" t="str">
        <f>IF(W1829="","",LOOKUP(_xlfn.CONCAT(P1829,", ",Q1829),'[1]T+S Costs'!$F$2:$F$3138,'[1]T+S Costs'!$N$2:$N$3138))</f>
        <v/>
      </c>
      <c r="Y1829" s="14" t="str">
        <f t="shared" si="144"/>
        <v/>
      </c>
      <c r="Z1829" s="4" t="str">
        <f t="shared" si="145"/>
        <v/>
      </c>
    </row>
    <row r="1830" spans="16:26" x14ac:dyDescent="0.25">
      <c r="P1830" s="10" t="str">
        <f>IF('[1]All Data '!AZ1835="","",'[1]All Data '!AZ1835)</f>
        <v/>
      </c>
      <c r="Q1830" s="10" t="str">
        <f>IF('[1]All Data '!BB1835="","",'[1]All Data '!BB1835)</f>
        <v/>
      </c>
      <c r="R1830" s="10" t="str">
        <f>IF('[1]All Data '!BD1835="","",'[1]All Data '!BD1835)</f>
        <v/>
      </c>
      <c r="S1830" s="11" t="str">
        <f>IF(R1830="","",'[1]All Data '!BE1835)</f>
        <v/>
      </c>
      <c r="T1830" s="12" t="str">
        <f>IF(S1830="","",[1]Inputs_Outputs!$B$8*(1-'LOCH Calc COE Calc'!S1830))</f>
        <v/>
      </c>
      <c r="U1830" s="13" t="str">
        <f t="shared" si="141"/>
        <v/>
      </c>
      <c r="V1830" s="13" t="str">
        <f t="shared" si="142"/>
        <v/>
      </c>
      <c r="W1830" s="4" t="str">
        <f t="shared" si="143"/>
        <v/>
      </c>
      <c r="X1830" t="str">
        <f>IF(W1830="","",LOOKUP(_xlfn.CONCAT(P1830,", ",Q1830),'[1]T+S Costs'!$F$2:$F$3138,'[1]T+S Costs'!$N$2:$N$3138))</f>
        <v/>
      </c>
      <c r="Y1830" s="14" t="str">
        <f t="shared" si="144"/>
        <v/>
      </c>
      <c r="Z1830" s="4" t="str">
        <f t="shared" si="145"/>
        <v/>
      </c>
    </row>
    <row r="1831" spans="16:26" x14ac:dyDescent="0.25">
      <c r="P1831" s="10" t="str">
        <f>IF('[1]All Data '!AZ1836="","",'[1]All Data '!AZ1836)</f>
        <v/>
      </c>
      <c r="Q1831" s="10" t="str">
        <f>IF('[1]All Data '!BB1836="","",'[1]All Data '!BB1836)</f>
        <v/>
      </c>
      <c r="R1831" s="10" t="str">
        <f>IF('[1]All Data '!BD1836="","",'[1]All Data '!BD1836)</f>
        <v/>
      </c>
      <c r="S1831" s="11" t="str">
        <f>IF(R1831="","",'[1]All Data '!BE1836)</f>
        <v/>
      </c>
      <c r="T1831" s="12" t="str">
        <f>IF(S1831="","",[1]Inputs_Outputs!$B$8*(1-'LOCH Calc COE Calc'!S1831))</f>
        <v/>
      </c>
      <c r="U1831" s="13" t="str">
        <f t="shared" si="141"/>
        <v/>
      </c>
      <c r="V1831" s="13" t="str">
        <f t="shared" si="142"/>
        <v/>
      </c>
      <c r="W1831" s="4" t="str">
        <f t="shared" si="143"/>
        <v/>
      </c>
      <c r="X1831" t="str">
        <f>IF(W1831="","",LOOKUP(_xlfn.CONCAT(P1831,", ",Q1831),'[1]T+S Costs'!$F$2:$F$3138,'[1]T+S Costs'!$N$2:$N$3138))</f>
        <v/>
      </c>
      <c r="Y1831" s="14" t="str">
        <f t="shared" si="144"/>
        <v/>
      </c>
      <c r="Z1831" s="4" t="str">
        <f t="shared" si="145"/>
        <v/>
      </c>
    </row>
    <row r="1832" spans="16:26" x14ac:dyDescent="0.25">
      <c r="P1832" s="10" t="str">
        <f>IF('[1]All Data '!AZ1837="","",'[1]All Data '!AZ1837)</f>
        <v/>
      </c>
      <c r="Q1832" s="10" t="str">
        <f>IF('[1]All Data '!BB1837="","",'[1]All Data '!BB1837)</f>
        <v/>
      </c>
      <c r="R1832" s="10" t="str">
        <f>IF('[1]All Data '!BD1837="","",'[1]All Data '!BD1837)</f>
        <v/>
      </c>
      <c r="S1832" s="11" t="str">
        <f>IF(R1832="","",'[1]All Data '!BE1837)</f>
        <v/>
      </c>
      <c r="T1832" s="12" t="str">
        <f>IF(S1832="","",[1]Inputs_Outputs!$B$8*(1-'LOCH Calc COE Calc'!S1832))</f>
        <v/>
      </c>
      <c r="U1832" s="13" t="str">
        <f t="shared" si="141"/>
        <v/>
      </c>
      <c r="V1832" s="13" t="str">
        <f t="shared" si="142"/>
        <v/>
      </c>
      <c r="W1832" s="4" t="str">
        <f t="shared" si="143"/>
        <v/>
      </c>
      <c r="X1832" t="str">
        <f>IF(W1832="","",LOOKUP(_xlfn.CONCAT(P1832,", ",Q1832),'[1]T+S Costs'!$F$2:$F$3138,'[1]T+S Costs'!$N$2:$N$3138))</f>
        <v/>
      </c>
      <c r="Y1832" s="14" t="str">
        <f t="shared" si="144"/>
        <v/>
      </c>
      <c r="Z1832" s="4" t="str">
        <f t="shared" si="145"/>
        <v/>
      </c>
    </row>
    <row r="1833" spans="16:26" x14ac:dyDescent="0.25">
      <c r="P1833" s="10" t="str">
        <f>IF('[1]All Data '!AZ1838="","",'[1]All Data '!AZ1838)</f>
        <v/>
      </c>
      <c r="Q1833" s="10" t="str">
        <f>IF('[1]All Data '!BB1838="","",'[1]All Data '!BB1838)</f>
        <v/>
      </c>
      <c r="R1833" s="10" t="str">
        <f>IF('[1]All Data '!BD1838="","",'[1]All Data '!BD1838)</f>
        <v/>
      </c>
      <c r="S1833" s="11" t="str">
        <f>IF(R1833="","",'[1]All Data '!BE1838)</f>
        <v/>
      </c>
      <c r="T1833" s="12" t="str">
        <f>IF(S1833="","",[1]Inputs_Outputs!$B$8*(1-'LOCH Calc COE Calc'!S1833))</f>
        <v/>
      </c>
      <c r="U1833" s="13" t="str">
        <f t="shared" si="141"/>
        <v/>
      </c>
      <c r="V1833" s="13" t="str">
        <f t="shared" si="142"/>
        <v/>
      </c>
      <c r="W1833" s="4" t="str">
        <f t="shared" si="143"/>
        <v/>
      </c>
      <c r="X1833" t="str">
        <f>IF(W1833="","",LOOKUP(_xlfn.CONCAT(P1833,", ",Q1833),'[1]T+S Costs'!$F$2:$F$3138,'[1]T+S Costs'!$N$2:$N$3138))</f>
        <v/>
      </c>
      <c r="Y1833" s="14" t="str">
        <f t="shared" si="144"/>
        <v/>
      </c>
      <c r="Z1833" s="4" t="str">
        <f t="shared" si="145"/>
        <v/>
      </c>
    </row>
    <row r="1834" spans="16:26" x14ac:dyDescent="0.25">
      <c r="P1834" s="10" t="str">
        <f>IF('[1]All Data '!AZ1839="","",'[1]All Data '!AZ1839)</f>
        <v/>
      </c>
      <c r="Q1834" s="10" t="str">
        <f>IF('[1]All Data '!BB1839="","",'[1]All Data '!BB1839)</f>
        <v/>
      </c>
      <c r="R1834" s="10" t="str">
        <f>IF('[1]All Data '!BD1839="","",'[1]All Data '!BD1839)</f>
        <v/>
      </c>
      <c r="S1834" s="11" t="str">
        <f>IF(R1834="","",'[1]All Data '!BE1839)</f>
        <v/>
      </c>
      <c r="T1834" s="12" t="str">
        <f>IF(S1834="","",[1]Inputs_Outputs!$B$8*(1-'LOCH Calc COE Calc'!S1834))</f>
        <v/>
      </c>
      <c r="U1834" s="13" t="str">
        <f t="shared" si="141"/>
        <v/>
      </c>
      <c r="V1834" s="13" t="str">
        <f t="shared" si="142"/>
        <v/>
      </c>
      <c r="W1834" s="4" t="str">
        <f t="shared" si="143"/>
        <v/>
      </c>
      <c r="X1834" t="str">
        <f>IF(W1834="","",LOOKUP(_xlfn.CONCAT(P1834,", ",Q1834),'[1]T+S Costs'!$F$2:$F$3138,'[1]T+S Costs'!$N$2:$N$3138))</f>
        <v/>
      </c>
      <c r="Y1834" s="14" t="str">
        <f t="shared" si="144"/>
        <v/>
      </c>
      <c r="Z1834" s="4" t="str">
        <f t="shared" si="145"/>
        <v/>
      </c>
    </row>
    <row r="1835" spans="16:26" x14ac:dyDescent="0.25">
      <c r="P1835" s="10" t="str">
        <f>IF('[1]All Data '!AZ1840="","",'[1]All Data '!AZ1840)</f>
        <v/>
      </c>
      <c r="Q1835" s="10" t="str">
        <f>IF('[1]All Data '!BB1840="","",'[1]All Data '!BB1840)</f>
        <v/>
      </c>
      <c r="R1835" s="10" t="str">
        <f>IF('[1]All Data '!BD1840="","",'[1]All Data '!BD1840)</f>
        <v/>
      </c>
      <c r="S1835" s="11" t="str">
        <f>IF(R1835="","",'[1]All Data '!BE1840)</f>
        <v/>
      </c>
      <c r="T1835" s="12" t="str">
        <f>IF(S1835="","",[1]Inputs_Outputs!$B$8*(1-'LOCH Calc COE Calc'!S1835))</f>
        <v/>
      </c>
      <c r="U1835" s="13" t="str">
        <f t="shared" si="141"/>
        <v/>
      </c>
      <c r="V1835" s="13" t="str">
        <f t="shared" si="142"/>
        <v/>
      </c>
      <c r="W1835" s="4" t="str">
        <f t="shared" si="143"/>
        <v/>
      </c>
      <c r="X1835" t="str">
        <f>IF(W1835="","",LOOKUP(_xlfn.CONCAT(P1835,", ",Q1835),'[1]T+S Costs'!$F$2:$F$3138,'[1]T+S Costs'!$N$2:$N$3138))</f>
        <v/>
      </c>
      <c r="Y1835" s="14" t="str">
        <f t="shared" si="144"/>
        <v/>
      </c>
      <c r="Z1835" s="4" t="str">
        <f t="shared" si="145"/>
        <v/>
      </c>
    </row>
    <row r="1836" spans="16:26" x14ac:dyDescent="0.25">
      <c r="P1836" s="10" t="str">
        <f>IF('[1]All Data '!AZ1841="","",'[1]All Data '!AZ1841)</f>
        <v/>
      </c>
      <c r="Q1836" s="10" t="str">
        <f>IF('[1]All Data '!BB1841="","",'[1]All Data '!BB1841)</f>
        <v/>
      </c>
      <c r="R1836" s="10" t="str">
        <f>IF('[1]All Data '!BD1841="","",'[1]All Data '!BD1841)</f>
        <v/>
      </c>
      <c r="S1836" s="11" t="str">
        <f>IF(R1836="","",'[1]All Data '!BE1841)</f>
        <v/>
      </c>
      <c r="T1836" s="12" t="str">
        <f>IF(S1836="","",[1]Inputs_Outputs!$B$8*(1-'LOCH Calc COE Calc'!S1836))</f>
        <v/>
      </c>
      <c r="U1836" s="13" t="str">
        <f t="shared" si="141"/>
        <v/>
      </c>
      <c r="V1836" s="13" t="str">
        <f t="shared" si="142"/>
        <v/>
      </c>
      <c r="W1836" s="4" t="str">
        <f t="shared" si="143"/>
        <v/>
      </c>
      <c r="X1836" t="str">
        <f>IF(W1836="","",LOOKUP(_xlfn.CONCAT(P1836,", ",Q1836),'[1]T+S Costs'!$F$2:$F$3138,'[1]T+S Costs'!$N$2:$N$3138))</f>
        <v/>
      </c>
      <c r="Y1836" s="14" t="str">
        <f t="shared" si="144"/>
        <v/>
      </c>
      <c r="Z1836" s="4" t="str">
        <f t="shared" si="145"/>
        <v/>
      </c>
    </row>
    <row r="1837" spans="16:26" x14ac:dyDescent="0.25">
      <c r="P1837" s="10" t="str">
        <f>IF('[1]All Data '!AZ1842="","",'[1]All Data '!AZ1842)</f>
        <v/>
      </c>
      <c r="Q1837" s="10" t="str">
        <f>IF('[1]All Data '!BB1842="","",'[1]All Data '!BB1842)</f>
        <v/>
      </c>
      <c r="R1837" s="10" t="str">
        <f>IF('[1]All Data '!BD1842="","",'[1]All Data '!BD1842)</f>
        <v/>
      </c>
      <c r="S1837" s="11" t="str">
        <f>IF(R1837="","",'[1]All Data '!BE1842)</f>
        <v/>
      </c>
      <c r="T1837" s="12" t="str">
        <f>IF(S1837="","",[1]Inputs_Outputs!$B$8*(1-'LOCH Calc COE Calc'!S1837))</f>
        <v/>
      </c>
      <c r="U1837" s="13" t="str">
        <f t="shared" si="141"/>
        <v/>
      </c>
      <c r="V1837" s="13" t="str">
        <f t="shared" si="142"/>
        <v/>
      </c>
      <c r="W1837" s="4" t="str">
        <f t="shared" si="143"/>
        <v/>
      </c>
      <c r="X1837" t="str">
        <f>IF(W1837="","",LOOKUP(_xlfn.CONCAT(P1837,", ",Q1837),'[1]T+S Costs'!$F$2:$F$3138,'[1]T+S Costs'!$N$2:$N$3138))</f>
        <v/>
      </c>
      <c r="Y1837" s="14" t="str">
        <f t="shared" si="144"/>
        <v/>
      </c>
      <c r="Z1837" s="4" t="str">
        <f t="shared" si="145"/>
        <v/>
      </c>
    </row>
    <row r="1838" spans="16:26" x14ac:dyDescent="0.25">
      <c r="P1838" s="10" t="str">
        <f>IF('[1]All Data '!AZ1843="","",'[1]All Data '!AZ1843)</f>
        <v/>
      </c>
      <c r="Q1838" s="10" t="str">
        <f>IF('[1]All Data '!BB1843="","",'[1]All Data '!BB1843)</f>
        <v/>
      </c>
      <c r="R1838" s="10" t="str">
        <f>IF('[1]All Data '!BD1843="","",'[1]All Data '!BD1843)</f>
        <v/>
      </c>
      <c r="S1838" s="11" t="str">
        <f>IF(R1838="","",'[1]All Data '!BE1843)</f>
        <v/>
      </c>
      <c r="T1838" s="12" t="str">
        <f>IF(S1838="","",[1]Inputs_Outputs!$B$8*(1-'LOCH Calc COE Calc'!S1838))</f>
        <v/>
      </c>
      <c r="U1838" s="13" t="str">
        <f t="shared" si="141"/>
        <v/>
      </c>
      <c r="V1838" s="13" t="str">
        <f t="shared" si="142"/>
        <v/>
      </c>
      <c r="W1838" s="4" t="str">
        <f t="shared" si="143"/>
        <v/>
      </c>
      <c r="X1838" t="str">
        <f>IF(W1838="","",LOOKUP(_xlfn.CONCAT(P1838,", ",Q1838),'[1]T+S Costs'!$F$2:$F$3138,'[1]T+S Costs'!$N$2:$N$3138))</f>
        <v/>
      </c>
      <c r="Y1838" s="14" t="str">
        <f t="shared" si="144"/>
        <v/>
      </c>
      <c r="Z1838" s="4" t="str">
        <f t="shared" si="145"/>
        <v/>
      </c>
    </row>
    <row r="1839" spans="16:26" x14ac:dyDescent="0.25">
      <c r="P1839" s="10" t="str">
        <f>IF('[1]All Data '!AZ1844="","",'[1]All Data '!AZ1844)</f>
        <v/>
      </c>
      <c r="Q1839" s="10" t="str">
        <f>IF('[1]All Data '!BB1844="","",'[1]All Data '!BB1844)</f>
        <v/>
      </c>
      <c r="R1839" s="10" t="str">
        <f>IF('[1]All Data '!BD1844="","",'[1]All Data '!BD1844)</f>
        <v/>
      </c>
      <c r="S1839" s="11" t="str">
        <f>IF(R1839="","",'[1]All Data '!BE1844)</f>
        <v/>
      </c>
      <c r="T1839" s="12" t="str">
        <f>IF(S1839="","",[1]Inputs_Outputs!$B$8*(1-'LOCH Calc COE Calc'!S1839))</f>
        <v/>
      </c>
      <c r="U1839" s="13" t="str">
        <f t="shared" si="141"/>
        <v/>
      </c>
      <c r="V1839" s="13" t="str">
        <f t="shared" si="142"/>
        <v/>
      </c>
      <c r="W1839" s="4" t="str">
        <f t="shared" si="143"/>
        <v/>
      </c>
      <c r="X1839" t="str">
        <f>IF(W1839="","",LOOKUP(_xlfn.CONCAT(P1839,", ",Q1839),'[1]T+S Costs'!$F$2:$F$3138,'[1]T+S Costs'!$N$2:$N$3138))</f>
        <v/>
      </c>
      <c r="Y1839" s="14" t="str">
        <f t="shared" si="144"/>
        <v/>
      </c>
      <c r="Z1839" s="4" t="str">
        <f t="shared" si="145"/>
        <v/>
      </c>
    </row>
    <row r="1840" spans="16:26" x14ac:dyDescent="0.25">
      <c r="P1840" s="10" t="str">
        <f>IF('[1]All Data '!AZ1845="","",'[1]All Data '!AZ1845)</f>
        <v/>
      </c>
      <c r="Q1840" s="10" t="str">
        <f>IF('[1]All Data '!BB1845="","",'[1]All Data '!BB1845)</f>
        <v/>
      </c>
      <c r="R1840" s="10" t="str">
        <f>IF('[1]All Data '!BD1845="","",'[1]All Data '!BD1845)</f>
        <v/>
      </c>
      <c r="S1840" s="11" t="str">
        <f>IF(R1840="","",'[1]All Data '!BE1845)</f>
        <v/>
      </c>
      <c r="T1840" s="12" t="str">
        <f>IF(S1840="","",[1]Inputs_Outputs!$B$8*(1-'LOCH Calc COE Calc'!S1840))</f>
        <v/>
      </c>
      <c r="U1840" s="13" t="str">
        <f t="shared" si="141"/>
        <v/>
      </c>
      <c r="V1840" s="13" t="str">
        <f t="shared" si="142"/>
        <v/>
      </c>
      <c r="W1840" s="4" t="str">
        <f t="shared" si="143"/>
        <v/>
      </c>
      <c r="X1840" t="str">
        <f>IF(W1840="","",LOOKUP(_xlfn.CONCAT(P1840,", ",Q1840),'[1]T+S Costs'!$F$2:$F$3138,'[1]T+S Costs'!$N$2:$N$3138))</f>
        <v/>
      </c>
      <c r="Y1840" s="14" t="str">
        <f t="shared" si="144"/>
        <v/>
      </c>
      <c r="Z1840" s="4" t="str">
        <f t="shared" si="145"/>
        <v/>
      </c>
    </row>
    <row r="1841" spans="16:26" x14ac:dyDescent="0.25">
      <c r="P1841" s="10" t="str">
        <f>IF('[1]All Data '!AZ1846="","",'[1]All Data '!AZ1846)</f>
        <v/>
      </c>
      <c r="Q1841" s="10" t="str">
        <f>IF('[1]All Data '!BB1846="","",'[1]All Data '!BB1846)</f>
        <v/>
      </c>
      <c r="R1841" s="10" t="str">
        <f>IF('[1]All Data '!BD1846="","",'[1]All Data '!BD1846)</f>
        <v/>
      </c>
      <c r="S1841" s="11" t="str">
        <f>IF(R1841="","",'[1]All Data '!BE1846)</f>
        <v/>
      </c>
      <c r="T1841" s="12" t="str">
        <f>IF(S1841="","",[1]Inputs_Outputs!$B$8*(1-'LOCH Calc COE Calc'!S1841))</f>
        <v/>
      </c>
      <c r="U1841" s="13" t="str">
        <f t="shared" si="141"/>
        <v/>
      </c>
      <c r="V1841" s="13" t="str">
        <f t="shared" si="142"/>
        <v/>
      </c>
      <c r="W1841" s="4" t="str">
        <f t="shared" si="143"/>
        <v/>
      </c>
      <c r="X1841" t="str">
        <f>IF(W1841="","",LOOKUP(_xlfn.CONCAT(P1841,", ",Q1841),'[1]T+S Costs'!$F$2:$F$3138,'[1]T+S Costs'!$N$2:$N$3138))</f>
        <v/>
      </c>
      <c r="Y1841" s="14" t="str">
        <f t="shared" si="144"/>
        <v/>
      </c>
      <c r="Z1841" s="4" t="str">
        <f t="shared" si="145"/>
        <v/>
      </c>
    </row>
    <row r="1842" spans="16:26" x14ac:dyDescent="0.25">
      <c r="P1842" s="10" t="str">
        <f>IF('[1]All Data '!AZ1847="","",'[1]All Data '!AZ1847)</f>
        <v/>
      </c>
      <c r="Q1842" s="10" t="str">
        <f>IF('[1]All Data '!BB1847="","",'[1]All Data '!BB1847)</f>
        <v/>
      </c>
      <c r="R1842" s="10" t="str">
        <f>IF('[1]All Data '!BD1847="","",'[1]All Data '!BD1847)</f>
        <v/>
      </c>
      <c r="S1842" s="11" t="str">
        <f>IF(R1842="","",'[1]All Data '!BE1847)</f>
        <v/>
      </c>
      <c r="T1842" s="12" t="str">
        <f>IF(S1842="","",[1]Inputs_Outputs!$B$8*(1-'LOCH Calc COE Calc'!S1842))</f>
        <v/>
      </c>
      <c r="U1842" s="13" t="str">
        <f t="shared" si="141"/>
        <v/>
      </c>
      <c r="V1842" s="13" t="str">
        <f t="shared" si="142"/>
        <v/>
      </c>
      <c r="W1842" s="4" t="str">
        <f t="shared" si="143"/>
        <v/>
      </c>
      <c r="X1842" t="str">
        <f>IF(W1842="","",LOOKUP(_xlfn.CONCAT(P1842,", ",Q1842),'[1]T+S Costs'!$F$2:$F$3138,'[1]T+S Costs'!$N$2:$N$3138))</f>
        <v/>
      </c>
      <c r="Y1842" s="14" t="str">
        <f t="shared" si="144"/>
        <v/>
      </c>
      <c r="Z1842" s="4" t="str">
        <f t="shared" si="145"/>
        <v/>
      </c>
    </row>
    <row r="1843" spans="16:26" x14ac:dyDescent="0.25">
      <c r="P1843" s="10" t="str">
        <f>IF('[1]All Data '!AZ1848="","",'[1]All Data '!AZ1848)</f>
        <v/>
      </c>
      <c r="Q1843" s="10" t="str">
        <f>IF('[1]All Data '!BB1848="","",'[1]All Data '!BB1848)</f>
        <v/>
      </c>
      <c r="R1843" s="10" t="str">
        <f>IF('[1]All Data '!BD1848="","",'[1]All Data '!BD1848)</f>
        <v/>
      </c>
      <c r="S1843" s="11" t="str">
        <f>IF(R1843="","",'[1]All Data '!BE1848)</f>
        <v/>
      </c>
      <c r="T1843" s="12" t="str">
        <f>IF(S1843="","",[1]Inputs_Outputs!$B$8*(1-'LOCH Calc COE Calc'!S1843))</f>
        <v/>
      </c>
      <c r="U1843" s="13" t="str">
        <f t="shared" si="141"/>
        <v/>
      </c>
      <c r="V1843" s="13" t="str">
        <f t="shared" si="142"/>
        <v/>
      </c>
      <c r="W1843" s="4" t="str">
        <f t="shared" si="143"/>
        <v/>
      </c>
      <c r="X1843" t="str">
        <f>IF(W1843="","",LOOKUP(_xlfn.CONCAT(P1843,", ",Q1843),'[1]T+S Costs'!$F$2:$F$3138,'[1]T+S Costs'!$N$2:$N$3138))</f>
        <v/>
      </c>
      <c r="Y1843" s="14" t="str">
        <f t="shared" si="144"/>
        <v/>
      </c>
      <c r="Z1843" s="4" t="str">
        <f t="shared" si="145"/>
        <v/>
      </c>
    </row>
    <row r="1844" spans="16:26" x14ac:dyDescent="0.25">
      <c r="P1844" s="10" t="str">
        <f>IF('[1]All Data '!AZ1849="","",'[1]All Data '!AZ1849)</f>
        <v/>
      </c>
      <c r="Q1844" s="10" t="str">
        <f>IF('[1]All Data '!BB1849="","",'[1]All Data '!BB1849)</f>
        <v/>
      </c>
      <c r="R1844" s="10" t="str">
        <f>IF('[1]All Data '!BD1849="","",'[1]All Data '!BD1849)</f>
        <v/>
      </c>
      <c r="S1844" s="11" t="str">
        <f>IF(R1844="","",'[1]All Data '!BE1849)</f>
        <v/>
      </c>
      <c r="T1844" s="12" t="str">
        <f>IF(S1844="","",[1]Inputs_Outputs!$B$8*(1-'LOCH Calc COE Calc'!S1844))</f>
        <v/>
      </c>
      <c r="U1844" s="13" t="str">
        <f t="shared" si="141"/>
        <v/>
      </c>
      <c r="V1844" s="13" t="str">
        <f t="shared" si="142"/>
        <v/>
      </c>
      <c r="W1844" s="4" t="str">
        <f t="shared" si="143"/>
        <v/>
      </c>
      <c r="X1844" t="str">
        <f>IF(W1844="","",LOOKUP(_xlfn.CONCAT(P1844,", ",Q1844),'[1]T+S Costs'!$F$2:$F$3138,'[1]T+S Costs'!$N$2:$N$3138))</f>
        <v/>
      </c>
      <c r="Y1844" s="14" t="str">
        <f t="shared" si="144"/>
        <v/>
      </c>
      <c r="Z1844" s="4" t="str">
        <f t="shared" si="145"/>
        <v/>
      </c>
    </row>
    <row r="1845" spans="16:26" x14ac:dyDescent="0.25">
      <c r="P1845" s="10" t="str">
        <f>IF('[1]All Data '!AZ1850="","",'[1]All Data '!AZ1850)</f>
        <v/>
      </c>
      <c r="Q1845" s="10" t="str">
        <f>IF('[1]All Data '!BB1850="","",'[1]All Data '!BB1850)</f>
        <v/>
      </c>
      <c r="R1845" s="10" t="str">
        <f>IF('[1]All Data '!BD1850="","",'[1]All Data '!BD1850)</f>
        <v/>
      </c>
      <c r="S1845" s="11" t="str">
        <f>IF(R1845="","",'[1]All Data '!BE1850)</f>
        <v/>
      </c>
      <c r="T1845" s="12" t="str">
        <f>IF(S1845="","",[1]Inputs_Outputs!$B$8*(1-'LOCH Calc COE Calc'!S1845))</f>
        <v/>
      </c>
      <c r="U1845" s="13" t="str">
        <f t="shared" si="141"/>
        <v/>
      </c>
      <c r="V1845" s="13" t="str">
        <f t="shared" si="142"/>
        <v/>
      </c>
      <c r="W1845" s="4" t="str">
        <f t="shared" si="143"/>
        <v/>
      </c>
      <c r="X1845" t="str">
        <f>IF(W1845="","",LOOKUP(_xlfn.CONCAT(P1845,", ",Q1845),'[1]T+S Costs'!$F$2:$F$3138,'[1]T+S Costs'!$N$2:$N$3138))</f>
        <v/>
      </c>
      <c r="Y1845" s="14" t="str">
        <f t="shared" si="144"/>
        <v/>
      </c>
      <c r="Z1845" s="4" t="str">
        <f t="shared" si="145"/>
        <v/>
      </c>
    </row>
    <row r="1846" spans="16:26" x14ac:dyDescent="0.25">
      <c r="P1846" s="10" t="str">
        <f>IF('[1]All Data '!AZ1851="","",'[1]All Data '!AZ1851)</f>
        <v/>
      </c>
      <c r="Q1846" s="10" t="str">
        <f>IF('[1]All Data '!BB1851="","",'[1]All Data '!BB1851)</f>
        <v/>
      </c>
      <c r="R1846" s="10" t="str">
        <f>IF('[1]All Data '!BD1851="","",'[1]All Data '!BD1851)</f>
        <v/>
      </c>
      <c r="S1846" s="11" t="str">
        <f>IF(R1846="","",'[1]All Data '!BE1851)</f>
        <v/>
      </c>
      <c r="T1846" s="12" t="str">
        <f>IF(S1846="","",[1]Inputs_Outputs!$B$8*(1-'LOCH Calc COE Calc'!S1846))</f>
        <v/>
      </c>
      <c r="U1846" s="13" t="str">
        <f t="shared" si="141"/>
        <v/>
      </c>
      <c r="V1846" s="13" t="str">
        <f t="shared" si="142"/>
        <v/>
      </c>
      <c r="W1846" s="4" t="str">
        <f t="shared" si="143"/>
        <v/>
      </c>
      <c r="X1846" t="str">
        <f>IF(W1846="","",LOOKUP(_xlfn.CONCAT(P1846,", ",Q1846),'[1]T+S Costs'!$F$2:$F$3138,'[1]T+S Costs'!$N$2:$N$3138))</f>
        <v/>
      </c>
      <c r="Y1846" s="14" t="str">
        <f t="shared" si="144"/>
        <v/>
      </c>
      <c r="Z1846" s="4" t="str">
        <f t="shared" si="145"/>
        <v/>
      </c>
    </row>
    <row r="1847" spans="16:26" x14ac:dyDescent="0.25">
      <c r="P1847" s="10" t="str">
        <f>IF('[1]All Data '!AZ1852="","",'[1]All Data '!AZ1852)</f>
        <v/>
      </c>
      <c r="Q1847" s="10" t="str">
        <f>IF('[1]All Data '!BB1852="","",'[1]All Data '!BB1852)</f>
        <v/>
      </c>
      <c r="R1847" s="10" t="str">
        <f>IF('[1]All Data '!BD1852="","",'[1]All Data '!BD1852)</f>
        <v/>
      </c>
      <c r="S1847" s="11" t="str">
        <f>IF(R1847="","",'[1]All Data '!BE1852)</f>
        <v/>
      </c>
      <c r="T1847" s="12" t="str">
        <f>IF(S1847="","",[1]Inputs_Outputs!$B$8*(1-'LOCH Calc COE Calc'!S1847))</f>
        <v/>
      </c>
      <c r="U1847" s="13" t="str">
        <f t="shared" si="141"/>
        <v/>
      </c>
      <c r="V1847" s="13" t="str">
        <f t="shared" si="142"/>
        <v/>
      </c>
      <c r="W1847" s="4" t="str">
        <f t="shared" si="143"/>
        <v/>
      </c>
      <c r="X1847" t="str">
        <f>IF(W1847="","",LOOKUP(_xlfn.CONCAT(P1847,", ",Q1847),'[1]T+S Costs'!$F$2:$F$3138,'[1]T+S Costs'!$N$2:$N$3138))</f>
        <v/>
      </c>
      <c r="Y1847" s="14" t="str">
        <f t="shared" si="144"/>
        <v/>
      </c>
      <c r="Z1847" s="4" t="str">
        <f t="shared" si="145"/>
        <v/>
      </c>
    </row>
    <row r="1848" spans="16:26" x14ac:dyDescent="0.25">
      <c r="P1848" s="10" t="str">
        <f>IF('[1]All Data '!AZ1853="","",'[1]All Data '!AZ1853)</f>
        <v/>
      </c>
      <c r="Q1848" s="10" t="str">
        <f>IF('[1]All Data '!BB1853="","",'[1]All Data '!BB1853)</f>
        <v/>
      </c>
      <c r="R1848" s="10" t="str">
        <f>IF('[1]All Data '!BD1853="","",'[1]All Data '!BD1853)</f>
        <v/>
      </c>
      <c r="S1848" s="11" t="str">
        <f>IF(R1848="","",'[1]All Data '!BE1853)</f>
        <v/>
      </c>
      <c r="T1848" s="12" t="str">
        <f>IF(S1848="","",[1]Inputs_Outputs!$B$8*(1-'LOCH Calc COE Calc'!S1848))</f>
        <v/>
      </c>
      <c r="U1848" s="13" t="str">
        <f t="shared" si="141"/>
        <v/>
      </c>
      <c r="V1848" s="13" t="str">
        <f t="shared" si="142"/>
        <v/>
      </c>
      <c r="W1848" s="4" t="str">
        <f t="shared" si="143"/>
        <v/>
      </c>
      <c r="X1848" t="str">
        <f>IF(W1848="","",LOOKUP(_xlfn.CONCAT(P1848,", ",Q1848),'[1]T+S Costs'!$F$2:$F$3138,'[1]T+S Costs'!$N$2:$N$3138))</f>
        <v/>
      </c>
      <c r="Y1848" s="14" t="str">
        <f t="shared" si="144"/>
        <v/>
      </c>
      <c r="Z1848" s="4" t="str">
        <f t="shared" si="145"/>
        <v/>
      </c>
    </row>
    <row r="1849" spans="16:26" x14ac:dyDescent="0.25">
      <c r="P1849" s="10" t="str">
        <f>IF('[1]All Data '!AZ1854="","",'[1]All Data '!AZ1854)</f>
        <v/>
      </c>
      <c r="Q1849" s="10" t="str">
        <f>IF('[1]All Data '!BB1854="","",'[1]All Data '!BB1854)</f>
        <v/>
      </c>
      <c r="R1849" s="10" t="str">
        <f>IF('[1]All Data '!BD1854="","",'[1]All Data '!BD1854)</f>
        <v/>
      </c>
      <c r="S1849" s="11" t="str">
        <f>IF(R1849="","",'[1]All Data '!BE1854)</f>
        <v/>
      </c>
      <c r="T1849" s="12" t="str">
        <f>IF(S1849="","",[1]Inputs_Outputs!$B$8*(1-'LOCH Calc COE Calc'!S1849))</f>
        <v/>
      </c>
      <c r="U1849" s="13" t="str">
        <f t="shared" si="141"/>
        <v/>
      </c>
      <c r="V1849" s="13" t="str">
        <f t="shared" si="142"/>
        <v/>
      </c>
      <c r="W1849" s="4" t="str">
        <f t="shared" si="143"/>
        <v/>
      </c>
      <c r="X1849" t="str">
        <f>IF(W1849="","",LOOKUP(_xlfn.CONCAT(P1849,", ",Q1849),'[1]T+S Costs'!$F$2:$F$3138,'[1]T+S Costs'!$N$2:$N$3138))</f>
        <v/>
      </c>
      <c r="Y1849" s="14" t="str">
        <f t="shared" si="144"/>
        <v/>
      </c>
      <c r="Z1849" s="4" t="str">
        <f t="shared" si="145"/>
        <v/>
      </c>
    </row>
    <row r="1850" spans="16:26" x14ac:dyDescent="0.25">
      <c r="P1850" s="10" t="str">
        <f>IF('[1]All Data '!AZ1855="","",'[1]All Data '!AZ1855)</f>
        <v/>
      </c>
      <c r="Q1850" s="10" t="str">
        <f>IF('[1]All Data '!BB1855="","",'[1]All Data '!BB1855)</f>
        <v/>
      </c>
      <c r="R1850" s="10" t="str">
        <f>IF('[1]All Data '!BD1855="","",'[1]All Data '!BD1855)</f>
        <v/>
      </c>
      <c r="S1850" s="11" t="str">
        <f>IF(R1850="","",'[1]All Data '!BE1855)</f>
        <v/>
      </c>
      <c r="T1850" s="12" t="str">
        <f>IF(S1850="","",[1]Inputs_Outputs!$B$8*(1-'LOCH Calc COE Calc'!S1850))</f>
        <v/>
      </c>
      <c r="U1850" s="13" t="str">
        <f t="shared" si="141"/>
        <v/>
      </c>
      <c r="V1850" s="13" t="str">
        <f t="shared" si="142"/>
        <v/>
      </c>
      <c r="W1850" s="4" t="str">
        <f t="shared" si="143"/>
        <v/>
      </c>
      <c r="X1850" t="str">
        <f>IF(W1850="","",LOOKUP(_xlfn.CONCAT(P1850,", ",Q1850),'[1]T+S Costs'!$F$2:$F$3138,'[1]T+S Costs'!$N$2:$N$3138))</f>
        <v/>
      </c>
      <c r="Y1850" s="14" t="str">
        <f t="shared" si="144"/>
        <v/>
      </c>
      <c r="Z1850" s="4" t="str">
        <f t="shared" si="145"/>
        <v/>
      </c>
    </row>
    <row r="1851" spans="16:26" x14ac:dyDescent="0.25">
      <c r="P1851" s="10" t="str">
        <f>IF('[1]All Data '!AZ1856="","",'[1]All Data '!AZ1856)</f>
        <v/>
      </c>
      <c r="Q1851" s="10" t="str">
        <f>IF('[1]All Data '!BB1856="","",'[1]All Data '!BB1856)</f>
        <v/>
      </c>
      <c r="R1851" s="10" t="str">
        <f>IF('[1]All Data '!BD1856="","",'[1]All Data '!BD1856)</f>
        <v/>
      </c>
      <c r="S1851" s="11" t="str">
        <f>IF(R1851="","",'[1]All Data '!BE1856)</f>
        <v/>
      </c>
      <c r="T1851" s="12" t="str">
        <f>IF(S1851="","",[1]Inputs_Outputs!$B$8*(1-'LOCH Calc COE Calc'!S1851))</f>
        <v/>
      </c>
      <c r="U1851" s="13" t="str">
        <f t="shared" si="141"/>
        <v/>
      </c>
      <c r="V1851" s="13" t="str">
        <f t="shared" si="142"/>
        <v/>
      </c>
      <c r="W1851" s="4" t="str">
        <f t="shared" si="143"/>
        <v/>
      </c>
      <c r="X1851" t="str">
        <f>IF(W1851="","",LOOKUP(_xlfn.CONCAT(P1851,", ",Q1851),'[1]T+S Costs'!$F$2:$F$3138,'[1]T+S Costs'!$N$2:$N$3138))</f>
        <v/>
      </c>
      <c r="Y1851" s="14" t="str">
        <f t="shared" si="144"/>
        <v/>
      </c>
      <c r="Z1851" s="4" t="str">
        <f t="shared" si="145"/>
        <v/>
      </c>
    </row>
    <row r="1852" spans="16:26" x14ac:dyDescent="0.25">
      <c r="P1852" s="10" t="str">
        <f>IF('[1]All Data '!AZ1857="","",'[1]All Data '!AZ1857)</f>
        <v/>
      </c>
      <c r="Q1852" s="10" t="str">
        <f>IF('[1]All Data '!BB1857="","",'[1]All Data '!BB1857)</f>
        <v/>
      </c>
      <c r="R1852" s="10" t="str">
        <f>IF('[1]All Data '!BD1857="","",'[1]All Data '!BD1857)</f>
        <v/>
      </c>
      <c r="S1852" s="11" t="str">
        <f>IF(R1852="","",'[1]All Data '!BE1857)</f>
        <v/>
      </c>
      <c r="T1852" s="12" t="str">
        <f>IF(S1852="","",[1]Inputs_Outputs!$B$8*(1-'LOCH Calc COE Calc'!S1852))</f>
        <v/>
      </c>
      <c r="U1852" s="13" t="str">
        <f t="shared" si="141"/>
        <v/>
      </c>
      <c r="V1852" s="13" t="str">
        <f t="shared" si="142"/>
        <v/>
      </c>
      <c r="W1852" s="4" t="str">
        <f t="shared" si="143"/>
        <v/>
      </c>
      <c r="X1852" t="str">
        <f>IF(W1852="","",LOOKUP(_xlfn.CONCAT(P1852,", ",Q1852),'[1]T+S Costs'!$F$2:$F$3138,'[1]T+S Costs'!$N$2:$N$3138))</f>
        <v/>
      </c>
      <c r="Y1852" s="14" t="str">
        <f t="shared" si="144"/>
        <v/>
      </c>
      <c r="Z1852" s="4" t="str">
        <f t="shared" si="145"/>
        <v/>
      </c>
    </row>
    <row r="1853" spans="16:26" x14ac:dyDescent="0.25">
      <c r="P1853" s="10" t="str">
        <f>IF('[1]All Data '!AZ1858="","",'[1]All Data '!AZ1858)</f>
        <v/>
      </c>
      <c r="Q1853" s="10" t="str">
        <f>IF('[1]All Data '!BB1858="","",'[1]All Data '!BB1858)</f>
        <v/>
      </c>
      <c r="R1853" s="10" t="str">
        <f>IF('[1]All Data '!BD1858="","",'[1]All Data '!BD1858)</f>
        <v/>
      </c>
      <c r="S1853" s="11" t="str">
        <f>IF(R1853="","",'[1]All Data '!BE1858)</f>
        <v/>
      </c>
      <c r="T1853" s="12" t="str">
        <f>IF(S1853="","",[1]Inputs_Outputs!$B$8*(1-'LOCH Calc COE Calc'!S1853))</f>
        <v/>
      </c>
      <c r="U1853" s="13" t="str">
        <f t="shared" si="141"/>
        <v/>
      </c>
      <c r="V1853" s="13" t="str">
        <f t="shared" si="142"/>
        <v/>
      </c>
      <c r="W1853" s="4" t="str">
        <f t="shared" si="143"/>
        <v/>
      </c>
      <c r="X1853" t="str">
        <f>IF(W1853="","",LOOKUP(_xlfn.CONCAT(P1853,", ",Q1853),'[1]T+S Costs'!$F$2:$F$3138,'[1]T+S Costs'!$N$2:$N$3138))</f>
        <v/>
      </c>
      <c r="Y1853" s="14" t="str">
        <f t="shared" si="144"/>
        <v/>
      </c>
      <c r="Z1853" s="4" t="str">
        <f t="shared" si="145"/>
        <v/>
      </c>
    </row>
    <row r="1854" spans="16:26" x14ac:dyDescent="0.25">
      <c r="P1854" s="10" t="str">
        <f>IF('[1]All Data '!AZ1859="","",'[1]All Data '!AZ1859)</f>
        <v/>
      </c>
      <c r="Q1854" s="10" t="str">
        <f>IF('[1]All Data '!BB1859="","",'[1]All Data '!BB1859)</f>
        <v/>
      </c>
      <c r="R1854" s="10" t="str">
        <f>IF('[1]All Data '!BD1859="","",'[1]All Data '!BD1859)</f>
        <v/>
      </c>
      <c r="S1854" s="11" t="str">
        <f>IF(R1854="","",'[1]All Data '!BE1859)</f>
        <v/>
      </c>
      <c r="T1854" s="12" t="str">
        <f>IF(S1854="","",[1]Inputs_Outputs!$B$8*(1-'LOCH Calc COE Calc'!S1854))</f>
        <v/>
      </c>
      <c r="U1854" s="13" t="str">
        <f t="shared" si="141"/>
        <v/>
      </c>
      <c r="V1854" s="13" t="str">
        <f t="shared" si="142"/>
        <v/>
      </c>
      <c r="W1854" s="4" t="str">
        <f t="shared" si="143"/>
        <v/>
      </c>
      <c r="X1854" t="str">
        <f>IF(W1854="","",LOOKUP(_xlfn.CONCAT(P1854,", ",Q1854),'[1]T+S Costs'!$F$2:$F$3138,'[1]T+S Costs'!$N$2:$N$3138))</f>
        <v/>
      </c>
      <c r="Y1854" s="14" t="str">
        <f t="shared" si="144"/>
        <v/>
      </c>
      <c r="Z1854" s="4" t="str">
        <f t="shared" si="145"/>
        <v/>
      </c>
    </row>
    <row r="1855" spans="16:26" x14ac:dyDescent="0.25">
      <c r="P1855" s="10" t="str">
        <f>IF('[1]All Data '!AZ1860="","",'[1]All Data '!AZ1860)</f>
        <v/>
      </c>
      <c r="Q1855" s="10" t="str">
        <f>IF('[1]All Data '!BB1860="","",'[1]All Data '!BB1860)</f>
        <v/>
      </c>
      <c r="R1855" s="10" t="str">
        <f>IF('[1]All Data '!BD1860="","",'[1]All Data '!BD1860)</f>
        <v/>
      </c>
      <c r="S1855" s="11" t="str">
        <f>IF(R1855="","",'[1]All Data '!BE1860)</f>
        <v/>
      </c>
      <c r="T1855" s="12" t="str">
        <f>IF(S1855="","",[1]Inputs_Outputs!$B$8*(1-'LOCH Calc COE Calc'!S1855))</f>
        <v/>
      </c>
      <c r="U1855" s="13" t="str">
        <f t="shared" si="141"/>
        <v/>
      </c>
      <c r="V1855" s="13" t="str">
        <f t="shared" si="142"/>
        <v/>
      </c>
      <c r="W1855" s="4" t="str">
        <f t="shared" si="143"/>
        <v/>
      </c>
      <c r="X1855" t="str">
        <f>IF(W1855="","",LOOKUP(_xlfn.CONCAT(P1855,", ",Q1855),'[1]T+S Costs'!$F$2:$F$3138,'[1]T+S Costs'!$N$2:$N$3138))</f>
        <v/>
      </c>
      <c r="Y1855" s="14" t="str">
        <f t="shared" si="144"/>
        <v/>
      </c>
      <c r="Z1855" s="4" t="str">
        <f t="shared" si="145"/>
        <v/>
      </c>
    </row>
    <row r="1856" spans="16:26" x14ac:dyDescent="0.25">
      <c r="P1856" s="10" t="str">
        <f>IF('[1]All Data '!AZ1861="","",'[1]All Data '!AZ1861)</f>
        <v/>
      </c>
      <c r="Q1856" s="10" t="str">
        <f>IF('[1]All Data '!BB1861="","",'[1]All Data '!BB1861)</f>
        <v/>
      </c>
      <c r="R1856" s="10" t="str">
        <f>IF('[1]All Data '!BD1861="","",'[1]All Data '!BD1861)</f>
        <v/>
      </c>
      <c r="S1856" s="11" t="str">
        <f>IF(R1856="","",'[1]All Data '!BE1861)</f>
        <v/>
      </c>
      <c r="T1856" s="12" t="str">
        <f>IF(S1856="","",[1]Inputs_Outputs!$B$8*(1-'LOCH Calc COE Calc'!S1856))</f>
        <v/>
      </c>
      <c r="U1856" s="13" t="str">
        <f t="shared" si="141"/>
        <v/>
      </c>
      <c r="V1856" s="13" t="str">
        <f t="shared" si="142"/>
        <v/>
      </c>
      <c r="W1856" s="4" t="str">
        <f t="shared" si="143"/>
        <v/>
      </c>
      <c r="X1856" t="str">
        <f>IF(W1856="","",LOOKUP(_xlfn.CONCAT(P1856,", ",Q1856),'[1]T+S Costs'!$F$2:$F$3138,'[1]T+S Costs'!$N$2:$N$3138))</f>
        <v/>
      </c>
      <c r="Y1856" s="14" t="str">
        <f t="shared" si="144"/>
        <v/>
      </c>
      <c r="Z1856" s="4" t="str">
        <f t="shared" si="145"/>
        <v/>
      </c>
    </row>
    <row r="1857" spans="16:26" x14ac:dyDescent="0.25">
      <c r="P1857" s="10" t="str">
        <f>IF('[1]All Data '!AZ1862="","",'[1]All Data '!AZ1862)</f>
        <v/>
      </c>
      <c r="Q1857" s="10" t="str">
        <f>IF('[1]All Data '!BB1862="","",'[1]All Data '!BB1862)</f>
        <v/>
      </c>
      <c r="R1857" s="10" t="str">
        <f>IF('[1]All Data '!BD1862="","",'[1]All Data '!BD1862)</f>
        <v/>
      </c>
      <c r="S1857" s="11" t="str">
        <f>IF(R1857="","",'[1]All Data '!BE1862)</f>
        <v/>
      </c>
      <c r="T1857" s="12" t="str">
        <f>IF(S1857="","",[1]Inputs_Outputs!$B$8*(1-'LOCH Calc COE Calc'!S1857))</f>
        <v/>
      </c>
      <c r="U1857" s="13" t="str">
        <f t="shared" si="141"/>
        <v/>
      </c>
      <c r="V1857" s="13" t="str">
        <f t="shared" si="142"/>
        <v/>
      </c>
      <c r="W1857" s="4" t="str">
        <f t="shared" si="143"/>
        <v/>
      </c>
      <c r="X1857" t="str">
        <f>IF(W1857="","",LOOKUP(_xlfn.CONCAT(P1857,", ",Q1857),'[1]T+S Costs'!$F$2:$F$3138,'[1]T+S Costs'!$N$2:$N$3138))</f>
        <v/>
      </c>
      <c r="Y1857" s="14" t="str">
        <f t="shared" si="144"/>
        <v/>
      </c>
      <c r="Z1857" s="4" t="str">
        <f t="shared" si="145"/>
        <v/>
      </c>
    </row>
    <row r="1858" spans="16:26" x14ac:dyDescent="0.25">
      <c r="P1858" s="10" t="str">
        <f>IF('[1]All Data '!AZ1863="","",'[1]All Data '!AZ1863)</f>
        <v/>
      </c>
      <c r="Q1858" s="10" t="str">
        <f>IF('[1]All Data '!BB1863="","",'[1]All Data '!BB1863)</f>
        <v/>
      </c>
      <c r="R1858" s="10" t="str">
        <f>IF('[1]All Data '!BD1863="","",'[1]All Data '!BD1863)</f>
        <v/>
      </c>
      <c r="S1858" s="11" t="str">
        <f>IF(R1858="","",'[1]All Data '!BE1863)</f>
        <v/>
      </c>
      <c r="T1858" s="12" t="str">
        <f>IF(S1858="","",[1]Inputs_Outputs!$B$8*(1-'LOCH Calc COE Calc'!S1858))</f>
        <v/>
      </c>
      <c r="U1858" s="13" t="str">
        <f t="shared" si="141"/>
        <v/>
      </c>
      <c r="V1858" s="13" t="str">
        <f t="shared" si="142"/>
        <v/>
      </c>
      <c r="W1858" s="4" t="str">
        <f t="shared" si="143"/>
        <v/>
      </c>
      <c r="X1858" t="str">
        <f>IF(W1858="","",LOOKUP(_xlfn.CONCAT(P1858,", ",Q1858),'[1]T+S Costs'!$F$2:$F$3138,'[1]T+S Costs'!$N$2:$N$3138))</f>
        <v/>
      </c>
      <c r="Y1858" s="14" t="str">
        <f t="shared" si="144"/>
        <v/>
      </c>
      <c r="Z1858" s="4" t="str">
        <f t="shared" si="145"/>
        <v/>
      </c>
    </row>
    <row r="1859" spans="16:26" x14ac:dyDescent="0.25">
      <c r="P1859" s="10" t="str">
        <f>IF('[1]All Data '!AZ1864="","",'[1]All Data '!AZ1864)</f>
        <v/>
      </c>
      <c r="Q1859" s="10" t="str">
        <f>IF('[1]All Data '!BB1864="","",'[1]All Data '!BB1864)</f>
        <v/>
      </c>
      <c r="R1859" s="10" t="str">
        <f>IF('[1]All Data '!BD1864="","",'[1]All Data '!BD1864)</f>
        <v/>
      </c>
      <c r="S1859" s="11" t="str">
        <f>IF(R1859="","",'[1]All Data '!BE1864)</f>
        <v/>
      </c>
      <c r="T1859" s="12" t="str">
        <f>IF(S1859="","",[1]Inputs_Outputs!$B$8*(1-'LOCH Calc COE Calc'!S1859))</f>
        <v/>
      </c>
      <c r="U1859" s="13" t="str">
        <f t="shared" ref="U1859:U1922" si="146">IF(S1859="","",R1859*T1859*365*$B$19/100)</f>
        <v/>
      </c>
      <c r="V1859" s="13" t="str">
        <f t="shared" ref="V1859:V1922" si="147">IF(S1859="","",(U1859*$B$19)/(($B$28)*$B$19))</f>
        <v/>
      </c>
      <c r="W1859" s="4" t="str">
        <f t="shared" ref="W1859:W1922" si="148">IF(S1859="","",V1859+$C$49+$C$50+$C$51)</f>
        <v/>
      </c>
      <c r="X1859" t="str">
        <f>IF(W1859="","",LOOKUP(_xlfn.CONCAT(P1859,", ",Q1859),'[1]T+S Costs'!$F$2:$F$3138,'[1]T+S Costs'!$N$2:$N$3138))</f>
        <v/>
      </c>
      <c r="Y1859" s="14" t="str">
        <f t="shared" ref="Y1859:Y1922" si="149">IF(X1859="","",((X1859*$B$60/$B$59)*$C$44)/$C$28)</f>
        <v/>
      </c>
      <c r="Z1859" s="4" t="str">
        <f t="shared" ref="Z1859:Z1922" si="150">IF(Y1859="","",W1859+Y1859)</f>
        <v/>
      </c>
    </row>
    <row r="1860" spans="16:26" x14ac:dyDescent="0.25">
      <c r="P1860" s="10" t="str">
        <f>IF('[1]All Data '!AZ1865="","",'[1]All Data '!AZ1865)</f>
        <v/>
      </c>
      <c r="Q1860" s="10" t="str">
        <f>IF('[1]All Data '!BB1865="","",'[1]All Data '!BB1865)</f>
        <v/>
      </c>
      <c r="R1860" s="10" t="str">
        <f>IF('[1]All Data '!BD1865="","",'[1]All Data '!BD1865)</f>
        <v/>
      </c>
      <c r="S1860" s="11" t="str">
        <f>IF(R1860="","",'[1]All Data '!BE1865)</f>
        <v/>
      </c>
      <c r="T1860" s="12" t="str">
        <f>IF(S1860="","",[1]Inputs_Outputs!$B$8*(1-'LOCH Calc COE Calc'!S1860))</f>
        <v/>
      </c>
      <c r="U1860" s="13" t="str">
        <f t="shared" si="146"/>
        <v/>
      </c>
      <c r="V1860" s="13" t="str">
        <f t="shared" si="147"/>
        <v/>
      </c>
      <c r="W1860" s="4" t="str">
        <f t="shared" si="148"/>
        <v/>
      </c>
      <c r="X1860" t="str">
        <f>IF(W1860="","",LOOKUP(_xlfn.CONCAT(P1860,", ",Q1860),'[1]T+S Costs'!$F$2:$F$3138,'[1]T+S Costs'!$N$2:$N$3138))</f>
        <v/>
      </c>
      <c r="Y1860" s="14" t="str">
        <f t="shared" si="149"/>
        <v/>
      </c>
      <c r="Z1860" s="4" t="str">
        <f t="shared" si="150"/>
        <v/>
      </c>
    </row>
    <row r="1861" spans="16:26" x14ac:dyDescent="0.25">
      <c r="P1861" s="10" t="str">
        <f>IF('[1]All Data '!AZ1866="","",'[1]All Data '!AZ1866)</f>
        <v/>
      </c>
      <c r="Q1861" s="10" t="str">
        <f>IF('[1]All Data '!BB1866="","",'[1]All Data '!BB1866)</f>
        <v/>
      </c>
      <c r="R1861" s="10" t="str">
        <f>IF('[1]All Data '!BD1866="","",'[1]All Data '!BD1866)</f>
        <v/>
      </c>
      <c r="S1861" s="11" t="str">
        <f>IF(R1861="","",'[1]All Data '!BE1866)</f>
        <v/>
      </c>
      <c r="T1861" s="12" t="str">
        <f>IF(S1861="","",[1]Inputs_Outputs!$B$8*(1-'LOCH Calc COE Calc'!S1861))</f>
        <v/>
      </c>
      <c r="U1861" s="13" t="str">
        <f t="shared" si="146"/>
        <v/>
      </c>
      <c r="V1861" s="13" t="str">
        <f t="shared" si="147"/>
        <v/>
      </c>
      <c r="W1861" s="4" t="str">
        <f t="shared" si="148"/>
        <v/>
      </c>
      <c r="X1861" t="str">
        <f>IF(W1861="","",LOOKUP(_xlfn.CONCAT(P1861,", ",Q1861),'[1]T+S Costs'!$F$2:$F$3138,'[1]T+S Costs'!$N$2:$N$3138))</f>
        <v/>
      </c>
      <c r="Y1861" s="14" t="str">
        <f t="shared" si="149"/>
        <v/>
      </c>
      <c r="Z1861" s="4" t="str">
        <f t="shared" si="150"/>
        <v/>
      </c>
    </row>
    <row r="1862" spans="16:26" x14ac:dyDescent="0.25">
      <c r="P1862" s="10" t="str">
        <f>IF('[1]All Data '!AZ1867="","",'[1]All Data '!AZ1867)</f>
        <v/>
      </c>
      <c r="Q1862" s="10" t="str">
        <f>IF('[1]All Data '!BB1867="","",'[1]All Data '!BB1867)</f>
        <v/>
      </c>
      <c r="R1862" s="10" t="str">
        <f>IF('[1]All Data '!BD1867="","",'[1]All Data '!BD1867)</f>
        <v/>
      </c>
      <c r="S1862" s="11" t="str">
        <f>IF(R1862="","",'[1]All Data '!BE1867)</f>
        <v/>
      </c>
      <c r="T1862" s="12" t="str">
        <f>IF(S1862="","",[1]Inputs_Outputs!$B$8*(1-'LOCH Calc COE Calc'!S1862))</f>
        <v/>
      </c>
      <c r="U1862" s="13" t="str">
        <f t="shared" si="146"/>
        <v/>
      </c>
      <c r="V1862" s="13" t="str">
        <f t="shared" si="147"/>
        <v/>
      </c>
      <c r="W1862" s="4" t="str">
        <f t="shared" si="148"/>
        <v/>
      </c>
      <c r="X1862" t="str">
        <f>IF(W1862="","",LOOKUP(_xlfn.CONCAT(P1862,", ",Q1862),'[1]T+S Costs'!$F$2:$F$3138,'[1]T+S Costs'!$N$2:$N$3138))</f>
        <v/>
      </c>
      <c r="Y1862" s="14" t="str">
        <f t="shared" si="149"/>
        <v/>
      </c>
      <c r="Z1862" s="4" t="str">
        <f t="shared" si="150"/>
        <v/>
      </c>
    </row>
    <row r="1863" spans="16:26" x14ac:dyDescent="0.25">
      <c r="P1863" s="10" t="str">
        <f>IF('[1]All Data '!AZ1868="","",'[1]All Data '!AZ1868)</f>
        <v/>
      </c>
      <c r="Q1863" s="10" t="str">
        <f>IF('[1]All Data '!BB1868="","",'[1]All Data '!BB1868)</f>
        <v/>
      </c>
      <c r="R1863" s="10" t="str">
        <f>IF('[1]All Data '!BD1868="","",'[1]All Data '!BD1868)</f>
        <v/>
      </c>
      <c r="S1863" s="11" t="str">
        <f>IF(R1863="","",'[1]All Data '!BE1868)</f>
        <v/>
      </c>
      <c r="T1863" s="12" t="str">
        <f>IF(S1863="","",[1]Inputs_Outputs!$B$8*(1-'LOCH Calc COE Calc'!S1863))</f>
        <v/>
      </c>
      <c r="U1863" s="13" t="str">
        <f t="shared" si="146"/>
        <v/>
      </c>
      <c r="V1863" s="13" t="str">
        <f t="shared" si="147"/>
        <v/>
      </c>
      <c r="W1863" s="4" t="str">
        <f t="shared" si="148"/>
        <v/>
      </c>
      <c r="X1863" t="str">
        <f>IF(W1863="","",LOOKUP(_xlfn.CONCAT(P1863,", ",Q1863),'[1]T+S Costs'!$F$2:$F$3138,'[1]T+S Costs'!$N$2:$N$3138))</f>
        <v/>
      </c>
      <c r="Y1863" s="14" t="str">
        <f t="shared" si="149"/>
        <v/>
      </c>
      <c r="Z1863" s="4" t="str">
        <f t="shared" si="150"/>
        <v/>
      </c>
    </row>
    <row r="1864" spans="16:26" x14ac:dyDescent="0.25">
      <c r="P1864" s="10" t="str">
        <f>IF('[1]All Data '!AZ1869="","",'[1]All Data '!AZ1869)</f>
        <v/>
      </c>
      <c r="Q1864" s="10" t="str">
        <f>IF('[1]All Data '!BB1869="","",'[1]All Data '!BB1869)</f>
        <v/>
      </c>
      <c r="R1864" s="10" t="str">
        <f>IF('[1]All Data '!BD1869="","",'[1]All Data '!BD1869)</f>
        <v/>
      </c>
      <c r="S1864" s="11" t="str">
        <f>IF(R1864="","",'[1]All Data '!BE1869)</f>
        <v/>
      </c>
      <c r="T1864" s="12" t="str">
        <f>IF(S1864="","",[1]Inputs_Outputs!$B$8*(1-'LOCH Calc COE Calc'!S1864))</f>
        <v/>
      </c>
      <c r="U1864" s="13" t="str">
        <f t="shared" si="146"/>
        <v/>
      </c>
      <c r="V1864" s="13" t="str">
        <f t="shared" si="147"/>
        <v/>
      </c>
      <c r="W1864" s="4" t="str">
        <f t="shared" si="148"/>
        <v/>
      </c>
      <c r="X1864" t="str">
        <f>IF(W1864="","",LOOKUP(_xlfn.CONCAT(P1864,", ",Q1864),'[1]T+S Costs'!$F$2:$F$3138,'[1]T+S Costs'!$N$2:$N$3138))</f>
        <v/>
      </c>
      <c r="Y1864" s="14" t="str">
        <f t="shared" si="149"/>
        <v/>
      </c>
      <c r="Z1864" s="4" t="str">
        <f t="shared" si="150"/>
        <v/>
      </c>
    </row>
    <row r="1865" spans="16:26" x14ac:dyDescent="0.25">
      <c r="P1865" s="10" t="str">
        <f>IF('[1]All Data '!AZ1870="","",'[1]All Data '!AZ1870)</f>
        <v/>
      </c>
      <c r="Q1865" s="10" t="str">
        <f>IF('[1]All Data '!BB1870="","",'[1]All Data '!BB1870)</f>
        <v/>
      </c>
      <c r="R1865" s="10" t="str">
        <f>IF('[1]All Data '!BD1870="","",'[1]All Data '!BD1870)</f>
        <v/>
      </c>
      <c r="S1865" s="11" t="str">
        <f>IF(R1865="","",'[1]All Data '!BE1870)</f>
        <v/>
      </c>
      <c r="T1865" s="12" t="str">
        <f>IF(S1865="","",[1]Inputs_Outputs!$B$8*(1-'LOCH Calc COE Calc'!S1865))</f>
        <v/>
      </c>
      <c r="U1865" s="13" t="str">
        <f t="shared" si="146"/>
        <v/>
      </c>
      <c r="V1865" s="13" t="str">
        <f t="shared" si="147"/>
        <v/>
      </c>
      <c r="W1865" s="4" t="str">
        <f t="shared" si="148"/>
        <v/>
      </c>
      <c r="X1865" t="str">
        <f>IF(W1865="","",LOOKUP(_xlfn.CONCAT(P1865,", ",Q1865),'[1]T+S Costs'!$F$2:$F$3138,'[1]T+S Costs'!$N$2:$N$3138))</f>
        <v/>
      </c>
      <c r="Y1865" s="14" t="str">
        <f t="shared" si="149"/>
        <v/>
      </c>
      <c r="Z1865" s="4" t="str">
        <f t="shared" si="150"/>
        <v/>
      </c>
    </row>
    <row r="1866" spans="16:26" x14ac:dyDescent="0.25">
      <c r="P1866" s="10" t="str">
        <f>IF('[1]All Data '!AZ1871="","",'[1]All Data '!AZ1871)</f>
        <v/>
      </c>
      <c r="Q1866" s="10" t="str">
        <f>IF('[1]All Data '!BB1871="","",'[1]All Data '!BB1871)</f>
        <v/>
      </c>
      <c r="R1866" s="10" t="str">
        <f>IF('[1]All Data '!BD1871="","",'[1]All Data '!BD1871)</f>
        <v/>
      </c>
      <c r="S1866" s="11" t="str">
        <f>IF(R1866="","",'[1]All Data '!BE1871)</f>
        <v/>
      </c>
      <c r="T1866" s="12" t="str">
        <f>IF(S1866="","",[1]Inputs_Outputs!$B$8*(1-'LOCH Calc COE Calc'!S1866))</f>
        <v/>
      </c>
      <c r="U1866" s="13" t="str">
        <f t="shared" si="146"/>
        <v/>
      </c>
      <c r="V1866" s="13" t="str">
        <f t="shared" si="147"/>
        <v/>
      </c>
      <c r="W1866" s="4" t="str">
        <f t="shared" si="148"/>
        <v/>
      </c>
      <c r="X1866" t="str">
        <f>IF(W1866="","",LOOKUP(_xlfn.CONCAT(P1866,", ",Q1866),'[1]T+S Costs'!$F$2:$F$3138,'[1]T+S Costs'!$N$2:$N$3138))</f>
        <v/>
      </c>
      <c r="Y1866" s="14" t="str">
        <f t="shared" si="149"/>
        <v/>
      </c>
      <c r="Z1866" s="4" t="str">
        <f t="shared" si="150"/>
        <v/>
      </c>
    </row>
    <row r="1867" spans="16:26" x14ac:dyDescent="0.25">
      <c r="P1867" s="10" t="str">
        <f>IF('[1]All Data '!AZ1872="","",'[1]All Data '!AZ1872)</f>
        <v/>
      </c>
      <c r="Q1867" s="10" t="str">
        <f>IF('[1]All Data '!BB1872="","",'[1]All Data '!BB1872)</f>
        <v/>
      </c>
      <c r="R1867" s="10" t="str">
        <f>IF('[1]All Data '!BD1872="","",'[1]All Data '!BD1872)</f>
        <v/>
      </c>
      <c r="S1867" s="11" t="str">
        <f>IF(R1867="","",'[1]All Data '!BE1872)</f>
        <v/>
      </c>
      <c r="T1867" s="12" t="str">
        <f>IF(S1867="","",[1]Inputs_Outputs!$B$8*(1-'LOCH Calc COE Calc'!S1867))</f>
        <v/>
      </c>
      <c r="U1867" s="13" t="str">
        <f t="shared" si="146"/>
        <v/>
      </c>
      <c r="V1867" s="13" t="str">
        <f t="shared" si="147"/>
        <v/>
      </c>
      <c r="W1867" s="4" t="str">
        <f t="shared" si="148"/>
        <v/>
      </c>
      <c r="X1867" t="str">
        <f>IF(W1867="","",LOOKUP(_xlfn.CONCAT(P1867,", ",Q1867),'[1]T+S Costs'!$F$2:$F$3138,'[1]T+S Costs'!$N$2:$N$3138))</f>
        <v/>
      </c>
      <c r="Y1867" s="14" t="str">
        <f t="shared" si="149"/>
        <v/>
      </c>
      <c r="Z1867" s="4" t="str">
        <f t="shared" si="150"/>
        <v/>
      </c>
    </row>
    <row r="1868" spans="16:26" x14ac:dyDescent="0.25">
      <c r="P1868" s="10" t="str">
        <f>IF('[1]All Data '!AZ1873="","",'[1]All Data '!AZ1873)</f>
        <v/>
      </c>
      <c r="Q1868" s="10" t="str">
        <f>IF('[1]All Data '!BB1873="","",'[1]All Data '!BB1873)</f>
        <v/>
      </c>
      <c r="R1868" s="10" t="str">
        <f>IF('[1]All Data '!BD1873="","",'[1]All Data '!BD1873)</f>
        <v/>
      </c>
      <c r="S1868" s="11" t="str">
        <f>IF(R1868="","",'[1]All Data '!BE1873)</f>
        <v/>
      </c>
      <c r="T1868" s="12" t="str">
        <f>IF(S1868="","",[1]Inputs_Outputs!$B$8*(1-'LOCH Calc COE Calc'!S1868))</f>
        <v/>
      </c>
      <c r="U1868" s="13" t="str">
        <f t="shared" si="146"/>
        <v/>
      </c>
      <c r="V1868" s="13" t="str">
        <f t="shared" si="147"/>
        <v/>
      </c>
      <c r="W1868" s="4" t="str">
        <f t="shared" si="148"/>
        <v/>
      </c>
      <c r="X1868" t="str">
        <f>IF(W1868="","",LOOKUP(_xlfn.CONCAT(P1868,", ",Q1868),'[1]T+S Costs'!$F$2:$F$3138,'[1]T+S Costs'!$N$2:$N$3138))</f>
        <v/>
      </c>
      <c r="Y1868" s="14" t="str">
        <f t="shared" si="149"/>
        <v/>
      </c>
      <c r="Z1868" s="4" t="str">
        <f t="shared" si="150"/>
        <v/>
      </c>
    </row>
    <row r="1869" spans="16:26" x14ac:dyDescent="0.25">
      <c r="P1869" s="10" t="str">
        <f>IF('[1]All Data '!AZ1874="","",'[1]All Data '!AZ1874)</f>
        <v/>
      </c>
      <c r="Q1869" s="10" t="str">
        <f>IF('[1]All Data '!BB1874="","",'[1]All Data '!BB1874)</f>
        <v/>
      </c>
      <c r="R1869" s="10" t="str">
        <f>IF('[1]All Data '!BD1874="","",'[1]All Data '!BD1874)</f>
        <v/>
      </c>
      <c r="S1869" s="11" t="str">
        <f>IF(R1869="","",'[1]All Data '!BE1874)</f>
        <v/>
      </c>
      <c r="T1869" s="12" t="str">
        <f>IF(S1869="","",[1]Inputs_Outputs!$B$8*(1-'LOCH Calc COE Calc'!S1869))</f>
        <v/>
      </c>
      <c r="U1869" s="13" t="str">
        <f t="shared" si="146"/>
        <v/>
      </c>
      <c r="V1869" s="13" t="str">
        <f t="shared" si="147"/>
        <v/>
      </c>
      <c r="W1869" s="4" t="str">
        <f t="shared" si="148"/>
        <v/>
      </c>
      <c r="X1869" t="str">
        <f>IF(W1869="","",LOOKUP(_xlfn.CONCAT(P1869,", ",Q1869),'[1]T+S Costs'!$F$2:$F$3138,'[1]T+S Costs'!$N$2:$N$3138))</f>
        <v/>
      </c>
      <c r="Y1869" s="14" t="str">
        <f t="shared" si="149"/>
        <v/>
      </c>
      <c r="Z1869" s="4" t="str">
        <f t="shared" si="150"/>
        <v/>
      </c>
    </row>
    <row r="1870" spans="16:26" x14ac:dyDescent="0.25">
      <c r="P1870" s="10" t="str">
        <f>IF('[1]All Data '!AZ1875="","",'[1]All Data '!AZ1875)</f>
        <v/>
      </c>
      <c r="Q1870" s="10" t="str">
        <f>IF('[1]All Data '!BB1875="","",'[1]All Data '!BB1875)</f>
        <v/>
      </c>
      <c r="R1870" s="10" t="str">
        <f>IF('[1]All Data '!BD1875="","",'[1]All Data '!BD1875)</f>
        <v/>
      </c>
      <c r="S1870" s="11" t="str">
        <f>IF(R1870="","",'[1]All Data '!BE1875)</f>
        <v/>
      </c>
      <c r="T1870" s="12" t="str">
        <f>IF(S1870="","",[1]Inputs_Outputs!$B$8*(1-'LOCH Calc COE Calc'!S1870))</f>
        <v/>
      </c>
      <c r="U1870" s="13" t="str">
        <f t="shared" si="146"/>
        <v/>
      </c>
      <c r="V1870" s="13" t="str">
        <f t="shared" si="147"/>
        <v/>
      </c>
      <c r="W1870" s="4" t="str">
        <f t="shared" si="148"/>
        <v/>
      </c>
      <c r="X1870" t="str">
        <f>IF(W1870="","",LOOKUP(_xlfn.CONCAT(P1870,", ",Q1870),'[1]T+S Costs'!$F$2:$F$3138,'[1]T+S Costs'!$N$2:$N$3138))</f>
        <v/>
      </c>
      <c r="Y1870" s="14" t="str">
        <f t="shared" si="149"/>
        <v/>
      </c>
      <c r="Z1870" s="4" t="str">
        <f t="shared" si="150"/>
        <v/>
      </c>
    </row>
    <row r="1871" spans="16:26" x14ac:dyDescent="0.25">
      <c r="P1871" s="10" t="str">
        <f>IF('[1]All Data '!AZ1876="","",'[1]All Data '!AZ1876)</f>
        <v/>
      </c>
      <c r="Q1871" s="10" t="str">
        <f>IF('[1]All Data '!BB1876="","",'[1]All Data '!BB1876)</f>
        <v/>
      </c>
      <c r="R1871" s="10" t="str">
        <f>IF('[1]All Data '!BD1876="","",'[1]All Data '!BD1876)</f>
        <v/>
      </c>
      <c r="S1871" s="11" t="str">
        <f>IF(R1871="","",'[1]All Data '!BE1876)</f>
        <v/>
      </c>
      <c r="T1871" s="12" t="str">
        <f>IF(S1871="","",[1]Inputs_Outputs!$B$8*(1-'LOCH Calc COE Calc'!S1871))</f>
        <v/>
      </c>
      <c r="U1871" s="13" t="str">
        <f t="shared" si="146"/>
        <v/>
      </c>
      <c r="V1871" s="13" t="str">
        <f t="shared" si="147"/>
        <v/>
      </c>
      <c r="W1871" s="4" t="str">
        <f t="shared" si="148"/>
        <v/>
      </c>
      <c r="X1871" t="str">
        <f>IF(W1871="","",LOOKUP(_xlfn.CONCAT(P1871,", ",Q1871),'[1]T+S Costs'!$F$2:$F$3138,'[1]T+S Costs'!$N$2:$N$3138))</f>
        <v/>
      </c>
      <c r="Y1871" s="14" t="str">
        <f t="shared" si="149"/>
        <v/>
      </c>
      <c r="Z1871" s="4" t="str">
        <f t="shared" si="150"/>
        <v/>
      </c>
    </row>
    <row r="1872" spans="16:26" x14ac:dyDescent="0.25">
      <c r="P1872" s="10" t="str">
        <f>IF('[1]All Data '!AZ1877="","",'[1]All Data '!AZ1877)</f>
        <v/>
      </c>
      <c r="Q1872" s="10" t="str">
        <f>IF('[1]All Data '!BB1877="","",'[1]All Data '!BB1877)</f>
        <v/>
      </c>
      <c r="R1872" s="10" t="str">
        <f>IF('[1]All Data '!BD1877="","",'[1]All Data '!BD1877)</f>
        <v/>
      </c>
      <c r="S1872" s="11" t="str">
        <f>IF(R1872="","",'[1]All Data '!BE1877)</f>
        <v/>
      </c>
      <c r="T1872" s="12" t="str">
        <f>IF(S1872="","",[1]Inputs_Outputs!$B$8*(1-'LOCH Calc COE Calc'!S1872))</f>
        <v/>
      </c>
      <c r="U1872" s="13" t="str">
        <f t="shared" si="146"/>
        <v/>
      </c>
      <c r="V1872" s="13" t="str">
        <f t="shared" si="147"/>
        <v/>
      </c>
      <c r="W1872" s="4" t="str">
        <f t="shared" si="148"/>
        <v/>
      </c>
      <c r="X1872" t="str">
        <f>IF(W1872="","",LOOKUP(_xlfn.CONCAT(P1872,", ",Q1872),'[1]T+S Costs'!$F$2:$F$3138,'[1]T+S Costs'!$N$2:$N$3138))</f>
        <v/>
      </c>
      <c r="Y1872" s="14" t="str">
        <f t="shared" si="149"/>
        <v/>
      </c>
      <c r="Z1872" s="4" t="str">
        <f t="shared" si="150"/>
        <v/>
      </c>
    </row>
    <row r="1873" spans="16:26" x14ac:dyDescent="0.25">
      <c r="P1873" s="10" t="str">
        <f>IF('[1]All Data '!AZ1878="","",'[1]All Data '!AZ1878)</f>
        <v/>
      </c>
      <c r="Q1873" s="10" t="str">
        <f>IF('[1]All Data '!BB1878="","",'[1]All Data '!BB1878)</f>
        <v/>
      </c>
      <c r="R1873" s="10" t="str">
        <f>IF('[1]All Data '!BD1878="","",'[1]All Data '!BD1878)</f>
        <v/>
      </c>
      <c r="S1873" s="11" t="str">
        <f>IF(R1873="","",'[1]All Data '!BE1878)</f>
        <v/>
      </c>
      <c r="T1873" s="12" t="str">
        <f>IF(S1873="","",[1]Inputs_Outputs!$B$8*(1-'LOCH Calc COE Calc'!S1873))</f>
        <v/>
      </c>
      <c r="U1873" s="13" t="str">
        <f t="shared" si="146"/>
        <v/>
      </c>
      <c r="V1873" s="13" t="str">
        <f t="shared" si="147"/>
        <v/>
      </c>
      <c r="W1873" s="4" t="str">
        <f t="shared" si="148"/>
        <v/>
      </c>
      <c r="X1873" t="str">
        <f>IF(W1873="","",LOOKUP(_xlfn.CONCAT(P1873,", ",Q1873),'[1]T+S Costs'!$F$2:$F$3138,'[1]T+S Costs'!$N$2:$N$3138))</f>
        <v/>
      </c>
      <c r="Y1873" s="14" t="str">
        <f t="shared" si="149"/>
        <v/>
      </c>
      <c r="Z1873" s="4" t="str">
        <f t="shared" si="150"/>
        <v/>
      </c>
    </row>
    <row r="1874" spans="16:26" x14ac:dyDescent="0.25">
      <c r="P1874" s="10" t="str">
        <f>IF('[1]All Data '!AZ1879="","",'[1]All Data '!AZ1879)</f>
        <v/>
      </c>
      <c r="Q1874" s="10" t="str">
        <f>IF('[1]All Data '!BB1879="","",'[1]All Data '!BB1879)</f>
        <v/>
      </c>
      <c r="R1874" s="10" t="str">
        <f>IF('[1]All Data '!BD1879="","",'[1]All Data '!BD1879)</f>
        <v/>
      </c>
      <c r="S1874" s="11" t="str">
        <f>IF(R1874="","",'[1]All Data '!BE1879)</f>
        <v/>
      </c>
      <c r="T1874" s="12" t="str">
        <f>IF(S1874="","",[1]Inputs_Outputs!$B$8*(1-'LOCH Calc COE Calc'!S1874))</f>
        <v/>
      </c>
      <c r="U1874" s="13" t="str">
        <f t="shared" si="146"/>
        <v/>
      </c>
      <c r="V1874" s="13" t="str">
        <f t="shared" si="147"/>
        <v/>
      </c>
      <c r="W1874" s="4" t="str">
        <f t="shared" si="148"/>
        <v/>
      </c>
      <c r="X1874" t="str">
        <f>IF(W1874="","",LOOKUP(_xlfn.CONCAT(P1874,", ",Q1874),'[1]T+S Costs'!$F$2:$F$3138,'[1]T+S Costs'!$N$2:$N$3138))</f>
        <v/>
      </c>
      <c r="Y1874" s="14" t="str">
        <f t="shared" si="149"/>
        <v/>
      </c>
      <c r="Z1874" s="4" t="str">
        <f t="shared" si="150"/>
        <v/>
      </c>
    </row>
    <row r="1875" spans="16:26" x14ac:dyDescent="0.25">
      <c r="P1875" s="10" t="str">
        <f>IF('[1]All Data '!AZ1880="","",'[1]All Data '!AZ1880)</f>
        <v/>
      </c>
      <c r="Q1875" s="10" t="str">
        <f>IF('[1]All Data '!BB1880="","",'[1]All Data '!BB1880)</f>
        <v/>
      </c>
      <c r="R1875" s="10" t="str">
        <f>IF('[1]All Data '!BD1880="","",'[1]All Data '!BD1880)</f>
        <v/>
      </c>
      <c r="S1875" s="11" t="str">
        <f>IF(R1875="","",'[1]All Data '!BE1880)</f>
        <v/>
      </c>
      <c r="T1875" s="12" t="str">
        <f>IF(S1875="","",[1]Inputs_Outputs!$B$8*(1-'LOCH Calc COE Calc'!S1875))</f>
        <v/>
      </c>
      <c r="U1875" s="13" t="str">
        <f t="shared" si="146"/>
        <v/>
      </c>
      <c r="V1875" s="13" t="str">
        <f t="shared" si="147"/>
        <v/>
      </c>
      <c r="W1875" s="4" t="str">
        <f t="shared" si="148"/>
        <v/>
      </c>
      <c r="X1875" t="str">
        <f>IF(W1875="","",LOOKUP(_xlfn.CONCAT(P1875,", ",Q1875),'[1]T+S Costs'!$F$2:$F$3138,'[1]T+S Costs'!$N$2:$N$3138))</f>
        <v/>
      </c>
      <c r="Y1875" s="14" t="str">
        <f t="shared" si="149"/>
        <v/>
      </c>
      <c r="Z1875" s="4" t="str">
        <f t="shared" si="150"/>
        <v/>
      </c>
    </row>
    <row r="1876" spans="16:26" x14ac:dyDescent="0.25">
      <c r="P1876" s="10" t="str">
        <f>IF('[1]All Data '!AZ1881="","",'[1]All Data '!AZ1881)</f>
        <v/>
      </c>
      <c r="Q1876" s="10" t="str">
        <f>IF('[1]All Data '!BB1881="","",'[1]All Data '!BB1881)</f>
        <v/>
      </c>
      <c r="R1876" s="10" t="str">
        <f>IF('[1]All Data '!BD1881="","",'[1]All Data '!BD1881)</f>
        <v/>
      </c>
      <c r="S1876" s="11" t="str">
        <f>IF(R1876="","",'[1]All Data '!BE1881)</f>
        <v/>
      </c>
      <c r="T1876" s="12" t="str">
        <f>IF(S1876="","",[1]Inputs_Outputs!$B$8*(1-'LOCH Calc COE Calc'!S1876))</f>
        <v/>
      </c>
      <c r="U1876" s="13" t="str">
        <f t="shared" si="146"/>
        <v/>
      </c>
      <c r="V1876" s="13" t="str">
        <f t="shared" si="147"/>
        <v/>
      </c>
      <c r="W1876" s="4" t="str">
        <f t="shared" si="148"/>
        <v/>
      </c>
      <c r="X1876" t="str">
        <f>IF(W1876="","",LOOKUP(_xlfn.CONCAT(P1876,", ",Q1876),'[1]T+S Costs'!$F$2:$F$3138,'[1]T+S Costs'!$N$2:$N$3138))</f>
        <v/>
      </c>
      <c r="Y1876" s="14" t="str">
        <f t="shared" si="149"/>
        <v/>
      </c>
      <c r="Z1876" s="4" t="str">
        <f t="shared" si="150"/>
        <v/>
      </c>
    </row>
    <row r="1877" spans="16:26" x14ac:dyDescent="0.25">
      <c r="P1877" s="10" t="str">
        <f>IF('[1]All Data '!AZ1882="","",'[1]All Data '!AZ1882)</f>
        <v/>
      </c>
      <c r="Q1877" s="10" t="str">
        <f>IF('[1]All Data '!BB1882="","",'[1]All Data '!BB1882)</f>
        <v/>
      </c>
      <c r="R1877" s="10" t="str">
        <f>IF('[1]All Data '!BD1882="","",'[1]All Data '!BD1882)</f>
        <v/>
      </c>
      <c r="S1877" s="11" t="str">
        <f>IF(R1877="","",'[1]All Data '!BE1882)</f>
        <v/>
      </c>
      <c r="T1877" s="12" t="str">
        <f>IF(S1877="","",[1]Inputs_Outputs!$B$8*(1-'LOCH Calc COE Calc'!S1877))</f>
        <v/>
      </c>
      <c r="U1877" s="13" t="str">
        <f t="shared" si="146"/>
        <v/>
      </c>
      <c r="V1877" s="13" t="str">
        <f t="shared" si="147"/>
        <v/>
      </c>
      <c r="W1877" s="4" t="str">
        <f t="shared" si="148"/>
        <v/>
      </c>
      <c r="X1877" t="str">
        <f>IF(W1877="","",LOOKUP(_xlfn.CONCAT(P1877,", ",Q1877),'[1]T+S Costs'!$F$2:$F$3138,'[1]T+S Costs'!$N$2:$N$3138))</f>
        <v/>
      </c>
      <c r="Y1877" s="14" t="str">
        <f t="shared" si="149"/>
        <v/>
      </c>
      <c r="Z1877" s="4" t="str">
        <f t="shared" si="150"/>
        <v/>
      </c>
    </row>
    <row r="1878" spans="16:26" x14ac:dyDescent="0.25">
      <c r="P1878" s="10" t="str">
        <f>IF('[1]All Data '!AZ1883="","",'[1]All Data '!AZ1883)</f>
        <v/>
      </c>
      <c r="Q1878" s="10" t="str">
        <f>IF('[1]All Data '!BB1883="","",'[1]All Data '!BB1883)</f>
        <v/>
      </c>
      <c r="R1878" s="10" t="str">
        <f>IF('[1]All Data '!BD1883="","",'[1]All Data '!BD1883)</f>
        <v/>
      </c>
      <c r="S1878" s="11" t="str">
        <f>IF(R1878="","",'[1]All Data '!BE1883)</f>
        <v/>
      </c>
      <c r="T1878" s="12" t="str">
        <f>IF(S1878="","",[1]Inputs_Outputs!$B$8*(1-'LOCH Calc COE Calc'!S1878))</f>
        <v/>
      </c>
      <c r="U1878" s="13" t="str">
        <f t="shared" si="146"/>
        <v/>
      </c>
      <c r="V1878" s="13" t="str">
        <f t="shared" si="147"/>
        <v/>
      </c>
      <c r="W1878" s="4" t="str">
        <f t="shared" si="148"/>
        <v/>
      </c>
      <c r="X1878" t="str">
        <f>IF(W1878="","",LOOKUP(_xlfn.CONCAT(P1878,", ",Q1878),'[1]T+S Costs'!$F$2:$F$3138,'[1]T+S Costs'!$N$2:$N$3138))</f>
        <v/>
      </c>
      <c r="Y1878" s="14" t="str">
        <f t="shared" si="149"/>
        <v/>
      </c>
      <c r="Z1878" s="4" t="str">
        <f t="shared" si="150"/>
        <v/>
      </c>
    </row>
    <row r="1879" spans="16:26" x14ac:dyDescent="0.25">
      <c r="P1879" s="10" t="str">
        <f>IF('[1]All Data '!AZ1884="","",'[1]All Data '!AZ1884)</f>
        <v/>
      </c>
      <c r="Q1879" s="10" t="str">
        <f>IF('[1]All Data '!BB1884="","",'[1]All Data '!BB1884)</f>
        <v/>
      </c>
      <c r="R1879" s="10" t="str">
        <f>IF('[1]All Data '!BD1884="","",'[1]All Data '!BD1884)</f>
        <v/>
      </c>
      <c r="S1879" s="11" t="str">
        <f>IF(R1879="","",'[1]All Data '!BE1884)</f>
        <v/>
      </c>
      <c r="T1879" s="12" t="str">
        <f>IF(S1879="","",[1]Inputs_Outputs!$B$8*(1-'LOCH Calc COE Calc'!S1879))</f>
        <v/>
      </c>
      <c r="U1879" s="13" t="str">
        <f t="shared" si="146"/>
        <v/>
      </c>
      <c r="V1879" s="13" t="str">
        <f t="shared" si="147"/>
        <v/>
      </c>
      <c r="W1879" s="4" t="str">
        <f t="shared" si="148"/>
        <v/>
      </c>
      <c r="X1879" t="str">
        <f>IF(W1879="","",LOOKUP(_xlfn.CONCAT(P1879,", ",Q1879),'[1]T+S Costs'!$F$2:$F$3138,'[1]T+S Costs'!$N$2:$N$3138))</f>
        <v/>
      </c>
      <c r="Y1879" s="14" t="str">
        <f t="shared" si="149"/>
        <v/>
      </c>
      <c r="Z1879" s="4" t="str">
        <f t="shared" si="150"/>
        <v/>
      </c>
    </row>
    <row r="1880" spans="16:26" x14ac:dyDescent="0.25">
      <c r="P1880" s="10" t="str">
        <f>IF('[1]All Data '!AZ1885="","",'[1]All Data '!AZ1885)</f>
        <v/>
      </c>
      <c r="Q1880" s="10" t="str">
        <f>IF('[1]All Data '!BB1885="","",'[1]All Data '!BB1885)</f>
        <v/>
      </c>
      <c r="R1880" s="10" t="str">
        <f>IF('[1]All Data '!BD1885="","",'[1]All Data '!BD1885)</f>
        <v/>
      </c>
      <c r="S1880" s="11" t="str">
        <f>IF(R1880="","",'[1]All Data '!BE1885)</f>
        <v/>
      </c>
      <c r="T1880" s="12" t="str">
        <f>IF(S1880="","",[1]Inputs_Outputs!$B$8*(1-'LOCH Calc COE Calc'!S1880))</f>
        <v/>
      </c>
      <c r="U1880" s="13" t="str">
        <f t="shared" si="146"/>
        <v/>
      </c>
      <c r="V1880" s="13" t="str">
        <f t="shared" si="147"/>
        <v/>
      </c>
      <c r="W1880" s="4" t="str">
        <f t="shared" si="148"/>
        <v/>
      </c>
      <c r="X1880" t="str">
        <f>IF(W1880="","",LOOKUP(_xlfn.CONCAT(P1880,", ",Q1880),'[1]T+S Costs'!$F$2:$F$3138,'[1]T+S Costs'!$N$2:$N$3138))</f>
        <v/>
      </c>
      <c r="Y1880" s="14" t="str">
        <f t="shared" si="149"/>
        <v/>
      </c>
      <c r="Z1880" s="4" t="str">
        <f t="shared" si="150"/>
        <v/>
      </c>
    </row>
    <row r="1881" spans="16:26" x14ac:dyDescent="0.25">
      <c r="P1881" s="10" t="str">
        <f>IF('[1]All Data '!AZ1886="","",'[1]All Data '!AZ1886)</f>
        <v/>
      </c>
      <c r="Q1881" s="10" t="str">
        <f>IF('[1]All Data '!BB1886="","",'[1]All Data '!BB1886)</f>
        <v/>
      </c>
      <c r="R1881" s="10" t="str">
        <f>IF('[1]All Data '!BD1886="","",'[1]All Data '!BD1886)</f>
        <v/>
      </c>
      <c r="S1881" s="11" t="str">
        <f>IF(R1881="","",'[1]All Data '!BE1886)</f>
        <v/>
      </c>
      <c r="T1881" s="12" t="str">
        <f>IF(S1881="","",[1]Inputs_Outputs!$B$8*(1-'LOCH Calc COE Calc'!S1881))</f>
        <v/>
      </c>
      <c r="U1881" s="13" t="str">
        <f t="shared" si="146"/>
        <v/>
      </c>
      <c r="V1881" s="13" t="str">
        <f t="shared" si="147"/>
        <v/>
      </c>
      <c r="W1881" s="4" t="str">
        <f t="shared" si="148"/>
        <v/>
      </c>
      <c r="X1881" t="str">
        <f>IF(W1881="","",LOOKUP(_xlfn.CONCAT(P1881,", ",Q1881),'[1]T+S Costs'!$F$2:$F$3138,'[1]T+S Costs'!$N$2:$N$3138))</f>
        <v/>
      </c>
      <c r="Y1881" s="14" t="str">
        <f t="shared" si="149"/>
        <v/>
      </c>
      <c r="Z1881" s="4" t="str">
        <f t="shared" si="150"/>
        <v/>
      </c>
    </row>
    <row r="1882" spans="16:26" x14ac:dyDescent="0.25">
      <c r="P1882" s="10" t="str">
        <f>IF('[1]All Data '!AZ1887="","",'[1]All Data '!AZ1887)</f>
        <v/>
      </c>
      <c r="Q1882" s="10" t="str">
        <f>IF('[1]All Data '!BB1887="","",'[1]All Data '!BB1887)</f>
        <v/>
      </c>
      <c r="R1882" s="10" t="str">
        <f>IF('[1]All Data '!BD1887="","",'[1]All Data '!BD1887)</f>
        <v/>
      </c>
      <c r="S1882" s="11" t="str">
        <f>IF(R1882="","",'[1]All Data '!BE1887)</f>
        <v/>
      </c>
      <c r="T1882" s="12" t="str">
        <f>IF(S1882="","",[1]Inputs_Outputs!$B$8*(1-'LOCH Calc COE Calc'!S1882))</f>
        <v/>
      </c>
      <c r="U1882" s="13" t="str">
        <f t="shared" si="146"/>
        <v/>
      </c>
      <c r="V1882" s="13" t="str">
        <f t="shared" si="147"/>
        <v/>
      </c>
      <c r="W1882" s="4" t="str">
        <f t="shared" si="148"/>
        <v/>
      </c>
      <c r="X1882" t="str">
        <f>IF(W1882="","",LOOKUP(_xlfn.CONCAT(P1882,", ",Q1882),'[1]T+S Costs'!$F$2:$F$3138,'[1]T+S Costs'!$N$2:$N$3138))</f>
        <v/>
      </c>
      <c r="Y1882" s="14" t="str">
        <f t="shared" si="149"/>
        <v/>
      </c>
      <c r="Z1882" s="4" t="str">
        <f t="shared" si="150"/>
        <v/>
      </c>
    </row>
    <row r="1883" spans="16:26" x14ac:dyDescent="0.25">
      <c r="P1883" s="10" t="str">
        <f>IF('[1]All Data '!AZ1888="","",'[1]All Data '!AZ1888)</f>
        <v/>
      </c>
      <c r="Q1883" s="10" t="str">
        <f>IF('[1]All Data '!BB1888="","",'[1]All Data '!BB1888)</f>
        <v/>
      </c>
      <c r="R1883" s="10" t="str">
        <f>IF('[1]All Data '!BD1888="","",'[1]All Data '!BD1888)</f>
        <v/>
      </c>
      <c r="S1883" s="11" t="str">
        <f>IF(R1883="","",'[1]All Data '!BE1888)</f>
        <v/>
      </c>
      <c r="T1883" s="12" t="str">
        <f>IF(S1883="","",[1]Inputs_Outputs!$B$8*(1-'LOCH Calc COE Calc'!S1883))</f>
        <v/>
      </c>
      <c r="U1883" s="13" t="str">
        <f t="shared" si="146"/>
        <v/>
      </c>
      <c r="V1883" s="13" t="str">
        <f t="shared" si="147"/>
        <v/>
      </c>
      <c r="W1883" s="4" t="str">
        <f t="shared" si="148"/>
        <v/>
      </c>
      <c r="X1883" t="str">
        <f>IF(W1883="","",LOOKUP(_xlfn.CONCAT(P1883,", ",Q1883),'[1]T+S Costs'!$F$2:$F$3138,'[1]T+S Costs'!$N$2:$N$3138))</f>
        <v/>
      </c>
      <c r="Y1883" s="14" t="str">
        <f t="shared" si="149"/>
        <v/>
      </c>
      <c r="Z1883" s="4" t="str">
        <f t="shared" si="150"/>
        <v/>
      </c>
    </row>
    <row r="1884" spans="16:26" x14ac:dyDescent="0.25">
      <c r="P1884" s="10" t="str">
        <f>IF('[1]All Data '!AZ1889="","",'[1]All Data '!AZ1889)</f>
        <v/>
      </c>
      <c r="Q1884" s="10" t="str">
        <f>IF('[1]All Data '!BB1889="","",'[1]All Data '!BB1889)</f>
        <v/>
      </c>
      <c r="R1884" s="10" t="str">
        <f>IF('[1]All Data '!BD1889="","",'[1]All Data '!BD1889)</f>
        <v/>
      </c>
      <c r="S1884" s="11" t="str">
        <f>IF(R1884="","",'[1]All Data '!BE1889)</f>
        <v/>
      </c>
      <c r="T1884" s="12" t="str">
        <f>IF(S1884="","",[1]Inputs_Outputs!$B$8*(1-'LOCH Calc COE Calc'!S1884))</f>
        <v/>
      </c>
      <c r="U1884" s="13" t="str">
        <f t="shared" si="146"/>
        <v/>
      </c>
      <c r="V1884" s="13" t="str">
        <f t="shared" si="147"/>
        <v/>
      </c>
      <c r="W1884" s="4" t="str">
        <f t="shared" si="148"/>
        <v/>
      </c>
      <c r="X1884" t="str">
        <f>IF(W1884="","",LOOKUP(_xlfn.CONCAT(P1884,", ",Q1884),'[1]T+S Costs'!$F$2:$F$3138,'[1]T+S Costs'!$N$2:$N$3138))</f>
        <v/>
      </c>
      <c r="Y1884" s="14" t="str">
        <f t="shared" si="149"/>
        <v/>
      </c>
      <c r="Z1884" s="4" t="str">
        <f t="shared" si="150"/>
        <v/>
      </c>
    </row>
    <row r="1885" spans="16:26" x14ac:dyDescent="0.25">
      <c r="P1885" s="10" t="str">
        <f>IF('[1]All Data '!AZ1890="","",'[1]All Data '!AZ1890)</f>
        <v/>
      </c>
      <c r="Q1885" s="10" t="str">
        <f>IF('[1]All Data '!BB1890="","",'[1]All Data '!BB1890)</f>
        <v/>
      </c>
      <c r="R1885" s="10" t="str">
        <f>IF('[1]All Data '!BD1890="","",'[1]All Data '!BD1890)</f>
        <v/>
      </c>
      <c r="S1885" s="11" t="str">
        <f>IF(R1885="","",'[1]All Data '!BE1890)</f>
        <v/>
      </c>
      <c r="T1885" s="12" t="str">
        <f>IF(S1885="","",[1]Inputs_Outputs!$B$8*(1-'LOCH Calc COE Calc'!S1885))</f>
        <v/>
      </c>
      <c r="U1885" s="13" t="str">
        <f t="shared" si="146"/>
        <v/>
      </c>
      <c r="V1885" s="13" t="str">
        <f t="shared" si="147"/>
        <v/>
      </c>
      <c r="W1885" s="4" t="str">
        <f t="shared" si="148"/>
        <v/>
      </c>
      <c r="X1885" t="str">
        <f>IF(W1885="","",LOOKUP(_xlfn.CONCAT(P1885,", ",Q1885),'[1]T+S Costs'!$F$2:$F$3138,'[1]T+S Costs'!$N$2:$N$3138))</f>
        <v/>
      </c>
      <c r="Y1885" s="14" t="str">
        <f t="shared" si="149"/>
        <v/>
      </c>
      <c r="Z1885" s="4" t="str">
        <f t="shared" si="150"/>
        <v/>
      </c>
    </row>
    <row r="1886" spans="16:26" x14ac:dyDescent="0.25">
      <c r="P1886" s="10" t="str">
        <f>IF('[1]All Data '!AZ1891="","",'[1]All Data '!AZ1891)</f>
        <v/>
      </c>
      <c r="Q1886" s="10" t="str">
        <f>IF('[1]All Data '!BB1891="","",'[1]All Data '!BB1891)</f>
        <v/>
      </c>
      <c r="R1886" s="10" t="str">
        <f>IF('[1]All Data '!BD1891="","",'[1]All Data '!BD1891)</f>
        <v/>
      </c>
      <c r="S1886" s="11" t="str">
        <f>IF(R1886="","",'[1]All Data '!BE1891)</f>
        <v/>
      </c>
      <c r="T1886" s="12" t="str">
        <f>IF(S1886="","",[1]Inputs_Outputs!$B$8*(1-'LOCH Calc COE Calc'!S1886))</f>
        <v/>
      </c>
      <c r="U1886" s="13" t="str">
        <f t="shared" si="146"/>
        <v/>
      </c>
      <c r="V1886" s="13" t="str">
        <f t="shared" si="147"/>
        <v/>
      </c>
      <c r="W1886" s="4" t="str">
        <f t="shared" si="148"/>
        <v/>
      </c>
      <c r="X1886" t="str">
        <f>IF(W1886="","",LOOKUP(_xlfn.CONCAT(P1886,", ",Q1886),'[1]T+S Costs'!$F$2:$F$3138,'[1]T+S Costs'!$N$2:$N$3138))</f>
        <v/>
      </c>
      <c r="Y1886" s="14" t="str">
        <f t="shared" si="149"/>
        <v/>
      </c>
      <c r="Z1886" s="4" t="str">
        <f t="shared" si="150"/>
        <v/>
      </c>
    </row>
    <row r="1887" spans="16:26" x14ac:dyDescent="0.25">
      <c r="P1887" s="10" t="str">
        <f>IF('[1]All Data '!AZ1892="","",'[1]All Data '!AZ1892)</f>
        <v/>
      </c>
      <c r="Q1887" s="10" t="str">
        <f>IF('[1]All Data '!BB1892="","",'[1]All Data '!BB1892)</f>
        <v/>
      </c>
      <c r="R1887" s="10" t="str">
        <f>IF('[1]All Data '!BD1892="","",'[1]All Data '!BD1892)</f>
        <v/>
      </c>
      <c r="S1887" s="11" t="str">
        <f>IF(R1887="","",'[1]All Data '!BE1892)</f>
        <v/>
      </c>
      <c r="T1887" s="12" t="str">
        <f>IF(S1887="","",[1]Inputs_Outputs!$B$8*(1-'LOCH Calc COE Calc'!S1887))</f>
        <v/>
      </c>
      <c r="U1887" s="13" t="str">
        <f t="shared" si="146"/>
        <v/>
      </c>
      <c r="V1887" s="13" t="str">
        <f t="shared" si="147"/>
        <v/>
      </c>
      <c r="W1887" s="4" t="str">
        <f t="shared" si="148"/>
        <v/>
      </c>
      <c r="X1887" t="str">
        <f>IF(W1887="","",LOOKUP(_xlfn.CONCAT(P1887,", ",Q1887),'[1]T+S Costs'!$F$2:$F$3138,'[1]T+S Costs'!$N$2:$N$3138))</f>
        <v/>
      </c>
      <c r="Y1887" s="14" t="str">
        <f t="shared" si="149"/>
        <v/>
      </c>
      <c r="Z1887" s="4" t="str">
        <f t="shared" si="150"/>
        <v/>
      </c>
    </row>
    <row r="1888" spans="16:26" x14ac:dyDescent="0.25">
      <c r="P1888" s="10" t="str">
        <f>IF('[1]All Data '!AZ1893="","",'[1]All Data '!AZ1893)</f>
        <v/>
      </c>
      <c r="Q1888" s="10" t="str">
        <f>IF('[1]All Data '!BB1893="","",'[1]All Data '!BB1893)</f>
        <v/>
      </c>
      <c r="R1888" s="10" t="str">
        <f>IF('[1]All Data '!BD1893="","",'[1]All Data '!BD1893)</f>
        <v/>
      </c>
      <c r="S1888" s="11" t="str">
        <f>IF(R1888="","",'[1]All Data '!BE1893)</f>
        <v/>
      </c>
      <c r="T1888" s="12" t="str">
        <f>IF(S1888="","",[1]Inputs_Outputs!$B$8*(1-'LOCH Calc COE Calc'!S1888))</f>
        <v/>
      </c>
      <c r="U1888" s="13" t="str">
        <f t="shared" si="146"/>
        <v/>
      </c>
      <c r="V1888" s="13" t="str">
        <f t="shared" si="147"/>
        <v/>
      </c>
      <c r="W1888" s="4" t="str">
        <f t="shared" si="148"/>
        <v/>
      </c>
      <c r="X1888" t="str">
        <f>IF(W1888="","",LOOKUP(_xlfn.CONCAT(P1888,", ",Q1888),'[1]T+S Costs'!$F$2:$F$3138,'[1]T+S Costs'!$N$2:$N$3138))</f>
        <v/>
      </c>
      <c r="Y1888" s="14" t="str">
        <f t="shared" si="149"/>
        <v/>
      </c>
      <c r="Z1888" s="4" t="str">
        <f t="shared" si="150"/>
        <v/>
      </c>
    </row>
    <row r="1889" spans="16:26" x14ac:dyDescent="0.25">
      <c r="P1889" s="10" t="str">
        <f>IF('[1]All Data '!AZ1894="","",'[1]All Data '!AZ1894)</f>
        <v/>
      </c>
      <c r="Q1889" s="10" t="str">
        <f>IF('[1]All Data '!BB1894="","",'[1]All Data '!BB1894)</f>
        <v/>
      </c>
      <c r="R1889" s="10" t="str">
        <f>IF('[1]All Data '!BD1894="","",'[1]All Data '!BD1894)</f>
        <v/>
      </c>
      <c r="S1889" s="11" t="str">
        <f>IF(R1889="","",'[1]All Data '!BE1894)</f>
        <v/>
      </c>
      <c r="T1889" s="12" t="str">
        <f>IF(S1889="","",[1]Inputs_Outputs!$B$8*(1-'LOCH Calc COE Calc'!S1889))</f>
        <v/>
      </c>
      <c r="U1889" s="13" t="str">
        <f t="shared" si="146"/>
        <v/>
      </c>
      <c r="V1889" s="13" t="str">
        <f t="shared" si="147"/>
        <v/>
      </c>
      <c r="W1889" s="4" t="str">
        <f t="shared" si="148"/>
        <v/>
      </c>
      <c r="X1889" t="str">
        <f>IF(W1889="","",LOOKUP(_xlfn.CONCAT(P1889,", ",Q1889),'[1]T+S Costs'!$F$2:$F$3138,'[1]T+S Costs'!$N$2:$N$3138))</f>
        <v/>
      </c>
      <c r="Y1889" s="14" t="str">
        <f t="shared" si="149"/>
        <v/>
      </c>
      <c r="Z1889" s="4" t="str">
        <f t="shared" si="150"/>
        <v/>
      </c>
    </row>
    <row r="1890" spans="16:26" x14ac:dyDescent="0.25">
      <c r="P1890" s="10" t="str">
        <f>IF('[1]All Data '!AZ1895="","",'[1]All Data '!AZ1895)</f>
        <v/>
      </c>
      <c r="Q1890" s="10" t="str">
        <f>IF('[1]All Data '!BB1895="","",'[1]All Data '!BB1895)</f>
        <v/>
      </c>
      <c r="R1890" s="10" t="str">
        <f>IF('[1]All Data '!BD1895="","",'[1]All Data '!BD1895)</f>
        <v/>
      </c>
      <c r="S1890" s="11" t="str">
        <f>IF(R1890="","",'[1]All Data '!BE1895)</f>
        <v/>
      </c>
      <c r="T1890" s="12" t="str">
        <f>IF(S1890="","",[1]Inputs_Outputs!$B$8*(1-'LOCH Calc COE Calc'!S1890))</f>
        <v/>
      </c>
      <c r="U1890" s="13" t="str">
        <f t="shared" si="146"/>
        <v/>
      </c>
      <c r="V1890" s="13" t="str">
        <f t="shared" si="147"/>
        <v/>
      </c>
      <c r="W1890" s="4" t="str">
        <f t="shared" si="148"/>
        <v/>
      </c>
      <c r="X1890" t="str">
        <f>IF(W1890="","",LOOKUP(_xlfn.CONCAT(P1890,", ",Q1890),'[1]T+S Costs'!$F$2:$F$3138,'[1]T+S Costs'!$N$2:$N$3138))</f>
        <v/>
      </c>
      <c r="Y1890" s="14" t="str">
        <f t="shared" si="149"/>
        <v/>
      </c>
      <c r="Z1890" s="4" t="str">
        <f t="shared" si="150"/>
        <v/>
      </c>
    </row>
    <row r="1891" spans="16:26" x14ac:dyDescent="0.25">
      <c r="P1891" s="10" t="str">
        <f>IF('[1]All Data '!AZ1896="","",'[1]All Data '!AZ1896)</f>
        <v/>
      </c>
      <c r="Q1891" s="10" t="str">
        <f>IF('[1]All Data '!BB1896="","",'[1]All Data '!BB1896)</f>
        <v/>
      </c>
      <c r="R1891" s="10" t="str">
        <f>IF('[1]All Data '!BD1896="","",'[1]All Data '!BD1896)</f>
        <v/>
      </c>
      <c r="S1891" s="11" t="str">
        <f>IF(R1891="","",'[1]All Data '!BE1896)</f>
        <v/>
      </c>
      <c r="T1891" s="12" t="str">
        <f>IF(S1891="","",[1]Inputs_Outputs!$B$8*(1-'LOCH Calc COE Calc'!S1891))</f>
        <v/>
      </c>
      <c r="U1891" s="13" t="str">
        <f t="shared" si="146"/>
        <v/>
      </c>
      <c r="V1891" s="13" t="str">
        <f t="shared" si="147"/>
        <v/>
      </c>
      <c r="W1891" s="4" t="str">
        <f t="shared" si="148"/>
        <v/>
      </c>
      <c r="X1891" t="str">
        <f>IF(W1891="","",LOOKUP(_xlfn.CONCAT(P1891,", ",Q1891),'[1]T+S Costs'!$F$2:$F$3138,'[1]T+S Costs'!$N$2:$N$3138))</f>
        <v/>
      </c>
      <c r="Y1891" s="14" t="str">
        <f t="shared" si="149"/>
        <v/>
      </c>
      <c r="Z1891" s="4" t="str">
        <f t="shared" si="150"/>
        <v/>
      </c>
    </row>
    <row r="1892" spans="16:26" x14ac:dyDescent="0.25">
      <c r="P1892" s="10" t="str">
        <f>IF('[1]All Data '!AZ1897="","",'[1]All Data '!AZ1897)</f>
        <v/>
      </c>
      <c r="Q1892" s="10" t="str">
        <f>IF('[1]All Data '!BB1897="","",'[1]All Data '!BB1897)</f>
        <v/>
      </c>
      <c r="R1892" s="10" t="str">
        <f>IF('[1]All Data '!BD1897="","",'[1]All Data '!BD1897)</f>
        <v/>
      </c>
      <c r="S1892" s="11" t="str">
        <f>IF(R1892="","",'[1]All Data '!BE1897)</f>
        <v/>
      </c>
      <c r="T1892" s="12" t="str">
        <f>IF(S1892="","",[1]Inputs_Outputs!$B$8*(1-'LOCH Calc COE Calc'!S1892))</f>
        <v/>
      </c>
      <c r="U1892" s="13" t="str">
        <f t="shared" si="146"/>
        <v/>
      </c>
      <c r="V1892" s="13" t="str">
        <f t="shared" si="147"/>
        <v/>
      </c>
      <c r="W1892" s="4" t="str">
        <f t="shared" si="148"/>
        <v/>
      </c>
      <c r="X1892" t="str">
        <f>IF(W1892="","",LOOKUP(_xlfn.CONCAT(P1892,", ",Q1892),'[1]T+S Costs'!$F$2:$F$3138,'[1]T+S Costs'!$N$2:$N$3138))</f>
        <v/>
      </c>
      <c r="Y1892" s="14" t="str">
        <f t="shared" si="149"/>
        <v/>
      </c>
      <c r="Z1892" s="4" t="str">
        <f t="shared" si="150"/>
        <v/>
      </c>
    </row>
    <row r="1893" spans="16:26" x14ac:dyDescent="0.25">
      <c r="P1893" s="10" t="str">
        <f>IF('[1]All Data '!AZ1898="","",'[1]All Data '!AZ1898)</f>
        <v/>
      </c>
      <c r="Q1893" s="10" t="str">
        <f>IF('[1]All Data '!BB1898="","",'[1]All Data '!BB1898)</f>
        <v/>
      </c>
      <c r="R1893" s="10" t="str">
        <f>IF('[1]All Data '!BD1898="","",'[1]All Data '!BD1898)</f>
        <v/>
      </c>
      <c r="S1893" s="11" t="str">
        <f>IF(R1893="","",'[1]All Data '!BE1898)</f>
        <v/>
      </c>
      <c r="T1893" s="12" t="str">
        <f>IF(S1893="","",[1]Inputs_Outputs!$B$8*(1-'LOCH Calc COE Calc'!S1893))</f>
        <v/>
      </c>
      <c r="U1893" s="13" t="str">
        <f t="shared" si="146"/>
        <v/>
      </c>
      <c r="V1893" s="13" t="str">
        <f t="shared" si="147"/>
        <v/>
      </c>
      <c r="W1893" s="4" t="str">
        <f t="shared" si="148"/>
        <v/>
      </c>
      <c r="X1893" t="str">
        <f>IF(W1893="","",LOOKUP(_xlfn.CONCAT(P1893,", ",Q1893),'[1]T+S Costs'!$F$2:$F$3138,'[1]T+S Costs'!$N$2:$N$3138))</f>
        <v/>
      </c>
      <c r="Y1893" s="14" t="str">
        <f t="shared" si="149"/>
        <v/>
      </c>
      <c r="Z1893" s="4" t="str">
        <f t="shared" si="150"/>
        <v/>
      </c>
    </row>
    <row r="1894" spans="16:26" x14ac:dyDescent="0.25">
      <c r="P1894" s="10" t="str">
        <f>IF('[1]All Data '!AZ1899="","",'[1]All Data '!AZ1899)</f>
        <v/>
      </c>
      <c r="Q1894" s="10" t="str">
        <f>IF('[1]All Data '!BB1899="","",'[1]All Data '!BB1899)</f>
        <v/>
      </c>
      <c r="R1894" s="10" t="str">
        <f>IF('[1]All Data '!BD1899="","",'[1]All Data '!BD1899)</f>
        <v/>
      </c>
      <c r="S1894" s="11" t="str">
        <f>IF(R1894="","",'[1]All Data '!BE1899)</f>
        <v/>
      </c>
      <c r="T1894" s="12" t="str">
        <f>IF(S1894="","",[1]Inputs_Outputs!$B$8*(1-'LOCH Calc COE Calc'!S1894))</f>
        <v/>
      </c>
      <c r="U1894" s="13" t="str">
        <f t="shared" si="146"/>
        <v/>
      </c>
      <c r="V1894" s="13" t="str">
        <f t="shared" si="147"/>
        <v/>
      </c>
      <c r="W1894" s="4" t="str">
        <f t="shared" si="148"/>
        <v/>
      </c>
      <c r="X1894" t="str">
        <f>IF(W1894="","",LOOKUP(_xlfn.CONCAT(P1894,", ",Q1894),'[1]T+S Costs'!$F$2:$F$3138,'[1]T+S Costs'!$N$2:$N$3138))</f>
        <v/>
      </c>
      <c r="Y1894" s="14" t="str">
        <f t="shared" si="149"/>
        <v/>
      </c>
      <c r="Z1894" s="4" t="str">
        <f t="shared" si="150"/>
        <v/>
      </c>
    </row>
    <row r="1895" spans="16:26" x14ac:dyDescent="0.25">
      <c r="P1895" s="10" t="str">
        <f>IF('[1]All Data '!AZ1900="","",'[1]All Data '!AZ1900)</f>
        <v/>
      </c>
      <c r="Q1895" s="10" t="str">
        <f>IF('[1]All Data '!BB1900="","",'[1]All Data '!BB1900)</f>
        <v/>
      </c>
      <c r="R1895" s="10" t="str">
        <f>IF('[1]All Data '!BD1900="","",'[1]All Data '!BD1900)</f>
        <v/>
      </c>
      <c r="S1895" s="11" t="str">
        <f>IF(R1895="","",'[1]All Data '!BE1900)</f>
        <v/>
      </c>
      <c r="T1895" s="12" t="str">
        <f>IF(S1895="","",[1]Inputs_Outputs!$B$8*(1-'LOCH Calc COE Calc'!S1895))</f>
        <v/>
      </c>
      <c r="U1895" s="13" t="str">
        <f t="shared" si="146"/>
        <v/>
      </c>
      <c r="V1895" s="13" t="str">
        <f t="shared" si="147"/>
        <v/>
      </c>
      <c r="W1895" s="4" t="str">
        <f t="shared" si="148"/>
        <v/>
      </c>
      <c r="X1895" t="str">
        <f>IF(W1895="","",LOOKUP(_xlfn.CONCAT(P1895,", ",Q1895),'[1]T+S Costs'!$F$2:$F$3138,'[1]T+S Costs'!$N$2:$N$3138))</f>
        <v/>
      </c>
      <c r="Y1895" s="14" t="str">
        <f t="shared" si="149"/>
        <v/>
      </c>
      <c r="Z1895" s="4" t="str">
        <f t="shared" si="150"/>
        <v/>
      </c>
    </row>
    <row r="1896" spans="16:26" x14ac:dyDescent="0.25">
      <c r="P1896" s="10" t="str">
        <f>IF('[1]All Data '!AZ1901="","",'[1]All Data '!AZ1901)</f>
        <v/>
      </c>
      <c r="Q1896" s="10" t="str">
        <f>IF('[1]All Data '!BB1901="","",'[1]All Data '!BB1901)</f>
        <v/>
      </c>
      <c r="R1896" s="10" t="str">
        <f>IF('[1]All Data '!BD1901="","",'[1]All Data '!BD1901)</f>
        <v/>
      </c>
      <c r="S1896" s="11" t="str">
        <f>IF(R1896="","",'[1]All Data '!BE1901)</f>
        <v/>
      </c>
      <c r="T1896" s="12" t="str">
        <f>IF(S1896="","",[1]Inputs_Outputs!$B$8*(1-'LOCH Calc COE Calc'!S1896))</f>
        <v/>
      </c>
      <c r="U1896" s="13" t="str">
        <f t="shared" si="146"/>
        <v/>
      </c>
      <c r="V1896" s="13" t="str">
        <f t="shared" si="147"/>
        <v/>
      </c>
      <c r="W1896" s="4" t="str">
        <f t="shared" si="148"/>
        <v/>
      </c>
      <c r="X1896" t="str">
        <f>IF(W1896="","",LOOKUP(_xlfn.CONCAT(P1896,", ",Q1896),'[1]T+S Costs'!$F$2:$F$3138,'[1]T+S Costs'!$N$2:$N$3138))</f>
        <v/>
      </c>
      <c r="Y1896" s="14" t="str">
        <f t="shared" si="149"/>
        <v/>
      </c>
      <c r="Z1896" s="4" t="str">
        <f t="shared" si="150"/>
        <v/>
      </c>
    </row>
    <row r="1897" spans="16:26" x14ac:dyDescent="0.25">
      <c r="P1897" s="10" t="str">
        <f>IF('[1]All Data '!AZ1902="","",'[1]All Data '!AZ1902)</f>
        <v/>
      </c>
      <c r="Q1897" s="10" t="str">
        <f>IF('[1]All Data '!BB1902="","",'[1]All Data '!BB1902)</f>
        <v/>
      </c>
      <c r="R1897" s="10" t="str">
        <f>IF('[1]All Data '!BD1902="","",'[1]All Data '!BD1902)</f>
        <v/>
      </c>
      <c r="S1897" s="11" t="str">
        <f>IF(R1897="","",'[1]All Data '!BE1902)</f>
        <v/>
      </c>
      <c r="T1897" s="12" t="str">
        <f>IF(S1897="","",[1]Inputs_Outputs!$B$8*(1-'LOCH Calc COE Calc'!S1897))</f>
        <v/>
      </c>
      <c r="U1897" s="13" t="str">
        <f t="shared" si="146"/>
        <v/>
      </c>
      <c r="V1897" s="13" t="str">
        <f t="shared" si="147"/>
        <v/>
      </c>
      <c r="W1897" s="4" t="str">
        <f t="shared" si="148"/>
        <v/>
      </c>
      <c r="X1897" t="str">
        <f>IF(W1897="","",LOOKUP(_xlfn.CONCAT(P1897,", ",Q1897),'[1]T+S Costs'!$F$2:$F$3138,'[1]T+S Costs'!$N$2:$N$3138))</f>
        <v/>
      </c>
      <c r="Y1897" s="14" t="str">
        <f t="shared" si="149"/>
        <v/>
      </c>
      <c r="Z1897" s="4" t="str">
        <f t="shared" si="150"/>
        <v/>
      </c>
    </row>
    <row r="1898" spans="16:26" x14ac:dyDescent="0.25">
      <c r="P1898" s="10" t="str">
        <f>IF('[1]All Data '!AZ1903="","",'[1]All Data '!AZ1903)</f>
        <v/>
      </c>
      <c r="Q1898" s="10" t="str">
        <f>IF('[1]All Data '!BB1903="","",'[1]All Data '!BB1903)</f>
        <v/>
      </c>
      <c r="R1898" s="10" t="str">
        <f>IF('[1]All Data '!BD1903="","",'[1]All Data '!BD1903)</f>
        <v/>
      </c>
      <c r="S1898" s="11" t="str">
        <f>IF(R1898="","",'[1]All Data '!BE1903)</f>
        <v/>
      </c>
      <c r="T1898" s="12" t="str">
        <f>IF(S1898="","",[1]Inputs_Outputs!$B$8*(1-'LOCH Calc COE Calc'!S1898))</f>
        <v/>
      </c>
      <c r="U1898" s="13" t="str">
        <f t="shared" si="146"/>
        <v/>
      </c>
      <c r="V1898" s="13" t="str">
        <f t="shared" si="147"/>
        <v/>
      </c>
      <c r="W1898" s="4" t="str">
        <f t="shared" si="148"/>
        <v/>
      </c>
      <c r="X1898" t="str">
        <f>IF(W1898="","",LOOKUP(_xlfn.CONCAT(P1898,", ",Q1898),'[1]T+S Costs'!$F$2:$F$3138,'[1]T+S Costs'!$N$2:$N$3138))</f>
        <v/>
      </c>
      <c r="Y1898" s="14" t="str">
        <f t="shared" si="149"/>
        <v/>
      </c>
      <c r="Z1898" s="4" t="str">
        <f t="shared" si="150"/>
        <v/>
      </c>
    </row>
    <row r="1899" spans="16:26" x14ac:dyDescent="0.25">
      <c r="P1899" s="10" t="str">
        <f>IF('[1]All Data '!AZ1904="","",'[1]All Data '!AZ1904)</f>
        <v/>
      </c>
      <c r="Q1899" s="10" t="str">
        <f>IF('[1]All Data '!BB1904="","",'[1]All Data '!BB1904)</f>
        <v/>
      </c>
      <c r="R1899" s="10" t="str">
        <f>IF('[1]All Data '!BD1904="","",'[1]All Data '!BD1904)</f>
        <v/>
      </c>
      <c r="S1899" s="11" t="str">
        <f>IF(R1899="","",'[1]All Data '!BE1904)</f>
        <v/>
      </c>
      <c r="T1899" s="12" t="str">
        <f>IF(S1899="","",[1]Inputs_Outputs!$B$8*(1-'LOCH Calc COE Calc'!S1899))</f>
        <v/>
      </c>
      <c r="U1899" s="13" t="str">
        <f t="shared" si="146"/>
        <v/>
      </c>
      <c r="V1899" s="13" t="str">
        <f t="shared" si="147"/>
        <v/>
      </c>
      <c r="W1899" s="4" t="str">
        <f t="shared" si="148"/>
        <v/>
      </c>
      <c r="X1899" t="str">
        <f>IF(W1899="","",LOOKUP(_xlfn.CONCAT(P1899,", ",Q1899),'[1]T+S Costs'!$F$2:$F$3138,'[1]T+S Costs'!$N$2:$N$3138))</f>
        <v/>
      </c>
      <c r="Y1899" s="14" t="str">
        <f t="shared" si="149"/>
        <v/>
      </c>
      <c r="Z1899" s="4" t="str">
        <f t="shared" si="150"/>
        <v/>
      </c>
    </row>
    <row r="1900" spans="16:26" x14ac:dyDescent="0.25">
      <c r="P1900" s="10" t="str">
        <f>IF('[1]All Data '!AZ1905="","",'[1]All Data '!AZ1905)</f>
        <v/>
      </c>
      <c r="Q1900" s="10" t="str">
        <f>IF('[1]All Data '!BB1905="","",'[1]All Data '!BB1905)</f>
        <v/>
      </c>
      <c r="R1900" s="10" t="str">
        <f>IF('[1]All Data '!BD1905="","",'[1]All Data '!BD1905)</f>
        <v/>
      </c>
      <c r="S1900" s="11" t="str">
        <f>IF(R1900="","",'[1]All Data '!BE1905)</f>
        <v/>
      </c>
      <c r="T1900" s="12" t="str">
        <f>IF(S1900="","",[1]Inputs_Outputs!$B$8*(1-'LOCH Calc COE Calc'!S1900))</f>
        <v/>
      </c>
      <c r="U1900" s="13" t="str">
        <f t="shared" si="146"/>
        <v/>
      </c>
      <c r="V1900" s="13" t="str">
        <f t="shared" si="147"/>
        <v/>
      </c>
      <c r="W1900" s="4" t="str">
        <f t="shared" si="148"/>
        <v/>
      </c>
      <c r="X1900" t="str">
        <f>IF(W1900="","",LOOKUP(_xlfn.CONCAT(P1900,", ",Q1900),'[1]T+S Costs'!$F$2:$F$3138,'[1]T+S Costs'!$N$2:$N$3138))</f>
        <v/>
      </c>
      <c r="Y1900" s="14" t="str">
        <f t="shared" si="149"/>
        <v/>
      </c>
      <c r="Z1900" s="4" t="str">
        <f t="shared" si="150"/>
        <v/>
      </c>
    </row>
    <row r="1901" spans="16:26" x14ac:dyDescent="0.25">
      <c r="P1901" s="10" t="str">
        <f>IF('[1]All Data '!AZ1906="","",'[1]All Data '!AZ1906)</f>
        <v/>
      </c>
      <c r="Q1901" s="10" t="str">
        <f>IF('[1]All Data '!BB1906="","",'[1]All Data '!BB1906)</f>
        <v/>
      </c>
      <c r="R1901" s="10" t="str">
        <f>IF('[1]All Data '!BD1906="","",'[1]All Data '!BD1906)</f>
        <v/>
      </c>
      <c r="S1901" s="11" t="str">
        <f>IF(R1901="","",'[1]All Data '!BE1906)</f>
        <v/>
      </c>
      <c r="T1901" s="12" t="str">
        <f>IF(S1901="","",[1]Inputs_Outputs!$B$8*(1-'LOCH Calc COE Calc'!S1901))</f>
        <v/>
      </c>
      <c r="U1901" s="13" t="str">
        <f t="shared" si="146"/>
        <v/>
      </c>
      <c r="V1901" s="13" t="str">
        <f t="shared" si="147"/>
        <v/>
      </c>
      <c r="W1901" s="4" t="str">
        <f t="shared" si="148"/>
        <v/>
      </c>
      <c r="X1901" t="str">
        <f>IF(W1901="","",LOOKUP(_xlfn.CONCAT(P1901,", ",Q1901),'[1]T+S Costs'!$F$2:$F$3138,'[1]T+S Costs'!$N$2:$N$3138))</f>
        <v/>
      </c>
      <c r="Y1901" s="14" t="str">
        <f t="shared" si="149"/>
        <v/>
      </c>
      <c r="Z1901" s="4" t="str">
        <f t="shared" si="150"/>
        <v/>
      </c>
    </row>
    <row r="1902" spans="16:26" x14ac:dyDescent="0.25">
      <c r="P1902" s="10" t="str">
        <f>IF('[1]All Data '!AZ1907="","",'[1]All Data '!AZ1907)</f>
        <v/>
      </c>
      <c r="Q1902" s="10" t="str">
        <f>IF('[1]All Data '!BB1907="","",'[1]All Data '!BB1907)</f>
        <v/>
      </c>
      <c r="R1902" s="10" t="str">
        <f>IF('[1]All Data '!BD1907="","",'[1]All Data '!BD1907)</f>
        <v/>
      </c>
      <c r="S1902" s="11" t="str">
        <f>IF(R1902="","",'[1]All Data '!BE1907)</f>
        <v/>
      </c>
      <c r="T1902" s="12" t="str">
        <f>IF(S1902="","",[1]Inputs_Outputs!$B$8*(1-'LOCH Calc COE Calc'!S1902))</f>
        <v/>
      </c>
      <c r="U1902" s="13" t="str">
        <f t="shared" si="146"/>
        <v/>
      </c>
      <c r="V1902" s="13" t="str">
        <f t="shared" si="147"/>
        <v/>
      </c>
      <c r="W1902" s="4" t="str">
        <f t="shared" si="148"/>
        <v/>
      </c>
      <c r="X1902" t="str">
        <f>IF(W1902="","",LOOKUP(_xlfn.CONCAT(P1902,", ",Q1902),'[1]T+S Costs'!$F$2:$F$3138,'[1]T+S Costs'!$N$2:$N$3138))</f>
        <v/>
      </c>
      <c r="Y1902" s="14" t="str">
        <f t="shared" si="149"/>
        <v/>
      </c>
      <c r="Z1902" s="4" t="str">
        <f t="shared" si="150"/>
        <v/>
      </c>
    </row>
    <row r="1903" spans="16:26" x14ac:dyDescent="0.25">
      <c r="P1903" s="10" t="str">
        <f>IF('[1]All Data '!AZ1908="","",'[1]All Data '!AZ1908)</f>
        <v/>
      </c>
      <c r="Q1903" s="10" t="str">
        <f>IF('[1]All Data '!BB1908="","",'[1]All Data '!BB1908)</f>
        <v/>
      </c>
      <c r="R1903" s="10" t="str">
        <f>IF('[1]All Data '!BD1908="","",'[1]All Data '!BD1908)</f>
        <v/>
      </c>
      <c r="S1903" s="11" t="str">
        <f>IF(R1903="","",'[1]All Data '!BE1908)</f>
        <v/>
      </c>
      <c r="T1903" s="12" t="str">
        <f>IF(S1903="","",[1]Inputs_Outputs!$B$8*(1-'LOCH Calc COE Calc'!S1903))</f>
        <v/>
      </c>
      <c r="U1903" s="13" t="str">
        <f t="shared" si="146"/>
        <v/>
      </c>
      <c r="V1903" s="13" t="str">
        <f t="shared" si="147"/>
        <v/>
      </c>
      <c r="W1903" s="4" t="str">
        <f t="shared" si="148"/>
        <v/>
      </c>
      <c r="X1903" t="str">
        <f>IF(W1903="","",LOOKUP(_xlfn.CONCAT(P1903,", ",Q1903),'[1]T+S Costs'!$F$2:$F$3138,'[1]T+S Costs'!$N$2:$N$3138))</f>
        <v/>
      </c>
      <c r="Y1903" s="14" t="str">
        <f t="shared" si="149"/>
        <v/>
      </c>
      <c r="Z1903" s="4" t="str">
        <f t="shared" si="150"/>
        <v/>
      </c>
    </row>
    <row r="1904" spans="16:26" x14ac:dyDescent="0.25">
      <c r="P1904" s="10" t="str">
        <f>IF('[1]All Data '!AZ1909="","",'[1]All Data '!AZ1909)</f>
        <v/>
      </c>
      <c r="Q1904" s="10" t="str">
        <f>IF('[1]All Data '!BB1909="","",'[1]All Data '!BB1909)</f>
        <v/>
      </c>
      <c r="R1904" s="10" t="str">
        <f>IF('[1]All Data '!BD1909="","",'[1]All Data '!BD1909)</f>
        <v/>
      </c>
      <c r="S1904" s="11" t="str">
        <f>IF(R1904="","",'[1]All Data '!BE1909)</f>
        <v/>
      </c>
      <c r="T1904" s="12" t="str">
        <f>IF(S1904="","",[1]Inputs_Outputs!$B$8*(1-'LOCH Calc COE Calc'!S1904))</f>
        <v/>
      </c>
      <c r="U1904" s="13" t="str">
        <f t="shared" si="146"/>
        <v/>
      </c>
      <c r="V1904" s="13" t="str">
        <f t="shared" si="147"/>
        <v/>
      </c>
      <c r="W1904" s="4" t="str">
        <f t="shared" si="148"/>
        <v/>
      </c>
      <c r="X1904" t="str">
        <f>IF(W1904="","",LOOKUP(_xlfn.CONCAT(P1904,", ",Q1904),'[1]T+S Costs'!$F$2:$F$3138,'[1]T+S Costs'!$N$2:$N$3138))</f>
        <v/>
      </c>
      <c r="Y1904" s="14" t="str">
        <f t="shared" si="149"/>
        <v/>
      </c>
      <c r="Z1904" s="4" t="str">
        <f t="shared" si="150"/>
        <v/>
      </c>
    </row>
    <row r="1905" spans="16:26" x14ac:dyDescent="0.25">
      <c r="P1905" s="10" t="str">
        <f>IF('[1]All Data '!AZ1910="","",'[1]All Data '!AZ1910)</f>
        <v/>
      </c>
      <c r="Q1905" s="10" t="str">
        <f>IF('[1]All Data '!BB1910="","",'[1]All Data '!BB1910)</f>
        <v/>
      </c>
      <c r="R1905" s="10" t="str">
        <f>IF('[1]All Data '!BD1910="","",'[1]All Data '!BD1910)</f>
        <v/>
      </c>
      <c r="S1905" s="11" t="str">
        <f>IF(R1905="","",'[1]All Data '!BE1910)</f>
        <v/>
      </c>
      <c r="T1905" s="12" t="str">
        <f>IF(S1905="","",[1]Inputs_Outputs!$B$8*(1-'LOCH Calc COE Calc'!S1905))</f>
        <v/>
      </c>
      <c r="U1905" s="13" t="str">
        <f t="shared" si="146"/>
        <v/>
      </c>
      <c r="V1905" s="13" t="str">
        <f t="shared" si="147"/>
        <v/>
      </c>
      <c r="W1905" s="4" t="str">
        <f t="shared" si="148"/>
        <v/>
      </c>
      <c r="X1905" t="str">
        <f>IF(W1905="","",LOOKUP(_xlfn.CONCAT(P1905,", ",Q1905),'[1]T+S Costs'!$F$2:$F$3138,'[1]T+S Costs'!$N$2:$N$3138))</f>
        <v/>
      </c>
      <c r="Y1905" s="14" t="str">
        <f t="shared" si="149"/>
        <v/>
      </c>
      <c r="Z1905" s="4" t="str">
        <f t="shared" si="150"/>
        <v/>
      </c>
    </row>
    <row r="1906" spans="16:26" x14ac:dyDescent="0.25">
      <c r="P1906" s="10" t="str">
        <f>IF('[1]All Data '!AZ1911="","",'[1]All Data '!AZ1911)</f>
        <v/>
      </c>
      <c r="Q1906" s="10" t="str">
        <f>IF('[1]All Data '!BB1911="","",'[1]All Data '!BB1911)</f>
        <v/>
      </c>
      <c r="R1906" s="10" t="str">
        <f>IF('[1]All Data '!BD1911="","",'[1]All Data '!BD1911)</f>
        <v/>
      </c>
      <c r="S1906" s="11" t="str">
        <f>IF(R1906="","",'[1]All Data '!BE1911)</f>
        <v/>
      </c>
      <c r="T1906" s="12" t="str">
        <f>IF(S1906="","",[1]Inputs_Outputs!$B$8*(1-'LOCH Calc COE Calc'!S1906))</f>
        <v/>
      </c>
      <c r="U1906" s="13" t="str">
        <f t="shared" si="146"/>
        <v/>
      </c>
      <c r="V1906" s="13" t="str">
        <f t="shared" si="147"/>
        <v/>
      </c>
      <c r="W1906" s="4" t="str">
        <f t="shared" si="148"/>
        <v/>
      </c>
      <c r="X1906" t="str">
        <f>IF(W1906="","",LOOKUP(_xlfn.CONCAT(P1906,", ",Q1906),'[1]T+S Costs'!$F$2:$F$3138,'[1]T+S Costs'!$N$2:$N$3138))</f>
        <v/>
      </c>
      <c r="Y1906" s="14" t="str">
        <f t="shared" si="149"/>
        <v/>
      </c>
      <c r="Z1906" s="4" t="str">
        <f t="shared" si="150"/>
        <v/>
      </c>
    </row>
    <row r="1907" spans="16:26" x14ac:dyDescent="0.25">
      <c r="P1907" s="10" t="str">
        <f>IF('[1]All Data '!AZ1912="","",'[1]All Data '!AZ1912)</f>
        <v/>
      </c>
      <c r="Q1907" s="10" t="str">
        <f>IF('[1]All Data '!BB1912="","",'[1]All Data '!BB1912)</f>
        <v/>
      </c>
      <c r="R1907" s="10" t="str">
        <f>IF('[1]All Data '!BD1912="","",'[1]All Data '!BD1912)</f>
        <v/>
      </c>
      <c r="S1907" s="11" t="str">
        <f>IF(R1907="","",'[1]All Data '!BE1912)</f>
        <v/>
      </c>
      <c r="T1907" s="12" t="str">
        <f>IF(S1907="","",[1]Inputs_Outputs!$B$8*(1-'LOCH Calc COE Calc'!S1907))</f>
        <v/>
      </c>
      <c r="U1907" s="13" t="str">
        <f t="shared" si="146"/>
        <v/>
      </c>
      <c r="V1907" s="13" t="str">
        <f t="shared" si="147"/>
        <v/>
      </c>
      <c r="W1907" s="4" t="str">
        <f t="shared" si="148"/>
        <v/>
      </c>
      <c r="X1907" t="str">
        <f>IF(W1907="","",LOOKUP(_xlfn.CONCAT(P1907,", ",Q1907),'[1]T+S Costs'!$F$2:$F$3138,'[1]T+S Costs'!$N$2:$N$3138))</f>
        <v/>
      </c>
      <c r="Y1907" s="14" t="str">
        <f t="shared" si="149"/>
        <v/>
      </c>
      <c r="Z1907" s="4" t="str">
        <f t="shared" si="150"/>
        <v/>
      </c>
    </row>
    <row r="1908" spans="16:26" x14ac:dyDescent="0.25">
      <c r="P1908" s="10" t="str">
        <f>IF('[1]All Data '!AZ1913="","",'[1]All Data '!AZ1913)</f>
        <v/>
      </c>
      <c r="Q1908" s="10" t="str">
        <f>IF('[1]All Data '!BB1913="","",'[1]All Data '!BB1913)</f>
        <v/>
      </c>
      <c r="R1908" s="10" t="str">
        <f>IF('[1]All Data '!BD1913="","",'[1]All Data '!BD1913)</f>
        <v/>
      </c>
      <c r="S1908" s="11" t="str">
        <f>IF(R1908="","",'[1]All Data '!BE1913)</f>
        <v/>
      </c>
      <c r="T1908" s="12" t="str">
        <f>IF(S1908="","",[1]Inputs_Outputs!$B$8*(1-'LOCH Calc COE Calc'!S1908))</f>
        <v/>
      </c>
      <c r="U1908" s="13" t="str">
        <f t="shared" si="146"/>
        <v/>
      </c>
      <c r="V1908" s="13" t="str">
        <f t="shared" si="147"/>
        <v/>
      </c>
      <c r="W1908" s="4" t="str">
        <f t="shared" si="148"/>
        <v/>
      </c>
      <c r="X1908" t="str">
        <f>IF(W1908="","",LOOKUP(_xlfn.CONCAT(P1908,", ",Q1908),'[1]T+S Costs'!$F$2:$F$3138,'[1]T+S Costs'!$N$2:$N$3138))</f>
        <v/>
      </c>
      <c r="Y1908" s="14" t="str">
        <f t="shared" si="149"/>
        <v/>
      </c>
      <c r="Z1908" s="4" t="str">
        <f t="shared" si="150"/>
        <v/>
      </c>
    </row>
    <row r="1909" spans="16:26" x14ac:dyDescent="0.25">
      <c r="P1909" s="10" t="str">
        <f>IF('[1]All Data '!AZ1914="","",'[1]All Data '!AZ1914)</f>
        <v/>
      </c>
      <c r="Q1909" s="10" t="str">
        <f>IF('[1]All Data '!BB1914="","",'[1]All Data '!BB1914)</f>
        <v/>
      </c>
      <c r="R1909" s="10" t="str">
        <f>IF('[1]All Data '!BD1914="","",'[1]All Data '!BD1914)</f>
        <v/>
      </c>
      <c r="S1909" s="11" t="str">
        <f>IF(R1909="","",'[1]All Data '!BE1914)</f>
        <v/>
      </c>
      <c r="T1909" s="12" t="str">
        <f>IF(S1909="","",[1]Inputs_Outputs!$B$8*(1-'LOCH Calc COE Calc'!S1909))</f>
        <v/>
      </c>
      <c r="U1909" s="13" t="str">
        <f t="shared" si="146"/>
        <v/>
      </c>
      <c r="V1909" s="13" t="str">
        <f t="shared" si="147"/>
        <v/>
      </c>
      <c r="W1909" s="4" t="str">
        <f t="shared" si="148"/>
        <v/>
      </c>
      <c r="X1909" t="str">
        <f>IF(W1909="","",LOOKUP(_xlfn.CONCAT(P1909,", ",Q1909),'[1]T+S Costs'!$F$2:$F$3138,'[1]T+S Costs'!$N$2:$N$3138))</f>
        <v/>
      </c>
      <c r="Y1909" s="14" t="str">
        <f t="shared" si="149"/>
        <v/>
      </c>
      <c r="Z1909" s="4" t="str">
        <f t="shared" si="150"/>
        <v/>
      </c>
    </row>
    <row r="1910" spans="16:26" x14ac:dyDescent="0.25">
      <c r="P1910" s="10" t="str">
        <f>IF('[1]All Data '!AZ1915="","",'[1]All Data '!AZ1915)</f>
        <v/>
      </c>
      <c r="Q1910" s="10" t="str">
        <f>IF('[1]All Data '!BB1915="","",'[1]All Data '!BB1915)</f>
        <v/>
      </c>
      <c r="R1910" s="10" t="str">
        <f>IF('[1]All Data '!BD1915="","",'[1]All Data '!BD1915)</f>
        <v/>
      </c>
      <c r="S1910" s="11" t="str">
        <f>IF(R1910="","",'[1]All Data '!BE1915)</f>
        <v/>
      </c>
      <c r="T1910" s="12" t="str">
        <f>IF(S1910="","",[1]Inputs_Outputs!$B$8*(1-'LOCH Calc COE Calc'!S1910))</f>
        <v/>
      </c>
      <c r="U1910" s="13" t="str">
        <f t="shared" si="146"/>
        <v/>
      </c>
      <c r="V1910" s="13" t="str">
        <f t="shared" si="147"/>
        <v/>
      </c>
      <c r="W1910" s="4" t="str">
        <f t="shared" si="148"/>
        <v/>
      </c>
      <c r="X1910" t="str">
        <f>IF(W1910="","",LOOKUP(_xlfn.CONCAT(P1910,", ",Q1910),'[1]T+S Costs'!$F$2:$F$3138,'[1]T+S Costs'!$N$2:$N$3138))</f>
        <v/>
      </c>
      <c r="Y1910" s="14" t="str">
        <f t="shared" si="149"/>
        <v/>
      </c>
      <c r="Z1910" s="4" t="str">
        <f t="shared" si="150"/>
        <v/>
      </c>
    </row>
    <row r="1911" spans="16:26" x14ac:dyDescent="0.25">
      <c r="P1911" s="10" t="str">
        <f>IF('[1]All Data '!AZ1916="","",'[1]All Data '!AZ1916)</f>
        <v/>
      </c>
      <c r="Q1911" s="10" t="str">
        <f>IF('[1]All Data '!BB1916="","",'[1]All Data '!BB1916)</f>
        <v/>
      </c>
      <c r="R1911" s="10" t="str">
        <f>IF('[1]All Data '!BD1916="","",'[1]All Data '!BD1916)</f>
        <v/>
      </c>
      <c r="S1911" s="11" t="str">
        <f>IF(R1911="","",'[1]All Data '!BE1916)</f>
        <v/>
      </c>
      <c r="T1911" s="12" t="str">
        <f>IF(S1911="","",[1]Inputs_Outputs!$B$8*(1-'LOCH Calc COE Calc'!S1911))</f>
        <v/>
      </c>
      <c r="U1911" s="13" t="str">
        <f t="shared" si="146"/>
        <v/>
      </c>
      <c r="V1911" s="13" t="str">
        <f t="shared" si="147"/>
        <v/>
      </c>
      <c r="W1911" s="4" t="str">
        <f t="shared" si="148"/>
        <v/>
      </c>
      <c r="X1911" t="str">
        <f>IF(W1911="","",LOOKUP(_xlfn.CONCAT(P1911,", ",Q1911),'[1]T+S Costs'!$F$2:$F$3138,'[1]T+S Costs'!$N$2:$N$3138))</f>
        <v/>
      </c>
      <c r="Y1911" s="14" t="str">
        <f t="shared" si="149"/>
        <v/>
      </c>
      <c r="Z1911" s="4" t="str">
        <f t="shared" si="150"/>
        <v/>
      </c>
    </row>
    <row r="1912" spans="16:26" x14ac:dyDescent="0.25">
      <c r="P1912" s="10" t="str">
        <f>IF('[1]All Data '!AZ1917="","",'[1]All Data '!AZ1917)</f>
        <v/>
      </c>
      <c r="Q1912" s="10" t="str">
        <f>IF('[1]All Data '!BB1917="","",'[1]All Data '!BB1917)</f>
        <v/>
      </c>
      <c r="R1912" s="10" t="str">
        <f>IF('[1]All Data '!BD1917="","",'[1]All Data '!BD1917)</f>
        <v/>
      </c>
      <c r="S1912" s="11" t="str">
        <f>IF(R1912="","",'[1]All Data '!BE1917)</f>
        <v/>
      </c>
      <c r="T1912" s="12" t="str">
        <f>IF(S1912="","",[1]Inputs_Outputs!$B$8*(1-'LOCH Calc COE Calc'!S1912))</f>
        <v/>
      </c>
      <c r="U1912" s="13" t="str">
        <f t="shared" si="146"/>
        <v/>
      </c>
      <c r="V1912" s="13" t="str">
        <f t="shared" si="147"/>
        <v/>
      </c>
      <c r="W1912" s="4" t="str">
        <f t="shared" si="148"/>
        <v/>
      </c>
      <c r="X1912" t="str">
        <f>IF(W1912="","",LOOKUP(_xlfn.CONCAT(P1912,", ",Q1912),'[1]T+S Costs'!$F$2:$F$3138,'[1]T+S Costs'!$N$2:$N$3138))</f>
        <v/>
      </c>
      <c r="Y1912" s="14" t="str">
        <f t="shared" si="149"/>
        <v/>
      </c>
      <c r="Z1912" s="4" t="str">
        <f t="shared" si="150"/>
        <v/>
      </c>
    </row>
    <row r="1913" spans="16:26" x14ac:dyDescent="0.25">
      <c r="P1913" s="10" t="str">
        <f>IF('[1]All Data '!AZ1918="","",'[1]All Data '!AZ1918)</f>
        <v/>
      </c>
      <c r="Q1913" s="10" t="str">
        <f>IF('[1]All Data '!BB1918="","",'[1]All Data '!BB1918)</f>
        <v/>
      </c>
      <c r="R1913" s="10" t="str">
        <f>IF('[1]All Data '!BD1918="","",'[1]All Data '!BD1918)</f>
        <v/>
      </c>
      <c r="S1913" s="11" t="str">
        <f>IF(R1913="","",'[1]All Data '!BE1918)</f>
        <v/>
      </c>
      <c r="T1913" s="12" t="str">
        <f>IF(S1913="","",[1]Inputs_Outputs!$B$8*(1-'LOCH Calc COE Calc'!S1913))</f>
        <v/>
      </c>
      <c r="U1913" s="13" t="str">
        <f t="shared" si="146"/>
        <v/>
      </c>
      <c r="V1913" s="13" t="str">
        <f t="shared" si="147"/>
        <v/>
      </c>
      <c r="W1913" s="4" t="str">
        <f t="shared" si="148"/>
        <v/>
      </c>
      <c r="X1913" t="str">
        <f>IF(W1913="","",LOOKUP(_xlfn.CONCAT(P1913,", ",Q1913),'[1]T+S Costs'!$F$2:$F$3138,'[1]T+S Costs'!$N$2:$N$3138))</f>
        <v/>
      </c>
      <c r="Y1913" s="14" t="str">
        <f t="shared" si="149"/>
        <v/>
      </c>
      <c r="Z1913" s="4" t="str">
        <f t="shared" si="150"/>
        <v/>
      </c>
    </row>
    <row r="1914" spans="16:26" x14ac:dyDescent="0.25">
      <c r="P1914" s="10" t="str">
        <f>IF('[1]All Data '!AZ1919="","",'[1]All Data '!AZ1919)</f>
        <v/>
      </c>
      <c r="Q1914" s="10" t="str">
        <f>IF('[1]All Data '!BB1919="","",'[1]All Data '!BB1919)</f>
        <v/>
      </c>
      <c r="R1914" s="10" t="str">
        <f>IF('[1]All Data '!BD1919="","",'[1]All Data '!BD1919)</f>
        <v/>
      </c>
      <c r="S1914" s="11" t="str">
        <f>IF(R1914="","",'[1]All Data '!BE1919)</f>
        <v/>
      </c>
      <c r="T1914" s="12" t="str">
        <f>IF(S1914="","",[1]Inputs_Outputs!$B$8*(1-'LOCH Calc COE Calc'!S1914))</f>
        <v/>
      </c>
      <c r="U1914" s="13" t="str">
        <f t="shared" si="146"/>
        <v/>
      </c>
      <c r="V1914" s="13" t="str">
        <f t="shared" si="147"/>
        <v/>
      </c>
      <c r="W1914" s="4" t="str">
        <f t="shared" si="148"/>
        <v/>
      </c>
      <c r="X1914" t="str">
        <f>IF(W1914="","",LOOKUP(_xlfn.CONCAT(P1914,", ",Q1914),'[1]T+S Costs'!$F$2:$F$3138,'[1]T+S Costs'!$N$2:$N$3138))</f>
        <v/>
      </c>
      <c r="Y1914" s="14" t="str">
        <f t="shared" si="149"/>
        <v/>
      </c>
      <c r="Z1914" s="4" t="str">
        <f t="shared" si="150"/>
        <v/>
      </c>
    </row>
    <row r="1915" spans="16:26" x14ac:dyDescent="0.25">
      <c r="P1915" s="10" t="str">
        <f>IF('[1]All Data '!AZ1920="","",'[1]All Data '!AZ1920)</f>
        <v/>
      </c>
      <c r="Q1915" s="10" t="str">
        <f>IF('[1]All Data '!BB1920="","",'[1]All Data '!BB1920)</f>
        <v/>
      </c>
      <c r="R1915" s="10" t="str">
        <f>IF('[1]All Data '!BD1920="","",'[1]All Data '!BD1920)</f>
        <v/>
      </c>
      <c r="S1915" s="11" t="str">
        <f>IF(R1915="","",'[1]All Data '!BE1920)</f>
        <v/>
      </c>
      <c r="T1915" s="12" t="str">
        <f>IF(S1915="","",[1]Inputs_Outputs!$B$8*(1-'LOCH Calc COE Calc'!S1915))</f>
        <v/>
      </c>
      <c r="U1915" s="13" t="str">
        <f t="shared" si="146"/>
        <v/>
      </c>
      <c r="V1915" s="13" t="str">
        <f t="shared" si="147"/>
        <v/>
      </c>
      <c r="W1915" s="4" t="str">
        <f t="shared" si="148"/>
        <v/>
      </c>
      <c r="X1915" t="str">
        <f>IF(W1915="","",LOOKUP(_xlfn.CONCAT(P1915,", ",Q1915),'[1]T+S Costs'!$F$2:$F$3138,'[1]T+S Costs'!$N$2:$N$3138))</f>
        <v/>
      </c>
      <c r="Y1915" s="14" t="str">
        <f t="shared" si="149"/>
        <v/>
      </c>
      <c r="Z1915" s="4" t="str">
        <f t="shared" si="150"/>
        <v/>
      </c>
    </row>
    <row r="1916" spans="16:26" x14ac:dyDescent="0.25">
      <c r="P1916" s="10" t="str">
        <f>IF('[1]All Data '!AZ1921="","",'[1]All Data '!AZ1921)</f>
        <v/>
      </c>
      <c r="Q1916" s="10" t="str">
        <f>IF('[1]All Data '!BB1921="","",'[1]All Data '!BB1921)</f>
        <v/>
      </c>
      <c r="R1916" s="10" t="str">
        <f>IF('[1]All Data '!BD1921="","",'[1]All Data '!BD1921)</f>
        <v/>
      </c>
      <c r="S1916" s="11" t="str">
        <f>IF(R1916="","",'[1]All Data '!BE1921)</f>
        <v/>
      </c>
      <c r="T1916" s="12" t="str">
        <f>IF(S1916="","",[1]Inputs_Outputs!$B$8*(1-'LOCH Calc COE Calc'!S1916))</f>
        <v/>
      </c>
      <c r="U1916" s="13" t="str">
        <f t="shared" si="146"/>
        <v/>
      </c>
      <c r="V1916" s="13" t="str">
        <f t="shared" si="147"/>
        <v/>
      </c>
      <c r="W1916" s="4" t="str">
        <f t="shared" si="148"/>
        <v/>
      </c>
      <c r="X1916" t="str">
        <f>IF(W1916="","",LOOKUP(_xlfn.CONCAT(P1916,", ",Q1916),'[1]T+S Costs'!$F$2:$F$3138,'[1]T+S Costs'!$N$2:$N$3138))</f>
        <v/>
      </c>
      <c r="Y1916" s="14" t="str">
        <f t="shared" si="149"/>
        <v/>
      </c>
      <c r="Z1916" s="4" t="str">
        <f t="shared" si="150"/>
        <v/>
      </c>
    </row>
    <row r="1917" spans="16:26" x14ac:dyDescent="0.25">
      <c r="P1917" s="10" t="str">
        <f>IF('[1]All Data '!AZ1922="","",'[1]All Data '!AZ1922)</f>
        <v/>
      </c>
      <c r="Q1917" s="10" t="str">
        <f>IF('[1]All Data '!BB1922="","",'[1]All Data '!BB1922)</f>
        <v/>
      </c>
      <c r="R1917" s="10" t="str">
        <f>IF('[1]All Data '!BD1922="","",'[1]All Data '!BD1922)</f>
        <v/>
      </c>
      <c r="S1917" s="11" t="str">
        <f>IF(R1917="","",'[1]All Data '!BE1922)</f>
        <v/>
      </c>
      <c r="T1917" s="12" t="str">
        <f>IF(S1917="","",[1]Inputs_Outputs!$B$8*(1-'LOCH Calc COE Calc'!S1917))</f>
        <v/>
      </c>
      <c r="U1917" s="13" t="str">
        <f t="shared" si="146"/>
        <v/>
      </c>
      <c r="V1917" s="13" t="str">
        <f t="shared" si="147"/>
        <v/>
      </c>
      <c r="W1917" s="4" t="str">
        <f t="shared" si="148"/>
        <v/>
      </c>
      <c r="X1917" t="str">
        <f>IF(W1917="","",LOOKUP(_xlfn.CONCAT(P1917,", ",Q1917),'[1]T+S Costs'!$F$2:$F$3138,'[1]T+S Costs'!$N$2:$N$3138))</f>
        <v/>
      </c>
      <c r="Y1917" s="14" t="str">
        <f t="shared" si="149"/>
        <v/>
      </c>
      <c r="Z1917" s="4" t="str">
        <f t="shared" si="150"/>
        <v/>
      </c>
    </row>
    <row r="1918" spans="16:26" x14ac:dyDescent="0.25">
      <c r="P1918" s="10" t="str">
        <f>IF('[1]All Data '!AZ1923="","",'[1]All Data '!AZ1923)</f>
        <v/>
      </c>
      <c r="Q1918" s="10" t="str">
        <f>IF('[1]All Data '!BB1923="","",'[1]All Data '!BB1923)</f>
        <v/>
      </c>
      <c r="R1918" s="10" t="str">
        <f>IF('[1]All Data '!BD1923="","",'[1]All Data '!BD1923)</f>
        <v/>
      </c>
      <c r="S1918" s="11" t="str">
        <f>IF(R1918="","",'[1]All Data '!BE1923)</f>
        <v/>
      </c>
      <c r="T1918" s="12" t="str">
        <f>IF(S1918="","",[1]Inputs_Outputs!$B$8*(1-'LOCH Calc COE Calc'!S1918))</f>
        <v/>
      </c>
      <c r="U1918" s="13" t="str">
        <f t="shared" si="146"/>
        <v/>
      </c>
      <c r="V1918" s="13" t="str">
        <f t="shared" si="147"/>
        <v/>
      </c>
      <c r="W1918" s="4" t="str">
        <f t="shared" si="148"/>
        <v/>
      </c>
      <c r="X1918" t="str">
        <f>IF(W1918="","",LOOKUP(_xlfn.CONCAT(P1918,", ",Q1918),'[1]T+S Costs'!$F$2:$F$3138,'[1]T+S Costs'!$N$2:$N$3138))</f>
        <v/>
      </c>
      <c r="Y1918" s="14" t="str">
        <f t="shared" si="149"/>
        <v/>
      </c>
      <c r="Z1918" s="4" t="str">
        <f t="shared" si="150"/>
        <v/>
      </c>
    </row>
    <row r="1919" spans="16:26" x14ac:dyDescent="0.25">
      <c r="P1919" s="10" t="str">
        <f>IF('[1]All Data '!AZ1924="","",'[1]All Data '!AZ1924)</f>
        <v/>
      </c>
      <c r="Q1919" s="10" t="str">
        <f>IF('[1]All Data '!BB1924="","",'[1]All Data '!BB1924)</f>
        <v/>
      </c>
      <c r="R1919" s="10" t="str">
        <f>IF('[1]All Data '!BD1924="","",'[1]All Data '!BD1924)</f>
        <v/>
      </c>
      <c r="S1919" s="11" t="str">
        <f>IF(R1919="","",'[1]All Data '!BE1924)</f>
        <v/>
      </c>
      <c r="T1919" s="12" t="str">
        <f>IF(S1919="","",[1]Inputs_Outputs!$B$8*(1-'LOCH Calc COE Calc'!S1919))</f>
        <v/>
      </c>
      <c r="U1919" s="13" t="str">
        <f t="shared" si="146"/>
        <v/>
      </c>
      <c r="V1919" s="13" t="str">
        <f t="shared" si="147"/>
        <v/>
      </c>
      <c r="W1919" s="4" t="str">
        <f t="shared" si="148"/>
        <v/>
      </c>
      <c r="X1919" t="str">
        <f>IF(W1919="","",LOOKUP(_xlfn.CONCAT(P1919,", ",Q1919),'[1]T+S Costs'!$F$2:$F$3138,'[1]T+S Costs'!$N$2:$N$3138))</f>
        <v/>
      </c>
      <c r="Y1919" s="14" t="str">
        <f t="shared" si="149"/>
        <v/>
      </c>
      <c r="Z1919" s="4" t="str">
        <f t="shared" si="150"/>
        <v/>
      </c>
    </row>
    <row r="1920" spans="16:26" x14ac:dyDescent="0.25">
      <c r="P1920" s="10" t="str">
        <f>IF('[1]All Data '!AZ1925="","",'[1]All Data '!AZ1925)</f>
        <v/>
      </c>
      <c r="Q1920" s="10" t="str">
        <f>IF('[1]All Data '!BB1925="","",'[1]All Data '!BB1925)</f>
        <v/>
      </c>
      <c r="R1920" s="10" t="str">
        <f>IF('[1]All Data '!BD1925="","",'[1]All Data '!BD1925)</f>
        <v/>
      </c>
      <c r="S1920" s="11" t="str">
        <f>IF(R1920="","",'[1]All Data '!BE1925)</f>
        <v/>
      </c>
      <c r="T1920" s="12" t="str">
        <f>IF(S1920="","",[1]Inputs_Outputs!$B$8*(1-'LOCH Calc COE Calc'!S1920))</f>
        <v/>
      </c>
      <c r="U1920" s="13" t="str">
        <f t="shared" si="146"/>
        <v/>
      </c>
      <c r="V1920" s="13" t="str">
        <f t="shared" si="147"/>
        <v/>
      </c>
      <c r="W1920" s="4" t="str">
        <f t="shared" si="148"/>
        <v/>
      </c>
      <c r="X1920" t="str">
        <f>IF(W1920="","",LOOKUP(_xlfn.CONCAT(P1920,", ",Q1920),'[1]T+S Costs'!$F$2:$F$3138,'[1]T+S Costs'!$N$2:$N$3138))</f>
        <v/>
      </c>
      <c r="Y1920" s="14" t="str">
        <f t="shared" si="149"/>
        <v/>
      </c>
      <c r="Z1920" s="4" t="str">
        <f t="shared" si="150"/>
        <v/>
      </c>
    </row>
    <row r="1921" spans="16:26" x14ac:dyDescent="0.25">
      <c r="P1921" s="10" t="str">
        <f>IF('[1]All Data '!AZ1926="","",'[1]All Data '!AZ1926)</f>
        <v/>
      </c>
      <c r="Q1921" s="10" t="str">
        <f>IF('[1]All Data '!BB1926="","",'[1]All Data '!BB1926)</f>
        <v/>
      </c>
      <c r="R1921" s="10" t="str">
        <f>IF('[1]All Data '!BD1926="","",'[1]All Data '!BD1926)</f>
        <v/>
      </c>
      <c r="S1921" s="11" t="str">
        <f>IF(R1921="","",'[1]All Data '!BE1926)</f>
        <v/>
      </c>
      <c r="T1921" s="12" t="str">
        <f>IF(S1921="","",[1]Inputs_Outputs!$B$8*(1-'LOCH Calc COE Calc'!S1921))</f>
        <v/>
      </c>
      <c r="U1921" s="13" t="str">
        <f t="shared" si="146"/>
        <v/>
      </c>
      <c r="V1921" s="13" t="str">
        <f t="shared" si="147"/>
        <v/>
      </c>
      <c r="W1921" s="4" t="str">
        <f t="shared" si="148"/>
        <v/>
      </c>
      <c r="X1921" t="str">
        <f>IF(W1921="","",LOOKUP(_xlfn.CONCAT(P1921,", ",Q1921),'[1]T+S Costs'!$F$2:$F$3138,'[1]T+S Costs'!$N$2:$N$3138))</f>
        <v/>
      </c>
      <c r="Y1921" s="14" t="str">
        <f t="shared" si="149"/>
        <v/>
      </c>
      <c r="Z1921" s="4" t="str">
        <f t="shared" si="150"/>
        <v/>
      </c>
    </row>
    <row r="1922" spans="16:26" x14ac:dyDescent="0.25">
      <c r="P1922" s="10" t="str">
        <f>IF('[1]All Data '!AZ1927="","",'[1]All Data '!AZ1927)</f>
        <v/>
      </c>
      <c r="Q1922" s="10" t="str">
        <f>IF('[1]All Data '!BB1927="","",'[1]All Data '!BB1927)</f>
        <v/>
      </c>
      <c r="R1922" s="10" t="str">
        <f>IF('[1]All Data '!BD1927="","",'[1]All Data '!BD1927)</f>
        <v/>
      </c>
      <c r="S1922" s="11" t="str">
        <f>IF(R1922="","",'[1]All Data '!BE1927)</f>
        <v/>
      </c>
      <c r="T1922" s="12" t="str">
        <f>IF(S1922="","",[1]Inputs_Outputs!$B$8*(1-'LOCH Calc COE Calc'!S1922))</f>
        <v/>
      </c>
      <c r="U1922" s="13" t="str">
        <f t="shared" si="146"/>
        <v/>
      </c>
      <c r="V1922" s="13" t="str">
        <f t="shared" si="147"/>
        <v/>
      </c>
      <c r="W1922" s="4" t="str">
        <f t="shared" si="148"/>
        <v/>
      </c>
      <c r="X1922" t="str">
        <f>IF(W1922="","",LOOKUP(_xlfn.CONCAT(P1922,", ",Q1922),'[1]T+S Costs'!$F$2:$F$3138,'[1]T+S Costs'!$N$2:$N$3138))</f>
        <v/>
      </c>
      <c r="Y1922" s="14" t="str">
        <f t="shared" si="149"/>
        <v/>
      </c>
      <c r="Z1922" s="4" t="str">
        <f t="shared" si="150"/>
        <v/>
      </c>
    </row>
    <row r="1923" spans="16:26" x14ac:dyDescent="0.25">
      <c r="P1923" s="10" t="str">
        <f>IF('[1]All Data '!AZ1928="","",'[1]All Data '!AZ1928)</f>
        <v/>
      </c>
      <c r="Q1923" s="10" t="str">
        <f>IF('[1]All Data '!BB1928="","",'[1]All Data '!BB1928)</f>
        <v/>
      </c>
      <c r="R1923" s="10" t="str">
        <f>IF('[1]All Data '!BD1928="","",'[1]All Data '!BD1928)</f>
        <v/>
      </c>
      <c r="S1923" s="11" t="str">
        <f>IF(R1923="","",'[1]All Data '!BE1928)</f>
        <v/>
      </c>
      <c r="T1923" s="12" t="str">
        <f>IF(S1923="","",[1]Inputs_Outputs!$B$8*(1-'LOCH Calc COE Calc'!S1923))</f>
        <v/>
      </c>
      <c r="U1923" s="13" t="str">
        <f t="shared" ref="U1923:U1986" si="151">IF(S1923="","",R1923*T1923*365*$B$19/100)</f>
        <v/>
      </c>
      <c r="V1923" s="13" t="str">
        <f t="shared" ref="V1923:V1986" si="152">IF(S1923="","",(U1923*$B$19)/(($B$28)*$B$19))</f>
        <v/>
      </c>
      <c r="W1923" s="4" t="str">
        <f t="shared" ref="W1923:W1986" si="153">IF(S1923="","",V1923+$C$49+$C$50+$C$51)</f>
        <v/>
      </c>
      <c r="X1923" t="str">
        <f>IF(W1923="","",LOOKUP(_xlfn.CONCAT(P1923,", ",Q1923),'[1]T+S Costs'!$F$2:$F$3138,'[1]T+S Costs'!$N$2:$N$3138))</f>
        <v/>
      </c>
      <c r="Y1923" s="14" t="str">
        <f t="shared" ref="Y1923:Y1986" si="154">IF(X1923="","",((X1923*$B$60/$B$59)*$C$44)/$C$28)</f>
        <v/>
      </c>
      <c r="Z1923" s="4" t="str">
        <f t="shared" ref="Z1923:Z1986" si="155">IF(Y1923="","",W1923+Y1923)</f>
        <v/>
      </c>
    </row>
    <row r="1924" spans="16:26" x14ac:dyDescent="0.25">
      <c r="P1924" s="10" t="str">
        <f>IF('[1]All Data '!AZ1929="","",'[1]All Data '!AZ1929)</f>
        <v/>
      </c>
      <c r="Q1924" s="10" t="str">
        <f>IF('[1]All Data '!BB1929="","",'[1]All Data '!BB1929)</f>
        <v/>
      </c>
      <c r="R1924" s="10" t="str">
        <f>IF('[1]All Data '!BD1929="","",'[1]All Data '!BD1929)</f>
        <v/>
      </c>
      <c r="S1924" s="11" t="str">
        <f>IF(R1924="","",'[1]All Data '!BE1929)</f>
        <v/>
      </c>
      <c r="T1924" s="12" t="str">
        <f>IF(S1924="","",[1]Inputs_Outputs!$B$8*(1-'LOCH Calc COE Calc'!S1924))</f>
        <v/>
      </c>
      <c r="U1924" s="13" t="str">
        <f t="shared" si="151"/>
        <v/>
      </c>
      <c r="V1924" s="13" t="str">
        <f t="shared" si="152"/>
        <v/>
      </c>
      <c r="W1924" s="4" t="str">
        <f t="shared" si="153"/>
        <v/>
      </c>
      <c r="X1924" t="str">
        <f>IF(W1924="","",LOOKUP(_xlfn.CONCAT(P1924,", ",Q1924),'[1]T+S Costs'!$F$2:$F$3138,'[1]T+S Costs'!$N$2:$N$3138))</f>
        <v/>
      </c>
      <c r="Y1924" s="14" t="str">
        <f t="shared" si="154"/>
        <v/>
      </c>
      <c r="Z1924" s="4" t="str">
        <f t="shared" si="155"/>
        <v/>
      </c>
    </row>
    <row r="1925" spans="16:26" x14ac:dyDescent="0.25">
      <c r="P1925" s="10" t="str">
        <f>IF('[1]All Data '!AZ1930="","",'[1]All Data '!AZ1930)</f>
        <v/>
      </c>
      <c r="Q1925" s="10" t="str">
        <f>IF('[1]All Data '!BB1930="","",'[1]All Data '!BB1930)</f>
        <v/>
      </c>
      <c r="R1925" s="10" t="str">
        <f>IF('[1]All Data '!BD1930="","",'[1]All Data '!BD1930)</f>
        <v/>
      </c>
      <c r="S1925" s="11" t="str">
        <f>IF(R1925="","",'[1]All Data '!BE1930)</f>
        <v/>
      </c>
      <c r="T1925" s="12" t="str">
        <f>IF(S1925="","",[1]Inputs_Outputs!$B$8*(1-'LOCH Calc COE Calc'!S1925))</f>
        <v/>
      </c>
      <c r="U1925" s="13" t="str">
        <f t="shared" si="151"/>
        <v/>
      </c>
      <c r="V1925" s="13" t="str">
        <f t="shared" si="152"/>
        <v/>
      </c>
      <c r="W1925" s="4" t="str">
        <f t="shared" si="153"/>
        <v/>
      </c>
      <c r="X1925" t="str">
        <f>IF(W1925="","",LOOKUP(_xlfn.CONCAT(P1925,", ",Q1925),'[1]T+S Costs'!$F$2:$F$3138,'[1]T+S Costs'!$N$2:$N$3138))</f>
        <v/>
      </c>
      <c r="Y1925" s="14" t="str">
        <f t="shared" si="154"/>
        <v/>
      </c>
      <c r="Z1925" s="4" t="str">
        <f t="shared" si="155"/>
        <v/>
      </c>
    </row>
    <row r="1926" spans="16:26" x14ac:dyDescent="0.25">
      <c r="P1926" s="10" t="str">
        <f>IF('[1]All Data '!AZ1931="","",'[1]All Data '!AZ1931)</f>
        <v/>
      </c>
      <c r="Q1926" s="10" t="str">
        <f>IF('[1]All Data '!BB1931="","",'[1]All Data '!BB1931)</f>
        <v/>
      </c>
      <c r="R1926" s="10" t="str">
        <f>IF('[1]All Data '!BD1931="","",'[1]All Data '!BD1931)</f>
        <v/>
      </c>
      <c r="S1926" s="11" t="str">
        <f>IF(R1926="","",'[1]All Data '!BE1931)</f>
        <v/>
      </c>
      <c r="T1926" s="12" t="str">
        <f>IF(S1926="","",[1]Inputs_Outputs!$B$8*(1-'LOCH Calc COE Calc'!S1926))</f>
        <v/>
      </c>
      <c r="U1926" s="13" t="str">
        <f t="shared" si="151"/>
        <v/>
      </c>
      <c r="V1926" s="13" t="str">
        <f t="shared" si="152"/>
        <v/>
      </c>
      <c r="W1926" s="4" t="str">
        <f t="shared" si="153"/>
        <v/>
      </c>
      <c r="X1926" t="str">
        <f>IF(W1926="","",LOOKUP(_xlfn.CONCAT(P1926,", ",Q1926),'[1]T+S Costs'!$F$2:$F$3138,'[1]T+S Costs'!$N$2:$N$3138))</f>
        <v/>
      </c>
      <c r="Y1926" s="14" t="str">
        <f t="shared" si="154"/>
        <v/>
      </c>
      <c r="Z1926" s="4" t="str">
        <f t="shared" si="155"/>
        <v/>
      </c>
    </row>
    <row r="1927" spans="16:26" x14ac:dyDescent="0.25">
      <c r="P1927" s="10" t="str">
        <f>IF('[1]All Data '!AZ1932="","",'[1]All Data '!AZ1932)</f>
        <v/>
      </c>
      <c r="Q1927" s="10" t="str">
        <f>IF('[1]All Data '!BB1932="","",'[1]All Data '!BB1932)</f>
        <v/>
      </c>
      <c r="R1927" s="10" t="str">
        <f>IF('[1]All Data '!BD1932="","",'[1]All Data '!BD1932)</f>
        <v/>
      </c>
      <c r="S1927" s="11" t="str">
        <f>IF(R1927="","",'[1]All Data '!BE1932)</f>
        <v/>
      </c>
      <c r="T1927" s="12" t="str">
        <f>IF(S1927="","",[1]Inputs_Outputs!$B$8*(1-'LOCH Calc COE Calc'!S1927))</f>
        <v/>
      </c>
      <c r="U1927" s="13" t="str">
        <f t="shared" si="151"/>
        <v/>
      </c>
      <c r="V1927" s="13" t="str">
        <f t="shared" si="152"/>
        <v/>
      </c>
      <c r="W1927" s="4" t="str">
        <f t="shared" si="153"/>
        <v/>
      </c>
      <c r="X1927" t="str">
        <f>IF(W1927="","",LOOKUP(_xlfn.CONCAT(P1927,", ",Q1927),'[1]T+S Costs'!$F$2:$F$3138,'[1]T+S Costs'!$N$2:$N$3138))</f>
        <v/>
      </c>
      <c r="Y1927" s="14" t="str">
        <f t="shared" si="154"/>
        <v/>
      </c>
      <c r="Z1927" s="4" t="str">
        <f t="shared" si="155"/>
        <v/>
      </c>
    </row>
    <row r="1928" spans="16:26" x14ac:dyDescent="0.25">
      <c r="P1928" s="10" t="str">
        <f>IF('[1]All Data '!AZ1933="","",'[1]All Data '!AZ1933)</f>
        <v/>
      </c>
      <c r="Q1928" s="10" t="str">
        <f>IF('[1]All Data '!BB1933="","",'[1]All Data '!BB1933)</f>
        <v/>
      </c>
      <c r="R1928" s="10" t="str">
        <f>IF('[1]All Data '!BD1933="","",'[1]All Data '!BD1933)</f>
        <v/>
      </c>
      <c r="S1928" s="11" t="str">
        <f>IF(R1928="","",'[1]All Data '!BE1933)</f>
        <v/>
      </c>
      <c r="T1928" s="12" t="str">
        <f>IF(S1928="","",[1]Inputs_Outputs!$B$8*(1-'LOCH Calc COE Calc'!S1928))</f>
        <v/>
      </c>
      <c r="U1928" s="13" t="str">
        <f t="shared" si="151"/>
        <v/>
      </c>
      <c r="V1928" s="13" t="str">
        <f t="shared" si="152"/>
        <v/>
      </c>
      <c r="W1928" s="4" t="str">
        <f t="shared" si="153"/>
        <v/>
      </c>
      <c r="X1928" t="str">
        <f>IF(W1928="","",LOOKUP(_xlfn.CONCAT(P1928,", ",Q1928),'[1]T+S Costs'!$F$2:$F$3138,'[1]T+S Costs'!$N$2:$N$3138))</f>
        <v/>
      </c>
      <c r="Y1928" s="14" t="str">
        <f t="shared" si="154"/>
        <v/>
      </c>
      <c r="Z1928" s="4" t="str">
        <f t="shared" si="155"/>
        <v/>
      </c>
    </row>
    <row r="1929" spans="16:26" x14ac:dyDescent="0.25">
      <c r="P1929" s="10" t="str">
        <f>IF('[1]All Data '!AZ1934="","",'[1]All Data '!AZ1934)</f>
        <v/>
      </c>
      <c r="Q1929" s="10" t="str">
        <f>IF('[1]All Data '!BB1934="","",'[1]All Data '!BB1934)</f>
        <v/>
      </c>
      <c r="R1929" s="10" t="str">
        <f>IF('[1]All Data '!BD1934="","",'[1]All Data '!BD1934)</f>
        <v/>
      </c>
      <c r="S1929" s="11" t="str">
        <f>IF(R1929="","",'[1]All Data '!BE1934)</f>
        <v/>
      </c>
      <c r="T1929" s="12" t="str">
        <f>IF(S1929="","",[1]Inputs_Outputs!$B$8*(1-'LOCH Calc COE Calc'!S1929))</f>
        <v/>
      </c>
      <c r="U1929" s="13" t="str">
        <f t="shared" si="151"/>
        <v/>
      </c>
      <c r="V1929" s="13" t="str">
        <f t="shared" si="152"/>
        <v/>
      </c>
      <c r="W1929" s="4" t="str">
        <f t="shared" si="153"/>
        <v/>
      </c>
      <c r="X1929" t="str">
        <f>IF(W1929="","",LOOKUP(_xlfn.CONCAT(P1929,", ",Q1929),'[1]T+S Costs'!$F$2:$F$3138,'[1]T+S Costs'!$N$2:$N$3138))</f>
        <v/>
      </c>
      <c r="Y1929" s="14" t="str">
        <f t="shared" si="154"/>
        <v/>
      </c>
      <c r="Z1929" s="4" t="str">
        <f t="shared" si="155"/>
        <v/>
      </c>
    </row>
    <row r="1930" spans="16:26" x14ac:dyDescent="0.25">
      <c r="P1930" s="10" t="str">
        <f>IF('[1]All Data '!AZ1935="","",'[1]All Data '!AZ1935)</f>
        <v/>
      </c>
      <c r="Q1930" s="10" t="str">
        <f>IF('[1]All Data '!BB1935="","",'[1]All Data '!BB1935)</f>
        <v/>
      </c>
      <c r="R1930" s="10" t="str">
        <f>IF('[1]All Data '!BD1935="","",'[1]All Data '!BD1935)</f>
        <v/>
      </c>
      <c r="S1930" s="11" t="str">
        <f>IF(R1930="","",'[1]All Data '!BE1935)</f>
        <v/>
      </c>
      <c r="T1930" s="12" t="str">
        <f>IF(S1930="","",[1]Inputs_Outputs!$B$8*(1-'LOCH Calc COE Calc'!S1930))</f>
        <v/>
      </c>
      <c r="U1930" s="13" t="str">
        <f t="shared" si="151"/>
        <v/>
      </c>
      <c r="V1930" s="13" t="str">
        <f t="shared" si="152"/>
        <v/>
      </c>
      <c r="W1930" s="4" t="str">
        <f t="shared" si="153"/>
        <v/>
      </c>
      <c r="X1930" t="str">
        <f>IF(W1930="","",LOOKUP(_xlfn.CONCAT(P1930,", ",Q1930),'[1]T+S Costs'!$F$2:$F$3138,'[1]T+S Costs'!$N$2:$N$3138))</f>
        <v/>
      </c>
      <c r="Y1930" s="14" t="str">
        <f t="shared" si="154"/>
        <v/>
      </c>
      <c r="Z1930" s="4" t="str">
        <f t="shared" si="155"/>
        <v/>
      </c>
    </row>
    <row r="1931" spans="16:26" x14ac:dyDescent="0.25">
      <c r="P1931" s="10" t="str">
        <f>IF('[1]All Data '!AZ1936="","",'[1]All Data '!AZ1936)</f>
        <v/>
      </c>
      <c r="Q1931" s="10" t="str">
        <f>IF('[1]All Data '!BB1936="","",'[1]All Data '!BB1936)</f>
        <v/>
      </c>
      <c r="R1931" s="10" t="str">
        <f>IF('[1]All Data '!BD1936="","",'[1]All Data '!BD1936)</f>
        <v/>
      </c>
      <c r="S1931" s="11" t="str">
        <f>IF(R1931="","",'[1]All Data '!BE1936)</f>
        <v/>
      </c>
      <c r="T1931" s="12" t="str">
        <f>IF(S1931="","",[1]Inputs_Outputs!$B$8*(1-'LOCH Calc COE Calc'!S1931))</f>
        <v/>
      </c>
      <c r="U1931" s="13" t="str">
        <f t="shared" si="151"/>
        <v/>
      </c>
      <c r="V1931" s="13" t="str">
        <f t="shared" si="152"/>
        <v/>
      </c>
      <c r="W1931" s="4" t="str">
        <f t="shared" si="153"/>
        <v/>
      </c>
      <c r="X1931" t="str">
        <f>IF(W1931="","",LOOKUP(_xlfn.CONCAT(P1931,", ",Q1931),'[1]T+S Costs'!$F$2:$F$3138,'[1]T+S Costs'!$N$2:$N$3138))</f>
        <v/>
      </c>
      <c r="Y1931" s="14" t="str">
        <f t="shared" si="154"/>
        <v/>
      </c>
      <c r="Z1931" s="4" t="str">
        <f t="shared" si="155"/>
        <v/>
      </c>
    </row>
    <row r="1932" spans="16:26" x14ac:dyDescent="0.25">
      <c r="P1932" s="10" t="str">
        <f>IF('[1]All Data '!AZ1937="","",'[1]All Data '!AZ1937)</f>
        <v/>
      </c>
      <c r="Q1932" s="10" t="str">
        <f>IF('[1]All Data '!BB1937="","",'[1]All Data '!BB1937)</f>
        <v/>
      </c>
      <c r="R1932" s="10" t="str">
        <f>IF('[1]All Data '!BD1937="","",'[1]All Data '!BD1937)</f>
        <v/>
      </c>
      <c r="S1932" s="11" t="str">
        <f>IF(R1932="","",'[1]All Data '!BE1937)</f>
        <v/>
      </c>
      <c r="T1932" s="12" t="str">
        <f>IF(S1932="","",[1]Inputs_Outputs!$B$8*(1-'LOCH Calc COE Calc'!S1932))</f>
        <v/>
      </c>
      <c r="U1932" s="13" t="str">
        <f t="shared" si="151"/>
        <v/>
      </c>
      <c r="V1932" s="13" t="str">
        <f t="shared" si="152"/>
        <v/>
      </c>
      <c r="W1932" s="4" t="str">
        <f t="shared" si="153"/>
        <v/>
      </c>
      <c r="X1932" t="str">
        <f>IF(W1932="","",LOOKUP(_xlfn.CONCAT(P1932,", ",Q1932),'[1]T+S Costs'!$F$2:$F$3138,'[1]T+S Costs'!$N$2:$N$3138))</f>
        <v/>
      </c>
      <c r="Y1932" s="14" t="str">
        <f t="shared" si="154"/>
        <v/>
      </c>
      <c r="Z1932" s="4" t="str">
        <f t="shared" si="155"/>
        <v/>
      </c>
    </row>
    <row r="1933" spans="16:26" x14ac:dyDescent="0.25">
      <c r="P1933" s="10" t="str">
        <f>IF('[1]All Data '!AZ1938="","",'[1]All Data '!AZ1938)</f>
        <v/>
      </c>
      <c r="Q1933" s="10" t="str">
        <f>IF('[1]All Data '!BB1938="","",'[1]All Data '!BB1938)</f>
        <v/>
      </c>
      <c r="R1933" s="10" t="str">
        <f>IF('[1]All Data '!BD1938="","",'[1]All Data '!BD1938)</f>
        <v/>
      </c>
      <c r="S1933" s="11" t="str">
        <f>IF(R1933="","",'[1]All Data '!BE1938)</f>
        <v/>
      </c>
      <c r="T1933" s="12" t="str">
        <f>IF(S1933="","",[1]Inputs_Outputs!$B$8*(1-'LOCH Calc COE Calc'!S1933))</f>
        <v/>
      </c>
      <c r="U1933" s="13" t="str">
        <f t="shared" si="151"/>
        <v/>
      </c>
      <c r="V1933" s="13" t="str">
        <f t="shared" si="152"/>
        <v/>
      </c>
      <c r="W1933" s="4" t="str">
        <f t="shared" si="153"/>
        <v/>
      </c>
      <c r="X1933" t="str">
        <f>IF(W1933="","",LOOKUP(_xlfn.CONCAT(P1933,", ",Q1933),'[1]T+S Costs'!$F$2:$F$3138,'[1]T+S Costs'!$N$2:$N$3138))</f>
        <v/>
      </c>
      <c r="Y1933" s="14" t="str">
        <f t="shared" si="154"/>
        <v/>
      </c>
      <c r="Z1933" s="4" t="str">
        <f t="shared" si="155"/>
        <v/>
      </c>
    </row>
    <row r="1934" spans="16:26" x14ac:dyDescent="0.25">
      <c r="P1934" s="10" t="str">
        <f>IF('[1]All Data '!AZ1939="","",'[1]All Data '!AZ1939)</f>
        <v/>
      </c>
      <c r="Q1934" s="10" t="str">
        <f>IF('[1]All Data '!BB1939="","",'[1]All Data '!BB1939)</f>
        <v/>
      </c>
      <c r="R1934" s="10" t="str">
        <f>IF('[1]All Data '!BD1939="","",'[1]All Data '!BD1939)</f>
        <v/>
      </c>
      <c r="S1934" s="11" t="str">
        <f>IF(R1934="","",'[1]All Data '!BE1939)</f>
        <v/>
      </c>
      <c r="T1934" s="12" t="str">
        <f>IF(S1934="","",[1]Inputs_Outputs!$B$8*(1-'LOCH Calc COE Calc'!S1934))</f>
        <v/>
      </c>
      <c r="U1934" s="13" t="str">
        <f t="shared" si="151"/>
        <v/>
      </c>
      <c r="V1934" s="13" t="str">
        <f t="shared" si="152"/>
        <v/>
      </c>
      <c r="W1934" s="4" t="str">
        <f t="shared" si="153"/>
        <v/>
      </c>
      <c r="X1934" t="str">
        <f>IF(W1934="","",LOOKUP(_xlfn.CONCAT(P1934,", ",Q1934),'[1]T+S Costs'!$F$2:$F$3138,'[1]T+S Costs'!$N$2:$N$3138))</f>
        <v/>
      </c>
      <c r="Y1934" s="14" t="str">
        <f t="shared" si="154"/>
        <v/>
      </c>
      <c r="Z1934" s="4" t="str">
        <f t="shared" si="155"/>
        <v/>
      </c>
    </row>
    <row r="1935" spans="16:26" x14ac:dyDescent="0.25">
      <c r="P1935" s="10" t="str">
        <f>IF('[1]All Data '!AZ1940="","",'[1]All Data '!AZ1940)</f>
        <v/>
      </c>
      <c r="Q1935" s="10" t="str">
        <f>IF('[1]All Data '!BB1940="","",'[1]All Data '!BB1940)</f>
        <v/>
      </c>
      <c r="R1935" s="10" t="str">
        <f>IF('[1]All Data '!BD1940="","",'[1]All Data '!BD1940)</f>
        <v/>
      </c>
      <c r="S1935" s="11" t="str">
        <f>IF(R1935="","",'[1]All Data '!BE1940)</f>
        <v/>
      </c>
      <c r="T1935" s="12" t="str">
        <f>IF(S1935="","",[1]Inputs_Outputs!$B$8*(1-'LOCH Calc COE Calc'!S1935))</f>
        <v/>
      </c>
      <c r="U1935" s="13" t="str">
        <f t="shared" si="151"/>
        <v/>
      </c>
      <c r="V1935" s="13" t="str">
        <f t="shared" si="152"/>
        <v/>
      </c>
      <c r="W1935" s="4" t="str">
        <f t="shared" si="153"/>
        <v/>
      </c>
      <c r="X1935" t="str">
        <f>IF(W1935="","",LOOKUP(_xlfn.CONCAT(P1935,", ",Q1935),'[1]T+S Costs'!$F$2:$F$3138,'[1]T+S Costs'!$N$2:$N$3138))</f>
        <v/>
      </c>
      <c r="Y1935" s="14" t="str">
        <f t="shared" si="154"/>
        <v/>
      </c>
      <c r="Z1935" s="4" t="str">
        <f t="shared" si="155"/>
        <v/>
      </c>
    </row>
    <row r="1936" spans="16:26" x14ac:dyDescent="0.25">
      <c r="P1936" s="10" t="str">
        <f>IF('[1]All Data '!AZ1941="","",'[1]All Data '!AZ1941)</f>
        <v/>
      </c>
      <c r="Q1936" s="10" t="str">
        <f>IF('[1]All Data '!BB1941="","",'[1]All Data '!BB1941)</f>
        <v/>
      </c>
      <c r="R1936" s="10" t="str">
        <f>IF('[1]All Data '!BD1941="","",'[1]All Data '!BD1941)</f>
        <v/>
      </c>
      <c r="S1936" s="11" t="str">
        <f>IF(R1936="","",'[1]All Data '!BE1941)</f>
        <v/>
      </c>
      <c r="T1936" s="12" t="str">
        <f>IF(S1936="","",[1]Inputs_Outputs!$B$8*(1-'LOCH Calc COE Calc'!S1936))</f>
        <v/>
      </c>
      <c r="U1936" s="13" t="str">
        <f t="shared" si="151"/>
        <v/>
      </c>
      <c r="V1936" s="13" t="str">
        <f t="shared" si="152"/>
        <v/>
      </c>
      <c r="W1936" s="4" t="str">
        <f t="shared" si="153"/>
        <v/>
      </c>
      <c r="X1936" t="str">
        <f>IF(W1936="","",LOOKUP(_xlfn.CONCAT(P1936,", ",Q1936),'[1]T+S Costs'!$F$2:$F$3138,'[1]T+S Costs'!$N$2:$N$3138))</f>
        <v/>
      </c>
      <c r="Y1936" s="14" t="str">
        <f t="shared" si="154"/>
        <v/>
      </c>
      <c r="Z1936" s="4" t="str">
        <f t="shared" si="155"/>
        <v/>
      </c>
    </row>
    <row r="1937" spans="16:26" x14ac:dyDescent="0.25">
      <c r="P1937" s="10" t="str">
        <f>IF('[1]All Data '!AZ1942="","",'[1]All Data '!AZ1942)</f>
        <v/>
      </c>
      <c r="Q1937" s="10" t="str">
        <f>IF('[1]All Data '!BB1942="","",'[1]All Data '!BB1942)</f>
        <v/>
      </c>
      <c r="R1937" s="10" t="str">
        <f>IF('[1]All Data '!BD1942="","",'[1]All Data '!BD1942)</f>
        <v/>
      </c>
      <c r="S1937" s="11" t="str">
        <f>IF(R1937="","",'[1]All Data '!BE1942)</f>
        <v/>
      </c>
      <c r="T1937" s="12" t="str">
        <f>IF(S1937="","",[1]Inputs_Outputs!$B$8*(1-'LOCH Calc COE Calc'!S1937))</f>
        <v/>
      </c>
      <c r="U1937" s="13" t="str">
        <f t="shared" si="151"/>
        <v/>
      </c>
      <c r="V1937" s="13" t="str">
        <f t="shared" si="152"/>
        <v/>
      </c>
      <c r="W1937" s="4" t="str">
        <f t="shared" si="153"/>
        <v/>
      </c>
      <c r="X1937" t="str">
        <f>IF(W1937="","",LOOKUP(_xlfn.CONCAT(P1937,", ",Q1937),'[1]T+S Costs'!$F$2:$F$3138,'[1]T+S Costs'!$N$2:$N$3138))</f>
        <v/>
      </c>
      <c r="Y1937" s="14" t="str">
        <f t="shared" si="154"/>
        <v/>
      </c>
      <c r="Z1937" s="4" t="str">
        <f t="shared" si="155"/>
        <v/>
      </c>
    </row>
    <row r="1938" spans="16:26" x14ac:dyDescent="0.25">
      <c r="P1938" s="10" t="str">
        <f>IF('[1]All Data '!AZ1943="","",'[1]All Data '!AZ1943)</f>
        <v/>
      </c>
      <c r="Q1938" s="10" t="str">
        <f>IF('[1]All Data '!BB1943="","",'[1]All Data '!BB1943)</f>
        <v/>
      </c>
      <c r="R1938" s="10" t="str">
        <f>IF('[1]All Data '!BD1943="","",'[1]All Data '!BD1943)</f>
        <v/>
      </c>
      <c r="S1938" s="11" t="str">
        <f>IF(R1938="","",'[1]All Data '!BE1943)</f>
        <v/>
      </c>
      <c r="T1938" s="12" t="str">
        <f>IF(S1938="","",[1]Inputs_Outputs!$B$8*(1-'LOCH Calc COE Calc'!S1938))</f>
        <v/>
      </c>
      <c r="U1938" s="13" t="str">
        <f t="shared" si="151"/>
        <v/>
      </c>
      <c r="V1938" s="13" t="str">
        <f t="shared" si="152"/>
        <v/>
      </c>
      <c r="W1938" s="4" t="str">
        <f t="shared" si="153"/>
        <v/>
      </c>
      <c r="X1938" t="str">
        <f>IF(W1938="","",LOOKUP(_xlfn.CONCAT(P1938,", ",Q1938),'[1]T+S Costs'!$F$2:$F$3138,'[1]T+S Costs'!$N$2:$N$3138))</f>
        <v/>
      </c>
      <c r="Y1938" s="14" t="str">
        <f t="shared" si="154"/>
        <v/>
      </c>
      <c r="Z1938" s="4" t="str">
        <f t="shared" si="155"/>
        <v/>
      </c>
    </row>
    <row r="1939" spans="16:26" x14ac:dyDescent="0.25">
      <c r="P1939" s="10" t="str">
        <f>IF('[1]All Data '!AZ1944="","",'[1]All Data '!AZ1944)</f>
        <v/>
      </c>
      <c r="Q1939" s="10" t="str">
        <f>IF('[1]All Data '!BB1944="","",'[1]All Data '!BB1944)</f>
        <v/>
      </c>
      <c r="R1939" s="10" t="str">
        <f>IF('[1]All Data '!BD1944="","",'[1]All Data '!BD1944)</f>
        <v/>
      </c>
      <c r="S1939" s="11" t="str">
        <f>IF(R1939="","",'[1]All Data '!BE1944)</f>
        <v/>
      </c>
      <c r="T1939" s="12" t="str">
        <f>IF(S1939="","",[1]Inputs_Outputs!$B$8*(1-'LOCH Calc COE Calc'!S1939))</f>
        <v/>
      </c>
      <c r="U1939" s="13" t="str">
        <f t="shared" si="151"/>
        <v/>
      </c>
      <c r="V1939" s="13" t="str">
        <f t="shared" si="152"/>
        <v/>
      </c>
      <c r="W1939" s="4" t="str">
        <f t="shared" si="153"/>
        <v/>
      </c>
      <c r="X1939" t="str">
        <f>IF(W1939="","",LOOKUP(_xlfn.CONCAT(P1939,", ",Q1939),'[1]T+S Costs'!$F$2:$F$3138,'[1]T+S Costs'!$N$2:$N$3138))</f>
        <v/>
      </c>
      <c r="Y1939" s="14" t="str">
        <f t="shared" si="154"/>
        <v/>
      </c>
      <c r="Z1939" s="4" t="str">
        <f t="shared" si="155"/>
        <v/>
      </c>
    </row>
    <row r="1940" spans="16:26" x14ac:dyDescent="0.25">
      <c r="P1940" s="10" t="str">
        <f>IF('[1]All Data '!AZ1945="","",'[1]All Data '!AZ1945)</f>
        <v/>
      </c>
      <c r="Q1940" s="10" t="str">
        <f>IF('[1]All Data '!BB1945="","",'[1]All Data '!BB1945)</f>
        <v/>
      </c>
      <c r="R1940" s="10" t="str">
        <f>IF('[1]All Data '!BD1945="","",'[1]All Data '!BD1945)</f>
        <v/>
      </c>
      <c r="S1940" s="11" t="str">
        <f>IF(R1940="","",'[1]All Data '!BE1945)</f>
        <v/>
      </c>
      <c r="T1940" s="12" t="str">
        <f>IF(S1940="","",[1]Inputs_Outputs!$B$8*(1-'LOCH Calc COE Calc'!S1940))</f>
        <v/>
      </c>
      <c r="U1940" s="13" t="str">
        <f t="shared" si="151"/>
        <v/>
      </c>
      <c r="V1940" s="13" t="str">
        <f t="shared" si="152"/>
        <v/>
      </c>
      <c r="W1940" s="4" t="str">
        <f t="shared" si="153"/>
        <v/>
      </c>
      <c r="X1940" t="str">
        <f>IF(W1940="","",LOOKUP(_xlfn.CONCAT(P1940,", ",Q1940),'[1]T+S Costs'!$F$2:$F$3138,'[1]T+S Costs'!$N$2:$N$3138))</f>
        <v/>
      </c>
      <c r="Y1940" s="14" t="str">
        <f t="shared" si="154"/>
        <v/>
      </c>
      <c r="Z1940" s="4" t="str">
        <f t="shared" si="155"/>
        <v/>
      </c>
    </row>
    <row r="1941" spans="16:26" x14ac:dyDescent="0.25">
      <c r="P1941" s="10" t="str">
        <f>IF('[1]All Data '!AZ1946="","",'[1]All Data '!AZ1946)</f>
        <v/>
      </c>
      <c r="Q1941" s="10" t="str">
        <f>IF('[1]All Data '!BB1946="","",'[1]All Data '!BB1946)</f>
        <v/>
      </c>
      <c r="R1941" s="10" t="str">
        <f>IF('[1]All Data '!BD1946="","",'[1]All Data '!BD1946)</f>
        <v/>
      </c>
      <c r="S1941" s="11" t="str">
        <f>IF(R1941="","",'[1]All Data '!BE1946)</f>
        <v/>
      </c>
      <c r="T1941" s="12" t="str">
        <f>IF(S1941="","",[1]Inputs_Outputs!$B$8*(1-'LOCH Calc COE Calc'!S1941))</f>
        <v/>
      </c>
      <c r="U1941" s="13" t="str">
        <f t="shared" si="151"/>
        <v/>
      </c>
      <c r="V1941" s="13" t="str">
        <f t="shared" si="152"/>
        <v/>
      </c>
      <c r="W1941" s="4" t="str">
        <f t="shared" si="153"/>
        <v/>
      </c>
      <c r="X1941" t="str">
        <f>IF(W1941="","",LOOKUP(_xlfn.CONCAT(P1941,", ",Q1941),'[1]T+S Costs'!$F$2:$F$3138,'[1]T+S Costs'!$N$2:$N$3138))</f>
        <v/>
      </c>
      <c r="Y1941" s="14" t="str">
        <f t="shared" si="154"/>
        <v/>
      </c>
      <c r="Z1941" s="4" t="str">
        <f t="shared" si="155"/>
        <v/>
      </c>
    </row>
    <row r="1942" spans="16:26" x14ac:dyDescent="0.25">
      <c r="P1942" s="10" t="str">
        <f>IF('[1]All Data '!AZ1947="","",'[1]All Data '!AZ1947)</f>
        <v/>
      </c>
      <c r="Q1942" s="10" t="str">
        <f>IF('[1]All Data '!BB1947="","",'[1]All Data '!BB1947)</f>
        <v/>
      </c>
      <c r="R1942" s="10" t="str">
        <f>IF('[1]All Data '!BD1947="","",'[1]All Data '!BD1947)</f>
        <v/>
      </c>
      <c r="S1942" s="11" t="str">
        <f>IF(R1942="","",'[1]All Data '!BE1947)</f>
        <v/>
      </c>
      <c r="T1942" s="12" t="str">
        <f>IF(S1942="","",[1]Inputs_Outputs!$B$8*(1-'LOCH Calc COE Calc'!S1942))</f>
        <v/>
      </c>
      <c r="U1942" s="13" t="str">
        <f t="shared" si="151"/>
        <v/>
      </c>
      <c r="V1942" s="13" t="str">
        <f t="shared" si="152"/>
        <v/>
      </c>
      <c r="W1942" s="4" t="str">
        <f t="shared" si="153"/>
        <v/>
      </c>
      <c r="X1942" t="str">
        <f>IF(W1942="","",LOOKUP(_xlfn.CONCAT(P1942,", ",Q1942),'[1]T+S Costs'!$F$2:$F$3138,'[1]T+S Costs'!$N$2:$N$3138))</f>
        <v/>
      </c>
      <c r="Y1942" s="14" t="str">
        <f t="shared" si="154"/>
        <v/>
      </c>
      <c r="Z1942" s="4" t="str">
        <f t="shared" si="155"/>
        <v/>
      </c>
    </row>
    <row r="1943" spans="16:26" x14ac:dyDescent="0.25">
      <c r="P1943" s="10" t="str">
        <f>IF('[1]All Data '!AZ1948="","",'[1]All Data '!AZ1948)</f>
        <v/>
      </c>
      <c r="Q1943" s="10" t="str">
        <f>IF('[1]All Data '!BB1948="","",'[1]All Data '!BB1948)</f>
        <v/>
      </c>
      <c r="R1943" s="10" t="str">
        <f>IF('[1]All Data '!BD1948="","",'[1]All Data '!BD1948)</f>
        <v/>
      </c>
      <c r="S1943" s="11" t="str">
        <f>IF(R1943="","",'[1]All Data '!BE1948)</f>
        <v/>
      </c>
      <c r="T1943" s="12" t="str">
        <f>IF(S1943="","",[1]Inputs_Outputs!$B$8*(1-'LOCH Calc COE Calc'!S1943))</f>
        <v/>
      </c>
      <c r="U1943" s="13" t="str">
        <f t="shared" si="151"/>
        <v/>
      </c>
      <c r="V1943" s="13" t="str">
        <f t="shared" si="152"/>
        <v/>
      </c>
      <c r="W1943" s="4" t="str">
        <f t="shared" si="153"/>
        <v/>
      </c>
      <c r="X1943" t="str">
        <f>IF(W1943="","",LOOKUP(_xlfn.CONCAT(P1943,", ",Q1943),'[1]T+S Costs'!$F$2:$F$3138,'[1]T+S Costs'!$N$2:$N$3138))</f>
        <v/>
      </c>
      <c r="Y1943" s="14" t="str">
        <f t="shared" si="154"/>
        <v/>
      </c>
      <c r="Z1943" s="4" t="str">
        <f t="shared" si="155"/>
        <v/>
      </c>
    </row>
    <row r="1944" spans="16:26" x14ac:dyDescent="0.25">
      <c r="P1944" s="10" t="str">
        <f>IF('[1]All Data '!AZ1949="","",'[1]All Data '!AZ1949)</f>
        <v/>
      </c>
      <c r="Q1944" s="10" t="str">
        <f>IF('[1]All Data '!BB1949="","",'[1]All Data '!BB1949)</f>
        <v/>
      </c>
      <c r="R1944" s="10" t="str">
        <f>IF('[1]All Data '!BD1949="","",'[1]All Data '!BD1949)</f>
        <v/>
      </c>
      <c r="S1944" s="11" t="str">
        <f>IF(R1944="","",'[1]All Data '!BE1949)</f>
        <v/>
      </c>
      <c r="T1944" s="12" t="str">
        <f>IF(S1944="","",[1]Inputs_Outputs!$B$8*(1-'LOCH Calc COE Calc'!S1944))</f>
        <v/>
      </c>
      <c r="U1944" s="13" t="str">
        <f t="shared" si="151"/>
        <v/>
      </c>
      <c r="V1944" s="13" t="str">
        <f t="shared" si="152"/>
        <v/>
      </c>
      <c r="W1944" s="4" t="str">
        <f t="shared" si="153"/>
        <v/>
      </c>
      <c r="X1944" t="str">
        <f>IF(W1944="","",LOOKUP(_xlfn.CONCAT(P1944,", ",Q1944),'[1]T+S Costs'!$F$2:$F$3138,'[1]T+S Costs'!$N$2:$N$3138))</f>
        <v/>
      </c>
      <c r="Y1944" s="14" t="str">
        <f t="shared" si="154"/>
        <v/>
      </c>
      <c r="Z1944" s="4" t="str">
        <f t="shared" si="155"/>
        <v/>
      </c>
    </row>
    <row r="1945" spans="16:26" x14ac:dyDescent="0.25">
      <c r="P1945" s="10" t="str">
        <f>IF('[1]All Data '!AZ1950="","",'[1]All Data '!AZ1950)</f>
        <v/>
      </c>
      <c r="Q1945" s="10" t="str">
        <f>IF('[1]All Data '!BB1950="","",'[1]All Data '!BB1950)</f>
        <v/>
      </c>
      <c r="R1945" s="10" t="str">
        <f>IF('[1]All Data '!BD1950="","",'[1]All Data '!BD1950)</f>
        <v/>
      </c>
      <c r="S1945" s="11" t="str">
        <f>IF(R1945="","",'[1]All Data '!BE1950)</f>
        <v/>
      </c>
      <c r="T1945" s="12" t="str">
        <f>IF(S1945="","",[1]Inputs_Outputs!$B$8*(1-'LOCH Calc COE Calc'!S1945))</f>
        <v/>
      </c>
      <c r="U1945" s="13" t="str">
        <f t="shared" si="151"/>
        <v/>
      </c>
      <c r="V1945" s="13" t="str">
        <f t="shared" si="152"/>
        <v/>
      </c>
      <c r="W1945" s="4" t="str">
        <f t="shared" si="153"/>
        <v/>
      </c>
      <c r="X1945" t="str">
        <f>IF(W1945="","",LOOKUP(_xlfn.CONCAT(P1945,", ",Q1945),'[1]T+S Costs'!$F$2:$F$3138,'[1]T+S Costs'!$N$2:$N$3138))</f>
        <v/>
      </c>
      <c r="Y1945" s="14" t="str">
        <f t="shared" si="154"/>
        <v/>
      </c>
      <c r="Z1945" s="4" t="str">
        <f t="shared" si="155"/>
        <v/>
      </c>
    </row>
    <row r="1946" spans="16:26" x14ac:dyDescent="0.25">
      <c r="P1946" s="10" t="str">
        <f>IF('[1]All Data '!AZ1951="","",'[1]All Data '!AZ1951)</f>
        <v/>
      </c>
      <c r="Q1946" s="10" t="str">
        <f>IF('[1]All Data '!BB1951="","",'[1]All Data '!BB1951)</f>
        <v/>
      </c>
      <c r="R1946" s="10" t="str">
        <f>IF('[1]All Data '!BD1951="","",'[1]All Data '!BD1951)</f>
        <v/>
      </c>
      <c r="S1946" s="11" t="str">
        <f>IF(R1946="","",'[1]All Data '!BE1951)</f>
        <v/>
      </c>
      <c r="T1946" s="12" t="str">
        <f>IF(S1946="","",[1]Inputs_Outputs!$B$8*(1-'LOCH Calc COE Calc'!S1946))</f>
        <v/>
      </c>
      <c r="U1946" s="13" t="str">
        <f t="shared" si="151"/>
        <v/>
      </c>
      <c r="V1946" s="13" t="str">
        <f t="shared" si="152"/>
        <v/>
      </c>
      <c r="W1946" s="4" t="str">
        <f t="shared" si="153"/>
        <v/>
      </c>
      <c r="X1946" t="str">
        <f>IF(W1946="","",LOOKUP(_xlfn.CONCAT(P1946,", ",Q1946),'[1]T+S Costs'!$F$2:$F$3138,'[1]T+S Costs'!$N$2:$N$3138))</f>
        <v/>
      </c>
      <c r="Y1946" s="14" t="str">
        <f t="shared" si="154"/>
        <v/>
      </c>
      <c r="Z1946" s="4" t="str">
        <f t="shared" si="155"/>
        <v/>
      </c>
    </row>
    <row r="1947" spans="16:26" x14ac:dyDescent="0.25">
      <c r="P1947" s="10" t="str">
        <f>IF('[1]All Data '!AZ1952="","",'[1]All Data '!AZ1952)</f>
        <v/>
      </c>
      <c r="Q1947" s="10" t="str">
        <f>IF('[1]All Data '!BB1952="","",'[1]All Data '!BB1952)</f>
        <v/>
      </c>
      <c r="R1947" s="10" t="str">
        <f>IF('[1]All Data '!BD1952="","",'[1]All Data '!BD1952)</f>
        <v/>
      </c>
      <c r="S1947" s="11" t="str">
        <f>IF(R1947="","",'[1]All Data '!BE1952)</f>
        <v/>
      </c>
      <c r="T1947" s="12" t="str">
        <f>IF(S1947="","",[1]Inputs_Outputs!$B$8*(1-'LOCH Calc COE Calc'!S1947))</f>
        <v/>
      </c>
      <c r="U1947" s="13" t="str">
        <f t="shared" si="151"/>
        <v/>
      </c>
      <c r="V1947" s="13" t="str">
        <f t="shared" si="152"/>
        <v/>
      </c>
      <c r="W1947" s="4" t="str">
        <f t="shared" si="153"/>
        <v/>
      </c>
      <c r="X1947" t="str">
        <f>IF(W1947="","",LOOKUP(_xlfn.CONCAT(P1947,", ",Q1947),'[1]T+S Costs'!$F$2:$F$3138,'[1]T+S Costs'!$N$2:$N$3138))</f>
        <v/>
      </c>
      <c r="Y1947" s="14" t="str">
        <f t="shared" si="154"/>
        <v/>
      </c>
      <c r="Z1947" s="4" t="str">
        <f t="shared" si="155"/>
        <v/>
      </c>
    </row>
    <row r="1948" spans="16:26" x14ac:dyDescent="0.25">
      <c r="P1948" s="10" t="str">
        <f>IF('[1]All Data '!AZ1953="","",'[1]All Data '!AZ1953)</f>
        <v/>
      </c>
      <c r="Q1948" s="10" t="str">
        <f>IF('[1]All Data '!BB1953="","",'[1]All Data '!BB1953)</f>
        <v/>
      </c>
      <c r="R1948" s="10" t="str">
        <f>IF('[1]All Data '!BD1953="","",'[1]All Data '!BD1953)</f>
        <v/>
      </c>
      <c r="S1948" s="11" t="str">
        <f>IF(R1948="","",'[1]All Data '!BE1953)</f>
        <v/>
      </c>
      <c r="T1948" s="12" t="str">
        <f>IF(S1948="","",[1]Inputs_Outputs!$B$8*(1-'LOCH Calc COE Calc'!S1948))</f>
        <v/>
      </c>
      <c r="U1948" s="13" t="str">
        <f t="shared" si="151"/>
        <v/>
      </c>
      <c r="V1948" s="13" t="str">
        <f t="shared" si="152"/>
        <v/>
      </c>
      <c r="W1948" s="4" t="str">
        <f t="shared" si="153"/>
        <v/>
      </c>
      <c r="X1948" t="str">
        <f>IF(W1948="","",LOOKUP(_xlfn.CONCAT(P1948,", ",Q1948),'[1]T+S Costs'!$F$2:$F$3138,'[1]T+S Costs'!$N$2:$N$3138))</f>
        <v/>
      </c>
      <c r="Y1948" s="14" t="str">
        <f t="shared" si="154"/>
        <v/>
      </c>
      <c r="Z1948" s="4" t="str">
        <f t="shared" si="155"/>
        <v/>
      </c>
    </row>
    <row r="1949" spans="16:26" x14ac:dyDescent="0.25">
      <c r="P1949" s="10" t="str">
        <f>IF('[1]All Data '!AZ1954="","",'[1]All Data '!AZ1954)</f>
        <v/>
      </c>
      <c r="Q1949" s="10" t="str">
        <f>IF('[1]All Data '!BB1954="","",'[1]All Data '!BB1954)</f>
        <v/>
      </c>
      <c r="R1949" s="10" t="str">
        <f>IF('[1]All Data '!BD1954="","",'[1]All Data '!BD1954)</f>
        <v/>
      </c>
      <c r="S1949" s="11" t="str">
        <f>IF(R1949="","",'[1]All Data '!BE1954)</f>
        <v/>
      </c>
      <c r="T1949" s="12" t="str">
        <f>IF(S1949="","",[1]Inputs_Outputs!$B$8*(1-'LOCH Calc COE Calc'!S1949))</f>
        <v/>
      </c>
      <c r="U1949" s="13" t="str">
        <f t="shared" si="151"/>
        <v/>
      </c>
      <c r="V1949" s="13" t="str">
        <f t="shared" si="152"/>
        <v/>
      </c>
      <c r="W1949" s="4" t="str">
        <f t="shared" si="153"/>
        <v/>
      </c>
      <c r="X1949" t="str">
        <f>IF(W1949="","",LOOKUP(_xlfn.CONCAT(P1949,", ",Q1949),'[1]T+S Costs'!$F$2:$F$3138,'[1]T+S Costs'!$N$2:$N$3138))</f>
        <v/>
      </c>
      <c r="Y1949" s="14" t="str">
        <f t="shared" si="154"/>
        <v/>
      </c>
      <c r="Z1949" s="4" t="str">
        <f t="shared" si="155"/>
        <v/>
      </c>
    </row>
    <row r="1950" spans="16:26" x14ac:dyDescent="0.25">
      <c r="P1950" s="10" t="str">
        <f>IF('[1]All Data '!AZ1955="","",'[1]All Data '!AZ1955)</f>
        <v/>
      </c>
      <c r="Q1950" s="10" t="str">
        <f>IF('[1]All Data '!BB1955="","",'[1]All Data '!BB1955)</f>
        <v/>
      </c>
      <c r="R1950" s="10" t="str">
        <f>IF('[1]All Data '!BD1955="","",'[1]All Data '!BD1955)</f>
        <v/>
      </c>
      <c r="S1950" s="11" t="str">
        <f>IF(R1950="","",'[1]All Data '!BE1955)</f>
        <v/>
      </c>
      <c r="T1950" s="12" t="str">
        <f>IF(S1950="","",[1]Inputs_Outputs!$B$8*(1-'LOCH Calc COE Calc'!S1950))</f>
        <v/>
      </c>
      <c r="U1950" s="13" t="str">
        <f t="shared" si="151"/>
        <v/>
      </c>
      <c r="V1950" s="13" t="str">
        <f t="shared" si="152"/>
        <v/>
      </c>
      <c r="W1950" s="4" t="str">
        <f t="shared" si="153"/>
        <v/>
      </c>
      <c r="X1950" t="str">
        <f>IF(W1950="","",LOOKUP(_xlfn.CONCAT(P1950,", ",Q1950),'[1]T+S Costs'!$F$2:$F$3138,'[1]T+S Costs'!$N$2:$N$3138))</f>
        <v/>
      </c>
      <c r="Y1950" s="14" t="str">
        <f t="shared" si="154"/>
        <v/>
      </c>
      <c r="Z1950" s="4" t="str">
        <f t="shared" si="155"/>
        <v/>
      </c>
    </row>
    <row r="1951" spans="16:26" x14ac:dyDescent="0.25">
      <c r="P1951" s="10" t="str">
        <f>IF('[1]All Data '!AZ1956="","",'[1]All Data '!AZ1956)</f>
        <v/>
      </c>
      <c r="Q1951" s="10" t="str">
        <f>IF('[1]All Data '!BB1956="","",'[1]All Data '!BB1956)</f>
        <v/>
      </c>
      <c r="R1951" s="10" t="str">
        <f>IF('[1]All Data '!BD1956="","",'[1]All Data '!BD1956)</f>
        <v/>
      </c>
      <c r="S1951" s="11" t="str">
        <f>IF(R1951="","",'[1]All Data '!BE1956)</f>
        <v/>
      </c>
      <c r="T1951" s="12" t="str">
        <f>IF(S1951="","",[1]Inputs_Outputs!$B$8*(1-'LOCH Calc COE Calc'!S1951))</f>
        <v/>
      </c>
      <c r="U1951" s="13" t="str">
        <f t="shared" si="151"/>
        <v/>
      </c>
      <c r="V1951" s="13" t="str">
        <f t="shared" si="152"/>
        <v/>
      </c>
      <c r="W1951" s="4" t="str">
        <f t="shared" si="153"/>
        <v/>
      </c>
      <c r="X1951" t="str">
        <f>IF(W1951="","",LOOKUP(_xlfn.CONCAT(P1951,", ",Q1951),'[1]T+S Costs'!$F$2:$F$3138,'[1]T+S Costs'!$N$2:$N$3138))</f>
        <v/>
      </c>
      <c r="Y1951" s="14" t="str">
        <f t="shared" si="154"/>
        <v/>
      </c>
      <c r="Z1951" s="4" t="str">
        <f t="shared" si="155"/>
        <v/>
      </c>
    </row>
    <row r="1952" spans="16:26" x14ac:dyDescent="0.25">
      <c r="P1952" s="10" t="str">
        <f>IF('[1]All Data '!AZ1957="","",'[1]All Data '!AZ1957)</f>
        <v/>
      </c>
      <c r="Q1952" s="10" t="str">
        <f>IF('[1]All Data '!BB1957="","",'[1]All Data '!BB1957)</f>
        <v/>
      </c>
      <c r="R1952" s="10" t="str">
        <f>IF('[1]All Data '!BD1957="","",'[1]All Data '!BD1957)</f>
        <v/>
      </c>
      <c r="S1952" s="11" t="str">
        <f>IF(R1952="","",'[1]All Data '!BE1957)</f>
        <v/>
      </c>
      <c r="T1952" s="12" t="str">
        <f>IF(S1952="","",[1]Inputs_Outputs!$B$8*(1-'LOCH Calc COE Calc'!S1952))</f>
        <v/>
      </c>
      <c r="U1952" s="13" t="str">
        <f t="shared" si="151"/>
        <v/>
      </c>
      <c r="V1952" s="13" t="str">
        <f t="shared" si="152"/>
        <v/>
      </c>
      <c r="W1952" s="4" t="str">
        <f t="shared" si="153"/>
        <v/>
      </c>
      <c r="X1952" t="str">
        <f>IF(W1952="","",LOOKUP(_xlfn.CONCAT(P1952,", ",Q1952),'[1]T+S Costs'!$F$2:$F$3138,'[1]T+S Costs'!$N$2:$N$3138))</f>
        <v/>
      </c>
      <c r="Y1952" s="14" t="str">
        <f t="shared" si="154"/>
        <v/>
      </c>
      <c r="Z1952" s="4" t="str">
        <f t="shared" si="155"/>
        <v/>
      </c>
    </row>
    <row r="1953" spans="16:26" x14ac:dyDescent="0.25">
      <c r="P1953" s="10" t="str">
        <f>IF('[1]All Data '!AZ1958="","",'[1]All Data '!AZ1958)</f>
        <v/>
      </c>
      <c r="Q1953" s="10" t="str">
        <f>IF('[1]All Data '!BB1958="","",'[1]All Data '!BB1958)</f>
        <v/>
      </c>
      <c r="R1953" s="10" t="str">
        <f>IF('[1]All Data '!BD1958="","",'[1]All Data '!BD1958)</f>
        <v/>
      </c>
      <c r="S1953" s="11" t="str">
        <f>IF(R1953="","",'[1]All Data '!BE1958)</f>
        <v/>
      </c>
      <c r="T1953" s="12" t="str">
        <f>IF(S1953="","",[1]Inputs_Outputs!$B$8*(1-'LOCH Calc COE Calc'!S1953))</f>
        <v/>
      </c>
      <c r="U1953" s="13" t="str">
        <f t="shared" si="151"/>
        <v/>
      </c>
      <c r="V1953" s="13" t="str">
        <f t="shared" si="152"/>
        <v/>
      </c>
      <c r="W1953" s="4" t="str">
        <f t="shared" si="153"/>
        <v/>
      </c>
      <c r="X1953" t="str">
        <f>IF(W1953="","",LOOKUP(_xlfn.CONCAT(P1953,", ",Q1953),'[1]T+S Costs'!$F$2:$F$3138,'[1]T+S Costs'!$N$2:$N$3138))</f>
        <v/>
      </c>
      <c r="Y1953" s="14" t="str">
        <f t="shared" si="154"/>
        <v/>
      </c>
      <c r="Z1953" s="4" t="str">
        <f t="shared" si="155"/>
        <v/>
      </c>
    </row>
    <row r="1954" spans="16:26" x14ac:dyDescent="0.25">
      <c r="P1954" s="10" t="str">
        <f>IF('[1]All Data '!AZ1959="","",'[1]All Data '!AZ1959)</f>
        <v/>
      </c>
      <c r="Q1954" s="10" t="str">
        <f>IF('[1]All Data '!BB1959="","",'[1]All Data '!BB1959)</f>
        <v/>
      </c>
      <c r="R1954" s="10" t="str">
        <f>IF('[1]All Data '!BD1959="","",'[1]All Data '!BD1959)</f>
        <v/>
      </c>
      <c r="S1954" s="11" t="str">
        <f>IF(R1954="","",'[1]All Data '!BE1959)</f>
        <v/>
      </c>
      <c r="T1954" s="12" t="str">
        <f>IF(S1954="","",[1]Inputs_Outputs!$B$8*(1-'LOCH Calc COE Calc'!S1954))</f>
        <v/>
      </c>
      <c r="U1954" s="13" t="str">
        <f t="shared" si="151"/>
        <v/>
      </c>
      <c r="V1954" s="13" t="str">
        <f t="shared" si="152"/>
        <v/>
      </c>
      <c r="W1954" s="4" t="str">
        <f t="shared" si="153"/>
        <v/>
      </c>
      <c r="X1954" t="str">
        <f>IF(W1954="","",LOOKUP(_xlfn.CONCAT(P1954,", ",Q1954),'[1]T+S Costs'!$F$2:$F$3138,'[1]T+S Costs'!$N$2:$N$3138))</f>
        <v/>
      </c>
      <c r="Y1954" s="14" t="str">
        <f t="shared" si="154"/>
        <v/>
      </c>
      <c r="Z1954" s="4" t="str">
        <f t="shared" si="155"/>
        <v/>
      </c>
    </row>
    <row r="1955" spans="16:26" x14ac:dyDescent="0.25">
      <c r="P1955" s="10" t="str">
        <f>IF('[1]All Data '!AZ1960="","",'[1]All Data '!AZ1960)</f>
        <v/>
      </c>
      <c r="Q1955" s="10" t="str">
        <f>IF('[1]All Data '!BB1960="","",'[1]All Data '!BB1960)</f>
        <v/>
      </c>
      <c r="R1955" s="10" t="str">
        <f>IF('[1]All Data '!BD1960="","",'[1]All Data '!BD1960)</f>
        <v/>
      </c>
      <c r="S1955" s="11" t="str">
        <f>IF(R1955="","",'[1]All Data '!BE1960)</f>
        <v/>
      </c>
      <c r="T1955" s="12" t="str">
        <f>IF(S1955="","",[1]Inputs_Outputs!$B$8*(1-'LOCH Calc COE Calc'!S1955))</f>
        <v/>
      </c>
      <c r="U1955" s="13" t="str">
        <f t="shared" si="151"/>
        <v/>
      </c>
      <c r="V1955" s="13" t="str">
        <f t="shared" si="152"/>
        <v/>
      </c>
      <c r="W1955" s="4" t="str">
        <f t="shared" si="153"/>
        <v/>
      </c>
      <c r="X1955" t="str">
        <f>IF(W1955="","",LOOKUP(_xlfn.CONCAT(P1955,", ",Q1955),'[1]T+S Costs'!$F$2:$F$3138,'[1]T+S Costs'!$N$2:$N$3138))</f>
        <v/>
      </c>
      <c r="Y1955" s="14" t="str">
        <f t="shared" si="154"/>
        <v/>
      </c>
      <c r="Z1955" s="4" t="str">
        <f t="shared" si="155"/>
        <v/>
      </c>
    </row>
    <row r="1956" spans="16:26" x14ac:dyDescent="0.25">
      <c r="P1956" s="10" t="str">
        <f>IF('[1]All Data '!AZ1961="","",'[1]All Data '!AZ1961)</f>
        <v/>
      </c>
      <c r="Q1956" s="10" t="str">
        <f>IF('[1]All Data '!BB1961="","",'[1]All Data '!BB1961)</f>
        <v/>
      </c>
      <c r="R1956" s="10" t="str">
        <f>IF('[1]All Data '!BD1961="","",'[1]All Data '!BD1961)</f>
        <v/>
      </c>
      <c r="S1956" s="11" t="str">
        <f>IF(R1956="","",'[1]All Data '!BE1961)</f>
        <v/>
      </c>
      <c r="T1956" s="12" t="str">
        <f>IF(S1956="","",[1]Inputs_Outputs!$B$8*(1-'LOCH Calc COE Calc'!S1956))</f>
        <v/>
      </c>
      <c r="U1956" s="13" t="str">
        <f t="shared" si="151"/>
        <v/>
      </c>
      <c r="V1956" s="13" t="str">
        <f t="shared" si="152"/>
        <v/>
      </c>
      <c r="W1956" s="4" t="str">
        <f t="shared" si="153"/>
        <v/>
      </c>
      <c r="X1956" t="str">
        <f>IF(W1956="","",LOOKUP(_xlfn.CONCAT(P1956,", ",Q1956),'[1]T+S Costs'!$F$2:$F$3138,'[1]T+S Costs'!$N$2:$N$3138))</f>
        <v/>
      </c>
      <c r="Y1956" s="14" t="str">
        <f t="shared" si="154"/>
        <v/>
      </c>
      <c r="Z1956" s="4" t="str">
        <f t="shared" si="155"/>
        <v/>
      </c>
    </row>
    <row r="1957" spans="16:26" x14ac:dyDescent="0.25">
      <c r="P1957" s="10" t="str">
        <f>IF('[1]All Data '!AZ1962="","",'[1]All Data '!AZ1962)</f>
        <v/>
      </c>
      <c r="Q1957" s="10" t="str">
        <f>IF('[1]All Data '!BB1962="","",'[1]All Data '!BB1962)</f>
        <v/>
      </c>
      <c r="R1957" s="10" t="str">
        <f>IF('[1]All Data '!BD1962="","",'[1]All Data '!BD1962)</f>
        <v/>
      </c>
      <c r="S1957" s="11" t="str">
        <f>IF(R1957="","",'[1]All Data '!BE1962)</f>
        <v/>
      </c>
      <c r="T1957" s="12" t="str">
        <f>IF(S1957="","",[1]Inputs_Outputs!$B$8*(1-'LOCH Calc COE Calc'!S1957))</f>
        <v/>
      </c>
      <c r="U1957" s="13" t="str">
        <f t="shared" si="151"/>
        <v/>
      </c>
      <c r="V1957" s="13" t="str">
        <f t="shared" si="152"/>
        <v/>
      </c>
      <c r="W1957" s="4" t="str">
        <f t="shared" si="153"/>
        <v/>
      </c>
      <c r="X1957" t="str">
        <f>IF(W1957="","",LOOKUP(_xlfn.CONCAT(P1957,", ",Q1957),'[1]T+S Costs'!$F$2:$F$3138,'[1]T+S Costs'!$N$2:$N$3138))</f>
        <v/>
      </c>
      <c r="Y1957" s="14" t="str">
        <f t="shared" si="154"/>
        <v/>
      </c>
      <c r="Z1957" s="4" t="str">
        <f t="shared" si="155"/>
        <v/>
      </c>
    </row>
    <row r="1958" spans="16:26" x14ac:dyDescent="0.25">
      <c r="P1958" s="10" t="str">
        <f>IF('[1]All Data '!AZ1963="","",'[1]All Data '!AZ1963)</f>
        <v/>
      </c>
      <c r="Q1958" s="10" t="str">
        <f>IF('[1]All Data '!BB1963="","",'[1]All Data '!BB1963)</f>
        <v/>
      </c>
      <c r="R1958" s="10" t="str">
        <f>IF('[1]All Data '!BD1963="","",'[1]All Data '!BD1963)</f>
        <v/>
      </c>
      <c r="S1958" s="11" t="str">
        <f>IF(R1958="","",'[1]All Data '!BE1963)</f>
        <v/>
      </c>
      <c r="T1958" s="12" t="str">
        <f>IF(S1958="","",[1]Inputs_Outputs!$B$8*(1-'LOCH Calc COE Calc'!S1958))</f>
        <v/>
      </c>
      <c r="U1958" s="13" t="str">
        <f t="shared" si="151"/>
        <v/>
      </c>
      <c r="V1958" s="13" t="str">
        <f t="shared" si="152"/>
        <v/>
      </c>
      <c r="W1958" s="4" t="str">
        <f t="shared" si="153"/>
        <v/>
      </c>
      <c r="X1958" t="str">
        <f>IF(W1958="","",LOOKUP(_xlfn.CONCAT(P1958,", ",Q1958),'[1]T+S Costs'!$F$2:$F$3138,'[1]T+S Costs'!$N$2:$N$3138))</f>
        <v/>
      </c>
      <c r="Y1958" s="14" t="str">
        <f t="shared" si="154"/>
        <v/>
      </c>
      <c r="Z1958" s="4" t="str">
        <f t="shared" si="155"/>
        <v/>
      </c>
    </row>
    <row r="1959" spans="16:26" x14ac:dyDescent="0.25">
      <c r="P1959" s="10" t="str">
        <f>IF('[1]All Data '!AZ1964="","",'[1]All Data '!AZ1964)</f>
        <v/>
      </c>
      <c r="Q1959" s="10" t="str">
        <f>IF('[1]All Data '!BB1964="","",'[1]All Data '!BB1964)</f>
        <v/>
      </c>
      <c r="R1959" s="10" t="str">
        <f>IF('[1]All Data '!BD1964="","",'[1]All Data '!BD1964)</f>
        <v/>
      </c>
      <c r="S1959" s="11" t="str">
        <f>IF(R1959="","",'[1]All Data '!BE1964)</f>
        <v/>
      </c>
      <c r="T1959" s="12" t="str">
        <f>IF(S1959="","",[1]Inputs_Outputs!$B$8*(1-'LOCH Calc COE Calc'!S1959))</f>
        <v/>
      </c>
      <c r="U1959" s="13" t="str">
        <f t="shared" si="151"/>
        <v/>
      </c>
      <c r="V1959" s="13" t="str">
        <f t="shared" si="152"/>
        <v/>
      </c>
      <c r="W1959" s="4" t="str">
        <f t="shared" si="153"/>
        <v/>
      </c>
      <c r="X1959" t="str">
        <f>IF(W1959="","",LOOKUP(_xlfn.CONCAT(P1959,", ",Q1959),'[1]T+S Costs'!$F$2:$F$3138,'[1]T+S Costs'!$N$2:$N$3138))</f>
        <v/>
      </c>
      <c r="Y1959" s="14" t="str">
        <f t="shared" si="154"/>
        <v/>
      </c>
      <c r="Z1959" s="4" t="str">
        <f t="shared" si="155"/>
        <v/>
      </c>
    </row>
    <row r="1960" spans="16:26" x14ac:dyDescent="0.25">
      <c r="P1960" s="10" t="str">
        <f>IF('[1]All Data '!AZ1965="","",'[1]All Data '!AZ1965)</f>
        <v/>
      </c>
      <c r="Q1960" s="10" t="str">
        <f>IF('[1]All Data '!BB1965="","",'[1]All Data '!BB1965)</f>
        <v/>
      </c>
      <c r="R1960" s="10" t="str">
        <f>IF('[1]All Data '!BD1965="","",'[1]All Data '!BD1965)</f>
        <v/>
      </c>
      <c r="S1960" s="11" t="str">
        <f>IF(R1960="","",'[1]All Data '!BE1965)</f>
        <v/>
      </c>
      <c r="T1960" s="12" t="str">
        <f>IF(S1960="","",[1]Inputs_Outputs!$B$8*(1-'LOCH Calc COE Calc'!S1960))</f>
        <v/>
      </c>
      <c r="U1960" s="13" t="str">
        <f t="shared" si="151"/>
        <v/>
      </c>
      <c r="V1960" s="13" t="str">
        <f t="shared" si="152"/>
        <v/>
      </c>
      <c r="W1960" s="4" t="str">
        <f t="shared" si="153"/>
        <v/>
      </c>
      <c r="X1960" t="str">
        <f>IF(W1960="","",LOOKUP(_xlfn.CONCAT(P1960,", ",Q1960),'[1]T+S Costs'!$F$2:$F$3138,'[1]T+S Costs'!$N$2:$N$3138))</f>
        <v/>
      </c>
      <c r="Y1960" s="14" t="str">
        <f t="shared" si="154"/>
        <v/>
      </c>
      <c r="Z1960" s="4" t="str">
        <f t="shared" si="155"/>
        <v/>
      </c>
    </row>
    <row r="1961" spans="16:26" x14ac:dyDescent="0.25">
      <c r="P1961" s="10" t="str">
        <f>IF('[1]All Data '!AZ1966="","",'[1]All Data '!AZ1966)</f>
        <v/>
      </c>
      <c r="Q1961" s="10" t="str">
        <f>IF('[1]All Data '!BB1966="","",'[1]All Data '!BB1966)</f>
        <v/>
      </c>
      <c r="R1961" s="10" t="str">
        <f>IF('[1]All Data '!BD1966="","",'[1]All Data '!BD1966)</f>
        <v/>
      </c>
      <c r="S1961" s="11" t="str">
        <f>IF(R1961="","",'[1]All Data '!BE1966)</f>
        <v/>
      </c>
      <c r="T1961" s="12" t="str">
        <f>IF(S1961="","",[1]Inputs_Outputs!$B$8*(1-'LOCH Calc COE Calc'!S1961))</f>
        <v/>
      </c>
      <c r="U1961" s="13" t="str">
        <f t="shared" si="151"/>
        <v/>
      </c>
      <c r="V1961" s="13" t="str">
        <f t="shared" si="152"/>
        <v/>
      </c>
      <c r="W1961" s="4" t="str">
        <f t="shared" si="153"/>
        <v/>
      </c>
      <c r="X1961" t="str">
        <f>IF(W1961="","",LOOKUP(_xlfn.CONCAT(P1961,", ",Q1961),'[1]T+S Costs'!$F$2:$F$3138,'[1]T+S Costs'!$N$2:$N$3138))</f>
        <v/>
      </c>
      <c r="Y1961" s="14" t="str">
        <f t="shared" si="154"/>
        <v/>
      </c>
      <c r="Z1961" s="4" t="str">
        <f t="shared" si="155"/>
        <v/>
      </c>
    </row>
    <row r="1962" spans="16:26" x14ac:dyDescent="0.25">
      <c r="P1962" s="10" t="str">
        <f>IF('[1]All Data '!AZ1967="","",'[1]All Data '!AZ1967)</f>
        <v/>
      </c>
      <c r="Q1962" s="10" t="str">
        <f>IF('[1]All Data '!BB1967="","",'[1]All Data '!BB1967)</f>
        <v/>
      </c>
      <c r="R1962" s="10" t="str">
        <f>IF('[1]All Data '!BD1967="","",'[1]All Data '!BD1967)</f>
        <v/>
      </c>
      <c r="S1962" s="11" t="str">
        <f>IF(R1962="","",'[1]All Data '!BE1967)</f>
        <v/>
      </c>
      <c r="T1962" s="12" t="str">
        <f>IF(S1962="","",[1]Inputs_Outputs!$B$8*(1-'LOCH Calc COE Calc'!S1962))</f>
        <v/>
      </c>
      <c r="U1962" s="13" t="str">
        <f t="shared" si="151"/>
        <v/>
      </c>
      <c r="V1962" s="13" t="str">
        <f t="shared" si="152"/>
        <v/>
      </c>
      <c r="W1962" s="4" t="str">
        <f t="shared" si="153"/>
        <v/>
      </c>
      <c r="X1962" t="str">
        <f>IF(W1962="","",LOOKUP(_xlfn.CONCAT(P1962,", ",Q1962),'[1]T+S Costs'!$F$2:$F$3138,'[1]T+S Costs'!$N$2:$N$3138))</f>
        <v/>
      </c>
      <c r="Y1962" s="14" t="str">
        <f t="shared" si="154"/>
        <v/>
      </c>
      <c r="Z1962" s="4" t="str">
        <f t="shared" si="155"/>
        <v/>
      </c>
    </row>
    <row r="1963" spans="16:26" x14ac:dyDescent="0.25">
      <c r="P1963" s="10" t="str">
        <f>IF('[1]All Data '!AZ1968="","",'[1]All Data '!AZ1968)</f>
        <v/>
      </c>
      <c r="Q1963" s="10" t="str">
        <f>IF('[1]All Data '!BB1968="","",'[1]All Data '!BB1968)</f>
        <v/>
      </c>
      <c r="R1963" s="10" t="str">
        <f>IF('[1]All Data '!BD1968="","",'[1]All Data '!BD1968)</f>
        <v/>
      </c>
      <c r="S1963" s="11" t="str">
        <f>IF(R1963="","",'[1]All Data '!BE1968)</f>
        <v/>
      </c>
      <c r="T1963" s="12" t="str">
        <f>IF(S1963="","",[1]Inputs_Outputs!$B$8*(1-'LOCH Calc COE Calc'!S1963))</f>
        <v/>
      </c>
      <c r="U1963" s="13" t="str">
        <f t="shared" si="151"/>
        <v/>
      </c>
      <c r="V1963" s="13" t="str">
        <f t="shared" si="152"/>
        <v/>
      </c>
      <c r="W1963" s="4" t="str">
        <f t="shared" si="153"/>
        <v/>
      </c>
      <c r="X1963" t="str">
        <f>IF(W1963="","",LOOKUP(_xlfn.CONCAT(P1963,", ",Q1963),'[1]T+S Costs'!$F$2:$F$3138,'[1]T+S Costs'!$N$2:$N$3138))</f>
        <v/>
      </c>
      <c r="Y1963" s="14" t="str">
        <f t="shared" si="154"/>
        <v/>
      </c>
      <c r="Z1963" s="4" t="str">
        <f t="shared" si="155"/>
        <v/>
      </c>
    </row>
    <row r="1964" spans="16:26" x14ac:dyDescent="0.25">
      <c r="P1964" s="10" t="str">
        <f>IF('[1]All Data '!AZ1969="","",'[1]All Data '!AZ1969)</f>
        <v/>
      </c>
      <c r="Q1964" s="10" t="str">
        <f>IF('[1]All Data '!BB1969="","",'[1]All Data '!BB1969)</f>
        <v/>
      </c>
      <c r="R1964" s="10" t="str">
        <f>IF('[1]All Data '!BD1969="","",'[1]All Data '!BD1969)</f>
        <v/>
      </c>
      <c r="S1964" s="11" t="str">
        <f>IF(R1964="","",'[1]All Data '!BE1969)</f>
        <v/>
      </c>
      <c r="T1964" s="12" t="str">
        <f>IF(S1964="","",[1]Inputs_Outputs!$B$8*(1-'LOCH Calc COE Calc'!S1964))</f>
        <v/>
      </c>
      <c r="U1964" s="13" t="str">
        <f t="shared" si="151"/>
        <v/>
      </c>
      <c r="V1964" s="13" t="str">
        <f t="shared" si="152"/>
        <v/>
      </c>
      <c r="W1964" s="4" t="str">
        <f t="shared" si="153"/>
        <v/>
      </c>
      <c r="X1964" t="str">
        <f>IF(W1964="","",LOOKUP(_xlfn.CONCAT(P1964,", ",Q1964),'[1]T+S Costs'!$F$2:$F$3138,'[1]T+S Costs'!$N$2:$N$3138))</f>
        <v/>
      </c>
      <c r="Y1964" s="14" t="str">
        <f t="shared" si="154"/>
        <v/>
      </c>
      <c r="Z1964" s="4" t="str">
        <f t="shared" si="155"/>
        <v/>
      </c>
    </row>
    <row r="1965" spans="16:26" x14ac:dyDescent="0.25">
      <c r="P1965" s="10" t="str">
        <f>IF('[1]All Data '!AZ1970="","",'[1]All Data '!AZ1970)</f>
        <v/>
      </c>
      <c r="Q1965" s="10" t="str">
        <f>IF('[1]All Data '!BB1970="","",'[1]All Data '!BB1970)</f>
        <v/>
      </c>
      <c r="R1965" s="10" t="str">
        <f>IF('[1]All Data '!BD1970="","",'[1]All Data '!BD1970)</f>
        <v/>
      </c>
      <c r="S1965" s="11" t="str">
        <f>IF(R1965="","",'[1]All Data '!BE1970)</f>
        <v/>
      </c>
      <c r="T1965" s="12" t="str">
        <f>IF(S1965="","",[1]Inputs_Outputs!$B$8*(1-'LOCH Calc COE Calc'!S1965))</f>
        <v/>
      </c>
      <c r="U1965" s="13" t="str">
        <f t="shared" si="151"/>
        <v/>
      </c>
      <c r="V1965" s="13" t="str">
        <f t="shared" si="152"/>
        <v/>
      </c>
      <c r="W1965" s="4" t="str">
        <f t="shared" si="153"/>
        <v/>
      </c>
      <c r="X1965" t="str">
        <f>IF(W1965="","",LOOKUP(_xlfn.CONCAT(P1965,", ",Q1965),'[1]T+S Costs'!$F$2:$F$3138,'[1]T+S Costs'!$N$2:$N$3138))</f>
        <v/>
      </c>
      <c r="Y1965" s="14" t="str">
        <f t="shared" si="154"/>
        <v/>
      </c>
      <c r="Z1965" s="4" t="str">
        <f t="shared" si="155"/>
        <v/>
      </c>
    </row>
    <row r="1966" spans="16:26" x14ac:dyDescent="0.25">
      <c r="P1966" s="10" t="str">
        <f>IF('[1]All Data '!AZ1971="","",'[1]All Data '!AZ1971)</f>
        <v/>
      </c>
      <c r="Q1966" s="10" t="str">
        <f>IF('[1]All Data '!BB1971="","",'[1]All Data '!BB1971)</f>
        <v/>
      </c>
      <c r="R1966" s="10" t="str">
        <f>IF('[1]All Data '!BD1971="","",'[1]All Data '!BD1971)</f>
        <v/>
      </c>
      <c r="S1966" s="11" t="str">
        <f>IF(R1966="","",'[1]All Data '!BE1971)</f>
        <v/>
      </c>
      <c r="T1966" s="12" t="str">
        <f>IF(S1966="","",[1]Inputs_Outputs!$B$8*(1-'LOCH Calc COE Calc'!S1966))</f>
        <v/>
      </c>
      <c r="U1966" s="13" t="str">
        <f t="shared" si="151"/>
        <v/>
      </c>
      <c r="V1966" s="13" t="str">
        <f t="shared" si="152"/>
        <v/>
      </c>
      <c r="W1966" s="4" t="str">
        <f t="shared" si="153"/>
        <v/>
      </c>
      <c r="X1966" t="str">
        <f>IF(W1966="","",LOOKUP(_xlfn.CONCAT(P1966,", ",Q1966),'[1]T+S Costs'!$F$2:$F$3138,'[1]T+S Costs'!$N$2:$N$3138))</f>
        <v/>
      </c>
      <c r="Y1966" s="14" t="str">
        <f t="shared" si="154"/>
        <v/>
      </c>
      <c r="Z1966" s="4" t="str">
        <f t="shared" si="155"/>
        <v/>
      </c>
    </row>
    <row r="1967" spans="16:26" x14ac:dyDescent="0.25">
      <c r="P1967" s="10" t="str">
        <f>IF('[1]All Data '!AZ1972="","",'[1]All Data '!AZ1972)</f>
        <v/>
      </c>
      <c r="Q1967" s="10" t="str">
        <f>IF('[1]All Data '!BB1972="","",'[1]All Data '!BB1972)</f>
        <v/>
      </c>
      <c r="R1967" s="10" t="str">
        <f>IF('[1]All Data '!BD1972="","",'[1]All Data '!BD1972)</f>
        <v/>
      </c>
      <c r="S1967" s="11" t="str">
        <f>IF(R1967="","",'[1]All Data '!BE1972)</f>
        <v/>
      </c>
      <c r="T1967" s="12" t="str">
        <f>IF(S1967="","",[1]Inputs_Outputs!$B$8*(1-'LOCH Calc COE Calc'!S1967))</f>
        <v/>
      </c>
      <c r="U1967" s="13" t="str">
        <f t="shared" si="151"/>
        <v/>
      </c>
      <c r="V1967" s="13" t="str">
        <f t="shared" si="152"/>
        <v/>
      </c>
      <c r="W1967" s="4" t="str">
        <f t="shared" si="153"/>
        <v/>
      </c>
      <c r="X1967" t="str">
        <f>IF(W1967="","",LOOKUP(_xlfn.CONCAT(P1967,", ",Q1967),'[1]T+S Costs'!$F$2:$F$3138,'[1]T+S Costs'!$N$2:$N$3138))</f>
        <v/>
      </c>
      <c r="Y1967" s="14" t="str">
        <f t="shared" si="154"/>
        <v/>
      </c>
      <c r="Z1967" s="4" t="str">
        <f t="shared" si="155"/>
        <v/>
      </c>
    </row>
    <row r="1968" spans="16:26" x14ac:dyDescent="0.25">
      <c r="P1968" s="10" t="str">
        <f>IF('[1]All Data '!AZ1973="","",'[1]All Data '!AZ1973)</f>
        <v/>
      </c>
      <c r="Q1968" s="10" t="str">
        <f>IF('[1]All Data '!BB1973="","",'[1]All Data '!BB1973)</f>
        <v/>
      </c>
      <c r="R1968" s="10" t="str">
        <f>IF('[1]All Data '!BD1973="","",'[1]All Data '!BD1973)</f>
        <v/>
      </c>
      <c r="S1968" s="11" t="str">
        <f>IF(R1968="","",'[1]All Data '!BE1973)</f>
        <v/>
      </c>
      <c r="T1968" s="12" t="str">
        <f>IF(S1968="","",[1]Inputs_Outputs!$B$8*(1-'LOCH Calc COE Calc'!S1968))</f>
        <v/>
      </c>
      <c r="U1968" s="13" t="str">
        <f t="shared" si="151"/>
        <v/>
      </c>
      <c r="V1968" s="13" t="str">
        <f t="shared" si="152"/>
        <v/>
      </c>
      <c r="W1968" s="4" t="str">
        <f t="shared" si="153"/>
        <v/>
      </c>
      <c r="X1968" t="str">
        <f>IF(W1968="","",LOOKUP(_xlfn.CONCAT(P1968,", ",Q1968),'[1]T+S Costs'!$F$2:$F$3138,'[1]T+S Costs'!$N$2:$N$3138))</f>
        <v/>
      </c>
      <c r="Y1968" s="14" t="str">
        <f t="shared" si="154"/>
        <v/>
      </c>
      <c r="Z1968" s="4" t="str">
        <f t="shared" si="155"/>
        <v/>
      </c>
    </row>
    <row r="1969" spans="16:26" x14ac:dyDescent="0.25">
      <c r="P1969" s="10" t="str">
        <f>IF('[1]All Data '!AZ1974="","",'[1]All Data '!AZ1974)</f>
        <v/>
      </c>
      <c r="Q1969" s="10" t="str">
        <f>IF('[1]All Data '!BB1974="","",'[1]All Data '!BB1974)</f>
        <v/>
      </c>
      <c r="R1969" s="10" t="str">
        <f>IF('[1]All Data '!BD1974="","",'[1]All Data '!BD1974)</f>
        <v/>
      </c>
      <c r="S1969" s="11" t="str">
        <f>IF(R1969="","",'[1]All Data '!BE1974)</f>
        <v/>
      </c>
      <c r="T1969" s="12" t="str">
        <f>IF(S1969="","",[1]Inputs_Outputs!$B$8*(1-'LOCH Calc COE Calc'!S1969))</f>
        <v/>
      </c>
      <c r="U1969" s="13" t="str">
        <f t="shared" si="151"/>
        <v/>
      </c>
      <c r="V1969" s="13" t="str">
        <f t="shared" si="152"/>
        <v/>
      </c>
      <c r="W1969" s="4" t="str">
        <f t="shared" si="153"/>
        <v/>
      </c>
      <c r="X1969" t="str">
        <f>IF(W1969="","",LOOKUP(_xlfn.CONCAT(P1969,", ",Q1969),'[1]T+S Costs'!$F$2:$F$3138,'[1]T+S Costs'!$N$2:$N$3138))</f>
        <v/>
      </c>
      <c r="Y1969" s="14" t="str">
        <f t="shared" si="154"/>
        <v/>
      </c>
      <c r="Z1969" s="4" t="str">
        <f t="shared" si="155"/>
        <v/>
      </c>
    </row>
    <row r="1970" spans="16:26" x14ac:dyDescent="0.25">
      <c r="P1970" s="10" t="str">
        <f>IF('[1]All Data '!AZ1975="","",'[1]All Data '!AZ1975)</f>
        <v/>
      </c>
      <c r="Q1970" s="10" t="str">
        <f>IF('[1]All Data '!BB1975="","",'[1]All Data '!BB1975)</f>
        <v/>
      </c>
      <c r="R1970" s="10" t="str">
        <f>IF('[1]All Data '!BD1975="","",'[1]All Data '!BD1975)</f>
        <v/>
      </c>
      <c r="S1970" s="11" t="str">
        <f>IF(R1970="","",'[1]All Data '!BE1975)</f>
        <v/>
      </c>
      <c r="T1970" s="12" t="str">
        <f>IF(S1970="","",[1]Inputs_Outputs!$B$8*(1-'LOCH Calc COE Calc'!S1970))</f>
        <v/>
      </c>
      <c r="U1970" s="13" t="str">
        <f t="shared" si="151"/>
        <v/>
      </c>
      <c r="V1970" s="13" t="str">
        <f t="shared" si="152"/>
        <v/>
      </c>
      <c r="W1970" s="4" t="str">
        <f t="shared" si="153"/>
        <v/>
      </c>
      <c r="X1970" t="str">
        <f>IF(W1970="","",LOOKUP(_xlfn.CONCAT(P1970,", ",Q1970),'[1]T+S Costs'!$F$2:$F$3138,'[1]T+S Costs'!$N$2:$N$3138))</f>
        <v/>
      </c>
      <c r="Y1970" s="14" t="str">
        <f t="shared" si="154"/>
        <v/>
      </c>
      <c r="Z1970" s="4" t="str">
        <f t="shared" si="155"/>
        <v/>
      </c>
    </row>
    <row r="1971" spans="16:26" x14ac:dyDescent="0.25">
      <c r="P1971" s="10" t="str">
        <f>IF('[1]All Data '!AZ1976="","",'[1]All Data '!AZ1976)</f>
        <v/>
      </c>
      <c r="Q1971" s="10" t="str">
        <f>IF('[1]All Data '!BB1976="","",'[1]All Data '!BB1976)</f>
        <v/>
      </c>
      <c r="R1971" s="10" t="str">
        <f>IF('[1]All Data '!BD1976="","",'[1]All Data '!BD1976)</f>
        <v/>
      </c>
      <c r="S1971" s="11" t="str">
        <f>IF(R1971="","",'[1]All Data '!BE1976)</f>
        <v/>
      </c>
      <c r="T1971" s="12" t="str">
        <f>IF(S1971="","",[1]Inputs_Outputs!$B$8*(1-'LOCH Calc COE Calc'!S1971))</f>
        <v/>
      </c>
      <c r="U1971" s="13" t="str">
        <f t="shared" si="151"/>
        <v/>
      </c>
      <c r="V1971" s="13" t="str">
        <f t="shared" si="152"/>
        <v/>
      </c>
      <c r="W1971" s="4" t="str">
        <f t="shared" si="153"/>
        <v/>
      </c>
      <c r="X1971" t="str">
        <f>IF(W1971="","",LOOKUP(_xlfn.CONCAT(P1971,", ",Q1971),'[1]T+S Costs'!$F$2:$F$3138,'[1]T+S Costs'!$N$2:$N$3138))</f>
        <v/>
      </c>
      <c r="Y1971" s="14" t="str">
        <f t="shared" si="154"/>
        <v/>
      </c>
      <c r="Z1971" s="4" t="str">
        <f t="shared" si="155"/>
        <v/>
      </c>
    </row>
    <row r="1972" spans="16:26" x14ac:dyDescent="0.25">
      <c r="P1972" s="10" t="str">
        <f>IF('[1]All Data '!AZ1977="","",'[1]All Data '!AZ1977)</f>
        <v/>
      </c>
      <c r="Q1972" s="10" t="str">
        <f>IF('[1]All Data '!BB1977="","",'[1]All Data '!BB1977)</f>
        <v/>
      </c>
      <c r="R1972" s="10" t="str">
        <f>IF('[1]All Data '!BD1977="","",'[1]All Data '!BD1977)</f>
        <v/>
      </c>
      <c r="S1972" s="11" t="str">
        <f>IF(R1972="","",'[1]All Data '!BE1977)</f>
        <v/>
      </c>
      <c r="T1972" s="12" t="str">
        <f>IF(S1972="","",[1]Inputs_Outputs!$B$8*(1-'LOCH Calc COE Calc'!S1972))</f>
        <v/>
      </c>
      <c r="U1972" s="13" t="str">
        <f t="shared" si="151"/>
        <v/>
      </c>
      <c r="V1972" s="13" t="str">
        <f t="shared" si="152"/>
        <v/>
      </c>
      <c r="W1972" s="4" t="str">
        <f t="shared" si="153"/>
        <v/>
      </c>
      <c r="X1972" t="str">
        <f>IF(W1972="","",LOOKUP(_xlfn.CONCAT(P1972,", ",Q1972),'[1]T+S Costs'!$F$2:$F$3138,'[1]T+S Costs'!$N$2:$N$3138))</f>
        <v/>
      </c>
      <c r="Y1972" s="14" t="str">
        <f t="shared" si="154"/>
        <v/>
      </c>
      <c r="Z1972" s="4" t="str">
        <f t="shared" si="155"/>
        <v/>
      </c>
    </row>
    <row r="1973" spans="16:26" x14ac:dyDescent="0.25">
      <c r="P1973" s="10" t="str">
        <f>IF('[1]All Data '!AZ1978="","",'[1]All Data '!AZ1978)</f>
        <v/>
      </c>
      <c r="Q1973" s="10" t="str">
        <f>IF('[1]All Data '!BB1978="","",'[1]All Data '!BB1978)</f>
        <v/>
      </c>
      <c r="R1973" s="10" t="str">
        <f>IF('[1]All Data '!BD1978="","",'[1]All Data '!BD1978)</f>
        <v/>
      </c>
      <c r="S1973" s="11" t="str">
        <f>IF(R1973="","",'[1]All Data '!BE1978)</f>
        <v/>
      </c>
      <c r="T1973" s="12" t="str">
        <f>IF(S1973="","",[1]Inputs_Outputs!$B$8*(1-'LOCH Calc COE Calc'!S1973))</f>
        <v/>
      </c>
      <c r="U1973" s="13" t="str">
        <f t="shared" si="151"/>
        <v/>
      </c>
      <c r="V1973" s="13" t="str">
        <f t="shared" si="152"/>
        <v/>
      </c>
      <c r="W1973" s="4" t="str">
        <f t="shared" si="153"/>
        <v/>
      </c>
      <c r="X1973" t="str">
        <f>IF(W1973="","",LOOKUP(_xlfn.CONCAT(P1973,", ",Q1973),'[1]T+S Costs'!$F$2:$F$3138,'[1]T+S Costs'!$N$2:$N$3138))</f>
        <v/>
      </c>
      <c r="Y1973" s="14" t="str">
        <f t="shared" si="154"/>
        <v/>
      </c>
      <c r="Z1973" s="4" t="str">
        <f t="shared" si="155"/>
        <v/>
      </c>
    </row>
    <row r="1974" spans="16:26" x14ac:dyDescent="0.25">
      <c r="P1974" s="10" t="str">
        <f>IF('[1]All Data '!AZ1979="","",'[1]All Data '!AZ1979)</f>
        <v/>
      </c>
      <c r="Q1974" s="10" t="str">
        <f>IF('[1]All Data '!BB1979="","",'[1]All Data '!BB1979)</f>
        <v/>
      </c>
      <c r="R1974" s="10" t="str">
        <f>IF('[1]All Data '!BD1979="","",'[1]All Data '!BD1979)</f>
        <v/>
      </c>
      <c r="S1974" s="11" t="str">
        <f>IF(R1974="","",'[1]All Data '!BE1979)</f>
        <v/>
      </c>
      <c r="T1974" s="12" t="str">
        <f>IF(S1974="","",[1]Inputs_Outputs!$B$8*(1-'LOCH Calc COE Calc'!S1974))</f>
        <v/>
      </c>
      <c r="U1974" s="13" t="str">
        <f t="shared" si="151"/>
        <v/>
      </c>
      <c r="V1974" s="13" t="str">
        <f t="shared" si="152"/>
        <v/>
      </c>
      <c r="W1974" s="4" t="str">
        <f t="shared" si="153"/>
        <v/>
      </c>
      <c r="X1974" t="str">
        <f>IF(W1974="","",LOOKUP(_xlfn.CONCAT(P1974,", ",Q1974),'[1]T+S Costs'!$F$2:$F$3138,'[1]T+S Costs'!$N$2:$N$3138))</f>
        <v/>
      </c>
      <c r="Y1974" s="14" t="str">
        <f t="shared" si="154"/>
        <v/>
      </c>
      <c r="Z1974" s="4" t="str">
        <f t="shared" si="155"/>
        <v/>
      </c>
    </row>
    <row r="1975" spans="16:26" x14ac:dyDescent="0.25">
      <c r="P1975" s="10" t="str">
        <f>IF('[1]All Data '!AZ1980="","",'[1]All Data '!AZ1980)</f>
        <v/>
      </c>
      <c r="Q1975" s="10" t="str">
        <f>IF('[1]All Data '!BB1980="","",'[1]All Data '!BB1980)</f>
        <v/>
      </c>
      <c r="R1975" s="10" t="str">
        <f>IF('[1]All Data '!BD1980="","",'[1]All Data '!BD1980)</f>
        <v/>
      </c>
      <c r="S1975" s="11" t="str">
        <f>IF(R1975="","",'[1]All Data '!BE1980)</f>
        <v/>
      </c>
      <c r="T1975" s="12" t="str">
        <f>IF(S1975="","",[1]Inputs_Outputs!$B$8*(1-'LOCH Calc COE Calc'!S1975))</f>
        <v/>
      </c>
      <c r="U1975" s="13" t="str">
        <f t="shared" si="151"/>
        <v/>
      </c>
      <c r="V1975" s="13" t="str">
        <f t="shared" si="152"/>
        <v/>
      </c>
      <c r="W1975" s="4" t="str">
        <f t="shared" si="153"/>
        <v/>
      </c>
      <c r="X1975" t="str">
        <f>IF(W1975="","",LOOKUP(_xlfn.CONCAT(P1975,", ",Q1975),'[1]T+S Costs'!$F$2:$F$3138,'[1]T+S Costs'!$N$2:$N$3138))</f>
        <v/>
      </c>
      <c r="Y1975" s="14" t="str">
        <f t="shared" si="154"/>
        <v/>
      </c>
      <c r="Z1975" s="4" t="str">
        <f t="shared" si="155"/>
        <v/>
      </c>
    </row>
    <row r="1976" spans="16:26" x14ac:dyDescent="0.25">
      <c r="P1976" s="10" t="str">
        <f>IF('[1]All Data '!AZ1981="","",'[1]All Data '!AZ1981)</f>
        <v/>
      </c>
      <c r="Q1976" s="10" t="str">
        <f>IF('[1]All Data '!BB1981="","",'[1]All Data '!BB1981)</f>
        <v/>
      </c>
      <c r="R1976" s="10" t="str">
        <f>IF('[1]All Data '!BD1981="","",'[1]All Data '!BD1981)</f>
        <v/>
      </c>
      <c r="S1976" s="11" t="str">
        <f>IF(R1976="","",'[1]All Data '!BE1981)</f>
        <v/>
      </c>
      <c r="T1976" s="12" t="str">
        <f>IF(S1976="","",[1]Inputs_Outputs!$B$8*(1-'LOCH Calc COE Calc'!S1976))</f>
        <v/>
      </c>
      <c r="U1976" s="13" t="str">
        <f t="shared" si="151"/>
        <v/>
      </c>
      <c r="V1976" s="13" t="str">
        <f t="shared" si="152"/>
        <v/>
      </c>
      <c r="W1976" s="4" t="str">
        <f t="shared" si="153"/>
        <v/>
      </c>
      <c r="X1976" t="str">
        <f>IF(W1976="","",LOOKUP(_xlfn.CONCAT(P1976,", ",Q1976),'[1]T+S Costs'!$F$2:$F$3138,'[1]T+S Costs'!$N$2:$N$3138))</f>
        <v/>
      </c>
      <c r="Y1976" s="14" t="str">
        <f t="shared" si="154"/>
        <v/>
      </c>
      <c r="Z1976" s="4" t="str">
        <f t="shared" si="155"/>
        <v/>
      </c>
    </row>
    <row r="1977" spans="16:26" x14ac:dyDescent="0.25">
      <c r="P1977" s="10" t="str">
        <f>IF('[1]All Data '!AZ1982="","",'[1]All Data '!AZ1982)</f>
        <v/>
      </c>
      <c r="Q1977" s="10" t="str">
        <f>IF('[1]All Data '!BB1982="","",'[1]All Data '!BB1982)</f>
        <v/>
      </c>
      <c r="R1977" s="10" t="str">
        <f>IF('[1]All Data '!BD1982="","",'[1]All Data '!BD1982)</f>
        <v/>
      </c>
      <c r="S1977" s="11" t="str">
        <f>IF(R1977="","",'[1]All Data '!BE1982)</f>
        <v/>
      </c>
      <c r="T1977" s="12" t="str">
        <f>IF(S1977="","",[1]Inputs_Outputs!$B$8*(1-'LOCH Calc COE Calc'!S1977))</f>
        <v/>
      </c>
      <c r="U1977" s="13" t="str">
        <f t="shared" si="151"/>
        <v/>
      </c>
      <c r="V1977" s="13" t="str">
        <f t="shared" si="152"/>
        <v/>
      </c>
      <c r="W1977" s="4" t="str">
        <f t="shared" si="153"/>
        <v/>
      </c>
      <c r="X1977" t="str">
        <f>IF(W1977="","",LOOKUP(_xlfn.CONCAT(P1977,", ",Q1977),'[1]T+S Costs'!$F$2:$F$3138,'[1]T+S Costs'!$N$2:$N$3138))</f>
        <v/>
      </c>
      <c r="Y1977" s="14" t="str">
        <f t="shared" si="154"/>
        <v/>
      </c>
      <c r="Z1977" s="4" t="str">
        <f t="shared" si="155"/>
        <v/>
      </c>
    </row>
    <row r="1978" spans="16:26" x14ac:dyDescent="0.25">
      <c r="P1978" s="10" t="str">
        <f>IF('[1]All Data '!AZ1983="","",'[1]All Data '!AZ1983)</f>
        <v/>
      </c>
      <c r="Q1978" s="10" t="str">
        <f>IF('[1]All Data '!BB1983="","",'[1]All Data '!BB1983)</f>
        <v/>
      </c>
      <c r="R1978" s="10" t="str">
        <f>IF('[1]All Data '!BD1983="","",'[1]All Data '!BD1983)</f>
        <v/>
      </c>
      <c r="S1978" s="11" t="str">
        <f>IF(R1978="","",'[1]All Data '!BE1983)</f>
        <v/>
      </c>
      <c r="T1978" s="12" t="str">
        <f>IF(S1978="","",[1]Inputs_Outputs!$B$8*(1-'LOCH Calc COE Calc'!S1978))</f>
        <v/>
      </c>
      <c r="U1978" s="13" t="str">
        <f t="shared" si="151"/>
        <v/>
      </c>
      <c r="V1978" s="13" t="str">
        <f t="shared" si="152"/>
        <v/>
      </c>
      <c r="W1978" s="4" t="str">
        <f t="shared" si="153"/>
        <v/>
      </c>
      <c r="X1978" t="str">
        <f>IF(W1978="","",LOOKUP(_xlfn.CONCAT(P1978,", ",Q1978),'[1]T+S Costs'!$F$2:$F$3138,'[1]T+S Costs'!$N$2:$N$3138))</f>
        <v/>
      </c>
      <c r="Y1978" s="14" t="str">
        <f t="shared" si="154"/>
        <v/>
      </c>
      <c r="Z1978" s="4" t="str">
        <f t="shared" si="155"/>
        <v/>
      </c>
    </row>
    <row r="1979" spans="16:26" x14ac:dyDescent="0.25">
      <c r="P1979" s="10" t="str">
        <f>IF('[1]All Data '!AZ1984="","",'[1]All Data '!AZ1984)</f>
        <v/>
      </c>
      <c r="Q1979" s="10" t="str">
        <f>IF('[1]All Data '!BB1984="","",'[1]All Data '!BB1984)</f>
        <v/>
      </c>
      <c r="R1979" s="10" t="str">
        <f>IF('[1]All Data '!BD1984="","",'[1]All Data '!BD1984)</f>
        <v/>
      </c>
      <c r="S1979" s="11" t="str">
        <f>IF(R1979="","",'[1]All Data '!BE1984)</f>
        <v/>
      </c>
      <c r="T1979" s="12" t="str">
        <f>IF(S1979="","",[1]Inputs_Outputs!$B$8*(1-'LOCH Calc COE Calc'!S1979))</f>
        <v/>
      </c>
      <c r="U1979" s="13" t="str">
        <f t="shared" si="151"/>
        <v/>
      </c>
      <c r="V1979" s="13" t="str">
        <f t="shared" si="152"/>
        <v/>
      </c>
      <c r="W1979" s="4" t="str">
        <f t="shared" si="153"/>
        <v/>
      </c>
      <c r="X1979" t="str">
        <f>IF(W1979="","",LOOKUP(_xlfn.CONCAT(P1979,", ",Q1979),'[1]T+S Costs'!$F$2:$F$3138,'[1]T+S Costs'!$N$2:$N$3138))</f>
        <v/>
      </c>
      <c r="Y1979" s="14" t="str">
        <f t="shared" si="154"/>
        <v/>
      </c>
      <c r="Z1979" s="4" t="str">
        <f t="shared" si="155"/>
        <v/>
      </c>
    </row>
    <row r="1980" spans="16:26" x14ac:dyDescent="0.25">
      <c r="P1980" s="10" t="str">
        <f>IF('[1]All Data '!AZ1985="","",'[1]All Data '!AZ1985)</f>
        <v/>
      </c>
      <c r="Q1980" s="10" t="str">
        <f>IF('[1]All Data '!BB1985="","",'[1]All Data '!BB1985)</f>
        <v/>
      </c>
      <c r="R1980" s="10" t="str">
        <f>IF('[1]All Data '!BD1985="","",'[1]All Data '!BD1985)</f>
        <v/>
      </c>
      <c r="S1980" s="11" t="str">
        <f>IF(R1980="","",'[1]All Data '!BE1985)</f>
        <v/>
      </c>
      <c r="T1980" s="12" t="str">
        <f>IF(S1980="","",[1]Inputs_Outputs!$B$8*(1-'LOCH Calc COE Calc'!S1980))</f>
        <v/>
      </c>
      <c r="U1980" s="13" t="str">
        <f t="shared" si="151"/>
        <v/>
      </c>
      <c r="V1980" s="13" t="str">
        <f t="shared" si="152"/>
        <v/>
      </c>
      <c r="W1980" s="4" t="str">
        <f t="shared" si="153"/>
        <v/>
      </c>
      <c r="X1980" t="str">
        <f>IF(W1980="","",LOOKUP(_xlfn.CONCAT(P1980,", ",Q1980),'[1]T+S Costs'!$F$2:$F$3138,'[1]T+S Costs'!$N$2:$N$3138))</f>
        <v/>
      </c>
      <c r="Y1980" s="14" t="str">
        <f t="shared" si="154"/>
        <v/>
      </c>
      <c r="Z1980" s="4" t="str">
        <f t="shared" si="155"/>
        <v/>
      </c>
    </row>
    <row r="1981" spans="16:26" x14ac:dyDescent="0.25">
      <c r="P1981" s="10" t="str">
        <f>IF('[1]All Data '!AZ1986="","",'[1]All Data '!AZ1986)</f>
        <v/>
      </c>
      <c r="Q1981" s="10" t="str">
        <f>IF('[1]All Data '!BB1986="","",'[1]All Data '!BB1986)</f>
        <v/>
      </c>
      <c r="R1981" s="10" t="str">
        <f>IF('[1]All Data '!BD1986="","",'[1]All Data '!BD1986)</f>
        <v/>
      </c>
      <c r="S1981" s="11" t="str">
        <f>IF(R1981="","",'[1]All Data '!BE1986)</f>
        <v/>
      </c>
      <c r="T1981" s="12" t="str">
        <f>IF(S1981="","",[1]Inputs_Outputs!$B$8*(1-'LOCH Calc COE Calc'!S1981))</f>
        <v/>
      </c>
      <c r="U1981" s="13" t="str">
        <f t="shared" si="151"/>
        <v/>
      </c>
      <c r="V1981" s="13" t="str">
        <f t="shared" si="152"/>
        <v/>
      </c>
      <c r="W1981" s="4" t="str">
        <f t="shared" si="153"/>
        <v/>
      </c>
      <c r="X1981" t="str">
        <f>IF(W1981="","",LOOKUP(_xlfn.CONCAT(P1981,", ",Q1981),'[1]T+S Costs'!$F$2:$F$3138,'[1]T+S Costs'!$N$2:$N$3138))</f>
        <v/>
      </c>
      <c r="Y1981" s="14" t="str">
        <f t="shared" si="154"/>
        <v/>
      </c>
      <c r="Z1981" s="4" t="str">
        <f t="shared" si="155"/>
        <v/>
      </c>
    </row>
    <row r="1982" spans="16:26" x14ac:dyDescent="0.25">
      <c r="P1982" s="10" t="str">
        <f>IF('[1]All Data '!AZ1987="","",'[1]All Data '!AZ1987)</f>
        <v/>
      </c>
      <c r="Q1982" s="10" t="str">
        <f>IF('[1]All Data '!BB1987="","",'[1]All Data '!BB1987)</f>
        <v/>
      </c>
      <c r="R1982" s="10" t="str">
        <f>IF('[1]All Data '!BD1987="","",'[1]All Data '!BD1987)</f>
        <v/>
      </c>
      <c r="S1982" s="11" t="str">
        <f>IF(R1982="","",'[1]All Data '!BE1987)</f>
        <v/>
      </c>
      <c r="T1982" s="12" t="str">
        <f>IF(S1982="","",[1]Inputs_Outputs!$B$8*(1-'LOCH Calc COE Calc'!S1982))</f>
        <v/>
      </c>
      <c r="U1982" s="13" t="str">
        <f t="shared" si="151"/>
        <v/>
      </c>
      <c r="V1982" s="13" t="str">
        <f t="shared" si="152"/>
        <v/>
      </c>
      <c r="W1982" s="4" t="str">
        <f t="shared" si="153"/>
        <v/>
      </c>
      <c r="X1982" t="str">
        <f>IF(W1982="","",LOOKUP(_xlfn.CONCAT(P1982,", ",Q1982),'[1]T+S Costs'!$F$2:$F$3138,'[1]T+S Costs'!$N$2:$N$3138))</f>
        <v/>
      </c>
      <c r="Y1982" s="14" t="str">
        <f t="shared" si="154"/>
        <v/>
      </c>
      <c r="Z1982" s="4" t="str">
        <f t="shared" si="155"/>
        <v/>
      </c>
    </row>
    <row r="1983" spans="16:26" x14ac:dyDescent="0.25">
      <c r="P1983" s="10" t="str">
        <f>IF('[1]All Data '!AZ1988="","",'[1]All Data '!AZ1988)</f>
        <v/>
      </c>
      <c r="Q1983" s="10" t="str">
        <f>IF('[1]All Data '!BB1988="","",'[1]All Data '!BB1988)</f>
        <v/>
      </c>
      <c r="R1983" s="10" t="str">
        <f>IF('[1]All Data '!BD1988="","",'[1]All Data '!BD1988)</f>
        <v/>
      </c>
      <c r="S1983" s="11" t="str">
        <f>IF(R1983="","",'[1]All Data '!BE1988)</f>
        <v/>
      </c>
      <c r="T1983" s="12" t="str">
        <f>IF(S1983="","",[1]Inputs_Outputs!$B$8*(1-'LOCH Calc COE Calc'!S1983))</f>
        <v/>
      </c>
      <c r="U1983" s="13" t="str">
        <f t="shared" si="151"/>
        <v/>
      </c>
      <c r="V1983" s="13" t="str">
        <f t="shared" si="152"/>
        <v/>
      </c>
      <c r="W1983" s="4" t="str">
        <f t="shared" si="153"/>
        <v/>
      </c>
      <c r="X1983" t="str">
        <f>IF(W1983="","",LOOKUP(_xlfn.CONCAT(P1983,", ",Q1983),'[1]T+S Costs'!$F$2:$F$3138,'[1]T+S Costs'!$N$2:$N$3138))</f>
        <v/>
      </c>
      <c r="Y1983" s="14" t="str">
        <f t="shared" si="154"/>
        <v/>
      </c>
      <c r="Z1983" s="4" t="str">
        <f t="shared" si="155"/>
        <v/>
      </c>
    </row>
    <row r="1984" spans="16:26" x14ac:dyDescent="0.25">
      <c r="P1984" s="10" t="str">
        <f>IF('[1]All Data '!AZ1989="","",'[1]All Data '!AZ1989)</f>
        <v/>
      </c>
      <c r="Q1984" s="10" t="str">
        <f>IF('[1]All Data '!BB1989="","",'[1]All Data '!BB1989)</f>
        <v/>
      </c>
      <c r="R1984" s="10" t="str">
        <f>IF('[1]All Data '!BD1989="","",'[1]All Data '!BD1989)</f>
        <v/>
      </c>
      <c r="S1984" s="11" t="str">
        <f>IF(R1984="","",'[1]All Data '!BE1989)</f>
        <v/>
      </c>
      <c r="T1984" s="12" t="str">
        <f>IF(S1984="","",[1]Inputs_Outputs!$B$8*(1-'LOCH Calc COE Calc'!S1984))</f>
        <v/>
      </c>
      <c r="U1984" s="13" t="str">
        <f t="shared" si="151"/>
        <v/>
      </c>
      <c r="V1984" s="13" t="str">
        <f t="shared" si="152"/>
        <v/>
      </c>
      <c r="W1984" s="4" t="str">
        <f t="shared" si="153"/>
        <v/>
      </c>
      <c r="X1984" t="str">
        <f>IF(W1984="","",LOOKUP(_xlfn.CONCAT(P1984,", ",Q1984),'[1]T+S Costs'!$F$2:$F$3138,'[1]T+S Costs'!$N$2:$N$3138))</f>
        <v/>
      </c>
      <c r="Y1984" s="14" t="str">
        <f t="shared" si="154"/>
        <v/>
      </c>
      <c r="Z1984" s="4" t="str">
        <f t="shared" si="155"/>
        <v/>
      </c>
    </row>
    <row r="1985" spans="16:26" x14ac:dyDescent="0.25">
      <c r="P1985" s="10" t="str">
        <f>IF('[1]All Data '!AZ1990="","",'[1]All Data '!AZ1990)</f>
        <v/>
      </c>
      <c r="Q1985" s="10" t="str">
        <f>IF('[1]All Data '!BB1990="","",'[1]All Data '!BB1990)</f>
        <v/>
      </c>
      <c r="R1985" s="10" t="str">
        <f>IF('[1]All Data '!BD1990="","",'[1]All Data '!BD1990)</f>
        <v/>
      </c>
      <c r="S1985" s="11" t="str">
        <f>IF(R1985="","",'[1]All Data '!BE1990)</f>
        <v/>
      </c>
      <c r="T1985" s="12" t="str">
        <f>IF(S1985="","",[1]Inputs_Outputs!$B$8*(1-'LOCH Calc COE Calc'!S1985))</f>
        <v/>
      </c>
      <c r="U1985" s="13" t="str">
        <f t="shared" si="151"/>
        <v/>
      </c>
      <c r="V1985" s="13" t="str">
        <f t="shared" si="152"/>
        <v/>
      </c>
      <c r="W1985" s="4" t="str">
        <f t="shared" si="153"/>
        <v/>
      </c>
      <c r="X1985" t="str">
        <f>IF(W1985="","",LOOKUP(_xlfn.CONCAT(P1985,", ",Q1985),'[1]T+S Costs'!$F$2:$F$3138,'[1]T+S Costs'!$N$2:$N$3138))</f>
        <v/>
      </c>
      <c r="Y1985" s="14" t="str">
        <f t="shared" si="154"/>
        <v/>
      </c>
      <c r="Z1985" s="4" t="str">
        <f t="shared" si="155"/>
        <v/>
      </c>
    </row>
    <row r="1986" spans="16:26" x14ac:dyDescent="0.25">
      <c r="P1986" s="10" t="str">
        <f>IF('[1]All Data '!AZ1991="","",'[1]All Data '!AZ1991)</f>
        <v/>
      </c>
      <c r="Q1986" s="10" t="str">
        <f>IF('[1]All Data '!BB1991="","",'[1]All Data '!BB1991)</f>
        <v/>
      </c>
      <c r="R1986" s="10" t="str">
        <f>IF('[1]All Data '!BD1991="","",'[1]All Data '!BD1991)</f>
        <v/>
      </c>
      <c r="S1986" s="11" t="str">
        <f>IF(R1986="","",'[1]All Data '!BE1991)</f>
        <v/>
      </c>
      <c r="T1986" s="12" t="str">
        <f>IF(S1986="","",[1]Inputs_Outputs!$B$8*(1-'LOCH Calc COE Calc'!S1986))</f>
        <v/>
      </c>
      <c r="U1986" s="13" t="str">
        <f t="shared" si="151"/>
        <v/>
      </c>
      <c r="V1986" s="13" t="str">
        <f t="shared" si="152"/>
        <v/>
      </c>
      <c r="W1986" s="4" t="str">
        <f t="shared" si="153"/>
        <v/>
      </c>
      <c r="X1986" t="str">
        <f>IF(W1986="","",LOOKUP(_xlfn.CONCAT(P1986,", ",Q1986),'[1]T+S Costs'!$F$2:$F$3138,'[1]T+S Costs'!$N$2:$N$3138))</f>
        <v/>
      </c>
      <c r="Y1986" s="14" t="str">
        <f t="shared" si="154"/>
        <v/>
      </c>
      <c r="Z1986" s="4" t="str">
        <f t="shared" si="155"/>
        <v/>
      </c>
    </row>
    <row r="1987" spans="16:26" x14ac:dyDescent="0.25">
      <c r="P1987" s="10" t="str">
        <f>IF('[1]All Data '!AZ1992="","",'[1]All Data '!AZ1992)</f>
        <v/>
      </c>
      <c r="Q1987" s="10" t="str">
        <f>IF('[1]All Data '!BB1992="","",'[1]All Data '!BB1992)</f>
        <v/>
      </c>
      <c r="R1987" s="10" t="str">
        <f>IF('[1]All Data '!BD1992="","",'[1]All Data '!BD1992)</f>
        <v/>
      </c>
      <c r="S1987" s="11" t="str">
        <f>IF(R1987="","",'[1]All Data '!BE1992)</f>
        <v/>
      </c>
      <c r="T1987" s="12" t="str">
        <f>IF(S1987="","",[1]Inputs_Outputs!$B$8*(1-'LOCH Calc COE Calc'!S1987))</f>
        <v/>
      </c>
      <c r="U1987" s="13" t="str">
        <f t="shared" ref="U1987:U2050" si="156">IF(S1987="","",R1987*T1987*365*$B$19/100)</f>
        <v/>
      </c>
      <c r="V1987" s="13" t="str">
        <f t="shared" ref="V1987:V2050" si="157">IF(S1987="","",(U1987*$B$19)/(($B$28)*$B$19))</f>
        <v/>
      </c>
      <c r="W1987" s="4" t="str">
        <f t="shared" ref="W1987:W2050" si="158">IF(S1987="","",V1987+$C$49+$C$50+$C$51)</f>
        <v/>
      </c>
      <c r="X1987" t="str">
        <f>IF(W1987="","",LOOKUP(_xlfn.CONCAT(P1987,", ",Q1987),'[1]T+S Costs'!$F$2:$F$3138,'[1]T+S Costs'!$N$2:$N$3138))</f>
        <v/>
      </c>
      <c r="Y1987" s="14" t="str">
        <f t="shared" ref="Y1987:Y2050" si="159">IF(X1987="","",((X1987*$B$60/$B$59)*$C$44)/$C$28)</f>
        <v/>
      </c>
      <c r="Z1987" s="4" t="str">
        <f t="shared" ref="Z1987:Z2050" si="160">IF(Y1987="","",W1987+Y1987)</f>
        <v/>
      </c>
    </row>
    <row r="1988" spans="16:26" x14ac:dyDescent="0.25">
      <c r="P1988" s="10" t="str">
        <f>IF('[1]All Data '!AZ1993="","",'[1]All Data '!AZ1993)</f>
        <v/>
      </c>
      <c r="Q1988" s="10" t="str">
        <f>IF('[1]All Data '!BB1993="","",'[1]All Data '!BB1993)</f>
        <v/>
      </c>
      <c r="R1988" s="10" t="str">
        <f>IF('[1]All Data '!BD1993="","",'[1]All Data '!BD1993)</f>
        <v/>
      </c>
      <c r="S1988" s="11" t="str">
        <f>IF(R1988="","",'[1]All Data '!BE1993)</f>
        <v/>
      </c>
      <c r="T1988" s="12" t="str">
        <f>IF(S1988="","",[1]Inputs_Outputs!$B$8*(1-'LOCH Calc COE Calc'!S1988))</f>
        <v/>
      </c>
      <c r="U1988" s="13" t="str">
        <f t="shared" si="156"/>
        <v/>
      </c>
      <c r="V1988" s="13" t="str">
        <f t="shared" si="157"/>
        <v/>
      </c>
      <c r="W1988" s="4" t="str">
        <f t="shared" si="158"/>
        <v/>
      </c>
      <c r="X1988" t="str">
        <f>IF(W1988="","",LOOKUP(_xlfn.CONCAT(P1988,", ",Q1988),'[1]T+S Costs'!$F$2:$F$3138,'[1]T+S Costs'!$N$2:$N$3138))</f>
        <v/>
      </c>
      <c r="Y1988" s="14" t="str">
        <f t="shared" si="159"/>
        <v/>
      </c>
      <c r="Z1988" s="4" t="str">
        <f t="shared" si="160"/>
        <v/>
      </c>
    </row>
    <row r="1989" spans="16:26" x14ac:dyDescent="0.25">
      <c r="P1989" s="10" t="str">
        <f>IF('[1]All Data '!AZ1994="","",'[1]All Data '!AZ1994)</f>
        <v/>
      </c>
      <c r="Q1989" s="10" t="str">
        <f>IF('[1]All Data '!BB1994="","",'[1]All Data '!BB1994)</f>
        <v/>
      </c>
      <c r="R1989" s="10" t="str">
        <f>IF('[1]All Data '!BD1994="","",'[1]All Data '!BD1994)</f>
        <v/>
      </c>
      <c r="S1989" s="11" t="str">
        <f>IF(R1989="","",'[1]All Data '!BE1994)</f>
        <v/>
      </c>
      <c r="T1989" s="12" t="str">
        <f>IF(S1989="","",[1]Inputs_Outputs!$B$8*(1-'LOCH Calc COE Calc'!S1989))</f>
        <v/>
      </c>
      <c r="U1989" s="13" t="str">
        <f t="shared" si="156"/>
        <v/>
      </c>
      <c r="V1989" s="13" t="str">
        <f t="shared" si="157"/>
        <v/>
      </c>
      <c r="W1989" s="4" t="str">
        <f t="shared" si="158"/>
        <v/>
      </c>
      <c r="X1989" t="str">
        <f>IF(W1989="","",LOOKUP(_xlfn.CONCAT(P1989,", ",Q1989),'[1]T+S Costs'!$F$2:$F$3138,'[1]T+S Costs'!$N$2:$N$3138))</f>
        <v/>
      </c>
      <c r="Y1989" s="14" t="str">
        <f t="shared" si="159"/>
        <v/>
      </c>
      <c r="Z1989" s="4" t="str">
        <f t="shared" si="160"/>
        <v/>
      </c>
    </row>
    <row r="1990" spans="16:26" x14ac:dyDescent="0.25">
      <c r="P1990" s="10" t="str">
        <f>IF('[1]All Data '!AZ1995="","",'[1]All Data '!AZ1995)</f>
        <v/>
      </c>
      <c r="Q1990" s="10" t="str">
        <f>IF('[1]All Data '!BB1995="","",'[1]All Data '!BB1995)</f>
        <v/>
      </c>
      <c r="R1990" s="10" t="str">
        <f>IF('[1]All Data '!BD1995="","",'[1]All Data '!BD1995)</f>
        <v/>
      </c>
      <c r="S1990" s="11" t="str">
        <f>IF(R1990="","",'[1]All Data '!BE1995)</f>
        <v/>
      </c>
      <c r="T1990" s="12" t="str">
        <f>IF(S1990="","",[1]Inputs_Outputs!$B$8*(1-'LOCH Calc COE Calc'!S1990))</f>
        <v/>
      </c>
      <c r="U1990" s="13" t="str">
        <f t="shared" si="156"/>
        <v/>
      </c>
      <c r="V1990" s="13" t="str">
        <f t="shared" si="157"/>
        <v/>
      </c>
      <c r="W1990" s="4" t="str">
        <f t="shared" si="158"/>
        <v/>
      </c>
      <c r="X1990" t="str">
        <f>IF(W1990="","",LOOKUP(_xlfn.CONCAT(P1990,", ",Q1990),'[1]T+S Costs'!$F$2:$F$3138,'[1]T+S Costs'!$N$2:$N$3138))</f>
        <v/>
      </c>
      <c r="Y1990" s="14" t="str">
        <f t="shared" si="159"/>
        <v/>
      </c>
      <c r="Z1990" s="4" t="str">
        <f t="shared" si="160"/>
        <v/>
      </c>
    </row>
    <row r="1991" spans="16:26" x14ac:dyDescent="0.25">
      <c r="P1991" s="10" t="str">
        <f>IF('[1]All Data '!AZ1996="","",'[1]All Data '!AZ1996)</f>
        <v/>
      </c>
      <c r="Q1991" s="10" t="str">
        <f>IF('[1]All Data '!BB1996="","",'[1]All Data '!BB1996)</f>
        <v/>
      </c>
      <c r="R1991" s="10" t="str">
        <f>IF('[1]All Data '!BD1996="","",'[1]All Data '!BD1996)</f>
        <v/>
      </c>
      <c r="S1991" s="11" t="str">
        <f>IF(R1991="","",'[1]All Data '!BE1996)</f>
        <v/>
      </c>
      <c r="T1991" s="12" t="str">
        <f>IF(S1991="","",[1]Inputs_Outputs!$B$8*(1-'LOCH Calc COE Calc'!S1991))</f>
        <v/>
      </c>
      <c r="U1991" s="13" t="str">
        <f t="shared" si="156"/>
        <v/>
      </c>
      <c r="V1991" s="13" t="str">
        <f t="shared" si="157"/>
        <v/>
      </c>
      <c r="W1991" s="4" t="str">
        <f t="shared" si="158"/>
        <v/>
      </c>
      <c r="X1991" t="str">
        <f>IF(W1991="","",LOOKUP(_xlfn.CONCAT(P1991,", ",Q1991),'[1]T+S Costs'!$F$2:$F$3138,'[1]T+S Costs'!$N$2:$N$3138))</f>
        <v/>
      </c>
      <c r="Y1991" s="14" t="str">
        <f t="shared" si="159"/>
        <v/>
      </c>
      <c r="Z1991" s="4" t="str">
        <f t="shared" si="160"/>
        <v/>
      </c>
    </row>
    <row r="1992" spans="16:26" x14ac:dyDescent="0.25">
      <c r="P1992" s="10" t="str">
        <f>IF('[1]All Data '!AZ1997="","",'[1]All Data '!AZ1997)</f>
        <v/>
      </c>
      <c r="Q1992" s="10" t="str">
        <f>IF('[1]All Data '!BB1997="","",'[1]All Data '!BB1997)</f>
        <v/>
      </c>
      <c r="R1992" s="10" t="str">
        <f>IF('[1]All Data '!BD1997="","",'[1]All Data '!BD1997)</f>
        <v/>
      </c>
      <c r="S1992" s="11" t="str">
        <f>IF(R1992="","",'[1]All Data '!BE1997)</f>
        <v/>
      </c>
      <c r="T1992" s="12" t="str">
        <f>IF(S1992="","",[1]Inputs_Outputs!$B$8*(1-'LOCH Calc COE Calc'!S1992))</f>
        <v/>
      </c>
      <c r="U1992" s="13" t="str">
        <f t="shared" si="156"/>
        <v/>
      </c>
      <c r="V1992" s="13" t="str">
        <f t="shared" si="157"/>
        <v/>
      </c>
      <c r="W1992" s="4" t="str">
        <f t="shared" si="158"/>
        <v/>
      </c>
      <c r="X1992" t="str">
        <f>IF(W1992="","",LOOKUP(_xlfn.CONCAT(P1992,", ",Q1992),'[1]T+S Costs'!$F$2:$F$3138,'[1]T+S Costs'!$N$2:$N$3138))</f>
        <v/>
      </c>
      <c r="Y1992" s="14" t="str">
        <f t="shared" si="159"/>
        <v/>
      </c>
      <c r="Z1992" s="4" t="str">
        <f t="shared" si="160"/>
        <v/>
      </c>
    </row>
    <row r="1993" spans="16:26" x14ac:dyDescent="0.25">
      <c r="P1993" s="10" t="str">
        <f>IF('[1]All Data '!AZ1998="","",'[1]All Data '!AZ1998)</f>
        <v/>
      </c>
      <c r="Q1993" s="10" t="str">
        <f>IF('[1]All Data '!BB1998="","",'[1]All Data '!BB1998)</f>
        <v/>
      </c>
      <c r="R1993" s="10" t="str">
        <f>IF('[1]All Data '!BD1998="","",'[1]All Data '!BD1998)</f>
        <v/>
      </c>
      <c r="S1993" s="11" t="str">
        <f>IF(R1993="","",'[1]All Data '!BE1998)</f>
        <v/>
      </c>
      <c r="T1993" s="12" t="str">
        <f>IF(S1993="","",[1]Inputs_Outputs!$B$8*(1-'LOCH Calc COE Calc'!S1993))</f>
        <v/>
      </c>
      <c r="U1993" s="13" t="str">
        <f t="shared" si="156"/>
        <v/>
      </c>
      <c r="V1993" s="13" t="str">
        <f t="shared" si="157"/>
        <v/>
      </c>
      <c r="W1993" s="4" t="str">
        <f t="shared" si="158"/>
        <v/>
      </c>
      <c r="X1993" t="str">
        <f>IF(W1993="","",LOOKUP(_xlfn.CONCAT(P1993,", ",Q1993),'[1]T+S Costs'!$F$2:$F$3138,'[1]T+S Costs'!$N$2:$N$3138))</f>
        <v/>
      </c>
      <c r="Y1993" s="14" t="str">
        <f t="shared" si="159"/>
        <v/>
      </c>
      <c r="Z1993" s="4" t="str">
        <f t="shared" si="160"/>
        <v/>
      </c>
    </row>
    <row r="1994" spans="16:26" x14ac:dyDescent="0.25">
      <c r="P1994" s="10" t="str">
        <f>IF('[1]All Data '!AZ1999="","",'[1]All Data '!AZ1999)</f>
        <v/>
      </c>
      <c r="Q1994" s="10" t="str">
        <f>IF('[1]All Data '!BB1999="","",'[1]All Data '!BB1999)</f>
        <v/>
      </c>
      <c r="R1994" s="10" t="str">
        <f>IF('[1]All Data '!BD1999="","",'[1]All Data '!BD1999)</f>
        <v/>
      </c>
      <c r="S1994" s="11" t="str">
        <f>IF(R1994="","",'[1]All Data '!BE1999)</f>
        <v/>
      </c>
      <c r="T1994" s="12" t="str">
        <f>IF(S1994="","",[1]Inputs_Outputs!$B$8*(1-'LOCH Calc COE Calc'!S1994))</f>
        <v/>
      </c>
      <c r="U1994" s="13" t="str">
        <f t="shared" si="156"/>
        <v/>
      </c>
      <c r="V1994" s="13" t="str">
        <f t="shared" si="157"/>
        <v/>
      </c>
      <c r="W1994" s="4" t="str">
        <f t="shared" si="158"/>
        <v/>
      </c>
      <c r="X1994" t="str">
        <f>IF(W1994="","",LOOKUP(_xlfn.CONCAT(P1994,", ",Q1994),'[1]T+S Costs'!$F$2:$F$3138,'[1]T+S Costs'!$N$2:$N$3138))</f>
        <v/>
      </c>
      <c r="Y1994" s="14" t="str">
        <f t="shared" si="159"/>
        <v/>
      </c>
      <c r="Z1994" s="4" t="str">
        <f t="shared" si="160"/>
        <v/>
      </c>
    </row>
    <row r="1995" spans="16:26" x14ac:dyDescent="0.25">
      <c r="P1995" s="10" t="str">
        <f>IF('[1]All Data '!AZ2000="","",'[1]All Data '!AZ2000)</f>
        <v/>
      </c>
      <c r="Q1995" s="10" t="str">
        <f>IF('[1]All Data '!BB2000="","",'[1]All Data '!BB2000)</f>
        <v/>
      </c>
      <c r="R1995" s="10" t="str">
        <f>IF('[1]All Data '!BD2000="","",'[1]All Data '!BD2000)</f>
        <v/>
      </c>
      <c r="S1995" s="11" t="str">
        <f>IF(R1995="","",'[1]All Data '!BE2000)</f>
        <v/>
      </c>
      <c r="T1995" s="12" t="str">
        <f>IF(S1995="","",[1]Inputs_Outputs!$B$8*(1-'LOCH Calc COE Calc'!S1995))</f>
        <v/>
      </c>
      <c r="U1995" s="13" t="str">
        <f t="shared" si="156"/>
        <v/>
      </c>
      <c r="V1995" s="13" t="str">
        <f t="shared" si="157"/>
        <v/>
      </c>
      <c r="W1995" s="4" t="str">
        <f t="shared" si="158"/>
        <v/>
      </c>
      <c r="X1995" t="str">
        <f>IF(W1995="","",LOOKUP(_xlfn.CONCAT(P1995,", ",Q1995),'[1]T+S Costs'!$F$2:$F$3138,'[1]T+S Costs'!$N$2:$N$3138))</f>
        <v/>
      </c>
      <c r="Y1995" s="14" t="str">
        <f t="shared" si="159"/>
        <v/>
      </c>
      <c r="Z1995" s="4" t="str">
        <f t="shared" si="160"/>
        <v/>
      </c>
    </row>
    <row r="1996" spans="16:26" x14ac:dyDescent="0.25">
      <c r="P1996" s="10" t="str">
        <f>IF('[1]All Data '!AZ2001="","",'[1]All Data '!AZ2001)</f>
        <v/>
      </c>
      <c r="Q1996" s="10" t="str">
        <f>IF('[1]All Data '!BB2001="","",'[1]All Data '!BB2001)</f>
        <v/>
      </c>
      <c r="R1996" s="10" t="str">
        <f>IF('[1]All Data '!BD2001="","",'[1]All Data '!BD2001)</f>
        <v/>
      </c>
      <c r="S1996" s="11" t="str">
        <f>IF(R1996="","",'[1]All Data '!BE2001)</f>
        <v/>
      </c>
      <c r="T1996" s="12" t="str">
        <f>IF(S1996="","",[1]Inputs_Outputs!$B$8*(1-'LOCH Calc COE Calc'!S1996))</f>
        <v/>
      </c>
      <c r="U1996" s="13" t="str">
        <f t="shared" si="156"/>
        <v/>
      </c>
      <c r="V1996" s="13" t="str">
        <f t="shared" si="157"/>
        <v/>
      </c>
      <c r="W1996" s="4" t="str">
        <f t="shared" si="158"/>
        <v/>
      </c>
      <c r="X1996" t="str">
        <f>IF(W1996="","",LOOKUP(_xlfn.CONCAT(P1996,", ",Q1996),'[1]T+S Costs'!$F$2:$F$3138,'[1]T+S Costs'!$N$2:$N$3138))</f>
        <v/>
      </c>
      <c r="Y1996" s="14" t="str">
        <f t="shared" si="159"/>
        <v/>
      </c>
      <c r="Z1996" s="4" t="str">
        <f t="shared" si="160"/>
        <v/>
      </c>
    </row>
    <row r="1997" spans="16:26" x14ac:dyDescent="0.25">
      <c r="P1997" s="10" t="str">
        <f>IF('[1]All Data '!AZ2002="","",'[1]All Data '!AZ2002)</f>
        <v/>
      </c>
      <c r="Q1997" s="10" t="str">
        <f>IF('[1]All Data '!BB2002="","",'[1]All Data '!BB2002)</f>
        <v/>
      </c>
      <c r="R1997" s="10" t="str">
        <f>IF('[1]All Data '!BD2002="","",'[1]All Data '!BD2002)</f>
        <v/>
      </c>
      <c r="S1997" s="11" t="str">
        <f>IF(R1997="","",'[1]All Data '!BE2002)</f>
        <v/>
      </c>
      <c r="T1997" s="12" t="str">
        <f>IF(S1997="","",[1]Inputs_Outputs!$B$8*(1-'LOCH Calc COE Calc'!S1997))</f>
        <v/>
      </c>
      <c r="U1997" s="13" t="str">
        <f t="shared" si="156"/>
        <v/>
      </c>
      <c r="V1997" s="13" t="str">
        <f t="shared" si="157"/>
        <v/>
      </c>
      <c r="W1997" s="4" t="str">
        <f t="shared" si="158"/>
        <v/>
      </c>
      <c r="X1997" t="str">
        <f>IF(W1997="","",LOOKUP(_xlfn.CONCAT(P1997,", ",Q1997),'[1]T+S Costs'!$F$2:$F$3138,'[1]T+S Costs'!$N$2:$N$3138))</f>
        <v/>
      </c>
      <c r="Y1997" s="14" t="str">
        <f t="shared" si="159"/>
        <v/>
      </c>
      <c r="Z1997" s="4" t="str">
        <f t="shared" si="160"/>
        <v/>
      </c>
    </row>
    <row r="1998" spans="16:26" x14ac:dyDescent="0.25">
      <c r="P1998" s="10" t="str">
        <f>IF('[1]All Data '!AZ2003="","",'[1]All Data '!AZ2003)</f>
        <v/>
      </c>
      <c r="Q1998" s="10" t="str">
        <f>IF('[1]All Data '!BB2003="","",'[1]All Data '!BB2003)</f>
        <v/>
      </c>
      <c r="R1998" s="10" t="str">
        <f>IF('[1]All Data '!BD2003="","",'[1]All Data '!BD2003)</f>
        <v/>
      </c>
      <c r="S1998" s="11" t="str">
        <f>IF(R1998="","",'[1]All Data '!BE2003)</f>
        <v/>
      </c>
      <c r="T1998" s="12" t="str">
        <f>IF(S1998="","",[1]Inputs_Outputs!$B$8*(1-'LOCH Calc COE Calc'!S1998))</f>
        <v/>
      </c>
      <c r="U1998" s="13" t="str">
        <f t="shared" si="156"/>
        <v/>
      </c>
      <c r="V1998" s="13" t="str">
        <f t="shared" si="157"/>
        <v/>
      </c>
      <c r="W1998" s="4" t="str">
        <f t="shared" si="158"/>
        <v/>
      </c>
      <c r="X1998" t="str">
        <f>IF(W1998="","",LOOKUP(_xlfn.CONCAT(P1998,", ",Q1998),'[1]T+S Costs'!$F$2:$F$3138,'[1]T+S Costs'!$N$2:$N$3138))</f>
        <v/>
      </c>
      <c r="Y1998" s="14" t="str">
        <f t="shared" si="159"/>
        <v/>
      </c>
      <c r="Z1998" s="4" t="str">
        <f t="shared" si="160"/>
        <v/>
      </c>
    </row>
    <row r="1999" spans="16:26" x14ac:dyDescent="0.25">
      <c r="P1999" s="10" t="str">
        <f>IF('[1]All Data '!AZ2004="","",'[1]All Data '!AZ2004)</f>
        <v/>
      </c>
      <c r="Q1999" s="10" t="str">
        <f>IF('[1]All Data '!BB2004="","",'[1]All Data '!BB2004)</f>
        <v/>
      </c>
      <c r="R1999" s="10" t="str">
        <f>IF('[1]All Data '!BD2004="","",'[1]All Data '!BD2004)</f>
        <v/>
      </c>
      <c r="S1999" s="11" t="str">
        <f>IF(R1999="","",'[1]All Data '!BE2004)</f>
        <v/>
      </c>
      <c r="T1999" s="12" t="str">
        <f>IF(S1999="","",[1]Inputs_Outputs!$B$8*(1-'LOCH Calc COE Calc'!S1999))</f>
        <v/>
      </c>
      <c r="U1999" s="13" t="str">
        <f t="shared" si="156"/>
        <v/>
      </c>
      <c r="V1999" s="13" t="str">
        <f t="shared" si="157"/>
        <v/>
      </c>
      <c r="W1999" s="4" t="str">
        <f t="shared" si="158"/>
        <v/>
      </c>
      <c r="X1999" t="str">
        <f>IF(W1999="","",LOOKUP(_xlfn.CONCAT(P1999,", ",Q1999),'[1]T+S Costs'!$F$2:$F$3138,'[1]T+S Costs'!$N$2:$N$3138))</f>
        <v/>
      </c>
      <c r="Y1999" s="14" t="str">
        <f t="shared" si="159"/>
        <v/>
      </c>
      <c r="Z1999" s="4" t="str">
        <f t="shared" si="160"/>
        <v/>
      </c>
    </row>
    <row r="2000" spans="16:26" x14ac:dyDescent="0.25">
      <c r="P2000" s="10" t="str">
        <f>IF('[1]All Data '!AZ2005="","",'[1]All Data '!AZ2005)</f>
        <v/>
      </c>
      <c r="Q2000" s="10" t="str">
        <f>IF('[1]All Data '!BB2005="","",'[1]All Data '!BB2005)</f>
        <v/>
      </c>
      <c r="R2000" s="10" t="str">
        <f>IF('[1]All Data '!BD2005="","",'[1]All Data '!BD2005)</f>
        <v/>
      </c>
      <c r="S2000" s="11" t="str">
        <f>IF(R2000="","",'[1]All Data '!BE2005)</f>
        <v/>
      </c>
      <c r="T2000" s="12" t="str">
        <f>IF(S2000="","",[1]Inputs_Outputs!$B$8*(1-'LOCH Calc COE Calc'!S2000))</f>
        <v/>
      </c>
      <c r="U2000" s="13" t="str">
        <f t="shared" si="156"/>
        <v/>
      </c>
      <c r="V2000" s="13" t="str">
        <f t="shared" si="157"/>
        <v/>
      </c>
      <c r="W2000" s="4" t="str">
        <f t="shared" si="158"/>
        <v/>
      </c>
      <c r="X2000" t="str">
        <f>IF(W2000="","",LOOKUP(_xlfn.CONCAT(P2000,", ",Q2000),'[1]T+S Costs'!$F$2:$F$3138,'[1]T+S Costs'!$N$2:$N$3138))</f>
        <v/>
      </c>
      <c r="Y2000" s="14" t="str">
        <f t="shared" si="159"/>
        <v/>
      </c>
      <c r="Z2000" s="4" t="str">
        <f t="shared" si="160"/>
        <v/>
      </c>
    </row>
    <row r="2001" spans="16:26" x14ac:dyDescent="0.25">
      <c r="P2001" s="10" t="str">
        <f>IF('[1]All Data '!AZ2006="","",'[1]All Data '!AZ2006)</f>
        <v/>
      </c>
      <c r="Q2001" s="10" t="str">
        <f>IF('[1]All Data '!BB2006="","",'[1]All Data '!BB2006)</f>
        <v/>
      </c>
      <c r="R2001" s="10" t="str">
        <f>IF('[1]All Data '!BD2006="","",'[1]All Data '!BD2006)</f>
        <v/>
      </c>
      <c r="S2001" s="11" t="str">
        <f>IF(R2001="","",'[1]All Data '!BE2006)</f>
        <v/>
      </c>
      <c r="T2001" s="12" t="str">
        <f>IF(S2001="","",[1]Inputs_Outputs!$B$8*(1-'LOCH Calc COE Calc'!S2001))</f>
        <v/>
      </c>
      <c r="U2001" s="13" t="str">
        <f t="shared" si="156"/>
        <v/>
      </c>
      <c r="V2001" s="13" t="str">
        <f t="shared" si="157"/>
        <v/>
      </c>
      <c r="W2001" s="4" t="str">
        <f t="shared" si="158"/>
        <v/>
      </c>
      <c r="X2001" t="str">
        <f>IF(W2001="","",LOOKUP(_xlfn.CONCAT(P2001,", ",Q2001),'[1]T+S Costs'!$F$2:$F$3138,'[1]T+S Costs'!$N$2:$N$3138))</f>
        <v/>
      </c>
      <c r="Y2001" s="14" t="str">
        <f t="shared" si="159"/>
        <v/>
      </c>
      <c r="Z2001" s="4" t="str">
        <f t="shared" si="160"/>
        <v/>
      </c>
    </row>
    <row r="2002" spans="16:26" x14ac:dyDescent="0.25">
      <c r="P2002" s="10" t="str">
        <f>IF('[1]All Data '!AZ2007="","",'[1]All Data '!AZ2007)</f>
        <v/>
      </c>
      <c r="Q2002" s="10" t="str">
        <f>IF('[1]All Data '!BB2007="","",'[1]All Data '!BB2007)</f>
        <v/>
      </c>
      <c r="R2002" s="10" t="str">
        <f>IF('[1]All Data '!BD2007="","",'[1]All Data '!BD2007)</f>
        <v/>
      </c>
      <c r="S2002" s="11" t="str">
        <f>IF(R2002="","",'[1]All Data '!BE2007)</f>
        <v/>
      </c>
      <c r="T2002" s="12" t="str">
        <f>IF(S2002="","",[1]Inputs_Outputs!$B$8*(1-'LOCH Calc COE Calc'!S2002))</f>
        <v/>
      </c>
      <c r="U2002" s="13" t="str">
        <f t="shared" si="156"/>
        <v/>
      </c>
      <c r="V2002" s="13" t="str">
        <f t="shared" si="157"/>
        <v/>
      </c>
      <c r="W2002" s="4" t="str">
        <f t="shared" si="158"/>
        <v/>
      </c>
      <c r="X2002" t="str">
        <f>IF(W2002="","",LOOKUP(_xlfn.CONCAT(P2002,", ",Q2002),'[1]T+S Costs'!$F$2:$F$3138,'[1]T+S Costs'!$N$2:$N$3138))</f>
        <v/>
      </c>
      <c r="Y2002" s="14" t="str">
        <f t="shared" si="159"/>
        <v/>
      </c>
      <c r="Z2002" s="4" t="str">
        <f t="shared" si="160"/>
        <v/>
      </c>
    </row>
    <row r="2003" spans="16:26" x14ac:dyDescent="0.25">
      <c r="P2003" s="10" t="str">
        <f>IF('[1]All Data '!AZ2008="","",'[1]All Data '!AZ2008)</f>
        <v/>
      </c>
      <c r="Q2003" s="10" t="str">
        <f>IF('[1]All Data '!BB2008="","",'[1]All Data '!BB2008)</f>
        <v/>
      </c>
      <c r="R2003" s="10" t="str">
        <f>IF('[1]All Data '!BD2008="","",'[1]All Data '!BD2008)</f>
        <v/>
      </c>
      <c r="S2003" s="11" t="str">
        <f>IF(R2003="","",'[1]All Data '!BE2008)</f>
        <v/>
      </c>
      <c r="T2003" s="12" t="str">
        <f>IF(S2003="","",[1]Inputs_Outputs!$B$8*(1-'LOCH Calc COE Calc'!S2003))</f>
        <v/>
      </c>
      <c r="U2003" s="13" t="str">
        <f t="shared" si="156"/>
        <v/>
      </c>
      <c r="V2003" s="13" t="str">
        <f t="shared" si="157"/>
        <v/>
      </c>
      <c r="W2003" s="4" t="str">
        <f t="shared" si="158"/>
        <v/>
      </c>
      <c r="X2003" t="str">
        <f>IF(W2003="","",LOOKUP(_xlfn.CONCAT(P2003,", ",Q2003),'[1]T+S Costs'!$F$2:$F$3138,'[1]T+S Costs'!$N$2:$N$3138))</f>
        <v/>
      </c>
      <c r="Y2003" s="14" t="str">
        <f t="shared" si="159"/>
        <v/>
      </c>
      <c r="Z2003" s="4" t="str">
        <f t="shared" si="160"/>
        <v/>
      </c>
    </row>
    <row r="2004" spans="16:26" x14ac:dyDescent="0.25">
      <c r="P2004" s="10" t="str">
        <f>IF('[1]All Data '!AZ2009="","",'[1]All Data '!AZ2009)</f>
        <v/>
      </c>
      <c r="Q2004" s="10" t="str">
        <f>IF('[1]All Data '!BB2009="","",'[1]All Data '!BB2009)</f>
        <v/>
      </c>
      <c r="R2004" s="10" t="str">
        <f>IF('[1]All Data '!BD2009="","",'[1]All Data '!BD2009)</f>
        <v/>
      </c>
      <c r="S2004" s="11" t="str">
        <f>IF(R2004="","",'[1]All Data '!BE2009)</f>
        <v/>
      </c>
      <c r="T2004" s="12" t="str">
        <f>IF(S2004="","",[1]Inputs_Outputs!$B$8*(1-'LOCH Calc COE Calc'!S2004))</f>
        <v/>
      </c>
      <c r="U2004" s="13" t="str">
        <f t="shared" si="156"/>
        <v/>
      </c>
      <c r="V2004" s="13" t="str">
        <f t="shared" si="157"/>
        <v/>
      </c>
      <c r="W2004" s="4" t="str">
        <f t="shared" si="158"/>
        <v/>
      </c>
      <c r="X2004" t="str">
        <f>IF(W2004="","",LOOKUP(_xlfn.CONCAT(P2004,", ",Q2004),'[1]T+S Costs'!$F$2:$F$3138,'[1]T+S Costs'!$N$2:$N$3138))</f>
        <v/>
      </c>
      <c r="Y2004" s="14" t="str">
        <f t="shared" si="159"/>
        <v/>
      </c>
      <c r="Z2004" s="4" t="str">
        <f t="shared" si="160"/>
        <v/>
      </c>
    </row>
    <row r="2005" spans="16:26" x14ac:dyDescent="0.25">
      <c r="P2005" s="10" t="str">
        <f>IF('[1]All Data '!AZ2010="","",'[1]All Data '!AZ2010)</f>
        <v/>
      </c>
      <c r="Q2005" s="10" t="str">
        <f>IF('[1]All Data '!BB2010="","",'[1]All Data '!BB2010)</f>
        <v/>
      </c>
      <c r="R2005" s="10" t="str">
        <f>IF('[1]All Data '!BD2010="","",'[1]All Data '!BD2010)</f>
        <v/>
      </c>
      <c r="S2005" s="11" t="str">
        <f>IF(R2005="","",'[1]All Data '!BE2010)</f>
        <v/>
      </c>
      <c r="T2005" s="12" t="str">
        <f>IF(S2005="","",[1]Inputs_Outputs!$B$8*(1-'LOCH Calc COE Calc'!S2005))</f>
        <v/>
      </c>
      <c r="U2005" s="13" t="str">
        <f t="shared" si="156"/>
        <v/>
      </c>
      <c r="V2005" s="13" t="str">
        <f t="shared" si="157"/>
        <v/>
      </c>
      <c r="W2005" s="4" t="str">
        <f t="shared" si="158"/>
        <v/>
      </c>
      <c r="X2005" t="str">
        <f>IF(W2005="","",LOOKUP(_xlfn.CONCAT(P2005,", ",Q2005),'[1]T+S Costs'!$F$2:$F$3138,'[1]T+S Costs'!$N$2:$N$3138))</f>
        <v/>
      </c>
      <c r="Y2005" s="14" t="str">
        <f t="shared" si="159"/>
        <v/>
      </c>
      <c r="Z2005" s="4" t="str">
        <f t="shared" si="160"/>
        <v/>
      </c>
    </row>
    <row r="2006" spans="16:26" x14ac:dyDescent="0.25">
      <c r="P2006" s="10" t="str">
        <f>IF('[1]All Data '!AZ2011="","",'[1]All Data '!AZ2011)</f>
        <v/>
      </c>
      <c r="Q2006" s="10" t="str">
        <f>IF('[1]All Data '!BB2011="","",'[1]All Data '!BB2011)</f>
        <v/>
      </c>
      <c r="R2006" s="10" t="str">
        <f>IF('[1]All Data '!BD2011="","",'[1]All Data '!BD2011)</f>
        <v/>
      </c>
      <c r="S2006" s="11" t="str">
        <f>IF(R2006="","",'[1]All Data '!BE2011)</f>
        <v/>
      </c>
      <c r="T2006" s="12" t="str">
        <f>IF(S2006="","",[1]Inputs_Outputs!$B$8*(1-'LOCH Calc COE Calc'!S2006))</f>
        <v/>
      </c>
      <c r="U2006" s="13" t="str">
        <f t="shared" si="156"/>
        <v/>
      </c>
      <c r="V2006" s="13" t="str">
        <f t="shared" si="157"/>
        <v/>
      </c>
      <c r="W2006" s="4" t="str">
        <f t="shared" si="158"/>
        <v/>
      </c>
      <c r="X2006" t="str">
        <f>IF(W2006="","",LOOKUP(_xlfn.CONCAT(P2006,", ",Q2006),'[1]T+S Costs'!$F$2:$F$3138,'[1]T+S Costs'!$N$2:$N$3138))</f>
        <v/>
      </c>
      <c r="Y2006" s="14" t="str">
        <f t="shared" si="159"/>
        <v/>
      </c>
      <c r="Z2006" s="4" t="str">
        <f t="shared" si="160"/>
        <v/>
      </c>
    </row>
    <row r="2007" spans="16:26" x14ac:dyDescent="0.25">
      <c r="P2007" s="10" t="str">
        <f>IF('[1]All Data '!AZ2012="","",'[1]All Data '!AZ2012)</f>
        <v/>
      </c>
      <c r="Q2007" s="10" t="str">
        <f>IF('[1]All Data '!BB2012="","",'[1]All Data '!BB2012)</f>
        <v/>
      </c>
      <c r="R2007" s="10" t="str">
        <f>IF('[1]All Data '!BD2012="","",'[1]All Data '!BD2012)</f>
        <v/>
      </c>
      <c r="S2007" s="11" t="str">
        <f>IF(R2007="","",'[1]All Data '!BE2012)</f>
        <v/>
      </c>
      <c r="T2007" s="12" t="str">
        <f>IF(S2007="","",[1]Inputs_Outputs!$B$8*(1-'LOCH Calc COE Calc'!S2007))</f>
        <v/>
      </c>
      <c r="U2007" s="13" t="str">
        <f t="shared" si="156"/>
        <v/>
      </c>
      <c r="V2007" s="13" t="str">
        <f t="shared" si="157"/>
        <v/>
      </c>
      <c r="W2007" s="4" t="str">
        <f t="shared" si="158"/>
        <v/>
      </c>
      <c r="X2007" t="str">
        <f>IF(W2007="","",LOOKUP(_xlfn.CONCAT(P2007,", ",Q2007),'[1]T+S Costs'!$F$2:$F$3138,'[1]T+S Costs'!$N$2:$N$3138))</f>
        <v/>
      </c>
      <c r="Y2007" s="14" t="str">
        <f t="shared" si="159"/>
        <v/>
      </c>
      <c r="Z2007" s="4" t="str">
        <f t="shared" si="160"/>
        <v/>
      </c>
    </row>
    <row r="2008" spans="16:26" x14ac:dyDescent="0.25">
      <c r="P2008" s="10" t="str">
        <f>IF('[1]All Data '!AZ2013="","",'[1]All Data '!AZ2013)</f>
        <v/>
      </c>
      <c r="Q2008" s="10" t="str">
        <f>IF('[1]All Data '!BB2013="","",'[1]All Data '!BB2013)</f>
        <v/>
      </c>
      <c r="R2008" s="10" t="str">
        <f>IF('[1]All Data '!BD2013="","",'[1]All Data '!BD2013)</f>
        <v/>
      </c>
      <c r="S2008" s="11" t="str">
        <f>IF(R2008="","",'[1]All Data '!BE2013)</f>
        <v/>
      </c>
      <c r="T2008" s="12" t="str">
        <f>IF(S2008="","",[1]Inputs_Outputs!$B$8*(1-'LOCH Calc COE Calc'!S2008))</f>
        <v/>
      </c>
      <c r="U2008" s="13" t="str">
        <f t="shared" si="156"/>
        <v/>
      </c>
      <c r="V2008" s="13" t="str">
        <f t="shared" si="157"/>
        <v/>
      </c>
      <c r="W2008" s="4" t="str">
        <f t="shared" si="158"/>
        <v/>
      </c>
      <c r="X2008" t="str">
        <f>IF(W2008="","",LOOKUP(_xlfn.CONCAT(P2008,", ",Q2008),'[1]T+S Costs'!$F$2:$F$3138,'[1]T+S Costs'!$N$2:$N$3138))</f>
        <v/>
      </c>
      <c r="Y2008" s="14" t="str">
        <f t="shared" si="159"/>
        <v/>
      </c>
      <c r="Z2008" s="4" t="str">
        <f t="shared" si="160"/>
        <v/>
      </c>
    </row>
    <row r="2009" spans="16:26" x14ac:dyDescent="0.25">
      <c r="P2009" s="10" t="str">
        <f>IF('[1]All Data '!AZ2014="","",'[1]All Data '!AZ2014)</f>
        <v/>
      </c>
      <c r="Q2009" s="10" t="str">
        <f>IF('[1]All Data '!BB2014="","",'[1]All Data '!BB2014)</f>
        <v/>
      </c>
      <c r="R2009" s="10" t="str">
        <f>IF('[1]All Data '!BD2014="","",'[1]All Data '!BD2014)</f>
        <v/>
      </c>
      <c r="S2009" s="11" t="str">
        <f>IF(R2009="","",'[1]All Data '!BE2014)</f>
        <v/>
      </c>
      <c r="T2009" s="12" t="str">
        <f>IF(S2009="","",[1]Inputs_Outputs!$B$8*(1-'LOCH Calc COE Calc'!S2009))</f>
        <v/>
      </c>
      <c r="U2009" s="13" t="str">
        <f t="shared" si="156"/>
        <v/>
      </c>
      <c r="V2009" s="13" t="str">
        <f t="shared" si="157"/>
        <v/>
      </c>
      <c r="W2009" s="4" t="str">
        <f t="shared" si="158"/>
        <v/>
      </c>
      <c r="X2009" t="str">
        <f>IF(W2009="","",LOOKUP(_xlfn.CONCAT(P2009,", ",Q2009),'[1]T+S Costs'!$F$2:$F$3138,'[1]T+S Costs'!$N$2:$N$3138))</f>
        <v/>
      </c>
      <c r="Y2009" s="14" t="str">
        <f t="shared" si="159"/>
        <v/>
      </c>
      <c r="Z2009" s="4" t="str">
        <f t="shared" si="160"/>
        <v/>
      </c>
    </row>
    <row r="2010" spans="16:26" x14ac:dyDescent="0.25">
      <c r="P2010" s="10" t="str">
        <f>IF('[1]All Data '!AZ2015="","",'[1]All Data '!AZ2015)</f>
        <v/>
      </c>
      <c r="Q2010" s="10" t="str">
        <f>IF('[1]All Data '!BB2015="","",'[1]All Data '!BB2015)</f>
        <v/>
      </c>
      <c r="R2010" s="10" t="str">
        <f>IF('[1]All Data '!BD2015="","",'[1]All Data '!BD2015)</f>
        <v/>
      </c>
      <c r="S2010" s="11" t="str">
        <f>IF(R2010="","",'[1]All Data '!BE2015)</f>
        <v/>
      </c>
      <c r="T2010" s="12" t="str">
        <f>IF(S2010="","",[1]Inputs_Outputs!$B$8*(1-'LOCH Calc COE Calc'!S2010))</f>
        <v/>
      </c>
      <c r="U2010" s="13" t="str">
        <f t="shared" si="156"/>
        <v/>
      </c>
      <c r="V2010" s="13" t="str">
        <f t="shared" si="157"/>
        <v/>
      </c>
      <c r="W2010" s="4" t="str">
        <f t="shared" si="158"/>
        <v/>
      </c>
      <c r="X2010" t="str">
        <f>IF(W2010="","",LOOKUP(_xlfn.CONCAT(P2010,", ",Q2010),'[1]T+S Costs'!$F$2:$F$3138,'[1]T+S Costs'!$N$2:$N$3138))</f>
        <v/>
      </c>
      <c r="Y2010" s="14" t="str">
        <f t="shared" si="159"/>
        <v/>
      </c>
      <c r="Z2010" s="4" t="str">
        <f t="shared" si="160"/>
        <v/>
      </c>
    </row>
    <row r="2011" spans="16:26" x14ac:dyDescent="0.25">
      <c r="P2011" s="10" t="str">
        <f>IF('[1]All Data '!AZ2016="","",'[1]All Data '!AZ2016)</f>
        <v/>
      </c>
      <c r="Q2011" s="10" t="str">
        <f>IF('[1]All Data '!BB2016="","",'[1]All Data '!BB2016)</f>
        <v/>
      </c>
      <c r="R2011" s="10" t="str">
        <f>IF('[1]All Data '!BD2016="","",'[1]All Data '!BD2016)</f>
        <v/>
      </c>
      <c r="S2011" s="11" t="str">
        <f>IF(R2011="","",'[1]All Data '!BE2016)</f>
        <v/>
      </c>
      <c r="T2011" s="12" t="str">
        <f>IF(S2011="","",[1]Inputs_Outputs!$B$8*(1-'LOCH Calc COE Calc'!S2011))</f>
        <v/>
      </c>
      <c r="U2011" s="13" t="str">
        <f t="shared" si="156"/>
        <v/>
      </c>
      <c r="V2011" s="13" t="str">
        <f t="shared" si="157"/>
        <v/>
      </c>
      <c r="W2011" s="4" t="str">
        <f t="shared" si="158"/>
        <v/>
      </c>
      <c r="X2011" t="str">
        <f>IF(W2011="","",LOOKUP(_xlfn.CONCAT(P2011,", ",Q2011),'[1]T+S Costs'!$F$2:$F$3138,'[1]T+S Costs'!$N$2:$N$3138))</f>
        <v/>
      </c>
      <c r="Y2011" s="14" t="str">
        <f t="shared" si="159"/>
        <v/>
      </c>
      <c r="Z2011" s="4" t="str">
        <f t="shared" si="160"/>
        <v/>
      </c>
    </row>
    <row r="2012" spans="16:26" x14ac:dyDescent="0.25">
      <c r="P2012" s="10" t="str">
        <f>IF('[1]All Data '!AZ2017="","",'[1]All Data '!AZ2017)</f>
        <v/>
      </c>
      <c r="Q2012" s="10" t="str">
        <f>IF('[1]All Data '!BB2017="","",'[1]All Data '!BB2017)</f>
        <v/>
      </c>
      <c r="R2012" s="10" t="str">
        <f>IF('[1]All Data '!BD2017="","",'[1]All Data '!BD2017)</f>
        <v/>
      </c>
      <c r="S2012" s="11" t="str">
        <f>IF(R2012="","",'[1]All Data '!BE2017)</f>
        <v/>
      </c>
      <c r="T2012" s="12" t="str">
        <f>IF(S2012="","",[1]Inputs_Outputs!$B$8*(1-'LOCH Calc COE Calc'!S2012))</f>
        <v/>
      </c>
      <c r="U2012" s="13" t="str">
        <f t="shared" si="156"/>
        <v/>
      </c>
      <c r="V2012" s="13" t="str">
        <f t="shared" si="157"/>
        <v/>
      </c>
      <c r="W2012" s="4" t="str">
        <f t="shared" si="158"/>
        <v/>
      </c>
      <c r="X2012" t="str">
        <f>IF(W2012="","",LOOKUP(_xlfn.CONCAT(P2012,", ",Q2012),'[1]T+S Costs'!$F$2:$F$3138,'[1]T+S Costs'!$N$2:$N$3138))</f>
        <v/>
      </c>
      <c r="Y2012" s="14" t="str">
        <f t="shared" si="159"/>
        <v/>
      </c>
      <c r="Z2012" s="4" t="str">
        <f t="shared" si="160"/>
        <v/>
      </c>
    </row>
    <row r="2013" spans="16:26" x14ac:dyDescent="0.25">
      <c r="P2013" s="10" t="str">
        <f>IF('[1]All Data '!AZ2018="","",'[1]All Data '!AZ2018)</f>
        <v/>
      </c>
      <c r="Q2013" s="10" t="str">
        <f>IF('[1]All Data '!BB2018="","",'[1]All Data '!BB2018)</f>
        <v/>
      </c>
      <c r="R2013" s="10" t="str">
        <f>IF('[1]All Data '!BD2018="","",'[1]All Data '!BD2018)</f>
        <v/>
      </c>
      <c r="S2013" s="11" t="str">
        <f>IF(R2013="","",'[1]All Data '!BE2018)</f>
        <v/>
      </c>
      <c r="T2013" s="12" t="str">
        <f>IF(S2013="","",[1]Inputs_Outputs!$B$8*(1-'LOCH Calc COE Calc'!S2013))</f>
        <v/>
      </c>
      <c r="U2013" s="13" t="str">
        <f t="shared" si="156"/>
        <v/>
      </c>
      <c r="V2013" s="13" t="str">
        <f t="shared" si="157"/>
        <v/>
      </c>
      <c r="W2013" s="4" t="str">
        <f t="shared" si="158"/>
        <v/>
      </c>
      <c r="X2013" t="str">
        <f>IF(W2013="","",LOOKUP(_xlfn.CONCAT(P2013,", ",Q2013),'[1]T+S Costs'!$F$2:$F$3138,'[1]T+S Costs'!$N$2:$N$3138))</f>
        <v/>
      </c>
      <c r="Y2013" s="14" t="str">
        <f t="shared" si="159"/>
        <v/>
      </c>
      <c r="Z2013" s="4" t="str">
        <f t="shared" si="160"/>
        <v/>
      </c>
    </row>
    <row r="2014" spans="16:26" x14ac:dyDescent="0.25">
      <c r="P2014" s="10" t="str">
        <f>IF('[1]All Data '!AZ2019="","",'[1]All Data '!AZ2019)</f>
        <v/>
      </c>
      <c r="Q2014" s="10" t="str">
        <f>IF('[1]All Data '!BB2019="","",'[1]All Data '!BB2019)</f>
        <v/>
      </c>
      <c r="R2014" s="10" t="str">
        <f>IF('[1]All Data '!BD2019="","",'[1]All Data '!BD2019)</f>
        <v/>
      </c>
      <c r="S2014" s="11" t="str">
        <f>IF(R2014="","",'[1]All Data '!BE2019)</f>
        <v/>
      </c>
      <c r="T2014" s="12" t="str">
        <f>IF(S2014="","",[1]Inputs_Outputs!$B$8*(1-'LOCH Calc COE Calc'!S2014))</f>
        <v/>
      </c>
      <c r="U2014" s="13" t="str">
        <f t="shared" si="156"/>
        <v/>
      </c>
      <c r="V2014" s="13" t="str">
        <f t="shared" si="157"/>
        <v/>
      </c>
      <c r="W2014" s="4" t="str">
        <f t="shared" si="158"/>
        <v/>
      </c>
      <c r="X2014" t="str">
        <f>IF(W2014="","",LOOKUP(_xlfn.CONCAT(P2014,", ",Q2014),'[1]T+S Costs'!$F$2:$F$3138,'[1]T+S Costs'!$N$2:$N$3138))</f>
        <v/>
      </c>
      <c r="Y2014" s="14" t="str">
        <f t="shared" si="159"/>
        <v/>
      </c>
      <c r="Z2014" s="4" t="str">
        <f t="shared" si="160"/>
        <v/>
      </c>
    </row>
    <row r="2015" spans="16:26" x14ac:dyDescent="0.25">
      <c r="P2015" s="10" t="str">
        <f>IF('[1]All Data '!AZ2020="","",'[1]All Data '!AZ2020)</f>
        <v/>
      </c>
      <c r="Q2015" s="10" t="str">
        <f>IF('[1]All Data '!BB2020="","",'[1]All Data '!BB2020)</f>
        <v/>
      </c>
      <c r="R2015" s="10" t="str">
        <f>IF('[1]All Data '!BD2020="","",'[1]All Data '!BD2020)</f>
        <v/>
      </c>
      <c r="S2015" s="11" t="str">
        <f>IF(R2015="","",'[1]All Data '!BE2020)</f>
        <v/>
      </c>
      <c r="T2015" s="12" t="str">
        <f>IF(S2015="","",[1]Inputs_Outputs!$B$8*(1-'LOCH Calc COE Calc'!S2015))</f>
        <v/>
      </c>
      <c r="U2015" s="13" t="str">
        <f t="shared" si="156"/>
        <v/>
      </c>
      <c r="V2015" s="13" t="str">
        <f t="shared" si="157"/>
        <v/>
      </c>
      <c r="W2015" s="4" t="str">
        <f t="shared" si="158"/>
        <v/>
      </c>
      <c r="X2015" t="str">
        <f>IF(W2015="","",LOOKUP(_xlfn.CONCAT(P2015,", ",Q2015),'[1]T+S Costs'!$F$2:$F$3138,'[1]T+S Costs'!$N$2:$N$3138))</f>
        <v/>
      </c>
      <c r="Y2015" s="14" t="str">
        <f t="shared" si="159"/>
        <v/>
      </c>
      <c r="Z2015" s="4" t="str">
        <f t="shared" si="160"/>
        <v/>
      </c>
    </row>
    <row r="2016" spans="16:26" x14ac:dyDescent="0.25">
      <c r="P2016" s="10" t="str">
        <f>IF('[1]All Data '!AZ2021="","",'[1]All Data '!AZ2021)</f>
        <v/>
      </c>
      <c r="Q2016" s="10" t="str">
        <f>IF('[1]All Data '!BB2021="","",'[1]All Data '!BB2021)</f>
        <v/>
      </c>
      <c r="R2016" s="10" t="str">
        <f>IF('[1]All Data '!BD2021="","",'[1]All Data '!BD2021)</f>
        <v/>
      </c>
      <c r="S2016" s="11" t="str">
        <f>IF(R2016="","",'[1]All Data '!BE2021)</f>
        <v/>
      </c>
      <c r="T2016" s="12" t="str">
        <f>IF(S2016="","",[1]Inputs_Outputs!$B$8*(1-'LOCH Calc COE Calc'!S2016))</f>
        <v/>
      </c>
      <c r="U2016" s="13" t="str">
        <f t="shared" si="156"/>
        <v/>
      </c>
      <c r="V2016" s="13" t="str">
        <f t="shared" si="157"/>
        <v/>
      </c>
      <c r="W2016" s="4" t="str">
        <f t="shared" si="158"/>
        <v/>
      </c>
      <c r="X2016" t="str">
        <f>IF(W2016="","",LOOKUP(_xlfn.CONCAT(P2016,", ",Q2016),'[1]T+S Costs'!$F$2:$F$3138,'[1]T+S Costs'!$N$2:$N$3138))</f>
        <v/>
      </c>
      <c r="Y2016" s="14" t="str">
        <f t="shared" si="159"/>
        <v/>
      </c>
      <c r="Z2016" s="4" t="str">
        <f t="shared" si="160"/>
        <v/>
      </c>
    </row>
    <row r="2017" spans="16:26" x14ac:dyDescent="0.25">
      <c r="P2017" s="10" t="str">
        <f>IF('[1]All Data '!AZ2022="","",'[1]All Data '!AZ2022)</f>
        <v/>
      </c>
      <c r="Q2017" s="10" t="str">
        <f>IF('[1]All Data '!BB2022="","",'[1]All Data '!BB2022)</f>
        <v/>
      </c>
      <c r="R2017" s="10" t="str">
        <f>IF('[1]All Data '!BD2022="","",'[1]All Data '!BD2022)</f>
        <v/>
      </c>
      <c r="S2017" s="11" t="str">
        <f>IF(R2017="","",'[1]All Data '!BE2022)</f>
        <v/>
      </c>
      <c r="T2017" s="12" t="str">
        <f>IF(S2017="","",[1]Inputs_Outputs!$B$8*(1-'LOCH Calc COE Calc'!S2017))</f>
        <v/>
      </c>
      <c r="U2017" s="13" t="str">
        <f t="shared" si="156"/>
        <v/>
      </c>
      <c r="V2017" s="13" t="str">
        <f t="shared" si="157"/>
        <v/>
      </c>
      <c r="W2017" s="4" t="str">
        <f t="shared" si="158"/>
        <v/>
      </c>
      <c r="X2017" t="str">
        <f>IF(W2017="","",LOOKUP(_xlfn.CONCAT(P2017,", ",Q2017),'[1]T+S Costs'!$F$2:$F$3138,'[1]T+S Costs'!$N$2:$N$3138))</f>
        <v/>
      </c>
      <c r="Y2017" s="14" t="str">
        <f t="shared" si="159"/>
        <v/>
      </c>
      <c r="Z2017" s="4" t="str">
        <f t="shared" si="160"/>
        <v/>
      </c>
    </row>
    <row r="2018" spans="16:26" x14ac:dyDescent="0.25">
      <c r="P2018" s="10" t="str">
        <f>IF('[1]All Data '!AZ2023="","",'[1]All Data '!AZ2023)</f>
        <v/>
      </c>
      <c r="Q2018" s="10" t="str">
        <f>IF('[1]All Data '!BB2023="","",'[1]All Data '!BB2023)</f>
        <v/>
      </c>
      <c r="R2018" s="10" t="str">
        <f>IF('[1]All Data '!BD2023="","",'[1]All Data '!BD2023)</f>
        <v/>
      </c>
      <c r="S2018" s="11" t="str">
        <f>IF(R2018="","",'[1]All Data '!BE2023)</f>
        <v/>
      </c>
      <c r="T2018" s="12" t="str">
        <f>IF(S2018="","",[1]Inputs_Outputs!$B$8*(1-'LOCH Calc COE Calc'!S2018))</f>
        <v/>
      </c>
      <c r="U2018" s="13" t="str">
        <f t="shared" si="156"/>
        <v/>
      </c>
      <c r="V2018" s="13" t="str">
        <f t="shared" si="157"/>
        <v/>
      </c>
      <c r="W2018" s="4" t="str">
        <f t="shared" si="158"/>
        <v/>
      </c>
      <c r="X2018" t="str">
        <f>IF(W2018="","",LOOKUP(_xlfn.CONCAT(P2018,", ",Q2018),'[1]T+S Costs'!$F$2:$F$3138,'[1]T+S Costs'!$N$2:$N$3138))</f>
        <v/>
      </c>
      <c r="Y2018" s="14" t="str">
        <f t="shared" si="159"/>
        <v/>
      </c>
      <c r="Z2018" s="4" t="str">
        <f t="shared" si="160"/>
        <v/>
      </c>
    </row>
    <row r="2019" spans="16:26" x14ac:dyDescent="0.25">
      <c r="P2019" s="10" t="str">
        <f>IF('[1]All Data '!AZ2024="","",'[1]All Data '!AZ2024)</f>
        <v/>
      </c>
      <c r="Q2019" s="10" t="str">
        <f>IF('[1]All Data '!BB2024="","",'[1]All Data '!BB2024)</f>
        <v/>
      </c>
      <c r="R2019" s="10" t="str">
        <f>IF('[1]All Data '!BD2024="","",'[1]All Data '!BD2024)</f>
        <v/>
      </c>
      <c r="S2019" s="11" t="str">
        <f>IF(R2019="","",'[1]All Data '!BE2024)</f>
        <v/>
      </c>
      <c r="T2019" s="12" t="str">
        <f>IF(S2019="","",[1]Inputs_Outputs!$B$8*(1-'LOCH Calc COE Calc'!S2019))</f>
        <v/>
      </c>
      <c r="U2019" s="13" t="str">
        <f t="shared" si="156"/>
        <v/>
      </c>
      <c r="V2019" s="13" t="str">
        <f t="shared" si="157"/>
        <v/>
      </c>
      <c r="W2019" s="4" t="str">
        <f t="shared" si="158"/>
        <v/>
      </c>
      <c r="X2019" t="str">
        <f>IF(W2019="","",LOOKUP(_xlfn.CONCAT(P2019,", ",Q2019),'[1]T+S Costs'!$F$2:$F$3138,'[1]T+S Costs'!$N$2:$N$3138))</f>
        <v/>
      </c>
      <c r="Y2019" s="14" t="str">
        <f t="shared" si="159"/>
        <v/>
      </c>
      <c r="Z2019" s="4" t="str">
        <f t="shared" si="160"/>
        <v/>
      </c>
    </row>
    <row r="2020" spans="16:26" x14ac:dyDescent="0.25">
      <c r="P2020" s="10" t="str">
        <f>IF('[1]All Data '!AZ2025="","",'[1]All Data '!AZ2025)</f>
        <v/>
      </c>
      <c r="Q2020" s="10" t="str">
        <f>IF('[1]All Data '!BB2025="","",'[1]All Data '!BB2025)</f>
        <v/>
      </c>
      <c r="R2020" s="10" t="str">
        <f>IF('[1]All Data '!BD2025="","",'[1]All Data '!BD2025)</f>
        <v/>
      </c>
      <c r="S2020" s="11" t="str">
        <f>IF(R2020="","",'[1]All Data '!BE2025)</f>
        <v/>
      </c>
      <c r="T2020" s="12" t="str">
        <f>IF(S2020="","",[1]Inputs_Outputs!$B$8*(1-'LOCH Calc COE Calc'!S2020))</f>
        <v/>
      </c>
      <c r="U2020" s="13" t="str">
        <f t="shared" si="156"/>
        <v/>
      </c>
      <c r="V2020" s="13" t="str">
        <f t="shared" si="157"/>
        <v/>
      </c>
      <c r="W2020" s="4" t="str">
        <f t="shared" si="158"/>
        <v/>
      </c>
      <c r="X2020" t="str">
        <f>IF(W2020="","",LOOKUP(_xlfn.CONCAT(P2020,", ",Q2020),'[1]T+S Costs'!$F$2:$F$3138,'[1]T+S Costs'!$N$2:$N$3138))</f>
        <v/>
      </c>
      <c r="Y2020" s="14" t="str">
        <f t="shared" si="159"/>
        <v/>
      </c>
      <c r="Z2020" s="4" t="str">
        <f t="shared" si="160"/>
        <v/>
      </c>
    </row>
    <row r="2021" spans="16:26" x14ac:dyDescent="0.25">
      <c r="P2021" s="10" t="str">
        <f>IF('[1]All Data '!AZ2026="","",'[1]All Data '!AZ2026)</f>
        <v/>
      </c>
      <c r="Q2021" s="10" t="str">
        <f>IF('[1]All Data '!BB2026="","",'[1]All Data '!BB2026)</f>
        <v/>
      </c>
      <c r="R2021" s="10" t="str">
        <f>IF('[1]All Data '!BD2026="","",'[1]All Data '!BD2026)</f>
        <v/>
      </c>
      <c r="S2021" s="11" t="str">
        <f>IF(R2021="","",'[1]All Data '!BE2026)</f>
        <v/>
      </c>
      <c r="T2021" s="12" t="str">
        <f>IF(S2021="","",[1]Inputs_Outputs!$B$8*(1-'LOCH Calc COE Calc'!S2021))</f>
        <v/>
      </c>
      <c r="U2021" s="13" t="str">
        <f t="shared" si="156"/>
        <v/>
      </c>
      <c r="V2021" s="13" t="str">
        <f t="shared" si="157"/>
        <v/>
      </c>
      <c r="W2021" s="4" t="str">
        <f t="shared" si="158"/>
        <v/>
      </c>
      <c r="X2021" t="str">
        <f>IF(W2021="","",LOOKUP(_xlfn.CONCAT(P2021,", ",Q2021),'[1]T+S Costs'!$F$2:$F$3138,'[1]T+S Costs'!$N$2:$N$3138))</f>
        <v/>
      </c>
      <c r="Y2021" s="14" t="str">
        <f t="shared" si="159"/>
        <v/>
      </c>
      <c r="Z2021" s="4" t="str">
        <f t="shared" si="160"/>
        <v/>
      </c>
    </row>
    <row r="2022" spans="16:26" x14ac:dyDescent="0.25">
      <c r="P2022" s="10" t="str">
        <f>IF('[1]All Data '!AZ2027="","",'[1]All Data '!AZ2027)</f>
        <v/>
      </c>
      <c r="Q2022" s="10" t="str">
        <f>IF('[1]All Data '!BB2027="","",'[1]All Data '!BB2027)</f>
        <v/>
      </c>
      <c r="R2022" s="10" t="str">
        <f>IF('[1]All Data '!BD2027="","",'[1]All Data '!BD2027)</f>
        <v/>
      </c>
      <c r="S2022" s="11" t="str">
        <f>IF(R2022="","",'[1]All Data '!BE2027)</f>
        <v/>
      </c>
      <c r="T2022" s="12" t="str">
        <f>IF(S2022="","",[1]Inputs_Outputs!$B$8*(1-'LOCH Calc COE Calc'!S2022))</f>
        <v/>
      </c>
      <c r="U2022" s="13" t="str">
        <f t="shared" si="156"/>
        <v/>
      </c>
      <c r="V2022" s="13" t="str">
        <f t="shared" si="157"/>
        <v/>
      </c>
      <c r="W2022" s="4" t="str">
        <f t="shared" si="158"/>
        <v/>
      </c>
      <c r="X2022" t="str">
        <f>IF(W2022="","",LOOKUP(_xlfn.CONCAT(P2022,", ",Q2022),'[1]T+S Costs'!$F$2:$F$3138,'[1]T+S Costs'!$N$2:$N$3138))</f>
        <v/>
      </c>
      <c r="Y2022" s="14" t="str">
        <f t="shared" si="159"/>
        <v/>
      </c>
      <c r="Z2022" s="4" t="str">
        <f t="shared" si="160"/>
        <v/>
      </c>
    </row>
    <row r="2023" spans="16:26" x14ac:dyDescent="0.25">
      <c r="P2023" s="10" t="str">
        <f>IF('[1]All Data '!AZ2028="","",'[1]All Data '!AZ2028)</f>
        <v/>
      </c>
      <c r="Q2023" s="10" t="str">
        <f>IF('[1]All Data '!BB2028="","",'[1]All Data '!BB2028)</f>
        <v/>
      </c>
      <c r="R2023" s="10" t="str">
        <f>IF('[1]All Data '!BD2028="","",'[1]All Data '!BD2028)</f>
        <v/>
      </c>
      <c r="S2023" s="11" t="str">
        <f>IF(R2023="","",'[1]All Data '!BE2028)</f>
        <v/>
      </c>
      <c r="T2023" s="12" t="str">
        <f>IF(S2023="","",[1]Inputs_Outputs!$B$8*(1-'LOCH Calc COE Calc'!S2023))</f>
        <v/>
      </c>
      <c r="U2023" s="13" t="str">
        <f t="shared" si="156"/>
        <v/>
      </c>
      <c r="V2023" s="13" t="str">
        <f t="shared" si="157"/>
        <v/>
      </c>
      <c r="W2023" s="4" t="str">
        <f t="shared" si="158"/>
        <v/>
      </c>
      <c r="X2023" t="str">
        <f>IF(W2023="","",LOOKUP(_xlfn.CONCAT(P2023,", ",Q2023),'[1]T+S Costs'!$F$2:$F$3138,'[1]T+S Costs'!$N$2:$N$3138))</f>
        <v/>
      </c>
      <c r="Y2023" s="14" t="str">
        <f t="shared" si="159"/>
        <v/>
      </c>
      <c r="Z2023" s="4" t="str">
        <f t="shared" si="160"/>
        <v/>
      </c>
    </row>
    <row r="2024" spans="16:26" x14ac:dyDescent="0.25">
      <c r="P2024" s="10" t="str">
        <f>IF('[1]All Data '!AZ2029="","",'[1]All Data '!AZ2029)</f>
        <v/>
      </c>
      <c r="Q2024" s="10" t="str">
        <f>IF('[1]All Data '!BB2029="","",'[1]All Data '!BB2029)</f>
        <v/>
      </c>
      <c r="R2024" s="10" t="str">
        <f>IF('[1]All Data '!BD2029="","",'[1]All Data '!BD2029)</f>
        <v/>
      </c>
      <c r="S2024" s="11" t="str">
        <f>IF(R2024="","",'[1]All Data '!BE2029)</f>
        <v/>
      </c>
      <c r="T2024" s="12" t="str">
        <f>IF(S2024="","",[1]Inputs_Outputs!$B$8*(1-'LOCH Calc COE Calc'!S2024))</f>
        <v/>
      </c>
      <c r="U2024" s="13" t="str">
        <f t="shared" si="156"/>
        <v/>
      </c>
      <c r="V2024" s="13" t="str">
        <f t="shared" si="157"/>
        <v/>
      </c>
      <c r="W2024" s="4" t="str">
        <f t="shared" si="158"/>
        <v/>
      </c>
      <c r="X2024" t="str">
        <f>IF(W2024="","",LOOKUP(_xlfn.CONCAT(P2024,", ",Q2024),'[1]T+S Costs'!$F$2:$F$3138,'[1]T+S Costs'!$N$2:$N$3138))</f>
        <v/>
      </c>
      <c r="Y2024" s="14" t="str">
        <f t="shared" si="159"/>
        <v/>
      </c>
      <c r="Z2024" s="4" t="str">
        <f t="shared" si="160"/>
        <v/>
      </c>
    </row>
    <row r="2025" spans="16:26" x14ac:dyDescent="0.25">
      <c r="P2025" s="10" t="str">
        <f>IF('[1]All Data '!AZ2030="","",'[1]All Data '!AZ2030)</f>
        <v/>
      </c>
      <c r="Q2025" s="10" t="str">
        <f>IF('[1]All Data '!BB2030="","",'[1]All Data '!BB2030)</f>
        <v/>
      </c>
      <c r="R2025" s="10" t="str">
        <f>IF('[1]All Data '!BD2030="","",'[1]All Data '!BD2030)</f>
        <v/>
      </c>
      <c r="S2025" s="11" t="str">
        <f>IF(R2025="","",'[1]All Data '!BE2030)</f>
        <v/>
      </c>
      <c r="T2025" s="12" t="str">
        <f>IF(S2025="","",[1]Inputs_Outputs!$B$8*(1-'LOCH Calc COE Calc'!S2025))</f>
        <v/>
      </c>
      <c r="U2025" s="13" t="str">
        <f t="shared" si="156"/>
        <v/>
      </c>
      <c r="V2025" s="13" t="str">
        <f t="shared" si="157"/>
        <v/>
      </c>
      <c r="W2025" s="4" t="str">
        <f t="shared" si="158"/>
        <v/>
      </c>
      <c r="X2025" t="str">
        <f>IF(W2025="","",LOOKUP(_xlfn.CONCAT(P2025,", ",Q2025),'[1]T+S Costs'!$F$2:$F$3138,'[1]T+S Costs'!$N$2:$N$3138))</f>
        <v/>
      </c>
      <c r="Y2025" s="14" t="str">
        <f t="shared" si="159"/>
        <v/>
      </c>
      <c r="Z2025" s="4" t="str">
        <f t="shared" si="160"/>
        <v/>
      </c>
    </row>
    <row r="2026" spans="16:26" x14ac:dyDescent="0.25">
      <c r="P2026" s="10" t="str">
        <f>IF('[1]All Data '!AZ2031="","",'[1]All Data '!AZ2031)</f>
        <v/>
      </c>
      <c r="Q2026" s="10" t="str">
        <f>IF('[1]All Data '!BB2031="","",'[1]All Data '!BB2031)</f>
        <v/>
      </c>
      <c r="R2026" s="10" t="str">
        <f>IF('[1]All Data '!BD2031="","",'[1]All Data '!BD2031)</f>
        <v/>
      </c>
      <c r="S2026" s="11" t="str">
        <f>IF(R2026="","",'[1]All Data '!BE2031)</f>
        <v/>
      </c>
      <c r="T2026" s="12" t="str">
        <f>IF(S2026="","",[1]Inputs_Outputs!$B$8*(1-'LOCH Calc COE Calc'!S2026))</f>
        <v/>
      </c>
      <c r="U2026" s="13" t="str">
        <f t="shared" si="156"/>
        <v/>
      </c>
      <c r="V2026" s="13" t="str">
        <f t="shared" si="157"/>
        <v/>
      </c>
      <c r="W2026" s="4" t="str">
        <f t="shared" si="158"/>
        <v/>
      </c>
      <c r="X2026" t="str">
        <f>IF(W2026="","",LOOKUP(_xlfn.CONCAT(P2026,", ",Q2026),'[1]T+S Costs'!$F$2:$F$3138,'[1]T+S Costs'!$N$2:$N$3138))</f>
        <v/>
      </c>
      <c r="Y2026" s="14" t="str">
        <f t="shared" si="159"/>
        <v/>
      </c>
      <c r="Z2026" s="4" t="str">
        <f t="shared" si="160"/>
        <v/>
      </c>
    </row>
    <row r="2027" spans="16:26" x14ac:dyDescent="0.25">
      <c r="P2027" s="10" t="str">
        <f>IF('[1]All Data '!AZ2032="","",'[1]All Data '!AZ2032)</f>
        <v/>
      </c>
      <c r="Q2027" s="10" t="str">
        <f>IF('[1]All Data '!BB2032="","",'[1]All Data '!BB2032)</f>
        <v/>
      </c>
      <c r="R2027" s="10" t="str">
        <f>IF('[1]All Data '!BD2032="","",'[1]All Data '!BD2032)</f>
        <v/>
      </c>
      <c r="S2027" s="11" t="str">
        <f>IF(R2027="","",'[1]All Data '!BE2032)</f>
        <v/>
      </c>
      <c r="T2027" s="12" t="str">
        <f>IF(S2027="","",[1]Inputs_Outputs!$B$8*(1-'LOCH Calc COE Calc'!S2027))</f>
        <v/>
      </c>
      <c r="U2027" s="13" t="str">
        <f t="shared" si="156"/>
        <v/>
      </c>
      <c r="V2027" s="13" t="str">
        <f t="shared" si="157"/>
        <v/>
      </c>
      <c r="W2027" s="4" t="str">
        <f t="shared" si="158"/>
        <v/>
      </c>
      <c r="X2027" t="str">
        <f>IF(W2027="","",LOOKUP(_xlfn.CONCAT(P2027,", ",Q2027),'[1]T+S Costs'!$F$2:$F$3138,'[1]T+S Costs'!$N$2:$N$3138))</f>
        <v/>
      </c>
      <c r="Y2027" s="14" t="str">
        <f t="shared" si="159"/>
        <v/>
      </c>
      <c r="Z2027" s="4" t="str">
        <f t="shared" si="160"/>
        <v/>
      </c>
    </row>
    <row r="2028" spans="16:26" x14ac:dyDescent="0.25">
      <c r="P2028" s="10" t="str">
        <f>IF('[1]All Data '!AZ2033="","",'[1]All Data '!AZ2033)</f>
        <v/>
      </c>
      <c r="Q2028" s="10" t="str">
        <f>IF('[1]All Data '!BB2033="","",'[1]All Data '!BB2033)</f>
        <v/>
      </c>
      <c r="R2028" s="10" t="str">
        <f>IF('[1]All Data '!BD2033="","",'[1]All Data '!BD2033)</f>
        <v/>
      </c>
      <c r="S2028" s="11" t="str">
        <f>IF(R2028="","",'[1]All Data '!BE2033)</f>
        <v/>
      </c>
      <c r="T2028" s="12" t="str">
        <f>IF(S2028="","",[1]Inputs_Outputs!$B$8*(1-'LOCH Calc COE Calc'!S2028))</f>
        <v/>
      </c>
      <c r="U2028" s="13" t="str">
        <f t="shared" si="156"/>
        <v/>
      </c>
      <c r="V2028" s="13" t="str">
        <f t="shared" si="157"/>
        <v/>
      </c>
      <c r="W2028" s="4" t="str">
        <f t="shared" si="158"/>
        <v/>
      </c>
      <c r="X2028" t="str">
        <f>IF(W2028="","",LOOKUP(_xlfn.CONCAT(P2028,", ",Q2028),'[1]T+S Costs'!$F$2:$F$3138,'[1]T+S Costs'!$N$2:$N$3138))</f>
        <v/>
      </c>
      <c r="Y2028" s="14" t="str">
        <f t="shared" si="159"/>
        <v/>
      </c>
      <c r="Z2028" s="4" t="str">
        <f t="shared" si="160"/>
        <v/>
      </c>
    </row>
    <row r="2029" spans="16:26" x14ac:dyDescent="0.25">
      <c r="P2029" s="10" t="str">
        <f>IF('[1]All Data '!AZ2034="","",'[1]All Data '!AZ2034)</f>
        <v/>
      </c>
      <c r="Q2029" s="10" t="str">
        <f>IF('[1]All Data '!BB2034="","",'[1]All Data '!BB2034)</f>
        <v/>
      </c>
      <c r="R2029" s="10" t="str">
        <f>IF('[1]All Data '!BD2034="","",'[1]All Data '!BD2034)</f>
        <v/>
      </c>
      <c r="S2029" s="11" t="str">
        <f>IF(R2029="","",'[1]All Data '!BE2034)</f>
        <v/>
      </c>
      <c r="T2029" s="12" t="str">
        <f>IF(S2029="","",[1]Inputs_Outputs!$B$8*(1-'LOCH Calc COE Calc'!S2029))</f>
        <v/>
      </c>
      <c r="U2029" s="13" t="str">
        <f t="shared" si="156"/>
        <v/>
      </c>
      <c r="V2029" s="13" t="str">
        <f t="shared" si="157"/>
        <v/>
      </c>
      <c r="W2029" s="4" t="str">
        <f t="shared" si="158"/>
        <v/>
      </c>
      <c r="X2029" t="str">
        <f>IF(W2029="","",LOOKUP(_xlfn.CONCAT(P2029,", ",Q2029),'[1]T+S Costs'!$F$2:$F$3138,'[1]T+S Costs'!$N$2:$N$3138))</f>
        <v/>
      </c>
      <c r="Y2029" s="14" t="str">
        <f t="shared" si="159"/>
        <v/>
      </c>
      <c r="Z2029" s="4" t="str">
        <f t="shared" si="160"/>
        <v/>
      </c>
    </row>
    <row r="2030" spans="16:26" x14ac:dyDescent="0.25">
      <c r="P2030" s="10" t="str">
        <f>IF('[1]All Data '!AZ2035="","",'[1]All Data '!AZ2035)</f>
        <v/>
      </c>
      <c r="Q2030" s="10" t="str">
        <f>IF('[1]All Data '!BB2035="","",'[1]All Data '!BB2035)</f>
        <v/>
      </c>
      <c r="R2030" s="10" t="str">
        <f>IF('[1]All Data '!BD2035="","",'[1]All Data '!BD2035)</f>
        <v/>
      </c>
      <c r="S2030" s="11" t="str">
        <f>IF(R2030="","",'[1]All Data '!BE2035)</f>
        <v/>
      </c>
      <c r="T2030" s="12" t="str">
        <f>IF(S2030="","",[1]Inputs_Outputs!$B$8*(1-'LOCH Calc COE Calc'!S2030))</f>
        <v/>
      </c>
      <c r="U2030" s="13" t="str">
        <f t="shared" si="156"/>
        <v/>
      </c>
      <c r="V2030" s="13" t="str">
        <f t="shared" si="157"/>
        <v/>
      </c>
      <c r="W2030" s="4" t="str">
        <f t="shared" si="158"/>
        <v/>
      </c>
      <c r="X2030" t="str">
        <f>IF(W2030="","",LOOKUP(_xlfn.CONCAT(P2030,", ",Q2030),'[1]T+S Costs'!$F$2:$F$3138,'[1]T+S Costs'!$N$2:$N$3138))</f>
        <v/>
      </c>
      <c r="Y2030" s="14" t="str">
        <f t="shared" si="159"/>
        <v/>
      </c>
      <c r="Z2030" s="4" t="str">
        <f t="shared" si="160"/>
        <v/>
      </c>
    </row>
    <row r="2031" spans="16:26" x14ac:dyDescent="0.25">
      <c r="P2031" s="10" t="str">
        <f>IF('[1]All Data '!AZ2036="","",'[1]All Data '!AZ2036)</f>
        <v/>
      </c>
      <c r="Q2031" s="10" t="str">
        <f>IF('[1]All Data '!BB2036="","",'[1]All Data '!BB2036)</f>
        <v/>
      </c>
      <c r="R2031" s="10" t="str">
        <f>IF('[1]All Data '!BD2036="","",'[1]All Data '!BD2036)</f>
        <v/>
      </c>
      <c r="S2031" s="11" t="str">
        <f>IF(R2031="","",'[1]All Data '!BE2036)</f>
        <v/>
      </c>
      <c r="T2031" s="12" t="str">
        <f>IF(S2031="","",[1]Inputs_Outputs!$B$8*(1-'LOCH Calc COE Calc'!S2031))</f>
        <v/>
      </c>
      <c r="U2031" s="13" t="str">
        <f t="shared" si="156"/>
        <v/>
      </c>
      <c r="V2031" s="13" t="str">
        <f t="shared" si="157"/>
        <v/>
      </c>
      <c r="W2031" s="4" t="str">
        <f t="shared" si="158"/>
        <v/>
      </c>
      <c r="X2031" t="str">
        <f>IF(W2031="","",LOOKUP(_xlfn.CONCAT(P2031,", ",Q2031),'[1]T+S Costs'!$F$2:$F$3138,'[1]T+S Costs'!$N$2:$N$3138))</f>
        <v/>
      </c>
      <c r="Y2031" s="14" t="str">
        <f t="shared" si="159"/>
        <v/>
      </c>
      <c r="Z2031" s="4" t="str">
        <f t="shared" si="160"/>
        <v/>
      </c>
    </row>
    <row r="2032" spans="16:26" x14ac:dyDescent="0.25">
      <c r="P2032" s="10" t="str">
        <f>IF('[1]All Data '!AZ2037="","",'[1]All Data '!AZ2037)</f>
        <v/>
      </c>
      <c r="Q2032" s="10" t="str">
        <f>IF('[1]All Data '!BB2037="","",'[1]All Data '!BB2037)</f>
        <v/>
      </c>
      <c r="R2032" s="10" t="str">
        <f>IF('[1]All Data '!BD2037="","",'[1]All Data '!BD2037)</f>
        <v/>
      </c>
      <c r="S2032" s="11" t="str">
        <f>IF(R2032="","",'[1]All Data '!BE2037)</f>
        <v/>
      </c>
      <c r="T2032" s="12" t="str">
        <f>IF(S2032="","",[1]Inputs_Outputs!$B$8*(1-'LOCH Calc COE Calc'!S2032))</f>
        <v/>
      </c>
      <c r="U2032" s="13" t="str">
        <f t="shared" si="156"/>
        <v/>
      </c>
      <c r="V2032" s="13" t="str">
        <f t="shared" si="157"/>
        <v/>
      </c>
      <c r="W2032" s="4" t="str">
        <f t="shared" si="158"/>
        <v/>
      </c>
      <c r="X2032" t="str">
        <f>IF(W2032="","",LOOKUP(_xlfn.CONCAT(P2032,", ",Q2032),'[1]T+S Costs'!$F$2:$F$3138,'[1]T+S Costs'!$N$2:$N$3138))</f>
        <v/>
      </c>
      <c r="Y2032" s="14" t="str">
        <f t="shared" si="159"/>
        <v/>
      </c>
      <c r="Z2032" s="4" t="str">
        <f t="shared" si="160"/>
        <v/>
      </c>
    </row>
    <row r="2033" spans="16:26" x14ac:dyDescent="0.25">
      <c r="P2033" s="10" t="str">
        <f>IF('[1]All Data '!AZ2038="","",'[1]All Data '!AZ2038)</f>
        <v/>
      </c>
      <c r="Q2033" s="10" t="str">
        <f>IF('[1]All Data '!BB2038="","",'[1]All Data '!BB2038)</f>
        <v/>
      </c>
      <c r="R2033" s="10" t="str">
        <f>IF('[1]All Data '!BD2038="","",'[1]All Data '!BD2038)</f>
        <v/>
      </c>
      <c r="S2033" s="11" t="str">
        <f>IF(R2033="","",'[1]All Data '!BE2038)</f>
        <v/>
      </c>
      <c r="T2033" s="12" t="str">
        <f>IF(S2033="","",[1]Inputs_Outputs!$B$8*(1-'LOCH Calc COE Calc'!S2033))</f>
        <v/>
      </c>
      <c r="U2033" s="13" t="str">
        <f t="shared" si="156"/>
        <v/>
      </c>
      <c r="V2033" s="13" t="str">
        <f t="shared" si="157"/>
        <v/>
      </c>
      <c r="W2033" s="4" t="str">
        <f t="shared" si="158"/>
        <v/>
      </c>
      <c r="X2033" t="str">
        <f>IF(W2033="","",LOOKUP(_xlfn.CONCAT(P2033,", ",Q2033),'[1]T+S Costs'!$F$2:$F$3138,'[1]T+S Costs'!$N$2:$N$3138))</f>
        <v/>
      </c>
      <c r="Y2033" s="14" t="str">
        <f t="shared" si="159"/>
        <v/>
      </c>
      <c r="Z2033" s="4" t="str">
        <f t="shared" si="160"/>
        <v/>
      </c>
    </row>
    <row r="2034" spans="16:26" x14ac:dyDescent="0.25">
      <c r="P2034" s="10" t="str">
        <f>IF('[1]All Data '!AZ2039="","",'[1]All Data '!AZ2039)</f>
        <v/>
      </c>
      <c r="Q2034" s="10" t="str">
        <f>IF('[1]All Data '!BB2039="","",'[1]All Data '!BB2039)</f>
        <v/>
      </c>
      <c r="R2034" s="10" t="str">
        <f>IF('[1]All Data '!BD2039="","",'[1]All Data '!BD2039)</f>
        <v/>
      </c>
      <c r="S2034" s="11" t="str">
        <f>IF(R2034="","",'[1]All Data '!BE2039)</f>
        <v/>
      </c>
      <c r="T2034" s="12" t="str">
        <f>IF(S2034="","",[1]Inputs_Outputs!$B$8*(1-'LOCH Calc COE Calc'!S2034))</f>
        <v/>
      </c>
      <c r="U2034" s="13" t="str">
        <f t="shared" si="156"/>
        <v/>
      </c>
      <c r="V2034" s="13" t="str">
        <f t="shared" si="157"/>
        <v/>
      </c>
      <c r="W2034" s="4" t="str">
        <f t="shared" si="158"/>
        <v/>
      </c>
      <c r="X2034" t="str">
        <f>IF(W2034="","",LOOKUP(_xlfn.CONCAT(P2034,", ",Q2034),'[1]T+S Costs'!$F$2:$F$3138,'[1]T+S Costs'!$N$2:$N$3138))</f>
        <v/>
      </c>
      <c r="Y2034" s="14" t="str">
        <f t="shared" si="159"/>
        <v/>
      </c>
      <c r="Z2034" s="4" t="str">
        <f t="shared" si="160"/>
        <v/>
      </c>
    </row>
    <row r="2035" spans="16:26" x14ac:dyDescent="0.25">
      <c r="P2035" s="10" t="str">
        <f>IF('[1]All Data '!AZ2040="","",'[1]All Data '!AZ2040)</f>
        <v/>
      </c>
      <c r="Q2035" s="10" t="str">
        <f>IF('[1]All Data '!BB2040="","",'[1]All Data '!BB2040)</f>
        <v/>
      </c>
      <c r="R2035" s="10" t="str">
        <f>IF('[1]All Data '!BD2040="","",'[1]All Data '!BD2040)</f>
        <v/>
      </c>
      <c r="S2035" s="11" t="str">
        <f>IF(R2035="","",'[1]All Data '!BE2040)</f>
        <v/>
      </c>
      <c r="T2035" s="12" t="str">
        <f>IF(S2035="","",[1]Inputs_Outputs!$B$8*(1-'LOCH Calc COE Calc'!S2035))</f>
        <v/>
      </c>
      <c r="U2035" s="13" t="str">
        <f t="shared" si="156"/>
        <v/>
      </c>
      <c r="V2035" s="13" t="str">
        <f t="shared" si="157"/>
        <v/>
      </c>
      <c r="W2035" s="4" t="str">
        <f t="shared" si="158"/>
        <v/>
      </c>
      <c r="X2035" t="str">
        <f>IF(W2035="","",LOOKUP(_xlfn.CONCAT(P2035,", ",Q2035),'[1]T+S Costs'!$F$2:$F$3138,'[1]T+S Costs'!$N$2:$N$3138))</f>
        <v/>
      </c>
      <c r="Y2035" s="14" t="str">
        <f t="shared" si="159"/>
        <v/>
      </c>
      <c r="Z2035" s="4" t="str">
        <f t="shared" si="160"/>
        <v/>
      </c>
    </row>
    <row r="2036" spans="16:26" x14ac:dyDescent="0.25">
      <c r="P2036" s="10" t="str">
        <f>IF('[1]All Data '!AZ2041="","",'[1]All Data '!AZ2041)</f>
        <v/>
      </c>
      <c r="Q2036" s="10" t="str">
        <f>IF('[1]All Data '!BB2041="","",'[1]All Data '!BB2041)</f>
        <v/>
      </c>
      <c r="R2036" s="10" t="str">
        <f>IF('[1]All Data '!BD2041="","",'[1]All Data '!BD2041)</f>
        <v/>
      </c>
      <c r="S2036" s="11" t="str">
        <f>IF(R2036="","",'[1]All Data '!BE2041)</f>
        <v/>
      </c>
      <c r="T2036" s="12" t="str">
        <f>IF(S2036="","",[1]Inputs_Outputs!$B$8*(1-'LOCH Calc COE Calc'!S2036))</f>
        <v/>
      </c>
      <c r="U2036" s="13" t="str">
        <f t="shared" si="156"/>
        <v/>
      </c>
      <c r="V2036" s="13" t="str">
        <f t="shared" si="157"/>
        <v/>
      </c>
      <c r="W2036" s="4" t="str">
        <f t="shared" si="158"/>
        <v/>
      </c>
      <c r="X2036" t="str">
        <f>IF(W2036="","",LOOKUP(_xlfn.CONCAT(P2036,", ",Q2036),'[1]T+S Costs'!$F$2:$F$3138,'[1]T+S Costs'!$N$2:$N$3138))</f>
        <v/>
      </c>
      <c r="Y2036" s="14" t="str">
        <f t="shared" si="159"/>
        <v/>
      </c>
      <c r="Z2036" s="4" t="str">
        <f t="shared" si="160"/>
        <v/>
      </c>
    </row>
    <row r="2037" spans="16:26" x14ac:dyDescent="0.25">
      <c r="P2037" s="10" t="str">
        <f>IF('[1]All Data '!AZ2042="","",'[1]All Data '!AZ2042)</f>
        <v/>
      </c>
      <c r="Q2037" s="10" t="str">
        <f>IF('[1]All Data '!BB2042="","",'[1]All Data '!BB2042)</f>
        <v/>
      </c>
      <c r="R2037" s="10" t="str">
        <f>IF('[1]All Data '!BD2042="","",'[1]All Data '!BD2042)</f>
        <v/>
      </c>
      <c r="S2037" s="11" t="str">
        <f>IF(R2037="","",'[1]All Data '!BE2042)</f>
        <v/>
      </c>
      <c r="T2037" s="12" t="str">
        <f>IF(S2037="","",[1]Inputs_Outputs!$B$8*(1-'LOCH Calc COE Calc'!S2037))</f>
        <v/>
      </c>
      <c r="U2037" s="13" t="str">
        <f t="shared" si="156"/>
        <v/>
      </c>
      <c r="V2037" s="13" t="str">
        <f t="shared" si="157"/>
        <v/>
      </c>
      <c r="W2037" s="4" t="str">
        <f t="shared" si="158"/>
        <v/>
      </c>
      <c r="X2037" t="str">
        <f>IF(W2037="","",LOOKUP(_xlfn.CONCAT(P2037,", ",Q2037),'[1]T+S Costs'!$F$2:$F$3138,'[1]T+S Costs'!$N$2:$N$3138))</f>
        <v/>
      </c>
      <c r="Y2037" s="14" t="str">
        <f t="shared" si="159"/>
        <v/>
      </c>
      <c r="Z2037" s="4" t="str">
        <f t="shared" si="160"/>
        <v/>
      </c>
    </row>
    <row r="2038" spans="16:26" x14ac:dyDescent="0.25">
      <c r="P2038" s="10" t="str">
        <f>IF('[1]All Data '!AZ2043="","",'[1]All Data '!AZ2043)</f>
        <v/>
      </c>
      <c r="Q2038" s="10" t="str">
        <f>IF('[1]All Data '!BB2043="","",'[1]All Data '!BB2043)</f>
        <v/>
      </c>
      <c r="R2038" s="10" t="str">
        <f>IF('[1]All Data '!BD2043="","",'[1]All Data '!BD2043)</f>
        <v/>
      </c>
      <c r="S2038" s="11" t="str">
        <f>IF(R2038="","",'[1]All Data '!BE2043)</f>
        <v/>
      </c>
      <c r="T2038" s="12" t="str">
        <f>IF(S2038="","",[1]Inputs_Outputs!$B$8*(1-'LOCH Calc COE Calc'!S2038))</f>
        <v/>
      </c>
      <c r="U2038" s="13" t="str">
        <f t="shared" si="156"/>
        <v/>
      </c>
      <c r="V2038" s="13" t="str">
        <f t="shared" si="157"/>
        <v/>
      </c>
      <c r="W2038" s="4" t="str">
        <f t="shared" si="158"/>
        <v/>
      </c>
      <c r="X2038" t="str">
        <f>IF(W2038="","",LOOKUP(_xlfn.CONCAT(P2038,", ",Q2038),'[1]T+S Costs'!$F$2:$F$3138,'[1]T+S Costs'!$N$2:$N$3138))</f>
        <v/>
      </c>
      <c r="Y2038" s="14" t="str">
        <f t="shared" si="159"/>
        <v/>
      </c>
      <c r="Z2038" s="4" t="str">
        <f t="shared" si="160"/>
        <v/>
      </c>
    </row>
    <row r="2039" spans="16:26" x14ac:dyDescent="0.25">
      <c r="P2039" s="10" t="str">
        <f>IF('[1]All Data '!AZ2044="","",'[1]All Data '!AZ2044)</f>
        <v/>
      </c>
      <c r="Q2039" s="10" t="str">
        <f>IF('[1]All Data '!BB2044="","",'[1]All Data '!BB2044)</f>
        <v/>
      </c>
      <c r="R2039" s="10" t="str">
        <f>IF('[1]All Data '!BD2044="","",'[1]All Data '!BD2044)</f>
        <v/>
      </c>
      <c r="S2039" s="11" t="str">
        <f>IF(R2039="","",'[1]All Data '!BE2044)</f>
        <v/>
      </c>
      <c r="T2039" s="12" t="str">
        <f>IF(S2039="","",[1]Inputs_Outputs!$B$8*(1-'LOCH Calc COE Calc'!S2039))</f>
        <v/>
      </c>
      <c r="U2039" s="13" t="str">
        <f t="shared" si="156"/>
        <v/>
      </c>
      <c r="V2039" s="13" t="str">
        <f t="shared" si="157"/>
        <v/>
      </c>
      <c r="W2039" s="4" t="str">
        <f t="shared" si="158"/>
        <v/>
      </c>
      <c r="X2039" t="str">
        <f>IF(W2039="","",LOOKUP(_xlfn.CONCAT(P2039,", ",Q2039),'[1]T+S Costs'!$F$2:$F$3138,'[1]T+S Costs'!$N$2:$N$3138))</f>
        <v/>
      </c>
      <c r="Y2039" s="14" t="str">
        <f t="shared" si="159"/>
        <v/>
      </c>
      <c r="Z2039" s="4" t="str">
        <f t="shared" si="160"/>
        <v/>
      </c>
    </row>
    <row r="2040" spans="16:26" x14ac:dyDescent="0.25">
      <c r="P2040" s="10" t="str">
        <f>IF('[1]All Data '!AZ2045="","",'[1]All Data '!AZ2045)</f>
        <v/>
      </c>
      <c r="Q2040" s="10" t="str">
        <f>IF('[1]All Data '!BB2045="","",'[1]All Data '!BB2045)</f>
        <v/>
      </c>
      <c r="R2040" s="10" t="str">
        <f>IF('[1]All Data '!BD2045="","",'[1]All Data '!BD2045)</f>
        <v/>
      </c>
      <c r="S2040" s="11" t="str">
        <f>IF(R2040="","",'[1]All Data '!BE2045)</f>
        <v/>
      </c>
      <c r="T2040" s="12" t="str">
        <f>IF(S2040="","",[1]Inputs_Outputs!$B$8*(1-'LOCH Calc COE Calc'!S2040))</f>
        <v/>
      </c>
      <c r="U2040" s="13" t="str">
        <f t="shared" si="156"/>
        <v/>
      </c>
      <c r="V2040" s="13" t="str">
        <f t="shared" si="157"/>
        <v/>
      </c>
      <c r="W2040" s="4" t="str">
        <f t="shared" si="158"/>
        <v/>
      </c>
      <c r="X2040" t="str">
        <f>IF(W2040="","",LOOKUP(_xlfn.CONCAT(P2040,", ",Q2040),'[1]T+S Costs'!$F$2:$F$3138,'[1]T+S Costs'!$N$2:$N$3138))</f>
        <v/>
      </c>
      <c r="Y2040" s="14" t="str">
        <f t="shared" si="159"/>
        <v/>
      </c>
      <c r="Z2040" s="4" t="str">
        <f t="shared" si="160"/>
        <v/>
      </c>
    </row>
    <row r="2041" spans="16:26" x14ac:dyDescent="0.25">
      <c r="P2041" s="10" t="str">
        <f>IF('[1]All Data '!AZ2046="","",'[1]All Data '!AZ2046)</f>
        <v/>
      </c>
      <c r="Q2041" s="10" t="str">
        <f>IF('[1]All Data '!BB2046="","",'[1]All Data '!BB2046)</f>
        <v/>
      </c>
      <c r="R2041" s="10" t="str">
        <f>IF('[1]All Data '!BD2046="","",'[1]All Data '!BD2046)</f>
        <v/>
      </c>
      <c r="S2041" s="11" t="str">
        <f>IF(R2041="","",'[1]All Data '!BE2046)</f>
        <v/>
      </c>
      <c r="T2041" s="12" t="str">
        <f>IF(S2041="","",[1]Inputs_Outputs!$B$8*(1-'LOCH Calc COE Calc'!S2041))</f>
        <v/>
      </c>
      <c r="U2041" s="13" t="str">
        <f t="shared" si="156"/>
        <v/>
      </c>
      <c r="V2041" s="13" t="str">
        <f t="shared" si="157"/>
        <v/>
      </c>
      <c r="W2041" s="4" t="str">
        <f t="shared" si="158"/>
        <v/>
      </c>
      <c r="X2041" t="str">
        <f>IF(W2041="","",LOOKUP(_xlfn.CONCAT(P2041,", ",Q2041),'[1]T+S Costs'!$F$2:$F$3138,'[1]T+S Costs'!$N$2:$N$3138))</f>
        <v/>
      </c>
      <c r="Y2041" s="14" t="str">
        <f t="shared" si="159"/>
        <v/>
      </c>
      <c r="Z2041" s="4" t="str">
        <f t="shared" si="160"/>
        <v/>
      </c>
    </row>
    <row r="2042" spans="16:26" x14ac:dyDescent="0.25">
      <c r="P2042" s="10" t="str">
        <f>IF('[1]All Data '!AZ2047="","",'[1]All Data '!AZ2047)</f>
        <v/>
      </c>
      <c r="Q2042" s="10" t="str">
        <f>IF('[1]All Data '!BB2047="","",'[1]All Data '!BB2047)</f>
        <v/>
      </c>
      <c r="R2042" s="10" t="str">
        <f>IF('[1]All Data '!BD2047="","",'[1]All Data '!BD2047)</f>
        <v/>
      </c>
      <c r="S2042" s="11" t="str">
        <f>IF(R2042="","",'[1]All Data '!BE2047)</f>
        <v/>
      </c>
      <c r="T2042" s="12" t="str">
        <f>IF(S2042="","",[1]Inputs_Outputs!$B$8*(1-'LOCH Calc COE Calc'!S2042))</f>
        <v/>
      </c>
      <c r="U2042" s="13" t="str">
        <f t="shared" si="156"/>
        <v/>
      </c>
      <c r="V2042" s="13" t="str">
        <f t="shared" si="157"/>
        <v/>
      </c>
      <c r="W2042" s="4" t="str">
        <f t="shared" si="158"/>
        <v/>
      </c>
      <c r="X2042" t="str">
        <f>IF(W2042="","",LOOKUP(_xlfn.CONCAT(P2042,", ",Q2042),'[1]T+S Costs'!$F$2:$F$3138,'[1]T+S Costs'!$N$2:$N$3138))</f>
        <v/>
      </c>
      <c r="Y2042" s="14" t="str">
        <f t="shared" si="159"/>
        <v/>
      </c>
      <c r="Z2042" s="4" t="str">
        <f t="shared" si="160"/>
        <v/>
      </c>
    </row>
    <row r="2043" spans="16:26" x14ac:dyDescent="0.25">
      <c r="P2043" s="10" t="str">
        <f>IF('[1]All Data '!AZ2048="","",'[1]All Data '!AZ2048)</f>
        <v/>
      </c>
      <c r="Q2043" s="10" t="str">
        <f>IF('[1]All Data '!BB2048="","",'[1]All Data '!BB2048)</f>
        <v/>
      </c>
      <c r="R2043" s="10" t="str">
        <f>IF('[1]All Data '!BD2048="","",'[1]All Data '!BD2048)</f>
        <v/>
      </c>
      <c r="S2043" s="11" t="str">
        <f>IF(R2043="","",'[1]All Data '!BE2048)</f>
        <v/>
      </c>
      <c r="T2043" s="12" t="str">
        <f>IF(S2043="","",[1]Inputs_Outputs!$B$8*(1-'LOCH Calc COE Calc'!S2043))</f>
        <v/>
      </c>
      <c r="U2043" s="13" t="str">
        <f t="shared" si="156"/>
        <v/>
      </c>
      <c r="V2043" s="13" t="str">
        <f t="shared" si="157"/>
        <v/>
      </c>
      <c r="W2043" s="4" t="str">
        <f t="shared" si="158"/>
        <v/>
      </c>
      <c r="X2043" t="str">
        <f>IF(W2043="","",LOOKUP(_xlfn.CONCAT(P2043,", ",Q2043),'[1]T+S Costs'!$F$2:$F$3138,'[1]T+S Costs'!$N$2:$N$3138))</f>
        <v/>
      </c>
      <c r="Y2043" s="14" t="str">
        <f t="shared" si="159"/>
        <v/>
      </c>
      <c r="Z2043" s="4" t="str">
        <f t="shared" si="160"/>
        <v/>
      </c>
    </row>
    <row r="2044" spans="16:26" x14ac:dyDescent="0.25">
      <c r="P2044" s="10" t="str">
        <f>IF('[1]All Data '!AZ2049="","",'[1]All Data '!AZ2049)</f>
        <v/>
      </c>
      <c r="Q2044" s="10" t="str">
        <f>IF('[1]All Data '!BB2049="","",'[1]All Data '!BB2049)</f>
        <v/>
      </c>
      <c r="R2044" s="10" t="str">
        <f>IF('[1]All Data '!BD2049="","",'[1]All Data '!BD2049)</f>
        <v/>
      </c>
      <c r="S2044" s="11" t="str">
        <f>IF(R2044="","",'[1]All Data '!BE2049)</f>
        <v/>
      </c>
      <c r="T2044" s="12" t="str">
        <f>IF(S2044="","",[1]Inputs_Outputs!$B$8*(1-'LOCH Calc COE Calc'!S2044))</f>
        <v/>
      </c>
      <c r="U2044" s="13" t="str">
        <f t="shared" si="156"/>
        <v/>
      </c>
      <c r="V2044" s="13" t="str">
        <f t="shared" si="157"/>
        <v/>
      </c>
      <c r="W2044" s="4" t="str">
        <f t="shared" si="158"/>
        <v/>
      </c>
      <c r="X2044" t="str">
        <f>IF(W2044="","",LOOKUP(_xlfn.CONCAT(P2044,", ",Q2044),'[1]T+S Costs'!$F$2:$F$3138,'[1]T+S Costs'!$N$2:$N$3138))</f>
        <v/>
      </c>
      <c r="Y2044" s="14" t="str">
        <f t="shared" si="159"/>
        <v/>
      </c>
      <c r="Z2044" s="4" t="str">
        <f t="shared" si="160"/>
        <v/>
      </c>
    </row>
    <row r="2045" spans="16:26" x14ac:dyDescent="0.25">
      <c r="P2045" s="10" t="str">
        <f>IF('[1]All Data '!AZ2050="","",'[1]All Data '!AZ2050)</f>
        <v/>
      </c>
      <c r="Q2045" s="10" t="str">
        <f>IF('[1]All Data '!BB2050="","",'[1]All Data '!BB2050)</f>
        <v/>
      </c>
      <c r="R2045" s="10" t="str">
        <f>IF('[1]All Data '!BD2050="","",'[1]All Data '!BD2050)</f>
        <v/>
      </c>
      <c r="S2045" s="11" t="str">
        <f>IF(R2045="","",'[1]All Data '!BE2050)</f>
        <v/>
      </c>
      <c r="T2045" s="12" t="str">
        <f>IF(S2045="","",[1]Inputs_Outputs!$B$8*(1-'LOCH Calc COE Calc'!S2045))</f>
        <v/>
      </c>
      <c r="U2045" s="13" t="str">
        <f t="shared" si="156"/>
        <v/>
      </c>
      <c r="V2045" s="13" t="str">
        <f t="shared" si="157"/>
        <v/>
      </c>
      <c r="W2045" s="4" t="str">
        <f t="shared" si="158"/>
        <v/>
      </c>
      <c r="X2045" t="str">
        <f>IF(W2045="","",LOOKUP(_xlfn.CONCAT(P2045,", ",Q2045),'[1]T+S Costs'!$F$2:$F$3138,'[1]T+S Costs'!$N$2:$N$3138))</f>
        <v/>
      </c>
      <c r="Y2045" s="14" t="str">
        <f t="shared" si="159"/>
        <v/>
      </c>
      <c r="Z2045" s="4" t="str">
        <f t="shared" si="160"/>
        <v/>
      </c>
    </row>
    <row r="2046" spans="16:26" x14ac:dyDescent="0.25">
      <c r="P2046" s="10" t="str">
        <f>IF('[1]All Data '!AZ2051="","",'[1]All Data '!AZ2051)</f>
        <v/>
      </c>
      <c r="Q2046" s="10" t="str">
        <f>IF('[1]All Data '!BB2051="","",'[1]All Data '!BB2051)</f>
        <v/>
      </c>
      <c r="R2046" s="10" t="str">
        <f>IF('[1]All Data '!BD2051="","",'[1]All Data '!BD2051)</f>
        <v/>
      </c>
      <c r="S2046" s="11" t="str">
        <f>IF(R2046="","",'[1]All Data '!BE2051)</f>
        <v/>
      </c>
      <c r="T2046" s="12" t="str">
        <f>IF(S2046="","",[1]Inputs_Outputs!$B$8*(1-'LOCH Calc COE Calc'!S2046))</f>
        <v/>
      </c>
      <c r="U2046" s="13" t="str">
        <f t="shared" si="156"/>
        <v/>
      </c>
      <c r="V2046" s="13" t="str">
        <f t="shared" si="157"/>
        <v/>
      </c>
      <c r="W2046" s="4" t="str">
        <f t="shared" si="158"/>
        <v/>
      </c>
      <c r="X2046" t="str">
        <f>IF(W2046="","",LOOKUP(_xlfn.CONCAT(P2046,", ",Q2046),'[1]T+S Costs'!$F$2:$F$3138,'[1]T+S Costs'!$N$2:$N$3138))</f>
        <v/>
      </c>
      <c r="Y2046" s="14" t="str">
        <f t="shared" si="159"/>
        <v/>
      </c>
      <c r="Z2046" s="4" t="str">
        <f t="shared" si="160"/>
        <v/>
      </c>
    </row>
    <row r="2047" spans="16:26" x14ac:dyDescent="0.25">
      <c r="P2047" s="10" t="str">
        <f>IF('[1]All Data '!AZ2052="","",'[1]All Data '!AZ2052)</f>
        <v/>
      </c>
      <c r="Q2047" s="10" t="str">
        <f>IF('[1]All Data '!BB2052="","",'[1]All Data '!BB2052)</f>
        <v/>
      </c>
      <c r="R2047" s="10" t="str">
        <f>IF('[1]All Data '!BD2052="","",'[1]All Data '!BD2052)</f>
        <v/>
      </c>
      <c r="S2047" s="11" t="str">
        <f>IF(R2047="","",'[1]All Data '!BE2052)</f>
        <v/>
      </c>
      <c r="T2047" s="12" t="str">
        <f>IF(S2047="","",[1]Inputs_Outputs!$B$8*(1-'LOCH Calc COE Calc'!S2047))</f>
        <v/>
      </c>
      <c r="U2047" s="13" t="str">
        <f t="shared" si="156"/>
        <v/>
      </c>
      <c r="V2047" s="13" t="str">
        <f t="shared" si="157"/>
        <v/>
      </c>
      <c r="W2047" s="4" t="str">
        <f t="shared" si="158"/>
        <v/>
      </c>
      <c r="X2047" t="str">
        <f>IF(W2047="","",LOOKUP(_xlfn.CONCAT(P2047,", ",Q2047),'[1]T+S Costs'!$F$2:$F$3138,'[1]T+S Costs'!$N$2:$N$3138))</f>
        <v/>
      </c>
      <c r="Y2047" s="14" t="str">
        <f t="shared" si="159"/>
        <v/>
      </c>
      <c r="Z2047" s="4" t="str">
        <f t="shared" si="160"/>
        <v/>
      </c>
    </row>
    <row r="2048" spans="16:26" x14ac:dyDescent="0.25">
      <c r="P2048" s="10" t="str">
        <f>IF('[1]All Data '!AZ2053="","",'[1]All Data '!AZ2053)</f>
        <v/>
      </c>
      <c r="Q2048" s="10" t="str">
        <f>IF('[1]All Data '!BB2053="","",'[1]All Data '!BB2053)</f>
        <v/>
      </c>
      <c r="R2048" s="10" t="str">
        <f>IF('[1]All Data '!BD2053="","",'[1]All Data '!BD2053)</f>
        <v/>
      </c>
      <c r="S2048" s="11" t="str">
        <f>IF(R2048="","",'[1]All Data '!BE2053)</f>
        <v/>
      </c>
      <c r="T2048" s="12" t="str">
        <f>IF(S2048="","",[1]Inputs_Outputs!$B$8*(1-'LOCH Calc COE Calc'!S2048))</f>
        <v/>
      </c>
      <c r="U2048" s="13" t="str">
        <f t="shared" si="156"/>
        <v/>
      </c>
      <c r="V2048" s="13" t="str">
        <f t="shared" si="157"/>
        <v/>
      </c>
      <c r="W2048" s="4" t="str">
        <f t="shared" si="158"/>
        <v/>
      </c>
      <c r="X2048" t="str">
        <f>IF(W2048="","",LOOKUP(_xlfn.CONCAT(P2048,", ",Q2048),'[1]T+S Costs'!$F$2:$F$3138,'[1]T+S Costs'!$N$2:$N$3138))</f>
        <v/>
      </c>
      <c r="Y2048" s="14" t="str">
        <f t="shared" si="159"/>
        <v/>
      </c>
      <c r="Z2048" s="4" t="str">
        <f t="shared" si="160"/>
        <v/>
      </c>
    </row>
    <row r="2049" spans="16:26" x14ac:dyDescent="0.25">
      <c r="P2049" s="10" t="str">
        <f>IF('[1]All Data '!AZ2054="","",'[1]All Data '!AZ2054)</f>
        <v/>
      </c>
      <c r="Q2049" s="10" t="str">
        <f>IF('[1]All Data '!BB2054="","",'[1]All Data '!BB2054)</f>
        <v/>
      </c>
      <c r="R2049" s="10" t="str">
        <f>IF('[1]All Data '!BD2054="","",'[1]All Data '!BD2054)</f>
        <v/>
      </c>
      <c r="S2049" s="11" t="str">
        <f>IF(R2049="","",'[1]All Data '!BE2054)</f>
        <v/>
      </c>
      <c r="T2049" s="12" t="str">
        <f>IF(S2049="","",[1]Inputs_Outputs!$B$8*(1-'LOCH Calc COE Calc'!S2049))</f>
        <v/>
      </c>
      <c r="U2049" s="13" t="str">
        <f t="shared" si="156"/>
        <v/>
      </c>
      <c r="V2049" s="13" t="str">
        <f t="shared" si="157"/>
        <v/>
      </c>
      <c r="W2049" s="4" t="str">
        <f t="shared" si="158"/>
        <v/>
      </c>
      <c r="X2049" t="str">
        <f>IF(W2049="","",LOOKUP(_xlfn.CONCAT(P2049,", ",Q2049),'[1]T+S Costs'!$F$2:$F$3138,'[1]T+S Costs'!$N$2:$N$3138))</f>
        <v/>
      </c>
      <c r="Y2049" s="14" t="str">
        <f t="shared" si="159"/>
        <v/>
      </c>
      <c r="Z2049" s="4" t="str">
        <f t="shared" si="160"/>
        <v/>
      </c>
    </row>
    <row r="2050" spans="16:26" x14ac:dyDescent="0.25">
      <c r="P2050" s="10" t="str">
        <f>IF('[1]All Data '!AZ2055="","",'[1]All Data '!AZ2055)</f>
        <v/>
      </c>
      <c r="Q2050" s="10" t="str">
        <f>IF('[1]All Data '!BB2055="","",'[1]All Data '!BB2055)</f>
        <v/>
      </c>
      <c r="R2050" s="10" t="str">
        <f>IF('[1]All Data '!BD2055="","",'[1]All Data '!BD2055)</f>
        <v/>
      </c>
      <c r="S2050" s="11" t="str">
        <f>IF(R2050="","",'[1]All Data '!BE2055)</f>
        <v/>
      </c>
      <c r="T2050" s="12" t="str">
        <f>IF(S2050="","",[1]Inputs_Outputs!$B$8*(1-'LOCH Calc COE Calc'!S2050))</f>
        <v/>
      </c>
      <c r="U2050" s="13" t="str">
        <f t="shared" si="156"/>
        <v/>
      </c>
      <c r="V2050" s="13" t="str">
        <f t="shared" si="157"/>
        <v/>
      </c>
      <c r="W2050" s="4" t="str">
        <f t="shared" si="158"/>
        <v/>
      </c>
      <c r="X2050" t="str">
        <f>IF(W2050="","",LOOKUP(_xlfn.CONCAT(P2050,", ",Q2050),'[1]T+S Costs'!$F$2:$F$3138,'[1]T+S Costs'!$N$2:$N$3138))</f>
        <v/>
      </c>
      <c r="Y2050" s="14" t="str">
        <f t="shared" si="159"/>
        <v/>
      </c>
      <c r="Z2050" s="4" t="str">
        <f t="shared" si="160"/>
        <v/>
      </c>
    </row>
    <row r="2051" spans="16:26" x14ac:dyDescent="0.25">
      <c r="P2051" s="10" t="str">
        <f>IF('[1]All Data '!AZ2056="","",'[1]All Data '!AZ2056)</f>
        <v/>
      </c>
      <c r="Q2051" s="10" t="str">
        <f>IF('[1]All Data '!BB2056="","",'[1]All Data '!BB2056)</f>
        <v/>
      </c>
      <c r="R2051" s="10" t="str">
        <f>IF('[1]All Data '!BD2056="","",'[1]All Data '!BD2056)</f>
        <v/>
      </c>
      <c r="S2051" s="11" t="str">
        <f>IF(R2051="","",'[1]All Data '!BE2056)</f>
        <v/>
      </c>
      <c r="T2051" s="12" t="str">
        <f>IF(S2051="","",[1]Inputs_Outputs!$B$8*(1-'LOCH Calc COE Calc'!S2051))</f>
        <v/>
      </c>
      <c r="U2051" s="13" t="str">
        <f t="shared" ref="U2051:U2114" si="161">IF(S2051="","",R2051*T2051*365*$B$19/100)</f>
        <v/>
      </c>
      <c r="V2051" s="13" t="str">
        <f t="shared" ref="V2051:V2114" si="162">IF(S2051="","",(U2051*$B$19)/(($B$28)*$B$19))</f>
        <v/>
      </c>
      <c r="W2051" s="4" t="str">
        <f t="shared" ref="W2051:W2114" si="163">IF(S2051="","",V2051+$C$49+$C$50+$C$51)</f>
        <v/>
      </c>
      <c r="X2051" t="str">
        <f>IF(W2051="","",LOOKUP(_xlfn.CONCAT(P2051,", ",Q2051),'[1]T+S Costs'!$F$2:$F$3138,'[1]T+S Costs'!$N$2:$N$3138))</f>
        <v/>
      </c>
      <c r="Y2051" s="14" t="str">
        <f t="shared" ref="Y2051:Y2114" si="164">IF(X2051="","",((X2051*$B$60/$B$59)*$C$44)/$C$28)</f>
        <v/>
      </c>
      <c r="Z2051" s="4" t="str">
        <f t="shared" ref="Z2051:Z2114" si="165">IF(Y2051="","",W2051+Y2051)</f>
        <v/>
      </c>
    </row>
    <row r="2052" spans="16:26" x14ac:dyDescent="0.25">
      <c r="P2052" s="10" t="str">
        <f>IF('[1]All Data '!AZ2057="","",'[1]All Data '!AZ2057)</f>
        <v/>
      </c>
      <c r="Q2052" s="10" t="str">
        <f>IF('[1]All Data '!BB2057="","",'[1]All Data '!BB2057)</f>
        <v/>
      </c>
      <c r="R2052" s="10" t="str">
        <f>IF('[1]All Data '!BD2057="","",'[1]All Data '!BD2057)</f>
        <v/>
      </c>
      <c r="S2052" s="11" t="str">
        <f>IF(R2052="","",'[1]All Data '!BE2057)</f>
        <v/>
      </c>
      <c r="T2052" s="12" t="str">
        <f>IF(S2052="","",[1]Inputs_Outputs!$B$8*(1-'LOCH Calc COE Calc'!S2052))</f>
        <v/>
      </c>
      <c r="U2052" s="13" t="str">
        <f t="shared" si="161"/>
        <v/>
      </c>
      <c r="V2052" s="13" t="str">
        <f t="shared" si="162"/>
        <v/>
      </c>
      <c r="W2052" s="4" t="str">
        <f t="shared" si="163"/>
        <v/>
      </c>
      <c r="X2052" t="str">
        <f>IF(W2052="","",LOOKUP(_xlfn.CONCAT(P2052,", ",Q2052),'[1]T+S Costs'!$F$2:$F$3138,'[1]T+S Costs'!$N$2:$N$3138))</f>
        <v/>
      </c>
      <c r="Y2052" s="14" t="str">
        <f t="shared" si="164"/>
        <v/>
      </c>
      <c r="Z2052" s="4" t="str">
        <f t="shared" si="165"/>
        <v/>
      </c>
    </row>
    <row r="2053" spans="16:26" x14ac:dyDescent="0.25">
      <c r="P2053" s="10" t="str">
        <f>IF('[1]All Data '!AZ2058="","",'[1]All Data '!AZ2058)</f>
        <v/>
      </c>
      <c r="Q2053" s="10" t="str">
        <f>IF('[1]All Data '!BB2058="","",'[1]All Data '!BB2058)</f>
        <v/>
      </c>
      <c r="R2053" s="10" t="str">
        <f>IF('[1]All Data '!BD2058="","",'[1]All Data '!BD2058)</f>
        <v/>
      </c>
      <c r="S2053" s="11" t="str">
        <f>IF(R2053="","",'[1]All Data '!BE2058)</f>
        <v/>
      </c>
      <c r="T2053" s="12" t="str">
        <f>IF(S2053="","",[1]Inputs_Outputs!$B$8*(1-'LOCH Calc COE Calc'!S2053))</f>
        <v/>
      </c>
      <c r="U2053" s="13" t="str">
        <f t="shared" si="161"/>
        <v/>
      </c>
      <c r="V2053" s="13" t="str">
        <f t="shared" si="162"/>
        <v/>
      </c>
      <c r="W2053" s="4" t="str">
        <f t="shared" si="163"/>
        <v/>
      </c>
      <c r="X2053" t="str">
        <f>IF(W2053="","",LOOKUP(_xlfn.CONCAT(P2053,", ",Q2053),'[1]T+S Costs'!$F$2:$F$3138,'[1]T+S Costs'!$N$2:$N$3138))</f>
        <v/>
      </c>
      <c r="Y2053" s="14" t="str">
        <f t="shared" si="164"/>
        <v/>
      </c>
      <c r="Z2053" s="4" t="str">
        <f t="shared" si="165"/>
        <v/>
      </c>
    </row>
    <row r="2054" spans="16:26" x14ac:dyDescent="0.25">
      <c r="P2054" s="10" t="str">
        <f>IF('[1]All Data '!AZ2059="","",'[1]All Data '!AZ2059)</f>
        <v/>
      </c>
      <c r="Q2054" s="10" t="str">
        <f>IF('[1]All Data '!BB2059="","",'[1]All Data '!BB2059)</f>
        <v/>
      </c>
      <c r="R2054" s="10" t="str">
        <f>IF('[1]All Data '!BD2059="","",'[1]All Data '!BD2059)</f>
        <v/>
      </c>
      <c r="S2054" s="11" t="str">
        <f>IF(R2054="","",'[1]All Data '!BE2059)</f>
        <v/>
      </c>
      <c r="T2054" s="12" t="str">
        <f>IF(S2054="","",[1]Inputs_Outputs!$B$8*(1-'LOCH Calc COE Calc'!S2054))</f>
        <v/>
      </c>
      <c r="U2054" s="13" t="str">
        <f t="shared" si="161"/>
        <v/>
      </c>
      <c r="V2054" s="13" t="str">
        <f t="shared" si="162"/>
        <v/>
      </c>
      <c r="W2054" s="4" t="str">
        <f t="shared" si="163"/>
        <v/>
      </c>
      <c r="X2054" t="str">
        <f>IF(W2054="","",LOOKUP(_xlfn.CONCAT(P2054,", ",Q2054),'[1]T+S Costs'!$F$2:$F$3138,'[1]T+S Costs'!$N$2:$N$3138))</f>
        <v/>
      </c>
      <c r="Y2054" s="14" t="str">
        <f t="shared" si="164"/>
        <v/>
      </c>
      <c r="Z2054" s="4" t="str">
        <f t="shared" si="165"/>
        <v/>
      </c>
    </row>
    <row r="2055" spans="16:26" x14ac:dyDescent="0.25">
      <c r="P2055" s="10" t="str">
        <f>IF('[1]All Data '!AZ2060="","",'[1]All Data '!AZ2060)</f>
        <v/>
      </c>
      <c r="Q2055" s="10" t="str">
        <f>IF('[1]All Data '!BB2060="","",'[1]All Data '!BB2060)</f>
        <v/>
      </c>
      <c r="R2055" s="10" t="str">
        <f>IF('[1]All Data '!BD2060="","",'[1]All Data '!BD2060)</f>
        <v/>
      </c>
      <c r="S2055" s="11" t="str">
        <f>IF(R2055="","",'[1]All Data '!BE2060)</f>
        <v/>
      </c>
      <c r="T2055" s="12" t="str">
        <f>IF(S2055="","",[1]Inputs_Outputs!$B$8*(1-'LOCH Calc COE Calc'!S2055))</f>
        <v/>
      </c>
      <c r="U2055" s="13" t="str">
        <f t="shared" si="161"/>
        <v/>
      </c>
      <c r="V2055" s="13" t="str">
        <f t="shared" si="162"/>
        <v/>
      </c>
      <c r="W2055" s="4" t="str">
        <f t="shared" si="163"/>
        <v/>
      </c>
      <c r="X2055" t="str">
        <f>IF(W2055="","",LOOKUP(_xlfn.CONCAT(P2055,", ",Q2055),'[1]T+S Costs'!$F$2:$F$3138,'[1]T+S Costs'!$N$2:$N$3138))</f>
        <v/>
      </c>
      <c r="Y2055" s="14" t="str">
        <f t="shared" si="164"/>
        <v/>
      </c>
      <c r="Z2055" s="4" t="str">
        <f t="shared" si="165"/>
        <v/>
      </c>
    </row>
    <row r="2056" spans="16:26" x14ac:dyDescent="0.25">
      <c r="P2056" s="10" t="str">
        <f>IF('[1]All Data '!AZ2061="","",'[1]All Data '!AZ2061)</f>
        <v/>
      </c>
      <c r="Q2056" s="10" t="str">
        <f>IF('[1]All Data '!BB2061="","",'[1]All Data '!BB2061)</f>
        <v/>
      </c>
      <c r="R2056" s="10" t="str">
        <f>IF('[1]All Data '!BD2061="","",'[1]All Data '!BD2061)</f>
        <v/>
      </c>
      <c r="S2056" s="11" t="str">
        <f>IF(R2056="","",'[1]All Data '!BE2061)</f>
        <v/>
      </c>
      <c r="T2056" s="12" t="str">
        <f>IF(S2056="","",[1]Inputs_Outputs!$B$8*(1-'LOCH Calc COE Calc'!S2056))</f>
        <v/>
      </c>
      <c r="U2056" s="13" t="str">
        <f t="shared" si="161"/>
        <v/>
      </c>
      <c r="V2056" s="13" t="str">
        <f t="shared" si="162"/>
        <v/>
      </c>
      <c r="W2056" s="4" t="str">
        <f t="shared" si="163"/>
        <v/>
      </c>
      <c r="X2056" t="str">
        <f>IF(W2056="","",LOOKUP(_xlfn.CONCAT(P2056,", ",Q2056),'[1]T+S Costs'!$F$2:$F$3138,'[1]T+S Costs'!$N$2:$N$3138))</f>
        <v/>
      </c>
      <c r="Y2056" s="14" t="str">
        <f t="shared" si="164"/>
        <v/>
      </c>
      <c r="Z2056" s="4" t="str">
        <f t="shared" si="165"/>
        <v/>
      </c>
    </row>
    <row r="2057" spans="16:26" x14ac:dyDescent="0.25">
      <c r="P2057" s="10" t="str">
        <f>IF('[1]All Data '!AZ2062="","",'[1]All Data '!AZ2062)</f>
        <v/>
      </c>
      <c r="Q2057" s="10" t="str">
        <f>IF('[1]All Data '!BB2062="","",'[1]All Data '!BB2062)</f>
        <v/>
      </c>
      <c r="R2057" s="10" t="str">
        <f>IF('[1]All Data '!BD2062="","",'[1]All Data '!BD2062)</f>
        <v/>
      </c>
      <c r="S2057" s="11" t="str">
        <f>IF(R2057="","",'[1]All Data '!BE2062)</f>
        <v/>
      </c>
      <c r="T2057" s="12" t="str">
        <f>IF(S2057="","",[1]Inputs_Outputs!$B$8*(1-'LOCH Calc COE Calc'!S2057))</f>
        <v/>
      </c>
      <c r="U2057" s="13" t="str">
        <f t="shared" si="161"/>
        <v/>
      </c>
      <c r="V2057" s="13" t="str">
        <f t="shared" si="162"/>
        <v/>
      </c>
      <c r="W2057" s="4" t="str">
        <f t="shared" si="163"/>
        <v/>
      </c>
      <c r="X2057" t="str">
        <f>IF(W2057="","",LOOKUP(_xlfn.CONCAT(P2057,", ",Q2057),'[1]T+S Costs'!$F$2:$F$3138,'[1]T+S Costs'!$N$2:$N$3138))</f>
        <v/>
      </c>
      <c r="Y2057" s="14" t="str">
        <f t="shared" si="164"/>
        <v/>
      </c>
      <c r="Z2057" s="4" t="str">
        <f t="shared" si="165"/>
        <v/>
      </c>
    </row>
    <row r="2058" spans="16:26" x14ac:dyDescent="0.25">
      <c r="P2058" s="10" t="str">
        <f>IF('[1]All Data '!AZ2063="","",'[1]All Data '!AZ2063)</f>
        <v/>
      </c>
      <c r="Q2058" s="10" t="str">
        <f>IF('[1]All Data '!BB2063="","",'[1]All Data '!BB2063)</f>
        <v/>
      </c>
      <c r="R2058" s="10" t="str">
        <f>IF('[1]All Data '!BD2063="","",'[1]All Data '!BD2063)</f>
        <v/>
      </c>
      <c r="S2058" s="11" t="str">
        <f>IF(R2058="","",'[1]All Data '!BE2063)</f>
        <v/>
      </c>
      <c r="T2058" s="12" t="str">
        <f>IF(S2058="","",[1]Inputs_Outputs!$B$8*(1-'LOCH Calc COE Calc'!S2058))</f>
        <v/>
      </c>
      <c r="U2058" s="13" t="str">
        <f t="shared" si="161"/>
        <v/>
      </c>
      <c r="V2058" s="13" t="str">
        <f t="shared" si="162"/>
        <v/>
      </c>
      <c r="W2058" s="4" t="str">
        <f t="shared" si="163"/>
        <v/>
      </c>
      <c r="X2058" t="str">
        <f>IF(W2058="","",LOOKUP(_xlfn.CONCAT(P2058,", ",Q2058),'[1]T+S Costs'!$F$2:$F$3138,'[1]T+S Costs'!$N$2:$N$3138))</f>
        <v/>
      </c>
      <c r="Y2058" s="14" t="str">
        <f t="shared" si="164"/>
        <v/>
      </c>
      <c r="Z2058" s="4" t="str">
        <f t="shared" si="165"/>
        <v/>
      </c>
    </row>
    <row r="2059" spans="16:26" x14ac:dyDescent="0.25">
      <c r="P2059" s="10" t="str">
        <f>IF('[1]All Data '!AZ2064="","",'[1]All Data '!AZ2064)</f>
        <v/>
      </c>
      <c r="Q2059" s="10" t="str">
        <f>IF('[1]All Data '!BB2064="","",'[1]All Data '!BB2064)</f>
        <v/>
      </c>
      <c r="R2059" s="10" t="str">
        <f>IF('[1]All Data '!BD2064="","",'[1]All Data '!BD2064)</f>
        <v/>
      </c>
      <c r="S2059" s="11" t="str">
        <f>IF(R2059="","",'[1]All Data '!BE2064)</f>
        <v/>
      </c>
      <c r="T2059" s="12" t="str">
        <f>IF(S2059="","",[1]Inputs_Outputs!$B$8*(1-'LOCH Calc COE Calc'!S2059))</f>
        <v/>
      </c>
      <c r="U2059" s="13" t="str">
        <f t="shared" si="161"/>
        <v/>
      </c>
      <c r="V2059" s="13" t="str">
        <f t="shared" si="162"/>
        <v/>
      </c>
      <c r="W2059" s="4" t="str">
        <f t="shared" si="163"/>
        <v/>
      </c>
      <c r="X2059" t="str">
        <f>IF(W2059="","",LOOKUP(_xlfn.CONCAT(P2059,", ",Q2059),'[1]T+S Costs'!$F$2:$F$3138,'[1]T+S Costs'!$N$2:$N$3138))</f>
        <v/>
      </c>
      <c r="Y2059" s="14" t="str">
        <f t="shared" si="164"/>
        <v/>
      </c>
      <c r="Z2059" s="4" t="str">
        <f t="shared" si="165"/>
        <v/>
      </c>
    </row>
    <row r="2060" spans="16:26" x14ac:dyDescent="0.25">
      <c r="P2060" s="10" t="str">
        <f>IF('[1]All Data '!AZ2065="","",'[1]All Data '!AZ2065)</f>
        <v/>
      </c>
      <c r="Q2060" s="10" t="str">
        <f>IF('[1]All Data '!BB2065="","",'[1]All Data '!BB2065)</f>
        <v/>
      </c>
      <c r="R2060" s="10" t="str">
        <f>IF('[1]All Data '!BD2065="","",'[1]All Data '!BD2065)</f>
        <v/>
      </c>
      <c r="S2060" s="11" t="str">
        <f>IF(R2060="","",'[1]All Data '!BE2065)</f>
        <v/>
      </c>
      <c r="T2060" s="12" t="str">
        <f>IF(S2060="","",[1]Inputs_Outputs!$B$8*(1-'LOCH Calc COE Calc'!S2060))</f>
        <v/>
      </c>
      <c r="U2060" s="13" t="str">
        <f t="shared" si="161"/>
        <v/>
      </c>
      <c r="V2060" s="13" t="str">
        <f t="shared" si="162"/>
        <v/>
      </c>
      <c r="W2060" s="4" t="str">
        <f t="shared" si="163"/>
        <v/>
      </c>
      <c r="X2060" t="str">
        <f>IF(W2060="","",LOOKUP(_xlfn.CONCAT(P2060,", ",Q2060),'[1]T+S Costs'!$F$2:$F$3138,'[1]T+S Costs'!$N$2:$N$3138))</f>
        <v/>
      </c>
      <c r="Y2060" s="14" t="str">
        <f t="shared" si="164"/>
        <v/>
      </c>
      <c r="Z2060" s="4" t="str">
        <f t="shared" si="165"/>
        <v/>
      </c>
    </row>
    <row r="2061" spans="16:26" x14ac:dyDescent="0.25">
      <c r="P2061" s="10" t="str">
        <f>IF('[1]All Data '!AZ2066="","",'[1]All Data '!AZ2066)</f>
        <v/>
      </c>
      <c r="Q2061" s="10" t="str">
        <f>IF('[1]All Data '!BB2066="","",'[1]All Data '!BB2066)</f>
        <v/>
      </c>
      <c r="R2061" s="10" t="str">
        <f>IF('[1]All Data '!BD2066="","",'[1]All Data '!BD2066)</f>
        <v/>
      </c>
      <c r="S2061" s="11" t="str">
        <f>IF(R2061="","",'[1]All Data '!BE2066)</f>
        <v/>
      </c>
      <c r="T2061" s="12" t="str">
        <f>IF(S2061="","",[1]Inputs_Outputs!$B$8*(1-'LOCH Calc COE Calc'!S2061))</f>
        <v/>
      </c>
      <c r="U2061" s="13" t="str">
        <f t="shared" si="161"/>
        <v/>
      </c>
      <c r="V2061" s="13" t="str">
        <f t="shared" si="162"/>
        <v/>
      </c>
      <c r="W2061" s="4" t="str">
        <f t="shared" si="163"/>
        <v/>
      </c>
      <c r="X2061" t="str">
        <f>IF(W2061="","",LOOKUP(_xlfn.CONCAT(P2061,", ",Q2061),'[1]T+S Costs'!$F$2:$F$3138,'[1]T+S Costs'!$N$2:$N$3138))</f>
        <v/>
      </c>
      <c r="Y2061" s="14" t="str">
        <f t="shared" si="164"/>
        <v/>
      </c>
      <c r="Z2061" s="4" t="str">
        <f t="shared" si="165"/>
        <v/>
      </c>
    </row>
    <row r="2062" spans="16:26" x14ac:dyDescent="0.25">
      <c r="P2062" s="10" t="str">
        <f>IF('[1]All Data '!AZ2067="","",'[1]All Data '!AZ2067)</f>
        <v/>
      </c>
      <c r="Q2062" s="10" t="str">
        <f>IF('[1]All Data '!BB2067="","",'[1]All Data '!BB2067)</f>
        <v/>
      </c>
      <c r="R2062" s="10" t="str">
        <f>IF('[1]All Data '!BD2067="","",'[1]All Data '!BD2067)</f>
        <v/>
      </c>
      <c r="S2062" s="11" t="str">
        <f>IF(R2062="","",'[1]All Data '!BE2067)</f>
        <v/>
      </c>
      <c r="T2062" s="12" t="str">
        <f>IF(S2062="","",[1]Inputs_Outputs!$B$8*(1-'LOCH Calc COE Calc'!S2062))</f>
        <v/>
      </c>
      <c r="U2062" s="13" t="str">
        <f t="shared" si="161"/>
        <v/>
      </c>
      <c r="V2062" s="13" t="str">
        <f t="shared" si="162"/>
        <v/>
      </c>
      <c r="W2062" s="4" t="str">
        <f t="shared" si="163"/>
        <v/>
      </c>
      <c r="X2062" t="str">
        <f>IF(W2062="","",LOOKUP(_xlfn.CONCAT(P2062,", ",Q2062),'[1]T+S Costs'!$F$2:$F$3138,'[1]T+S Costs'!$N$2:$N$3138))</f>
        <v/>
      </c>
      <c r="Y2062" s="14" t="str">
        <f t="shared" si="164"/>
        <v/>
      </c>
      <c r="Z2062" s="4" t="str">
        <f t="shared" si="165"/>
        <v/>
      </c>
    </row>
    <row r="2063" spans="16:26" x14ac:dyDescent="0.25">
      <c r="P2063" s="10" t="str">
        <f>IF('[1]All Data '!AZ2068="","",'[1]All Data '!AZ2068)</f>
        <v/>
      </c>
      <c r="Q2063" s="10" t="str">
        <f>IF('[1]All Data '!BB2068="","",'[1]All Data '!BB2068)</f>
        <v/>
      </c>
      <c r="R2063" s="10" t="str">
        <f>IF('[1]All Data '!BD2068="","",'[1]All Data '!BD2068)</f>
        <v/>
      </c>
      <c r="S2063" s="11" t="str">
        <f>IF(R2063="","",'[1]All Data '!BE2068)</f>
        <v/>
      </c>
      <c r="T2063" s="12" t="str">
        <f>IF(S2063="","",[1]Inputs_Outputs!$B$8*(1-'LOCH Calc COE Calc'!S2063))</f>
        <v/>
      </c>
      <c r="U2063" s="13" t="str">
        <f t="shared" si="161"/>
        <v/>
      </c>
      <c r="V2063" s="13" t="str">
        <f t="shared" si="162"/>
        <v/>
      </c>
      <c r="W2063" s="4" t="str">
        <f t="shared" si="163"/>
        <v/>
      </c>
      <c r="X2063" t="str">
        <f>IF(W2063="","",LOOKUP(_xlfn.CONCAT(P2063,", ",Q2063),'[1]T+S Costs'!$F$2:$F$3138,'[1]T+S Costs'!$N$2:$N$3138))</f>
        <v/>
      </c>
      <c r="Y2063" s="14" t="str">
        <f t="shared" si="164"/>
        <v/>
      </c>
      <c r="Z2063" s="4" t="str">
        <f t="shared" si="165"/>
        <v/>
      </c>
    </row>
    <row r="2064" spans="16:26" x14ac:dyDescent="0.25">
      <c r="P2064" s="10" t="str">
        <f>IF('[1]All Data '!AZ2069="","",'[1]All Data '!AZ2069)</f>
        <v/>
      </c>
      <c r="Q2064" s="10" t="str">
        <f>IF('[1]All Data '!BB2069="","",'[1]All Data '!BB2069)</f>
        <v/>
      </c>
      <c r="R2064" s="10" t="str">
        <f>IF('[1]All Data '!BD2069="","",'[1]All Data '!BD2069)</f>
        <v/>
      </c>
      <c r="S2064" s="11" t="str">
        <f>IF(R2064="","",'[1]All Data '!BE2069)</f>
        <v/>
      </c>
      <c r="T2064" s="12" t="str">
        <f>IF(S2064="","",[1]Inputs_Outputs!$B$8*(1-'LOCH Calc COE Calc'!S2064))</f>
        <v/>
      </c>
      <c r="U2064" s="13" t="str">
        <f t="shared" si="161"/>
        <v/>
      </c>
      <c r="V2064" s="13" t="str">
        <f t="shared" si="162"/>
        <v/>
      </c>
      <c r="W2064" s="4" t="str">
        <f t="shared" si="163"/>
        <v/>
      </c>
      <c r="X2064" t="str">
        <f>IF(W2064="","",LOOKUP(_xlfn.CONCAT(P2064,", ",Q2064),'[1]T+S Costs'!$F$2:$F$3138,'[1]T+S Costs'!$N$2:$N$3138))</f>
        <v/>
      </c>
      <c r="Y2064" s="14" t="str">
        <f t="shared" si="164"/>
        <v/>
      </c>
      <c r="Z2064" s="4" t="str">
        <f t="shared" si="165"/>
        <v/>
      </c>
    </row>
    <row r="2065" spans="16:26" x14ac:dyDescent="0.25">
      <c r="P2065" s="10" t="str">
        <f>IF('[1]All Data '!AZ2070="","",'[1]All Data '!AZ2070)</f>
        <v/>
      </c>
      <c r="Q2065" s="10" t="str">
        <f>IF('[1]All Data '!BB2070="","",'[1]All Data '!BB2070)</f>
        <v/>
      </c>
      <c r="R2065" s="10" t="str">
        <f>IF('[1]All Data '!BD2070="","",'[1]All Data '!BD2070)</f>
        <v/>
      </c>
      <c r="S2065" s="11" t="str">
        <f>IF(R2065="","",'[1]All Data '!BE2070)</f>
        <v/>
      </c>
      <c r="T2065" s="12" t="str">
        <f>IF(S2065="","",[1]Inputs_Outputs!$B$8*(1-'LOCH Calc COE Calc'!S2065))</f>
        <v/>
      </c>
      <c r="U2065" s="13" t="str">
        <f t="shared" si="161"/>
        <v/>
      </c>
      <c r="V2065" s="13" t="str">
        <f t="shared" si="162"/>
        <v/>
      </c>
      <c r="W2065" s="4" t="str">
        <f t="shared" si="163"/>
        <v/>
      </c>
      <c r="X2065" t="str">
        <f>IF(W2065="","",LOOKUP(_xlfn.CONCAT(P2065,", ",Q2065),'[1]T+S Costs'!$F$2:$F$3138,'[1]T+S Costs'!$N$2:$N$3138))</f>
        <v/>
      </c>
      <c r="Y2065" s="14" t="str">
        <f t="shared" si="164"/>
        <v/>
      </c>
      <c r="Z2065" s="4" t="str">
        <f t="shared" si="165"/>
        <v/>
      </c>
    </row>
    <row r="2066" spans="16:26" x14ac:dyDescent="0.25">
      <c r="P2066" s="10" t="str">
        <f>IF('[1]All Data '!AZ2071="","",'[1]All Data '!AZ2071)</f>
        <v/>
      </c>
      <c r="Q2066" s="10" t="str">
        <f>IF('[1]All Data '!BB2071="","",'[1]All Data '!BB2071)</f>
        <v/>
      </c>
      <c r="R2066" s="10" t="str">
        <f>IF('[1]All Data '!BD2071="","",'[1]All Data '!BD2071)</f>
        <v/>
      </c>
      <c r="S2066" s="11" t="str">
        <f>IF(R2066="","",'[1]All Data '!BE2071)</f>
        <v/>
      </c>
      <c r="T2066" s="12" t="str">
        <f>IF(S2066="","",[1]Inputs_Outputs!$B$8*(1-'LOCH Calc COE Calc'!S2066))</f>
        <v/>
      </c>
      <c r="U2066" s="13" t="str">
        <f t="shared" si="161"/>
        <v/>
      </c>
      <c r="V2066" s="13" t="str">
        <f t="shared" si="162"/>
        <v/>
      </c>
      <c r="W2066" s="4" t="str">
        <f t="shared" si="163"/>
        <v/>
      </c>
      <c r="X2066" t="str">
        <f>IF(W2066="","",LOOKUP(_xlfn.CONCAT(P2066,", ",Q2066),'[1]T+S Costs'!$F$2:$F$3138,'[1]T+S Costs'!$N$2:$N$3138))</f>
        <v/>
      </c>
      <c r="Y2066" s="14" t="str">
        <f t="shared" si="164"/>
        <v/>
      </c>
      <c r="Z2066" s="4" t="str">
        <f t="shared" si="165"/>
        <v/>
      </c>
    </row>
    <row r="2067" spans="16:26" x14ac:dyDescent="0.25">
      <c r="P2067" s="10" t="str">
        <f>IF('[1]All Data '!AZ2072="","",'[1]All Data '!AZ2072)</f>
        <v/>
      </c>
      <c r="Q2067" s="10" t="str">
        <f>IF('[1]All Data '!BB2072="","",'[1]All Data '!BB2072)</f>
        <v/>
      </c>
      <c r="R2067" s="10" t="str">
        <f>IF('[1]All Data '!BD2072="","",'[1]All Data '!BD2072)</f>
        <v/>
      </c>
      <c r="S2067" s="11" t="str">
        <f>IF(R2067="","",'[1]All Data '!BE2072)</f>
        <v/>
      </c>
      <c r="T2067" s="12" t="str">
        <f>IF(S2067="","",[1]Inputs_Outputs!$B$8*(1-'LOCH Calc COE Calc'!S2067))</f>
        <v/>
      </c>
      <c r="U2067" s="13" t="str">
        <f t="shared" si="161"/>
        <v/>
      </c>
      <c r="V2067" s="13" t="str">
        <f t="shared" si="162"/>
        <v/>
      </c>
      <c r="W2067" s="4" t="str">
        <f t="shared" si="163"/>
        <v/>
      </c>
      <c r="X2067" t="str">
        <f>IF(W2067="","",LOOKUP(_xlfn.CONCAT(P2067,", ",Q2067),'[1]T+S Costs'!$F$2:$F$3138,'[1]T+S Costs'!$N$2:$N$3138))</f>
        <v/>
      </c>
      <c r="Y2067" s="14" t="str">
        <f t="shared" si="164"/>
        <v/>
      </c>
      <c r="Z2067" s="4" t="str">
        <f t="shared" si="165"/>
        <v/>
      </c>
    </row>
    <row r="2068" spans="16:26" x14ac:dyDescent="0.25">
      <c r="P2068" s="10" t="str">
        <f>IF('[1]All Data '!AZ2073="","",'[1]All Data '!AZ2073)</f>
        <v/>
      </c>
      <c r="Q2068" s="10" t="str">
        <f>IF('[1]All Data '!BB2073="","",'[1]All Data '!BB2073)</f>
        <v/>
      </c>
      <c r="R2068" s="10" t="str">
        <f>IF('[1]All Data '!BD2073="","",'[1]All Data '!BD2073)</f>
        <v/>
      </c>
      <c r="S2068" s="11" t="str">
        <f>IF(R2068="","",'[1]All Data '!BE2073)</f>
        <v/>
      </c>
      <c r="T2068" s="12" t="str">
        <f>IF(S2068="","",[1]Inputs_Outputs!$B$8*(1-'LOCH Calc COE Calc'!S2068))</f>
        <v/>
      </c>
      <c r="U2068" s="13" t="str">
        <f t="shared" si="161"/>
        <v/>
      </c>
      <c r="V2068" s="13" t="str">
        <f t="shared" si="162"/>
        <v/>
      </c>
      <c r="W2068" s="4" t="str">
        <f t="shared" si="163"/>
        <v/>
      </c>
      <c r="X2068" t="str">
        <f>IF(W2068="","",LOOKUP(_xlfn.CONCAT(P2068,", ",Q2068),'[1]T+S Costs'!$F$2:$F$3138,'[1]T+S Costs'!$N$2:$N$3138))</f>
        <v/>
      </c>
      <c r="Y2068" s="14" t="str">
        <f t="shared" si="164"/>
        <v/>
      </c>
      <c r="Z2068" s="4" t="str">
        <f t="shared" si="165"/>
        <v/>
      </c>
    </row>
    <row r="2069" spans="16:26" x14ac:dyDescent="0.25">
      <c r="P2069" s="10" t="str">
        <f>IF('[1]All Data '!AZ2074="","",'[1]All Data '!AZ2074)</f>
        <v/>
      </c>
      <c r="Q2069" s="10" t="str">
        <f>IF('[1]All Data '!BB2074="","",'[1]All Data '!BB2074)</f>
        <v/>
      </c>
      <c r="R2069" s="10" t="str">
        <f>IF('[1]All Data '!BD2074="","",'[1]All Data '!BD2074)</f>
        <v/>
      </c>
      <c r="S2069" s="11" t="str">
        <f>IF(R2069="","",'[1]All Data '!BE2074)</f>
        <v/>
      </c>
      <c r="T2069" s="12" t="str">
        <f>IF(S2069="","",[1]Inputs_Outputs!$B$8*(1-'LOCH Calc COE Calc'!S2069))</f>
        <v/>
      </c>
      <c r="U2069" s="13" t="str">
        <f t="shared" si="161"/>
        <v/>
      </c>
      <c r="V2069" s="13" t="str">
        <f t="shared" si="162"/>
        <v/>
      </c>
      <c r="W2069" s="4" t="str">
        <f t="shared" si="163"/>
        <v/>
      </c>
      <c r="X2069" t="str">
        <f>IF(W2069="","",LOOKUP(_xlfn.CONCAT(P2069,", ",Q2069),'[1]T+S Costs'!$F$2:$F$3138,'[1]T+S Costs'!$N$2:$N$3138))</f>
        <v/>
      </c>
      <c r="Y2069" s="14" t="str">
        <f t="shared" si="164"/>
        <v/>
      </c>
      <c r="Z2069" s="4" t="str">
        <f t="shared" si="165"/>
        <v/>
      </c>
    </row>
    <row r="2070" spans="16:26" x14ac:dyDescent="0.25">
      <c r="P2070" s="10" t="str">
        <f>IF('[1]All Data '!AZ2075="","",'[1]All Data '!AZ2075)</f>
        <v/>
      </c>
      <c r="Q2070" s="10" t="str">
        <f>IF('[1]All Data '!BB2075="","",'[1]All Data '!BB2075)</f>
        <v/>
      </c>
      <c r="R2070" s="10" t="str">
        <f>IF('[1]All Data '!BD2075="","",'[1]All Data '!BD2075)</f>
        <v/>
      </c>
      <c r="S2070" s="11" t="str">
        <f>IF(R2070="","",'[1]All Data '!BE2075)</f>
        <v/>
      </c>
      <c r="T2070" s="12" t="str">
        <f>IF(S2070="","",[1]Inputs_Outputs!$B$8*(1-'LOCH Calc COE Calc'!S2070))</f>
        <v/>
      </c>
      <c r="U2070" s="13" t="str">
        <f t="shared" si="161"/>
        <v/>
      </c>
      <c r="V2070" s="13" t="str">
        <f t="shared" si="162"/>
        <v/>
      </c>
      <c r="W2070" s="4" t="str">
        <f t="shared" si="163"/>
        <v/>
      </c>
      <c r="X2070" t="str">
        <f>IF(W2070="","",LOOKUP(_xlfn.CONCAT(P2070,", ",Q2070),'[1]T+S Costs'!$F$2:$F$3138,'[1]T+S Costs'!$N$2:$N$3138))</f>
        <v/>
      </c>
      <c r="Y2070" s="14" t="str">
        <f t="shared" si="164"/>
        <v/>
      </c>
      <c r="Z2070" s="4" t="str">
        <f t="shared" si="165"/>
        <v/>
      </c>
    </row>
    <row r="2071" spans="16:26" x14ac:dyDescent="0.25">
      <c r="P2071" s="10" t="str">
        <f>IF('[1]All Data '!AZ2076="","",'[1]All Data '!AZ2076)</f>
        <v/>
      </c>
      <c r="Q2071" s="10" t="str">
        <f>IF('[1]All Data '!BB2076="","",'[1]All Data '!BB2076)</f>
        <v/>
      </c>
      <c r="R2071" s="10" t="str">
        <f>IF('[1]All Data '!BD2076="","",'[1]All Data '!BD2076)</f>
        <v/>
      </c>
      <c r="S2071" s="11" t="str">
        <f>IF(R2071="","",'[1]All Data '!BE2076)</f>
        <v/>
      </c>
      <c r="T2071" s="12" t="str">
        <f>IF(S2071="","",[1]Inputs_Outputs!$B$8*(1-'LOCH Calc COE Calc'!S2071))</f>
        <v/>
      </c>
      <c r="U2071" s="13" t="str">
        <f t="shared" si="161"/>
        <v/>
      </c>
      <c r="V2071" s="13" t="str">
        <f t="shared" si="162"/>
        <v/>
      </c>
      <c r="W2071" s="4" t="str">
        <f t="shared" si="163"/>
        <v/>
      </c>
      <c r="X2071" t="str">
        <f>IF(W2071="","",LOOKUP(_xlfn.CONCAT(P2071,", ",Q2071),'[1]T+S Costs'!$F$2:$F$3138,'[1]T+S Costs'!$N$2:$N$3138))</f>
        <v/>
      </c>
      <c r="Y2071" s="14" t="str">
        <f t="shared" si="164"/>
        <v/>
      </c>
      <c r="Z2071" s="4" t="str">
        <f t="shared" si="165"/>
        <v/>
      </c>
    </row>
    <row r="2072" spans="16:26" x14ac:dyDescent="0.25">
      <c r="P2072" s="10" t="str">
        <f>IF('[1]All Data '!AZ2077="","",'[1]All Data '!AZ2077)</f>
        <v/>
      </c>
      <c r="Q2072" s="10" t="str">
        <f>IF('[1]All Data '!BB2077="","",'[1]All Data '!BB2077)</f>
        <v/>
      </c>
      <c r="R2072" s="10" t="str">
        <f>IF('[1]All Data '!BD2077="","",'[1]All Data '!BD2077)</f>
        <v/>
      </c>
      <c r="S2072" s="11" t="str">
        <f>IF(R2072="","",'[1]All Data '!BE2077)</f>
        <v/>
      </c>
      <c r="T2072" s="12" t="str">
        <f>IF(S2072="","",[1]Inputs_Outputs!$B$8*(1-'LOCH Calc COE Calc'!S2072))</f>
        <v/>
      </c>
      <c r="U2072" s="13" t="str">
        <f t="shared" si="161"/>
        <v/>
      </c>
      <c r="V2072" s="13" t="str">
        <f t="shared" si="162"/>
        <v/>
      </c>
      <c r="W2072" s="4" t="str">
        <f t="shared" si="163"/>
        <v/>
      </c>
      <c r="X2072" t="str">
        <f>IF(W2072="","",LOOKUP(_xlfn.CONCAT(P2072,", ",Q2072),'[1]T+S Costs'!$F$2:$F$3138,'[1]T+S Costs'!$N$2:$N$3138))</f>
        <v/>
      </c>
      <c r="Y2072" s="14" t="str">
        <f t="shared" si="164"/>
        <v/>
      </c>
      <c r="Z2072" s="4" t="str">
        <f t="shared" si="165"/>
        <v/>
      </c>
    </row>
    <row r="2073" spans="16:26" x14ac:dyDescent="0.25">
      <c r="P2073" s="10" t="str">
        <f>IF('[1]All Data '!AZ2078="","",'[1]All Data '!AZ2078)</f>
        <v/>
      </c>
      <c r="Q2073" s="10" t="str">
        <f>IF('[1]All Data '!BB2078="","",'[1]All Data '!BB2078)</f>
        <v/>
      </c>
      <c r="R2073" s="10" t="str">
        <f>IF('[1]All Data '!BD2078="","",'[1]All Data '!BD2078)</f>
        <v/>
      </c>
      <c r="S2073" s="11" t="str">
        <f>IF(R2073="","",'[1]All Data '!BE2078)</f>
        <v/>
      </c>
      <c r="T2073" s="12" t="str">
        <f>IF(S2073="","",[1]Inputs_Outputs!$B$8*(1-'LOCH Calc COE Calc'!S2073))</f>
        <v/>
      </c>
      <c r="U2073" s="13" t="str">
        <f t="shared" si="161"/>
        <v/>
      </c>
      <c r="V2073" s="13" t="str">
        <f t="shared" si="162"/>
        <v/>
      </c>
      <c r="W2073" s="4" t="str">
        <f t="shared" si="163"/>
        <v/>
      </c>
      <c r="X2073" t="str">
        <f>IF(W2073="","",LOOKUP(_xlfn.CONCAT(P2073,", ",Q2073),'[1]T+S Costs'!$F$2:$F$3138,'[1]T+S Costs'!$N$2:$N$3138))</f>
        <v/>
      </c>
      <c r="Y2073" s="14" t="str">
        <f t="shared" si="164"/>
        <v/>
      </c>
      <c r="Z2073" s="4" t="str">
        <f t="shared" si="165"/>
        <v/>
      </c>
    </row>
    <row r="2074" spans="16:26" x14ac:dyDescent="0.25">
      <c r="P2074" s="10" t="str">
        <f>IF('[1]All Data '!AZ2079="","",'[1]All Data '!AZ2079)</f>
        <v/>
      </c>
      <c r="Q2074" s="10" t="str">
        <f>IF('[1]All Data '!BB2079="","",'[1]All Data '!BB2079)</f>
        <v/>
      </c>
      <c r="R2074" s="10" t="str">
        <f>IF('[1]All Data '!BD2079="","",'[1]All Data '!BD2079)</f>
        <v/>
      </c>
      <c r="S2074" s="11" t="str">
        <f>IF(R2074="","",'[1]All Data '!BE2079)</f>
        <v/>
      </c>
      <c r="T2074" s="12" t="str">
        <f>IF(S2074="","",[1]Inputs_Outputs!$B$8*(1-'LOCH Calc COE Calc'!S2074))</f>
        <v/>
      </c>
      <c r="U2074" s="13" t="str">
        <f t="shared" si="161"/>
        <v/>
      </c>
      <c r="V2074" s="13" t="str">
        <f t="shared" si="162"/>
        <v/>
      </c>
      <c r="W2074" s="4" t="str">
        <f t="shared" si="163"/>
        <v/>
      </c>
      <c r="X2074" t="str">
        <f>IF(W2074="","",LOOKUP(_xlfn.CONCAT(P2074,", ",Q2074),'[1]T+S Costs'!$F$2:$F$3138,'[1]T+S Costs'!$N$2:$N$3138))</f>
        <v/>
      </c>
      <c r="Y2074" s="14" t="str">
        <f t="shared" si="164"/>
        <v/>
      </c>
      <c r="Z2074" s="4" t="str">
        <f t="shared" si="165"/>
        <v/>
      </c>
    </row>
    <row r="2075" spans="16:26" x14ac:dyDescent="0.25">
      <c r="P2075" s="10" t="str">
        <f>IF('[1]All Data '!AZ2080="","",'[1]All Data '!AZ2080)</f>
        <v/>
      </c>
      <c r="Q2075" s="10" t="str">
        <f>IF('[1]All Data '!BB2080="","",'[1]All Data '!BB2080)</f>
        <v/>
      </c>
      <c r="R2075" s="10" t="str">
        <f>IF('[1]All Data '!BD2080="","",'[1]All Data '!BD2080)</f>
        <v/>
      </c>
      <c r="S2075" s="11" t="str">
        <f>IF(R2075="","",'[1]All Data '!BE2080)</f>
        <v/>
      </c>
      <c r="T2075" s="12" t="str">
        <f>IF(S2075="","",[1]Inputs_Outputs!$B$8*(1-'LOCH Calc COE Calc'!S2075))</f>
        <v/>
      </c>
      <c r="U2075" s="13" t="str">
        <f t="shared" si="161"/>
        <v/>
      </c>
      <c r="V2075" s="13" t="str">
        <f t="shared" si="162"/>
        <v/>
      </c>
      <c r="W2075" s="4" t="str">
        <f t="shared" si="163"/>
        <v/>
      </c>
      <c r="X2075" t="str">
        <f>IF(W2075="","",LOOKUP(_xlfn.CONCAT(P2075,", ",Q2075),'[1]T+S Costs'!$F$2:$F$3138,'[1]T+S Costs'!$N$2:$N$3138))</f>
        <v/>
      </c>
      <c r="Y2075" s="14" t="str">
        <f t="shared" si="164"/>
        <v/>
      </c>
      <c r="Z2075" s="4" t="str">
        <f t="shared" si="165"/>
        <v/>
      </c>
    </row>
    <row r="2076" spans="16:26" x14ac:dyDescent="0.25">
      <c r="P2076" s="10" t="str">
        <f>IF('[1]All Data '!AZ2081="","",'[1]All Data '!AZ2081)</f>
        <v/>
      </c>
      <c r="Q2076" s="10" t="str">
        <f>IF('[1]All Data '!BB2081="","",'[1]All Data '!BB2081)</f>
        <v/>
      </c>
      <c r="R2076" s="10" t="str">
        <f>IF('[1]All Data '!BD2081="","",'[1]All Data '!BD2081)</f>
        <v/>
      </c>
      <c r="S2076" s="11" t="str">
        <f>IF(R2076="","",'[1]All Data '!BE2081)</f>
        <v/>
      </c>
      <c r="T2076" s="12" t="str">
        <f>IF(S2076="","",[1]Inputs_Outputs!$B$8*(1-'LOCH Calc COE Calc'!S2076))</f>
        <v/>
      </c>
      <c r="U2076" s="13" t="str">
        <f t="shared" si="161"/>
        <v/>
      </c>
      <c r="V2076" s="13" t="str">
        <f t="shared" si="162"/>
        <v/>
      </c>
      <c r="W2076" s="4" t="str">
        <f t="shared" si="163"/>
        <v/>
      </c>
      <c r="X2076" t="str">
        <f>IF(W2076="","",LOOKUP(_xlfn.CONCAT(P2076,", ",Q2076),'[1]T+S Costs'!$F$2:$F$3138,'[1]T+S Costs'!$N$2:$N$3138))</f>
        <v/>
      </c>
      <c r="Y2076" s="14" t="str">
        <f t="shared" si="164"/>
        <v/>
      </c>
      <c r="Z2076" s="4" t="str">
        <f t="shared" si="165"/>
        <v/>
      </c>
    </row>
    <row r="2077" spans="16:26" x14ac:dyDescent="0.25">
      <c r="P2077" s="10" t="str">
        <f>IF('[1]All Data '!AZ2082="","",'[1]All Data '!AZ2082)</f>
        <v/>
      </c>
      <c r="Q2077" s="10" t="str">
        <f>IF('[1]All Data '!BB2082="","",'[1]All Data '!BB2082)</f>
        <v/>
      </c>
      <c r="R2077" s="10" t="str">
        <f>IF('[1]All Data '!BD2082="","",'[1]All Data '!BD2082)</f>
        <v/>
      </c>
      <c r="S2077" s="11" t="str">
        <f>IF(R2077="","",'[1]All Data '!BE2082)</f>
        <v/>
      </c>
      <c r="T2077" s="12" t="str">
        <f>IF(S2077="","",[1]Inputs_Outputs!$B$8*(1-'LOCH Calc COE Calc'!S2077))</f>
        <v/>
      </c>
      <c r="U2077" s="13" t="str">
        <f t="shared" si="161"/>
        <v/>
      </c>
      <c r="V2077" s="13" t="str">
        <f t="shared" si="162"/>
        <v/>
      </c>
      <c r="W2077" s="4" t="str">
        <f t="shared" si="163"/>
        <v/>
      </c>
      <c r="X2077" t="str">
        <f>IF(W2077="","",LOOKUP(_xlfn.CONCAT(P2077,", ",Q2077),'[1]T+S Costs'!$F$2:$F$3138,'[1]T+S Costs'!$N$2:$N$3138))</f>
        <v/>
      </c>
      <c r="Y2077" s="14" t="str">
        <f t="shared" si="164"/>
        <v/>
      </c>
      <c r="Z2077" s="4" t="str">
        <f t="shared" si="165"/>
        <v/>
      </c>
    </row>
    <row r="2078" spans="16:26" x14ac:dyDescent="0.25">
      <c r="P2078" s="10" t="str">
        <f>IF('[1]All Data '!AZ2083="","",'[1]All Data '!AZ2083)</f>
        <v/>
      </c>
      <c r="Q2078" s="10" t="str">
        <f>IF('[1]All Data '!BB2083="","",'[1]All Data '!BB2083)</f>
        <v/>
      </c>
      <c r="R2078" s="10" t="str">
        <f>IF('[1]All Data '!BD2083="","",'[1]All Data '!BD2083)</f>
        <v/>
      </c>
      <c r="S2078" s="11" t="str">
        <f>IF(R2078="","",'[1]All Data '!BE2083)</f>
        <v/>
      </c>
      <c r="T2078" s="12" t="str">
        <f>IF(S2078="","",[1]Inputs_Outputs!$B$8*(1-'LOCH Calc COE Calc'!S2078))</f>
        <v/>
      </c>
      <c r="U2078" s="13" t="str">
        <f t="shared" si="161"/>
        <v/>
      </c>
      <c r="V2078" s="13" t="str">
        <f t="shared" si="162"/>
        <v/>
      </c>
      <c r="W2078" s="4" t="str">
        <f t="shared" si="163"/>
        <v/>
      </c>
      <c r="X2078" t="str">
        <f>IF(W2078="","",LOOKUP(_xlfn.CONCAT(P2078,", ",Q2078),'[1]T+S Costs'!$F$2:$F$3138,'[1]T+S Costs'!$N$2:$N$3138))</f>
        <v/>
      </c>
      <c r="Y2078" s="14" t="str">
        <f t="shared" si="164"/>
        <v/>
      </c>
      <c r="Z2078" s="4" t="str">
        <f t="shared" si="165"/>
        <v/>
      </c>
    </row>
    <row r="2079" spans="16:26" x14ac:dyDescent="0.25">
      <c r="P2079" s="10" t="str">
        <f>IF('[1]All Data '!AZ2084="","",'[1]All Data '!AZ2084)</f>
        <v/>
      </c>
      <c r="Q2079" s="10" t="str">
        <f>IF('[1]All Data '!BB2084="","",'[1]All Data '!BB2084)</f>
        <v/>
      </c>
      <c r="R2079" s="10" t="str">
        <f>IF('[1]All Data '!BD2084="","",'[1]All Data '!BD2084)</f>
        <v/>
      </c>
      <c r="S2079" s="11" t="str">
        <f>IF(R2079="","",'[1]All Data '!BE2084)</f>
        <v/>
      </c>
      <c r="T2079" s="12" t="str">
        <f>IF(S2079="","",[1]Inputs_Outputs!$B$8*(1-'LOCH Calc COE Calc'!S2079))</f>
        <v/>
      </c>
      <c r="U2079" s="13" t="str">
        <f t="shared" si="161"/>
        <v/>
      </c>
      <c r="V2079" s="13" t="str">
        <f t="shared" si="162"/>
        <v/>
      </c>
      <c r="W2079" s="4" t="str">
        <f t="shared" si="163"/>
        <v/>
      </c>
      <c r="X2079" t="str">
        <f>IF(W2079="","",LOOKUP(_xlfn.CONCAT(P2079,", ",Q2079),'[1]T+S Costs'!$F$2:$F$3138,'[1]T+S Costs'!$N$2:$N$3138))</f>
        <v/>
      </c>
      <c r="Y2079" s="14" t="str">
        <f t="shared" si="164"/>
        <v/>
      </c>
      <c r="Z2079" s="4" t="str">
        <f t="shared" si="165"/>
        <v/>
      </c>
    </row>
    <row r="2080" spans="16:26" x14ac:dyDescent="0.25">
      <c r="P2080" s="10" t="str">
        <f>IF('[1]All Data '!AZ2085="","",'[1]All Data '!AZ2085)</f>
        <v/>
      </c>
      <c r="Q2080" s="10" t="str">
        <f>IF('[1]All Data '!BB2085="","",'[1]All Data '!BB2085)</f>
        <v/>
      </c>
      <c r="R2080" s="10" t="str">
        <f>IF('[1]All Data '!BD2085="","",'[1]All Data '!BD2085)</f>
        <v/>
      </c>
      <c r="S2080" s="11" t="str">
        <f>IF(R2080="","",'[1]All Data '!BE2085)</f>
        <v/>
      </c>
      <c r="T2080" s="12" t="str">
        <f>IF(S2080="","",[1]Inputs_Outputs!$B$8*(1-'LOCH Calc COE Calc'!S2080))</f>
        <v/>
      </c>
      <c r="U2080" s="13" t="str">
        <f t="shared" si="161"/>
        <v/>
      </c>
      <c r="V2080" s="13" t="str">
        <f t="shared" si="162"/>
        <v/>
      </c>
      <c r="W2080" s="4" t="str">
        <f t="shared" si="163"/>
        <v/>
      </c>
      <c r="X2080" t="str">
        <f>IF(W2080="","",LOOKUP(_xlfn.CONCAT(P2080,", ",Q2080),'[1]T+S Costs'!$F$2:$F$3138,'[1]T+S Costs'!$N$2:$N$3138))</f>
        <v/>
      </c>
      <c r="Y2080" s="14" t="str">
        <f t="shared" si="164"/>
        <v/>
      </c>
      <c r="Z2080" s="4" t="str">
        <f t="shared" si="165"/>
        <v/>
      </c>
    </row>
    <row r="2081" spans="16:26" x14ac:dyDescent="0.25">
      <c r="P2081" s="10" t="str">
        <f>IF('[1]All Data '!AZ2086="","",'[1]All Data '!AZ2086)</f>
        <v/>
      </c>
      <c r="Q2081" s="10" t="str">
        <f>IF('[1]All Data '!BB2086="","",'[1]All Data '!BB2086)</f>
        <v/>
      </c>
      <c r="R2081" s="10" t="str">
        <f>IF('[1]All Data '!BD2086="","",'[1]All Data '!BD2086)</f>
        <v/>
      </c>
      <c r="S2081" s="11" t="str">
        <f>IF(R2081="","",'[1]All Data '!BE2086)</f>
        <v/>
      </c>
      <c r="T2081" s="12" t="str">
        <f>IF(S2081="","",[1]Inputs_Outputs!$B$8*(1-'LOCH Calc COE Calc'!S2081))</f>
        <v/>
      </c>
      <c r="U2081" s="13" t="str">
        <f t="shared" si="161"/>
        <v/>
      </c>
      <c r="V2081" s="13" t="str">
        <f t="shared" si="162"/>
        <v/>
      </c>
      <c r="W2081" s="4" t="str">
        <f t="shared" si="163"/>
        <v/>
      </c>
      <c r="X2081" t="str">
        <f>IF(W2081="","",LOOKUP(_xlfn.CONCAT(P2081,", ",Q2081),'[1]T+S Costs'!$F$2:$F$3138,'[1]T+S Costs'!$N$2:$N$3138))</f>
        <v/>
      </c>
      <c r="Y2081" s="14" t="str">
        <f t="shared" si="164"/>
        <v/>
      </c>
      <c r="Z2081" s="4" t="str">
        <f t="shared" si="165"/>
        <v/>
      </c>
    </row>
    <row r="2082" spans="16:26" x14ac:dyDescent="0.25">
      <c r="P2082" s="10" t="str">
        <f>IF('[1]All Data '!AZ2087="","",'[1]All Data '!AZ2087)</f>
        <v/>
      </c>
      <c r="Q2082" s="10" t="str">
        <f>IF('[1]All Data '!BB2087="","",'[1]All Data '!BB2087)</f>
        <v/>
      </c>
      <c r="R2082" s="10" t="str">
        <f>IF('[1]All Data '!BD2087="","",'[1]All Data '!BD2087)</f>
        <v/>
      </c>
      <c r="S2082" s="11" t="str">
        <f>IF(R2082="","",'[1]All Data '!BE2087)</f>
        <v/>
      </c>
      <c r="T2082" s="12" t="str">
        <f>IF(S2082="","",[1]Inputs_Outputs!$B$8*(1-'LOCH Calc COE Calc'!S2082))</f>
        <v/>
      </c>
      <c r="U2082" s="13" t="str">
        <f t="shared" si="161"/>
        <v/>
      </c>
      <c r="V2082" s="13" t="str">
        <f t="shared" si="162"/>
        <v/>
      </c>
      <c r="W2082" s="4" t="str">
        <f t="shared" si="163"/>
        <v/>
      </c>
      <c r="X2082" t="str">
        <f>IF(W2082="","",LOOKUP(_xlfn.CONCAT(P2082,", ",Q2082),'[1]T+S Costs'!$F$2:$F$3138,'[1]T+S Costs'!$N$2:$N$3138))</f>
        <v/>
      </c>
      <c r="Y2082" s="14" t="str">
        <f t="shared" si="164"/>
        <v/>
      </c>
      <c r="Z2082" s="4" t="str">
        <f t="shared" si="165"/>
        <v/>
      </c>
    </row>
    <row r="2083" spans="16:26" x14ac:dyDescent="0.25">
      <c r="P2083" s="10" t="str">
        <f>IF('[1]All Data '!AZ2088="","",'[1]All Data '!AZ2088)</f>
        <v/>
      </c>
      <c r="Q2083" s="10" t="str">
        <f>IF('[1]All Data '!BB2088="","",'[1]All Data '!BB2088)</f>
        <v/>
      </c>
      <c r="R2083" s="10" t="str">
        <f>IF('[1]All Data '!BD2088="","",'[1]All Data '!BD2088)</f>
        <v/>
      </c>
      <c r="S2083" s="11" t="str">
        <f>IF(R2083="","",'[1]All Data '!BE2088)</f>
        <v/>
      </c>
      <c r="T2083" s="12" t="str">
        <f>IF(S2083="","",[1]Inputs_Outputs!$B$8*(1-'LOCH Calc COE Calc'!S2083))</f>
        <v/>
      </c>
      <c r="U2083" s="13" t="str">
        <f t="shared" si="161"/>
        <v/>
      </c>
      <c r="V2083" s="13" t="str">
        <f t="shared" si="162"/>
        <v/>
      </c>
      <c r="W2083" s="4" t="str">
        <f t="shared" si="163"/>
        <v/>
      </c>
      <c r="X2083" t="str">
        <f>IF(W2083="","",LOOKUP(_xlfn.CONCAT(P2083,", ",Q2083),'[1]T+S Costs'!$F$2:$F$3138,'[1]T+S Costs'!$N$2:$N$3138))</f>
        <v/>
      </c>
      <c r="Y2083" s="14" t="str">
        <f t="shared" si="164"/>
        <v/>
      </c>
      <c r="Z2083" s="4" t="str">
        <f t="shared" si="165"/>
        <v/>
      </c>
    </row>
    <row r="2084" spans="16:26" x14ac:dyDescent="0.25">
      <c r="P2084" s="10" t="str">
        <f>IF('[1]All Data '!AZ2089="","",'[1]All Data '!AZ2089)</f>
        <v/>
      </c>
      <c r="Q2084" s="10" t="str">
        <f>IF('[1]All Data '!BB2089="","",'[1]All Data '!BB2089)</f>
        <v/>
      </c>
      <c r="R2084" s="10" t="str">
        <f>IF('[1]All Data '!BD2089="","",'[1]All Data '!BD2089)</f>
        <v/>
      </c>
      <c r="S2084" s="11" t="str">
        <f>IF(R2084="","",'[1]All Data '!BE2089)</f>
        <v/>
      </c>
      <c r="T2084" s="12" t="str">
        <f>IF(S2084="","",[1]Inputs_Outputs!$B$8*(1-'LOCH Calc COE Calc'!S2084))</f>
        <v/>
      </c>
      <c r="U2084" s="13" t="str">
        <f t="shared" si="161"/>
        <v/>
      </c>
      <c r="V2084" s="13" t="str">
        <f t="shared" si="162"/>
        <v/>
      </c>
      <c r="W2084" s="4" t="str">
        <f t="shared" si="163"/>
        <v/>
      </c>
      <c r="X2084" t="str">
        <f>IF(W2084="","",LOOKUP(_xlfn.CONCAT(P2084,", ",Q2084),'[1]T+S Costs'!$F$2:$F$3138,'[1]T+S Costs'!$N$2:$N$3138))</f>
        <v/>
      </c>
      <c r="Y2084" s="14" t="str">
        <f t="shared" si="164"/>
        <v/>
      </c>
      <c r="Z2084" s="4" t="str">
        <f t="shared" si="165"/>
        <v/>
      </c>
    </row>
    <row r="2085" spans="16:26" x14ac:dyDescent="0.25">
      <c r="P2085" s="10" t="str">
        <f>IF('[1]All Data '!AZ2090="","",'[1]All Data '!AZ2090)</f>
        <v/>
      </c>
      <c r="Q2085" s="10" t="str">
        <f>IF('[1]All Data '!BB2090="","",'[1]All Data '!BB2090)</f>
        <v/>
      </c>
      <c r="R2085" s="10" t="str">
        <f>IF('[1]All Data '!BD2090="","",'[1]All Data '!BD2090)</f>
        <v/>
      </c>
      <c r="S2085" s="11" t="str">
        <f>IF(R2085="","",'[1]All Data '!BE2090)</f>
        <v/>
      </c>
      <c r="T2085" s="12" t="str">
        <f>IF(S2085="","",[1]Inputs_Outputs!$B$8*(1-'LOCH Calc COE Calc'!S2085))</f>
        <v/>
      </c>
      <c r="U2085" s="13" t="str">
        <f t="shared" si="161"/>
        <v/>
      </c>
      <c r="V2085" s="13" t="str">
        <f t="shared" si="162"/>
        <v/>
      </c>
      <c r="W2085" s="4" t="str">
        <f t="shared" si="163"/>
        <v/>
      </c>
      <c r="X2085" t="str">
        <f>IF(W2085="","",LOOKUP(_xlfn.CONCAT(P2085,", ",Q2085),'[1]T+S Costs'!$F$2:$F$3138,'[1]T+S Costs'!$N$2:$N$3138))</f>
        <v/>
      </c>
      <c r="Y2085" s="14" t="str">
        <f t="shared" si="164"/>
        <v/>
      </c>
      <c r="Z2085" s="4" t="str">
        <f t="shared" si="165"/>
        <v/>
      </c>
    </row>
    <row r="2086" spans="16:26" x14ac:dyDescent="0.25">
      <c r="P2086" s="10" t="str">
        <f>IF('[1]All Data '!AZ2091="","",'[1]All Data '!AZ2091)</f>
        <v/>
      </c>
      <c r="Q2086" s="10" t="str">
        <f>IF('[1]All Data '!BB2091="","",'[1]All Data '!BB2091)</f>
        <v/>
      </c>
      <c r="R2086" s="10" t="str">
        <f>IF('[1]All Data '!BD2091="","",'[1]All Data '!BD2091)</f>
        <v/>
      </c>
      <c r="S2086" s="11" t="str">
        <f>IF(R2086="","",'[1]All Data '!BE2091)</f>
        <v/>
      </c>
      <c r="T2086" s="12" t="str">
        <f>IF(S2086="","",[1]Inputs_Outputs!$B$8*(1-'LOCH Calc COE Calc'!S2086))</f>
        <v/>
      </c>
      <c r="U2086" s="13" t="str">
        <f t="shared" si="161"/>
        <v/>
      </c>
      <c r="V2086" s="13" t="str">
        <f t="shared" si="162"/>
        <v/>
      </c>
      <c r="W2086" s="4" t="str">
        <f t="shared" si="163"/>
        <v/>
      </c>
      <c r="X2086" t="str">
        <f>IF(W2086="","",LOOKUP(_xlfn.CONCAT(P2086,", ",Q2086),'[1]T+S Costs'!$F$2:$F$3138,'[1]T+S Costs'!$N$2:$N$3138))</f>
        <v/>
      </c>
      <c r="Y2086" s="14" t="str">
        <f t="shared" si="164"/>
        <v/>
      </c>
      <c r="Z2086" s="4" t="str">
        <f t="shared" si="165"/>
        <v/>
      </c>
    </row>
    <row r="2087" spans="16:26" x14ac:dyDescent="0.25">
      <c r="P2087" s="10" t="str">
        <f>IF('[1]All Data '!AZ2092="","",'[1]All Data '!AZ2092)</f>
        <v/>
      </c>
      <c r="Q2087" s="10" t="str">
        <f>IF('[1]All Data '!BB2092="","",'[1]All Data '!BB2092)</f>
        <v/>
      </c>
      <c r="R2087" s="10" t="str">
        <f>IF('[1]All Data '!BD2092="","",'[1]All Data '!BD2092)</f>
        <v/>
      </c>
      <c r="S2087" s="11" t="str">
        <f>IF(R2087="","",'[1]All Data '!BE2092)</f>
        <v/>
      </c>
      <c r="T2087" s="12" t="str">
        <f>IF(S2087="","",[1]Inputs_Outputs!$B$8*(1-'LOCH Calc COE Calc'!S2087))</f>
        <v/>
      </c>
      <c r="U2087" s="13" t="str">
        <f t="shared" si="161"/>
        <v/>
      </c>
      <c r="V2087" s="13" t="str">
        <f t="shared" si="162"/>
        <v/>
      </c>
      <c r="W2087" s="4" t="str">
        <f t="shared" si="163"/>
        <v/>
      </c>
      <c r="X2087" t="str">
        <f>IF(W2087="","",LOOKUP(_xlfn.CONCAT(P2087,", ",Q2087),'[1]T+S Costs'!$F$2:$F$3138,'[1]T+S Costs'!$N$2:$N$3138))</f>
        <v/>
      </c>
      <c r="Y2087" s="14" t="str">
        <f t="shared" si="164"/>
        <v/>
      </c>
      <c r="Z2087" s="4" t="str">
        <f t="shared" si="165"/>
        <v/>
      </c>
    </row>
    <row r="2088" spans="16:26" x14ac:dyDescent="0.25">
      <c r="P2088" s="10" t="str">
        <f>IF('[1]All Data '!AZ2093="","",'[1]All Data '!AZ2093)</f>
        <v/>
      </c>
      <c r="Q2088" s="10" t="str">
        <f>IF('[1]All Data '!BB2093="","",'[1]All Data '!BB2093)</f>
        <v/>
      </c>
      <c r="R2088" s="10" t="str">
        <f>IF('[1]All Data '!BD2093="","",'[1]All Data '!BD2093)</f>
        <v/>
      </c>
      <c r="S2088" s="11" t="str">
        <f>IF(R2088="","",'[1]All Data '!BE2093)</f>
        <v/>
      </c>
      <c r="T2088" s="12" t="str">
        <f>IF(S2088="","",[1]Inputs_Outputs!$B$8*(1-'LOCH Calc COE Calc'!S2088))</f>
        <v/>
      </c>
      <c r="U2088" s="13" t="str">
        <f t="shared" si="161"/>
        <v/>
      </c>
      <c r="V2088" s="13" t="str">
        <f t="shared" si="162"/>
        <v/>
      </c>
      <c r="W2088" s="4" t="str">
        <f t="shared" si="163"/>
        <v/>
      </c>
      <c r="X2088" t="str">
        <f>IF(W2088="","",LOOKUP(_xlfn.CONCAT(P2088,", ",Q2088),'[1]T+S Costs'!$F$2:$F$3138,'[1]T+S Costs'!$N$2:$N$3138))</f>
        <v/>
      </c>
      <c r="Y2088" s="14" t="str">
        <f t="shared" si="164"/>
        <v/>
      </c>
      <c r="Z2088" s="4" t="str">
        <f t="shared" si="165"/>
        <v/>
      </c>
    </row>
    <row r="2089" spans="16:26" x14ac:dyDescent="0.25">
      <c r="P2089" s="10" t="str">
        <f>IF('[1]All Data '!AZ2094="","",'[1]All Data '!AZ2094)</f>
        <v/>
      </c>
      <c r="Q2089" s="10" t="str">
        <f>IF('[1]All Data '!BB2094="","",'[1]All Data '!BB2094)</f>
        <v/>
      </c>
      <c r="R2089" s="10" t="str">
        <f>IF('[1]All Data '!BD2094="","",'[1]All Data '!BD2094)</f>
        <v/>
      </c>
      <c r="S2089" s="11" t="str">
        <f>IF(R2089="","",'[1]All Data '!BE2094)</f>
        <v/>
      </c>
      <c r="T2089" s="12" t="str">
        <f>IF(S2089="","",[1]Inputs_Outputs!$B$8*(1-'LOCH Calc COE Calc'!S2089))</f>
        <v/>
      </c>
      <c r="U2089" s="13" t="str">
        <f t="shared" si="161"/>
        <v/>
      </c>
      <c r="V2089" s="13" t="str">
        <f t="shared" si="162"/>
        <v/>
      </c>
      <c r="W2089" s="4" t="str">
        <f t="shared" si="163"/>
        <v/>
      </c>
      <c r="X2089" t="str">
        <f>IF(W2089="","",LOOKUP(_xlfn.CONCAT(P2089,", ",Q2089),'[1]T+S Costs'!$F$2:$F$3138,'[1]T+S Costs'!$N$2:$N$3138))</f>
        <v/>
      </c>
      <c r="Y2089" s="14" t="str">
        <f t="shared" si="164"/>
        <v/>
      </c>
      <c r="Z2089" s="4" t="str">
        <f t="shared" si="165"/>
        <v/>
      </c>
    </row>
    <row r="2090" spans="16:26" x14ac:dyDescent="0.25">
      <c r="P2090" s="10" t="str">
        <f>IF('[1]All Data '!AZ2095="","",'[1]All Data '!AZ2095)</f>
        <v/>
      </c>
      <c r="Q2090" s="10" t="str">
        <f>IF('[1]All Data '!BB2095="","",'[1]All Data '!BB2095)</f>
        <v/>
      </c>
      <c r="R2090" s="10" t="str">
        <f>IF('[1]All Data '!BD2095="","",'[1]All Data '!BD2095)</f>
        <v/>
      </c>
      <c r="S2090" s="11" t="str">
        <f>IF(R2090="","",'[1]All Data '!BE2095)</f>
        <v/>
      </c>
      <c r="T2090" s="12" t="str">
        <f>IF(S2090="","",[1]Inputs_Outputs!$B$8*(1-'LOCH Calc COE Calc'!S2090))</f>
        <v/>
      </c>
      <c r="U2090" s="13" t="str">
        <f t="shared" si="161"/>
        <v/>
      </c>
      <c r="V2090" s="13" t="str">
        <f t="shared" si="162"/>
        <v/>
      </c>
      <c r="W2090" s="4" t="str">
        <f t="shared" si="163"/>
        <v/>
      </c>
      <c r="X2090" t="str">
        <f>IF(W2090="","",LOOKUP(_xlfn.CONCAT(P2090,", ",Q2090),'[1]T+S Costs'!$F$2:$F$3138,'[1]T+S Costs'!$N$2:$N$3138))</f>
        <v/>
      </c>
      <c r="Y2090" s="14" t="str">
        <f t="shared" si="164"/>
        <v/>
      </c>
      <c r="Z2090" s="4" t="str">
        <f t="shared" si="165"/>
        <v/>
      </c>
    </row>
    <row r="2091" spans="16:26" x14ac:dyDescent="0.25">
      <c r="P2091" s="10" t="str">
        <f>IF('[1]All Data '!AZ2096="","",'[1]All Data '!AZ2096)</f>
        <v/>
      </c>
      <c r="Q2091" s="10" t="str">
        <f>IF('[1]All Data '!BB2096="","",'[1]All Data '!BB2096)</f>
        <v/>
      </c>
      <c r="R2091" s="10" t="str">
        <f>IF('[1]All Data '!BD2096="","",'[1]All Data '!BD2096)</f>
        <v/>
      </c>
      <c r="S2091" s="11" t="str">
        <f>IF(R2091="","",'[1]All Data '!BE2096)</f>
        <v/>
      </c>
      <c r="T2091" s="12" t="str">
        <f>IF(S2091="","",[1]Inputs_Outputs!$B$8*(1-'LOCH Calc COE Calc'!S2091))</f>
        <v/>
      </c>
      <c r="U2091" s="13" t="str">
        <f t="shared" si="161"/>
        <v/>
      </c>
      <c r="V2091" s="13" t="str">
        <f t="shared" si="162"/>
        <v/>
      </c>
      <c r="W2091" s="4" t="str">
        <f t="shared" si="163"/>
        <v/>
      </c>
      <c r="X2091" t="str">
        <f>IF(W2091="","",LOOKUP(_xlfn.CONCAT(P2091,", ",Q2091),'[1]T+S Costs'!$F$2:$F$3138,'[1]T+S Costs'!$N$2:$N$3138))</f>
        <v/>
      </c>
      <c r="Y2091" s="14" t="str">
        <f t="shared" si="164"/>
        <v/>
      </c>
      <c r="Z2091" s="4" t="str">
        <f t="shared" si="165"/>
        <v/>
      </c>
    </row>
    <row r="2092" spans="16:26" x14ac:dyDescent="0.25">
      <c r="P2092" s="10" t="str">
        <f>IF('[1]All Data '!AZ2097="","",'[1]All Data '!AZ2097)</f>
        <v/>
      </c>
      <c r="Q2092" s="10" t="str">
        <f>IF('[1]All Data '!BB2097="","",'[1]All Data '!BB2097)</f>
        <v/>
      </c>
      <c r="R2092" s="10" t="str">
        <f>IF('[1]All Data '!BD2097="","",'[1]All Data '!BD2097)</f>
        <v/>
      </c>
      <c r="S2092" s="11" t="str">
        <f>IF(R2092="","",'[1]All Data '!BE2097)</f>
        <v/>
      </c>
      <c r="T2092" s="12" t="str">
        <f>IF(S2092="","",[1]Inputs_Outputs!$B$8*(1-'LOCH Calc COE Calc'!S2092))</f>
        <v/>
      </c>
      <c r="U2092" s="13" t="str">
        <f t="shared" si="161"/>
        <v/>
      </c>
      <c r="V2092" s="13" t="str">
        <f t="shared" si="162"/>
        <v/>
      </c>
      <c r="W2092" s="4" t="str">
        <f t="shared" si="163"/>
        <v/>
      </c>
      <c r="X2092" t="str">
        <f>IF(W2092="","",LOOKUP(_xlfn.CONCAT(P2092,", ",Q2092),'[1]T+S Costs'!$F$2:$F$3138,'[1]T+S Costs'!$N$2:$N$3138))</f>
        <v/>
      </c>
      <c r="Y2092" s="14" t="str">
        <f t="shared" si="164"/>
        <v/>
      </c>
      <c r="Z2092" s="4" t="str">
        <f t="shared" si="165"/>
        <v/>
      </c>
    </row>
    <row r="2093" spans="16:26" x14ac:dyDescent="0.25">
      <c r="P2093" s="10" t="str">
        <f>IF('[1]All Data '!AZ2098="","",'[1]All Data '!AZ2098)</f>
        <v/>
      </c>
      <c r="Q2093" s="10" t="str">
        <f>IF('[1]All Data '!BB2098="","",'[1]All Data '!BB2098)</f>
        <v/>
      </c>
      <c r="R2093" s="10" t="str">
        <f>IF('[1]All Data '!BD2098="","",'[1]All Data '!BD2098)</f>
        <v/>
      </c>
      <c r="S2093" s="11" t="str">
        <f>IF(R2093="","",'[1]All Data '!BE2098)</f>
        <v/>
      </c>
      <c r="T2093" s="12" t="str">
        <f>IF(S2093="","",[1]Inputs_Outputs!$B$8*(1-'LOCH Calc COE Calc'!S2093))</f>
        <v/>
      </c>
      <c r="U2093" s="13" t="str">
        <f t="shared" si="161"/>
        <v/>
      </c>
      <c r="V2093" s="13" t="str">
        <f t="shared" si="162"/>
        <v/>
      </c>
      <c r="W2093" s="4" t="str">
        <f t="shared" si="163"/>
        <v/>
      </c>
      <c r="X2093" t="str">
        <f>IF(W2093="","",LOOKUP(_xlfn.CONCAT(P2093,", ",Q2093),'[1]T+S Costs'!$F$2:$F$3138,'[1]T+S Costs'!$N$2:$N$3138))</f>
        <v/>
      </c>
      <c r="Y2093" s="14" t="str">
        <f t="shared" si="164"/>
        <v/>
      </c>
      <c r="Z2093" s="4" t="str">
        <f t="shared" si="165"/>
        <v/>
      </c>
    </row>
    <row r="2094" spans="16:26" x14ac:dyDescent="0.25">
      <c r="P2094" s="10" t="str">
        <f>IF('[1]All Data '!AZ2099="","",'[1]All Data '!AZ2099)</f>
        <v/>
      </c>
      <c r="Q2094" s="10" t="str">
        <f>IF('[1]All Data '!BB2099="","",'[1]All Data '!BB2099)</f>
        <v/>
      </c>
      <c r="R2094" s="10" t="str">
        <f>IF('[1]All Data '!BD2099="","",'[1]All Data '!BD2099)</f>
        <v/>
      </c>
      <c r="S2094" s="11" t="str">
        <f>IF(R2094="","",'[1]All Data '!BE2099)</f>
        <v/>
      </c>
      <c r="T2094" s="12" t="str">
        <f>IF(S2094="","",[1]Inputs_Outputs!$B$8*(1-'LOCH Calc COE Calc'!S2094))</f>
        <v/>
      </c>
      <c r="U2094" s="13" t="str">
        <f t="shared" si="161"/>
        <v/>
      </c>
      <c r="V2094" s="13" t="str">
        <f t="shared" si="162"/>
        <v/>
      </c>
      <c r="W2094" s="4" t="str">
        <f t="shared" si="163"/>
        <v/>
      </c>
      <c r="X2094" t="str">
        <f>IF(W2094="","",LOOKUP(_xlfn.CONCAT(P2094,", ",Q2094),'[1]T+S Costs'!$F$2:$F$3138,'[1]T+S Costs'!$N$2:$N$3138))</f>
        <v/>
      </c>
      <c r="Y2094" s="14" t="str">
        <f t="shared" si="164"/>
        <v/>
      </c>
      <c r="Z2094" s="4" t="str">
        <f t="shared" si="165"/>
        <v/>
      </c>
    </row>
    <row r="2095" spans="16:26" x14ac:dyDescent="0.25">
      <c r="P2095" s="10" t="str">
        <f>IF('[1]All Data '!AZ2100="","",'[1]All Data '!AZ2100)</f>
        <v/>
      </c>
      <c r="Q2095" s="10" t="str">
        <f>IF('[1]All Data '!BB2100="","",'[1]All Data '!BB2100)</f>
        <v/>
      </c>
      <c r="R2095" s="10" t="str">
        <f>IF('[1]All Data '!BD2100="","",'[1]All Data '!BD2100)</f>
        <v/>
      </c>
      <c r="S2095" s="11" t="str">
        <f>IF(R2095="","",'[1]All Data '!BE2100)</f>
        <v/>
      </c>
      <c r="T2095" s="12" t="str">
        <f>IF(S2095="","",[1]Inputs_Outputs!$B$8*(1-'LOCH Calc COE Calc'!S2095))</f>
        <v/>
      </c>
      <c r="U2095" s="13" t="str">
        <f t="shared" si="161"/>
        <v/>
      </c>
      <c r="V2095" s="13" t="str">
        <f t="shared" si="162"/>
        <v/>
      </c>
      <c r="W2095" s="4" t="str">
        <f t="shared" si="163"/>
        <v/>
      </c>
      <c r="X2095" t="str">
        <f>IF(W2095="","",LOOKUP(_xlfn.CONCAT(P2095,", ",Q2095),'[1]T+S Costs'!$F$2:$F$3138,'[1]T+S Costs'!$N$2:$N$3138))</f>
        <v/>
      </c>
      <c r="Y2095" s="14" t="str">
        <f t="shared" si="164"/>
        <v/>
      </c>
      <c r="Z2095" s="4" t="str">
        <f t="shared" si="165"/>
        <v/>
      </c>
    </row>
    <row r="2096" spans="16:26" x14ac:dyDescent="0.25">
      <c r="P2096" s="10" t="str">
        <f>IF('[1]All Data '!AZ2101="","",'[1]All Data '!AZ2101)</f>
        <v/>
      </c>
      <c r="Q2096" s="10" t="str">
        <f>IF('[1]All Data '!BB2101="","",'[1]All Data '!BB2101)</f>
        <v/>
      </c>
      <c r="R2096" s="10" t="str">
        <f>IF('[1]All Data '!BD2101="","",'[1]All Data '!BD2101)</f>
        <v/>
      </c>
      <c r="S2096" s="11" t="str">
        <f>IF(R2096="","",'[1]All Data '!BE2101)</f>
        <v/>
      </c>
      <c r="T2096" s="12" t="str">
        <f>IF(S2096="","",[1]Inputs_Outputs!$B$8*(1-'LOCH Calc COE Calc'!S2096))</f>
        <v/>
      </c>
      <c r="U2096" s="13" t="str">
        <f t="shared" si="161"/>
        <v/>
      </c>
      <c r="V2096" s="13" t="str">
        <f t="shared" si="162"/>
        <v/>
      </c>
      <c r="W2096" s="4" t="str">
        <f t="shared" si="163"/>
        <v/>
      </c>
      <c r="X2096" t="str">
        <f>IF(W2096="","",LOOKUP(_xlfn.CONCAT(P2096,", ",Q2096),'[1]T+S Costs'!$F$2:$F$3138,'[1]T+S Costs'!$N$2:$N$3138))</f>
        <v/>
      </c>
      <c r="Y2096" s="14" t="str">
        <f t="shared" si="164"/>
        <v/>
      </c>
      <c r="Z2096" s="4" t="str">
        <f t="shared" si="165"/>
        <v/>
      </c>
    </row>
    <row r="2097" spans="16:26" x14ac:dyDescent="0.25">
      <c r="P2097" s="10" t="str">
        <f>IF('[1]All Data '!AZ2102="","",'[1]All Data '!AZ2102)</f>
        <v/>
      </c>
      <c r="Q2097" s="10" t="str">
        <f>IF('[1]All Data '!BB2102="","",'[1]All Data '!BB2102)</f>
        <v/>
      </c>
      <c r="R2097" s="10" t="str">
        <f>IF('[1]All Data '!BD2102="","",'[1]All Data '!BD2102)</f>
        <v/>
      </c>
      <c r="S2097" s="11" t="str">
        <f>IF(R2097="","",'[1]All Data '!BE2102)</f>
        <v/>
      </c>
      <c r="T2097" s="12" t="str">
        <f>IF(S2097="","",[1]Inputs_Outputs!$B$8*(1-'LOCH Calc COE Calc'!S2097))</f>
        <v/>
      </c>
      <c r="U2097" s="13" t="str">
        <f t="shared" si="161"/>
        <v/>
      </c>
      <c r="V2097" s="13" t="str">
        <f t="shared" si="162"/>
        <v/>
      </c>
      <c r="W2097" s="4" t="str">
        <f t="shared" si="163"/>
        <v/>
      </c>
      <c r="X2097" t="str">
        <f>IF(W2097="","",LOOKUP(_xlfn.CONCAT(P2097,", ",Q2097),'[1]T+S Costs'!$F$2:$F$3138,'[1]T+S Costs'!$N$2:$N$3138))</f>
        <v/>
      </c>
      <c r="Y2097" s="14" t="str">
        <f t="shared" si="164"/>
        <v/>
      </c>
      <c r="Z2097" s="4" t="str">
        <f t="shared" si="165"/>
        <v/>
      </c>
    </row>
    <row r="2098" spans="16:26" x14ac:dyDescent="0.25">
      <c r="P2098" s="10" t="str">
        <f>IF('[1]All Data '!AZ2103="","",'[1]All Data '!AZ2103)</f>
        <v/>
      </c>
      <c r="Q2098" s="10" t="str">
        <f>IF('[1]All Data '!BB2103="","",'[1]All Data '!BB2103)</f>
        <v/>
      </c>
      <c r="R2098" s="10" t="str">
        <f>IF('[1]All Data '!BD2103="","",'[1]All Data '!BD2103)</f>
        <v/>
      </c>
      <c r="S2098" s="11" t="str">
        <f>IF(R2098="","",'[1]All Data '!BE2103)</f>
        <v/>
      </c>
      <c r="T2098" s="12" t="str">
        <f>IF(S2098="","",[1]Inputs_Outputs!$B$8*(1-'LOCH Calc COE Calc'!S2098))</f>
        <v/>
      </c>
      <c r="U2098" s="13" t="str">
        <f t="shared" si="161"/>
        <v/>
      </c>
      <c r="V2098" s="13" t="str">
        <f t="shared" si="162"/>
        <v/>
      </c>
      <c r="W2098" s="4" t="str">
        <f t="shared" si="163"/>
        <v/>
      </c>
      <c r="X2098" t="str">
        <f>IF(W2098="","",LOOKUP(_xlfn.CONCAT(P2098,", ",Q2098),'[1]T+S Costs'!$F$2:$F$3138,'[1]T+S Costs'!$N$2:$N$3138))</f>
        <v/>
      </c>
      <c r="Y2098" s="14" t="str">
        <f t="shared" si="164"/>
        <v/>
      </c>
      <c r="Z2098" s="4" t="str">
        <f t="shared" si="165"/>
        <v/>
      </c>
    </row>
    <row r="2099" spans="16:26" x14ac:dyDescent="0.25">
      <c r="P2099" s="10" t="str">
        <f>IF('[1]All Data '!AZ2104="","",'[1]All Data '!AZ2104)</f>
        <v/>
      </c>
      <c r="Q2099" s="10" t="str">
        <f>IF('[1]All Data '!BB2104="","",'[1]All Data '!BB2104)</f>
        <v/>
      </c>
      <c r="R2099" s="10" t="str">
        <f>IF('[1]All Data '!BD2104="","",'[1]All Data '!BD2104)</f>
        <v/>
      </c>
      <c r="S2099" s="11" t="str">
        <f>IF(R2099="","",'[1]All Data '!BE2104)</f>
        <v/>
      </c>
      <c r="T2099" s="12" t="str">
        <f>IF(S2099="","",[1]Inputs_Outputs!$B$8*(1-'LOCH Calc COE Calc'!S2099))</f>
        <v/>
      </c>
      <c r="U2099" s="13" t="str">
        <f t="shared" si="161"/>
        <v/>
      </c>
      <c r="V2099" s="13" t="str">
        <f t="shared" si="162"/>
        <v/>
      </c>
      <c r="W2099" s="4" t="str">
        <f t="shared" si="163"/>
        <v/>
      </c>
      <c r="X2099" t="str">
        <f>IF(W2099="","",LOOKUP(_xlfn.CONCAT(P2099,", ",Q2099),'[1]T+S Costs'!$F$2:$F$3138,'[1]T+S Costs'!$N$2:$N$3138))</f>
        <v/>
      </c>
      <c r="Y2099" s="14" t="str">
        <f t="shared" si="164"/>
        <v/>
      </c>
      <c r="Z2099" s="4" t="str">
        <f t="shared" si="165"/>
        <v/>
      </c>
    </row>
    <row r="2100" spans="16:26" x14ac:dyDescent="0.25">
      <c r="P2100" s="10" t="str">
        <f>IF('[1]All Data '!AZ2105="","",'[1]All Data '!AZ2105)</f>
        <v/>
      </c>
      <c r="Q2100" s="10" t="str">
        <f>IF('[1]All Data '!BB2105="","",'[1]All Data '!BB2105)</f>
        <v/>
      </c>
      <c r="R2100" s="10" t="str">
        <f>IF('[1]All Data '!BD2105="","",'[1]All Data '!BD2105)</f>
        <v/>
      </c>
      <c r="S2100" s="11" t="str">
        <f>IF(R2100="","",'[1]All Data '!BE2105)</f>
        <v/>
      </c>
      <c r="T2100" s="12" t="str">
        <f>IF(S2100="","",[1]Inputs_Outputs!$B$8*(1-'LOCH Calc COE Calc'!S2100))</f>
        <v/>
      </c>
      <c r="U2100" s="13" t="str">
        <f t="shared" si="161"/>
        <v/>
      </c>
      <c r="V2100" s="13" t="str">
        <f t="shared" si="162"/>
        <v/>
      </c>
      <c r="W2100" s="4" t="str">
        <f t="shared" si="163"/>
        <v/>
      </c>
      <c r="X2100" t="str">
        <f>IF(W2100="","",LOOKUP(_xlfn.CONCAT(P2100,", ",Q2100),'[1]T+S Costs'!$F$2:$F$3138,'[1]T+S Costs'!$N$2:$N$3138))</f>
        <v/>
      </c>
      <c r="Y2100" s="14" t="str">
        <f t="shared" si="164"/>
        <v/>
      </c>
      <c r="Z2100" s="4" t="str">
        <f t="shared" si="165"/>
        <v/>
      </c>
    </row>
    <row r="2101" spans="16:26" x14ac:dyDescent="0.25">
      <c r="P2101" s="10" t="str">
        <f>IF('[1]All Data '!AZ2106="","",'[1]All Data '!AZ2106)</f>
        <v/>
      </c>
      <c r="Q2101" s="10" t="str">
        <f>IF('[1]All Data '!BB2106="","",'[1]All Data '!BB2106)</f>
        <v/>
      </c>
      <c r="R2101" s="10" t="str">
        <f>IF('[1]All Data '!BD2106="","",'[1]All Data '!BD2106)</f>
        <v/>
      </c>
      <c r="S2101" s="11" t="str">
        <f>IF(R2101="","",'[1]All Data '!BE2106)</f>
        <v/>
      </c>
      <c r="T2101" s="12" t="str">
        <f>IF(S2101="","",[1]Inputs_Outputs!$B$8*(1-'LOCH Calc COE Calc'!S2101))</f>
        <v/>
      </c>
      <c r="U2101" s="13" t="str">
        <f t="shared" si="161"/>
        <v/>
      </c>
      <c r="V2101" s="13" t="str">
        <f t="shared" si="162"/>
        <v/>
      </c>
      <c r="W2101" s="4" t="str">
        <f t="shared" si="163"/>
        <v/>
      </c>
      <c r="X2101" t="str">
        <f>IF(W2101="","",LOOKUP(_xlfn.CONCAT(P2101,", ",Q2101),'[1]T+S Costs'!$F$2:$F$3138,'[1]T+S Costs'!$N$2:$N$3138))</f>
        <v/>
      </c>
      <c r="Y2101" s="14" t="str">
        <f t="shared" si="164"/>
        <v/>
      </c>
      <c r="Z2101" s="4" t="str">
        <f t="shared" si="165"/>
        <v/>
      </c>
    </row>
    <row r="2102" spans="16:26" x14ac:dyDescent="0.25">
      <c r="P2102" s="10" t="str">
        <f>IF('[1]All Data '!AZ2107="","",'[1]All Data '!AZ2107)</f>
        <v/>
      </c>
      <c r="Q2102" s="10" t="str">
        <f>IF('[1]All Data '!BB2107="","",'[1]All Data '!BB2107)</f>
        <v/>
      </c>
      <c r="R2102" s="10" t="str">
        <f>IF('[1]All Data '!BD2107="","",'[1]All Data '!BD2107)</f>
        <v/>
      </c>
      <c r="S2102" s="11" t="str">
        <f>IF(R2102="","",'[1]All Data '!BE2107)</f>
        <v/>
      </c>
      <c r="T2102" s="12" t="str">
        <f>IF(S2102="","",[1]Inputs_Outputs!$B$8*(1-'LOCH Calc COE Calc'!S2102))</f>
        <v/>
      </c>
      <c r="U2102" s="13" t="str">
        <f t="shared" si="161"/>
        <v/>
      </c>
      <c r="V2102" s="13" t="str">
        <f t="shared" si="162"/>
        <v/>
      </c>
      <c r="W2102" s="4" t="str">
        <f t="shared" si="163"/>
        <v/>
      </c>
      <c r="X2102" t="str">
        <f>IF(W2102="","",LOOKUP(_xlfn.CONCAT(P2102,", ",Q2102),'[1]T+S Costs'!$F$2:$F$3138,'[1]T+S Costs'!$N$2:$N$3138))</f>
        <v/>
      </c>
      <c r="Y2102" s="14" t="str">
        <f t="shared" si="164"/>
        <v/>
      </c>
      <c r="Z2102" s="4" t="str">
        <f t="shared" si="165"/>
        <v/>
      </c>
    </row>
    <row r="2103" spans="16:26" x14ac:dyDescent="0.25">
      <c r="P2103" s="10" t="str">
        <f>IF('[1]All Data '!AZ2108="","",'[1]All Data '!AZ2108)</f>
        <v/>
      </c>
      <c r="Q2103" s="10" t="str">
        <f>IF('[1]All Data '!BB2108="","",'[1]All Data '!BB2108)</f>
        <v/>
      </c>
      <c r="R2103" s="10" t="str">
        <f>IF('[1]All Data '!BD2108="","",'[1]All Data '!BD2108)</f>
        <v/>
      </c>
      <c r="S2103" s="11" t="str">
        <f>IF(R2103="","",'[1]All Data '!BE2108)</f>
        <v/>
      </c>
      <c r="T2103" s="12" t="str">
        <f>IF(S2103="","",[1]Inputs_Outputs!$B$8*(1-'LOCH Calc COE Calc'!S2103))</f>
        <v/>
      </c>
      <c r="U2103" s="13" t="str">
        <f t="shared" si="161"/>
        <v/>
      </c>
      <c r="V2103" s="13" t="str">
        <f t="shared" si="162"/>
        <v/>
      </c>
      <c r="W2103" s="4" t="str">
        <f t="shared" si="163"/>
        <v/>
      </c>
      <c r="X2103" t="str">
        <f>IF(W2103="","",LOOKUP(_xlfn.CONCAT(P2103,", ",Q2103),'[1]T+S Costs'!$F$2:$F$3138,'[1]T+S Costs'!$N$2:$N$3138))</f>
        <v/>
      </c>
      <c r="Y2103" s="14" t="str">
        <f t="shared" si="164"/>
        <v/>
      </c>
      <c r="Z2103" s="4" t="str">
        <f t="shared" si="165"/>
        <v/>
      </c>
    </row>
    <row r="2104" spans="16:26" x14ac:dyDescent="0.25">
      <c r="P2104" s="10" t="str">
        <f>IF('[1]All Data '!AZ2109="","",'[1]All Data '!AZ2109)</f>
        <v/>
      </c>
      <c r="Q2104" s="10" t="str">
        <f>IF('[1]All Data '!BB2109="","",'[1]All Data '!BB2109)</f>
        <v/>
      </c>
      <c r="R2104" s="10" t="str">
        <f>IF('[1]All Data '!BD2109="","",'[1]All Data '!BD2109)</f>
        <v/>
      </c>
      <c r="S2104" s="11" t="str">
        <f>IF(R2104="","",'[1]All Data '!BE2109)</f>
        <v/>
      </c>
      <c r="T2104" s="12" t="str">
        <f>IF(S2104="","",[1]Inputs_Outputs!$B$8*(1-'LOCH Calc COE Calc'!S2104))</f>
        <v/>
      </c>
      <c r="U2104" s="13" t="str">
        <f t="shared" si="161"/>
        <v/>
      </c>
      <c r="V2104" s="13" t="str">
        <f t="shared" si="162"/>
        <v/>
      </c>
      <c r="W2104" s="4" t="str">
        <f t="shared" si="163"/>
        <v/>
      </c>
      <c r="X2104" t="str">
        <f>IF(W2104="","",LOOKUP(_xlfn.CONCAT(P2104,", ",Q2104),'[1]T+S Costs'!$F$2:$F$3138,'[1]T+S Costs'!$N$2:$N$3138))</f>
        <v/>
      </c>
      <c r="Y2104" s="14" t="str">
        <f t="shared" si="164"/>
        <v/>
      </c>
      <c r="Z2104" s="4" t="str">
        <f t="shared" si="165"/>
        <v/>
      </c>
    </row>
    <row r="2105" spans="16:26" x14ac:dyDescent="0.25">
      <c r="P2105" s="10" t="str">
        <f>IF('[1]All Data '!AZ2110="","",'[1]All Data '!AZ2110)</f>
        <v/>
      </c>
      <c r="Q2105" s="10" t="str">
        <f>IF('[1]All Data '!BB2110="","",'[1]All Data '!BB2110)</f>
        <v/>
      </c>
      <c r="R2105" s="10" t="str">
        <f>IF('[1]All Data '!BD2110="","",'[1]All Data '!BD2110)</f>
        <v/>
      </c>
      <c r="S2105" s="11" t="str">
        <f>IF(R2105="","",'[1]All Data '!BE2110)</f>
        <v/>
      </c>
      <c r="T2105" s="12" t="str">
        <f>IF(S2105="","",[1]Inputs_Outputs!$B$8*(1-'LOCH Calc COE Calc'!S2105))</f>
        <v/>
      </c>
      <c r="U2105" s="13" t="str">
        <f t="shared" si="161"/>
        <v/>
      </c>
      <c r="V2105" s="13" t="str">
        <f t="shared" si="162"/>
        <v/>
      </c>
      <c r="W2105" s="4" t="str">
        <f t="shared" si="163"/>
        <v/>
      </c>
      <c r="X2105" t="str">
        <f>IF(W2105="","",LOOKUP(_xlfn.CONCAT(P2105,", ",Q2105),'[1]T+S Costs'!$F$2:$F$3138,'[1]T+S Costs'!$N$2:$N$3138))</f>
        <v/>
      </c>
      <c r="Y2105" s="14" t="str">
        <f t="shared" si="164"/>
        <v/>
      </c>
      <c r="Z2105" s="4" t="str">
        <f t="shared" si="165"/>
        <v/>
      </c>
    </row>
    <row r="2106" spans="16:26" x14ac:dyDescent="0.25">
      <c r="P2106" s="10" t="str">
        <f>IF('[1]All Data '!AZ2111="","",'[1]All Data '!AZ2111)</f>
        <v/>
      </c>
      <c r="Q2106" s="10" t="str">
        <f>IF('[1]All Data '!BB2111="","",'[1]All Data '!BB2111)</f>
        <v/>
      </c>
      <c r="R2106" s="10" t="str">
        <f>IF('[1]All Data '!BD2111="","",'[1]All Data '!BD2111)</f>
        <v/>
      </c>
      <c r="S2106" s="11" t="str">
        <f>IF(R2106="","",'[1]All Data '!BE2111)</f>
        <v/>
      </c>
      <c r="T2106" s="12" t="str">
        <f>IF(S2106="","",[1]Inputs_Outputs!$B$8*(1-'LOCH Calc COE Calc'!S2106))</f>
        <v/>
      </c>
      <c r="U2106" s="13" t="str">
        <f t="shared" si="161"/>
        <v/>
      </c>
      <c r="V2106" s="13" t="str">
        <f t="shared" si="162"/>
        <v/>
      </c>
      <c r="W2106" s="4" t="str">
        <f t="shared" si="163"/>
        <v/>
      </c>
      <c r="X2106" t="str">
        <f>IF(W2106="","",LOOKUP(_xlfn.CONCAT(P2106,", ",Q2106),'[1]T+S Costs'!$F$2:$F$3138,'[1]T+S Costs'!$N$2:$N$3138))</f>
        <v/>
      </c>
      <c r="Y2106" s="14" t="str">
        <f t="shared" si="164"/>
        <v/>
      </c>
      <c r="Z2106" s="4" t="str">
        <f t="shared" si="165"/>
        <v/>
      </c>
    </row>
    <row r="2107" spans="16:26" x14ac:dyDescent="0.25">
      <c r="P2107" s="10" t="str">
        <f>IF('[1]All Data '!AZ2112="","",'[1]All Data '!AZ2112)</f>
        <v/>
      </c>
      <c r="Q2107" s="10" t="str">
        <f>IF('[1]All Data '!BB2112="","",'[1]All Data '!BB2112)</f>
        <v/>
      </c>
      <c r="R2107" s="10" t="str">
        <f>IF('[1]All Data '!BD2112="","",'[1]All Data '!BD2112)</f>
        <v/>
      </c>
      <c r="S2107" s="11" t="str">
        <f>IF(R2107="","",'[1]All Data '!BE2112)</f>
        <v/>
      </c>
      <c r="T2107" s="12" t="str">
        <f>IF(S2107="","",[1]Inputs_Outputs!$B$8*(1-'LOCH Calc COE Calc'!S2107))</f>
        <v/>
      </c>
      <c r="U2107" s="13" t="str">
        <f t="shared" si="161"/>
        <v/>
      </c>
      <c r="V2107" s="13" t="str">
        <f t="shared" si="162"/>
        <v/>
      </c>
      <c r="W2107" s="4" t="str">
        <f t="shared" si="163"/>
        <v/>
      </c>
      <c r="X2107" t="str">
        <f>IF(W2107="","",LOOKUP(_xlfn.CONCAT(P2107,", ",Q2107),'[1]T+S Costs'!$F$2:$F$3138,'[1]T+S Costs'!$N$2:$N$3138))</f>
        <v/>
      </c>
      <c r="Y2107" s="14" t="str">
        <f t="shared" si="164"/>
        <v/>
      </c>
      <c r="Z2107" s="4" t="str">
        <f t="shared" si="165"/>
        <v/>
      </c>
    </row>
    <row r="2108" spans="16:26" x14ac:dyDescent="0.25">
      <c r="P2108" s="10" t="str">
        <f>IF('[1]All Data '!AZ2113="","",'[1]All Data '!AZ2113)</f>
        <v/>
      </c>
      <c r="Q2108" s="10" t="str">
        <f>IF('[1]All Data '!BB2113="","",'[1]All Data '!BB2113)</f>
        <v/>
      </c>
      <c r="R2108" s="10" t="str">
        <f>IF('[1]All Data '!BD2113="","",'[1]All Data '!BD2113)</f>
        <v/>
      </c>
      <c r="S2108" s="11" t="str">
        <f>IF(R2108="","",'[1]All Data '!BE2113)</f>
        <v/>
      </c>
      <c r="T2108" s="12" t="str">
        <f>IF(S2108="","",[1]Inputs_Outputs!$B$8*(1-'LOCH Calc COE Calc'!S2108))</f>
        <v/>
      </c>
      <c r="U2108" s="13" t="str">
        <f t="shared" si="161"/>
        <v/>
      </c>
      <c r="V2108" s="13" t="str">
        <f t="shared" si="162"/>
        <v/>
      </c>
      <c r="W2108" s="4" t="str">
        <f t="shared" si="163"/>
        <v/>
      </c>
      <c r="X2108" t="str">
        <f>IF(W2108="","",LOOKUP(_xlfn.CONCAT(P2108,", ",Q2108),'[1]T+S Costs'!$F$2:$F$3138,'[1]T+S Costs'!$N$2:$N$3138))</f>
        <v/>
      </c>
      <c r="Y2108" s="14" t="str">
        <f t="shared" si="164"/>
        <v/>
      </c>
      <c r="Z2108" s="4" t="str">
        <f t="shared" si="165"/>
        <v/>
      </c>
    </row>
    <row r="2109" spans="16:26" x14ac:dyDescent="0.25">
      <c r="P2109" s="10" t="str">
        <f>IF('[1]All Data '!AZ2114="","",'[1]All Data '!AZ2114)</f>
        <v/>
      </c>
      <c r="Q2109" s="10" t="str">
        <f>IF('[1]All Data '!BB2114="","",'[1]All Data '!BB2114)</f>
        <v/>
      </c>
      <c r="R2109" s="10" t="str">
        <f>IF('[1]All Data '!BD2114="","",'[1]All Data '!BD2114)</f>
        <v/>
      </c>
      <c r="S2109" s="11" t="str">
        <f>IF(R2109="","",'[1]All Data '!BE2114)</f>
        <v/>
      </c>
      <c r="T2109" s="12" t="str">
        <f>IF(S2109="","",[1]Inputs_Outputs!$B$8*(1-'LOCH Calc COE Calc'!S2109))</f>
        <v/>
      </c>
      <c r="U2109" s="13" t="str">
        <f t="shared" si="161"/>
        <v/>
      </c>
      <c r="V2109" s="13" t="str">
        <f t="shared" si="162"/>
        <v/>
      </c>
      <c r="W2109" s="4" t="str">
        <f t="shared" si="163"/>
        <v/>
      </c>
      <c r="X2109" t="str">
        <f>IF(W2109="","",LOOKUP(_xlfn.CONCAT(P2109,", ",Q2109),'[1]T+S Costs'!$F$2:$F$3138,'[1]T+S Costs'!$N$2:$N$3138))</f>
        <v/>
      </c>
      <c r="Y2109" s="14" t="str">
        <f t="shared" si="164"/>
        <v/>
      </c>
      <c r="Z2109" s="4" t="str">
        <f t="shared" si="165"/>
        <v/>
      </c>
    </row>
    <row r="2110" spans="16:26" x14ac:dyDescent="0.25">
      <c r="P2110" s="10" t="str">
        <f>IF('[1]All Data '!AZ2115="","",'[1]All Data '!AZ2115)</f>
        <v/>
      </c>
      <c r="Q2110" s="10" t="str">
        <f>IF('[1]All Data '!BB2115="","",'[1]All Data '!BB2115)</f>
        <v/>
      </c>
      <c r="R2110" s="10" t="str">
        <f>IF('[1]All Data '!BD2115="","",'[1]All Data '!BD2115)</f>
        <v/>
      </c>
      <c r="S2110" s="11" t="str">
        <f>IF(R2110="","",'[1]All Data '!BE2115)</f>
        <v/>
      </c>
      <c r="T2110" s="12" t="str">
        <f>IF(S2110="","",[1]Inputs_Outputs!$B$8*(1-'LOCH Calc COE Calc'!S2110))</f>
        <v/>
      </c>
      <c r="U2110" s="13" t="str">
        <f t="shared" si="161"/>
        <v/>
      </c>
      <c r="V2110" s="13" t="str">
        <f t="shared" si="162"/>
        <v/>
      </c>
      <c r="W2110" s="4" t="str">
        <f t="shared" si="163"/>
        <v/>
      </c>
      <c r="X2110" t="str">
        <f>IF(W2110="","",LOOKUP(_xlfn.CONCAT(P2110,", ",Q2110),'[1]T+S Costs'!$F$2:$F$3138,'[1]T+S Costs'!$N$2:$N$3138))</f>
        <v/>
      </c>
      <c r="Y2110" s="14" t="str">
        <f t="shared" si="164"/>
        <v/>
      </c>
      <c r="Z2110" s="4" t="str">
        <f t="shared" si="165"/>
        <v/>
      </c>
    </row>
    <row r="2111" spans="16:26" x14ac:dyDescent="0.25">
      <c r="P2111" s="10" t="str">
        <f>IF('[1]All Data '!AZ2116="","",'[1]All Data '!AZ2116)</f>
        <v/>
      </c>
      <c r="Q2111" s="10" t="str">
        <f>IF('[1]All Data '!BB2116="","",'[1]All Data '!BB2116)</f>
        <v/>
      </c>
      <c r="R2111" s="10" t="str">
        <f>IF('[1]All Data '!BD2116="","",'[1]All Data '!BD2116)</f>
        <v/>
      </c>
      <c r="S2111" s="11" t="str">
        <f>IF(R2111="","",'[1]All Data '!BE2116)</f>
        <v/>
      </c>
      <c r="T2111" s="12" t="str">
        <f>IF(S2111="","",[1]Inputs_Outputs!$B$8*(1-'LOCH Calc COE Calc'!S2111))</f>
        <v/>
      </c>
      <c r="U2111" s="13" t="str">
        <f t="shared" si="161"/>
        <v/>
      </c>
      <c r="V2111" s="13" t="str">
        <f t="shared" si="162"/>
        <v/>
      </c>
      <c r="W2111" s="4" t="str">
        <f t="shared" si="163"/>
        <v/>
      </c>
      <c r="X2111" t="str">
        <f>IF(W2111="","",LOOKUP(_xlfn.CONCAT(P2111,", ",Q2111),'[1]T+S Costs'!$F$2:$F$3138,'[1]T+S Costs'!$N$2:$N$3138))</f>
        <v/>
      </c>
      <c r="Y2111" s="14" t="str">
        <f t="shared" si="164"/>
        <v/>
      </c>
      <c r="Z2111" s="4" t="str">
        <f t="shared" si="165"/>
        <v/>
      </c>
    </row>
    <row r="2112" spans="16:26" x14ac:dyDescent="0.25">
      <c r="P2112" s="10" t="str">
        <f>IF('[1]All Data '!AZ2117="","",'[1]All Data '!AZ2117)</f>
        <v/>
      </c>
      <c r="Q2112" s="10" t="str">
        <f>IF('[1]All Data '!BB2117="","",'[1]All Data '!BB2117)</f>
        <v/>
      </c>
      <c r="R2112" s="10" t="str">
        <f>IF('[1]All Data '!BD2117="","",'[1]All Data '!BD2117)</f>
        <v/>
      </c>
      <c r="S2112" s="11" t="str">
        <f>IF(R2112="","",'[1]All Data '!BE2117)</f>
        <v/>
      </c>
      <c r="T2112" s="12" t="str">
        <f>IF(S2112="","",[1]Inputs_Outputs!$B$8*(1-'LOCH Calc COE Calc'!S2112))</f>
        <v/>
      </c>
      <c r="U2112" s="13" t="str">
        <f t="shared" si="161"/>
        <v/>
      </c>
      <c r="V2112" s="13" t="str">
        <f t="shared" si="162"/>
        <v/>
      </c>
      <c r="W2112" s="4" t="str">
        <f t="shared" si="163"/>
        <v/>
      </c>
      <c r="X2112" t="str">
        <f>IF(W2112="","",LOOKUP(_xlfn.CONCAT(P2112,", ",Q2112),'[1]T+S Costs'!$F$2:$F$3138,'[1]T+S Costs'!$N$2:$N$3138))</f>
        <v/>
      </c>
      <c r="Y2112" s="14" t="str">
        <f t="shared" si="164"/>
        <v/>
      </c>
      <c r="Z2112" s="4" t="str">
        <f t="shared" si="165"/>
        <v/>
      </c>
    </row>
    <row r="2113" spans="16:26" x14ac:dyDescent="0.25">
      <c r="P2113" s="10" t="str">
        <f>IF('[1]All Data '!AZ2118="","",'[1]All Data '!AZ2118)</f>
        <v/>
      </c>
      <c r="Q2113" s="10" t="str">
        <f>IF('[1]All Data '!BB2118="","",'[1]All Data '!BB2118)</f>
        <v/>
      </c>
      <c r="R2113" s="10" t="str">
        <f>IF('[1]All Data '!BD2118="","",'[1]All Data '!BD2118)</f>
        <v/>
      </c>
      <c r="S2113" s="11" t="str">
        <f>IF(R2113="","",'[1]All Data '!BE2118)</f>
        <v/>
      </c>
      <c r="T2113" s="12" t="str">
        <f>IF(S2113="","",[1]Inputs_Outputs!$B$8*(1-'LOCH Calc COE Calc'!S2113))</f>
        <v/>
      </c>
      <c r="U2113" s="13" t="str">
        <f t="shared" si="161"/>
        <v/>
      </c>
      <c r="V2113" s="13" t="str">
        <f t="shared" si="162"/>
        <v/>
      </c>
      <c r="W2113" s="4" t="str">
        <f t="shared" si="163"/>
        <v/>
      </c>
      <c r="X2113" t="str">
        <f>IF(W2113="","",LOOKUP(_xlfn.CONCAT(P2113,", ",Q2113),'[1]T+S Costs'!$F$2:$F$3138,'[1]T+S Costs'!$N$2:$N$3138))</f>
        <v/>
      </c>
      <c r="Y2113" s="14" t="str">
        <f t="shared" si="164"/>
        <v/>
      </c>
      <c r="Z2113" s="4" t="str">
        <f t="shared" si="165"/>
        <v/>
      </c>
    </row>
    <row r="2114" spans="16:26" x14ac:dyDescent="0.25">
      <c r="P2114" s="10" t="str">
        <f>IF('[1]All Data '!AZ2119="","",'[1]All Data '!AZ2119)</f>
        <v/>
      </c>
      <c r="Q2114" s="10" t="str">
        <f>IF('[1]All Data '!BB2119="","",'[1]All Data '!BB2119)</f>
        <v/>
      </c>
      <c r="R2114" s="10" t="str">
        <f>IF('[1]All Data '!BD2119="","",'[1]All Data '!BD2119)</f>
        <v/>
      </c>
      <c r="S2114" s="11" t="str">
        <f>IF(R2114="","",'[1]All Data '!BE2119)</f>
        <v/>
      </c>
      <c r="T2114" s="12" t="str">
        <f>IF(S2114="","",[1]Inputs_Outputs!$B$8*(1-'LOCH Calc COE Calc'!S2114))</f>
        <v/>
      </c>
      <c r="U2114" s="13" t="str">
        <f t="shared" si="161"/>
        <v/>
      </c>
      <c r="V2114" s="13" t="str">
        <f t="shared" si="162"/>
        <v/>
      </c>
      <c r="W2114" s="4" t="str">
        <f t="shared" si="163"/>
        <v/>
      </c>
      <c r="X2114" t="str">
        <f>IF(W2114="","",LOOKUP(_xlfn.CONCAT(P2114,", ",Q2114),'[1]T+S Costs'!$F$2:$F$3138,'[1]T+S Costs'!$N$2:$N$3138))</f>
        <v/>
      </c>
      <c r="Y2114" s="14" t="str">
        <f t="shared" si="164"/>
        <v/>
      </c>
      <c r="Z2114" s="4" t="str">
        <f t="shared" si="165"/>
        <v/>
      </c>
    </row>
    <row r="2115" spans="16:26" x14ac:dyDescent="0.25">
      <c r="P2115" s="10" t="str">
        <f>IF('[1]All Data '!AZ2120="","",'[1]All Data '!AZ2120)</f>
        <v/>
      </c>
      <c r="Q2115" s="10" t="str">
        <f>IF('[1]All Data '!BB2120="","",'[1]All Data '!BB2120)</f>
        <v/>
      </c>
      <c r="R2115" s="10" t="str">
        <f>IF('[1]All Data '!BD2120="","",'[1]All Data '!BD2120)</f>
        <v/>
      </c>
      <c r="S2115" s="11" t="str">
        <f>IF(R2115="","",'[1]All Data '!BE2120)</f>
        <v/>
      </c>
      <c r="T2115" s="12" t="str">
        <f>IF(S2115="","",[1]Inputs_Outputs!$B$8*(1-'LOCH Calc COE Calc'!S2115))</f>
        <v/>
      </c>
      <c r="U2115" s="13" t="str">
        <f t="shared" ref="U2115:U2178" si="166">IF(S2115="","",R2115*T2115*365*$B$19/100)</f>
        <v/>
      </c>
      <c r="V2115" s="13" t="str">
        <f t="shared" ref="V2115:V2178" si="167">IF(S2115="","",(U2115*$B$19)/(($B$28)*$B$19))</f>
        <v/>
      </c>
      <c r="W2115" s="4" t="str">
        <f t="shared" ref="W2115:W2178" si="168">IF(S2115="","",V2115+$C$49+$C$50+$C$51)</f>
        <v/>
      </c>
      <c r="X2115" t="str">
        <f>IF(W2115="","",LOOKUP(_xlfn.CONCAT(P2115,", ",Q2115),'[1]T+S Costs'!$F$2:$F$3138,'[1]T+S Costs'!$N$2:$N$3138))</f>
        <v/>
      </c>
      <c r="Y2115" s="14" t="str">
        <f t="shared" ref="Y2115:Y2178" si="169">IF(X2115="","",((X2115*$B$60/$B$59)*$C$44)/$C$28)</f>
        <v/>
      </c>
      <c r="Z2115" s="4" t="str">
        <f t="shared" ref="Z2115:Z2178" si="170">IF(Y2115="","",W2115+Y2115)</f>
        <v/>
      </c>
    </row>
    <row r="2116" spans="16:26" x14ac:dyDescent="0.25">
      <c r="P2116" s="10" t="str">
        <f>IF('[1]All Data '!AZ2121="","",'[1]All Data '!AZ2121)</f>
        <v/>
      </c>
      <c r="Q2116" s="10" t="str">
        <f>IF('[1]All Data '!BB2121="","",'[1]All Data '!BB2121)</f>
        <v/>
      </c>
      <c r="R2116" s="10" t="str">
        <f>IF('[1]All Data '!BD2121="","",'[1]All Data '!BD2121)</f>
        <v/>
      </c>
      <c r="S2116" s="11" t="str">
        <f>IF(R2116="","",'[1]All Data '!BE2121)</f>
        <v/>
      </c>
      <c r="T2116" s="12" t="str">
        <f>IF(S2116="","",[1]Inputs_Outputs!$B$8*(1-'LOCH Calc COE Calc'!S2116))</f>
        <v/>
      </c>
      <c r="U2116" s="13" t="str">
        <f t="shared" si="166"/>
        <v/>
      </c>
      <c r="V2116" s="13" t="str">
        <f t="shared" si="167"/>
        <v/>
      </c>
      <c r="W2116" s="4" t="str">
        <f t="shared" si="168"/>
        <v/>
      </c>
      <c r="X2116" t="str">
        <f>IF(W2116="","",LOOKUP(_xlfn.CONCAT(P2116,", ",Q2116),'[1]T+S Costs'!$F$2:$F$3138,'[1]T+S Costs'!$N$2:$N$3138))</f>
        <v/>
      </c>
      <c r="Y2116" s="14" t="str">
        <f t="shared" si="169"/>
        <v/>
      </c>
      <c r="Z2116" s="4" t="str">
        <f t="shared" si="170"/>
        <v/>
      </c>
    </row>
    <row r="2117" spans="16:26" x14ac:dyDescent="0.25">
      <c r="P2117" s="10" t="str">
        <f>IF('[1]All Data '!AZ2122="","",'[1]All Data '!AZ2122)</f>
        <v/>
      </c>
      <c r="Q2117" s="10" t="str">
        <f>IF('[1]All Data '!BB2122="","",'[1]All Data '!BB2122)</f>
        <v/>
      </c>
      <c r="R2117" s="10" t="str">
        <f>IF('[1]All Data '!BD2122="","",'[1]All Data '!BD2122)</f>
        <v/>
      </c>
      <c r="S2117" s="11" t="str">
        <f>IF(R2117="","",'[1]All Data '!BE2122)</f>
        <v/>
      </c>
      <c r="T2117" s="12" t="str">
        <f>IF(S2117="","",[1]Inputs_Outputs!$B$8*(1-'LOCH Calc COE Calc'!S2117))</f>
        <v/>
      </c>
      <c r="U2117" s="13" t="str">
        <f t="shared" si="166"/>
        <v/>
      </c>
      <c r="V2117" s="13" t="str">
        <f t="shared" si="167"/>
        <v/>
      </c>
      <c r="W2117" s="4" t="str">
        <f t="shared" si="168"/>
        <v/>
      </c>
      <c r="X2117" t="str">
        <f>IF(W2117="","",LOOKUP(_xlfn.CONCAT(P2117,", ",Q2117),'[1]T+S Costs'!$F$2:$F$3138,'[1]T+S Costs'!$N$2:$N$3138))</f>
        <v/>
      </c>
      <c r="Y2117" s="14" t="str">
        <f t="shared" si="169"/>
        <v/>
      </c>
      <c r="Z2117" s="4" t="str">
        <f t="shared" si="170"/>
        <v/>
      </c>
    </row>
    <row r="2118" spans="16:26" x14ac:dyDescent="0.25">
      <c r="P2118" s="10" t="str">
        <f>IF('[1]All Data '!AZ2123="","",'[1]All Data '!AZ2123)</f>
        <v/>
      </c>
      <c r="Q2118" s="10" t="str">
        <f>IF('[1]All Data '!BB2123="","",'[1]All Data '!BB2123)</f>
        <v/>
      </c>
      <c r="R2118" s="10" t="str">
        <f>IF('[1]All Data '!BD2123="","",'[1]All Data '!BD2123)</f>
        <v/>
      </c>
      <c r="S2118" s="11" t="str">
        <f>IF(R2118="","",'[1]All Data '!BE2123)</f>
        <v/>
      </c>
      <c r="T2118" s="12" t="str">
        <f>IF(S2118="","",[1]Inputs_Outputs!$B$8*(1-'LOCH Calc COE Calc'!S2118))</f>
        <v/>
      </c>
      <c r="U2118" s="13" t="str">
        <f t="shared" si="166"/>
        <v/>
      </c>
      <c r="V2118" s="13" t="str">
        <f t="shared" si="167"/>
        <v/>
      </c>
      <c r="W2118" s="4" t="str">
        <f t="shared" si="168"/>
        <v/>
      </c>
      <c r="X2118" t="str">
        <f>IF(W2118="","",LOOKUP(_xlfn.CONCAT(P2118,", ",Q2118),'[1]T+S Costs'!$F$2:$F$3138,'[1]T+S Costs'!$N$2:$N$3138))</f>
        <v/>
      </c>
      <c r="Y2118" s="14" t="str">
        <f t="shared" si="169"/>
        <v/>
      </c>
      <c r="Z2118" s="4" t="str">
        <f t="shared" si="170"/>
        <v/>
      </c>
    </row>
    <row r="2119" spans="16:26" x14ac:dyDescent="0.25">
      <c r="P2119" s="10" t="str">
        <f>IF('[1]All Data '!AZ2124="","",'[1]All Data '!AZ2124)</f>
        <v/>
      </c>
      <c r="Q2119" s="10" t="str">
        <f>IF('[1]All Data '!BB2124="","",'[1]All Data '!BB2124)</f>
        <v/>
      </c>
      <c r="R2119" s="10" t="str">
        <f>IF('[1]All Data '!BD2124="","",'[1]All Data '!BD2124)</f>
        <v/>
      </c>
      <c r="S2119" s="11" t="str">
        <f>IF(R2119="","",'[1]All Data '!BE2124)</f>
        <v/>
      </c>
      <c r="T2119" s="12" t="str">
        <f>IF(S2119="","",[1]Inputs_Outputs!$B$8*(1-'LOCH Calc COE Calc'!S2119))</f>
        <v/>
      </c>
      <c r="U2119" s="13" t="str">
        <f t="shared" si="166"/>
        <v/>
      </c>
      <c r="V2119" s="13" t="str">
        <f t="shared" si="167"/>
        <v/>
      </c>
      <c r="W2119" s="4" t="str">
        <f t="shared" si="168"/>
        <v/>
      </c>
      <c r="X2119" t="str">
        <f>IF(W2119="","",LOOKUP(_xlfn.CONCAT(P2119,", ",Q2119),'[1]T+S Costs'!$F$2:$F$3138,'[1]T+S Costs'!$N$2:$N$3138))</f>
        <v/>
      </c>
      <c r="Y2119" s="14" t="str">
        <f t="shared" si="169"/>
        <v/>
      </c>
      <c r="Z2119" s="4" t="str">
        <f t="shared" si="170"/>
        <v/>
      </c>
    </row>
    <row r="2120" spans="16:26" x14ac:dyDescent="0.25">
      <c r="P2120" s="10" t="str">
        <f>IF('[1]All Data '!AZ2125="","",'[1]All Data '!AZ2125)</f>
        <v/>
      </c>
      <c r="Q2120" s="10" t="str">
        <f>IF('[1]All Data '!BB2125="","",'[1]All Data '!BB2125)</f>
        <v/>
      </c>
      <c r="R2120" s="10" t="str">
        <f>IF('[1]All Data '!BD2125="","",'[1]All Data '!BD2125)</f>
        <v/>
      </c>
      <c r="S2120" s="11" t="str">
        <f>IF(R2120="","",'[1]All Data '!BE2125)</f>
        <v/>
      </c>
      <c r="T2120" s="12" t="str">
        <f>IF(S2120="","",[1]Inputs_Outputs!$B$8*(1-'LOCH Calc COE Calc'!S2120))</f>
        <v/>
      </c>
      <c r="U2120" s="13" t="str">
        <f t="shared" si="166"/>
        <v/>
      </c>
      <c r="V2120" s="13" t="str">
        <f t="shared" si="167"/>
        <v/>
      </c>
      <c r="W2120" s="4" t="str">
        <f t="shared" si="168"/>
        <v/>
      </c>
      <c r="X2120" t="str">
        <f>IF(W2120="","",LOOKUP(_xlfn.CONCAT(P2120,", ",Q2120),'[1]T+S Costs'!$F$2:$F$3138,'[1]T+S Costs'!$N$2:$N$3138))</f>
        <v/>
      </c>
      <c r="Y2120" s="14" t="str">
        <f t="shared" si="169"/>
        <v/>
      </c>
      <c r="Z2120" s="4" t="str">
        <f t="shared" si="170"/>
        <v/>
      </c>
    </row>
    <row r="2121" spans="16:26" x14ac:dyDescent="0.25">
      <c r="P2121" s="10" t="str">
        <f>IF('[1]All Data '!AZ2126="","",'[1]All Data '!AZ2126)</f>
        <v/>
      </c>
      <c r="Q2121" s="10" t="str">
        <f>IF('[1]All Data '!BB2126="","",'[1]All Data '!BB2126)</f>
        <v/>
      </c>
      <c r="R2121" s="10" t="str">
        <f>IF('[1]All Data '!BD2126="","",'[1]All Data '!BD2126)</f>
        <v/>
      </c>
      <c r="S2121" s="11" t="str">
        <f>IF(R2121="","",'[1]All Data '!BE2126)</f>
        <v/>
      </c>
      <c r="T2121" s="12" t="str">
        <f>IF(S2121="","",[1]Inputs_Outputs!$B$8*(1-'LOCH Calc COE Calc'!S2121))</f>
        <v/>
      </c>
      <c r="U2121" s="13" t="str">
        <f t="shared" si="166"/>
        <v/>
      </c>
      <c r="V2121" s="13" t="str">
        <f t="shared" si="167"/>
        <v/>
      </c>
      <c r="W2121" s="4" t="str">
        <f t="shared" si="168"/>
        <v/>
      </c>
      <c r="X2121" t="str">
        <f>IF(W2121="","",LOOKUP(_xlfn.CONCAT(P2121,", ",Q2121),'[1]T+S Costs'!$F$2:$F$3138,'[1]T+S Costs'!$N$2:$N$3138))</f>
        <v/>
      </c>
      <c r="Y2121" s="14" t="str">
        <f t="shared" si="169"/>
        <v/>
      </c>
      <c r="Z2121" s="4" t="str">
        <f t="shared" si="170"/>
        <v/>
      </c>
    </row>
    <row r="2122" spans="16:26" x14ac:dyDescent="0.25">
      <c r="P2122" s="10" t="str">
        <f>IF('[1]All Data '!AZ2127="","",'[1]All Data '!AZ2127)</f>
        <v/>
      </c>
      <c r="Q2122" s="10" t="str">
        <f>IF('[1]All Data '!BB2127="","",'[1]All Data '!BB2127)</f>
        <v/>
      </c>
      <c r="R2122" s="10" t="str">
        <f>IF('[1]All Data '!BD2127="","",'[1]All Data '!BD2127)</f>
        <v/>
      </c>
      <c r="S2122" s="11" t="str">
        <f>IF(R2122="","",'[1]All Data '!BE2127)</f>
        <v/>
      </c>
      <c r="T2122" s="12" t="str">
        <f>IF(S2122="","",[1]Inputs_Outputs!$B$8*(1-'LOCH Calc COE Calc'!S2122))</f>
        <v/>
      </c>
      <c r="U2122" s="13" t="str">
        <f t="shared" si="166"/>
        <v/>
      </c>
      <c r="V2122" s="13" t="str">
        <f t="shared" si="167"/>
        <v/>
      </c>
      <c r="W2122" s="4" t="str">
        <f t="shared" si="168"/>
        <v/>
      </c>
      <c r="X2122" t="str">
        <f>IF(W2122="","",LOOKUP(_xlfn.CONCAT(P2122,", ",Q2122),'[1]T+S Costs'!$F$2:$F$3138,'[1]T+S Costs'!$N$2:$N$3138))</f>
        <v/>
      </c>
      <c r="Y2122" s="14" t="str">
        <f t="shared" si="169"/>
        <v/>
      </c>
      <c r="Z2122" s="4" t="str">
        <f t="shared" si="170"/>
        <v/>
      </c>
    </row>
    <row r="2123" spans="16:26" x14ac:dyDescent="0.25">
      <c r="P2123" s="10" t="str">
        <f>IF('[1]All Data '!AZ2128="","",'[1]All Data '!AZ2128)</f>
        <v/>
      </c>
      <c r="Q2123" s="10" t="str">
        <f>IF('[1]All Data '!BB2128="","",'[1]All Data '!BB2128)</f>
        <v/>
      </c>
      <c r="R2123" s="10" t="str">
        <f>IF('[1]All Data '!BD2128="","",'[1]All Data '!BD2128)</f>
        <v/>
      </c>
      <c r="S2123" s="11" t="str">
        <f>IF(R2123="","",'[1]All Data '!BE2128)</f>
        <v/>
      </c>
      <c r="T2123" s="12" t="str">
        <f>IF(S2123="","",[1]Inputs_Outputs!$B$8*(1-'LOCH Calc COE Calc'!S2123))</f>
        <v/>
      </c>
      <c r="U2123" s="13" t="str">
        <f t="shared" si="166"/>
        <v/>
      </c>
      <c r="V2123" s="13" t="str">
        <f t="shared" si="167"/>
        <v/>
      </c>
      <c r="W2123" s="4" t="str">
        <f t="shared" si="168"/>
        <v/>
      </c>
      <c r="X2123" t="str">
        <f>IF(W2123="","",LOOKUP(_xlfn.CONCAT(P2123,", ",Q2123),'[1]T+S Costs'!$F$2:$F$3138,'[1]T+S Costs'!$N$2:$N$3138))</f>
        <v/>
      </c>
      <c r="Y2123" s="14" t="str">
        <f t="shared" si="169"/>
        <v/>
      </c>
      <c r="Z2123" s="4" t="str">
        <f t="shared" si="170"/>
        <v/>
      </c>
    </row>
    <row r="2124" spans="16:26" x14ac:dyDescent="0.25">
      <c r="P2124" s="10" t="str">
        <f>IF('[1]All Data '!AZ2129="","",'[1]All Data '!AZ2129)</f>
        <v/>
      </c>
      <c r="Q2124" s="10" t="str">
        <f>IF('[1]All Data '!BB2129="","",'[1]All Data '!BB2129)</f>
        <v/>
      </c>
      <c r="R2124" s="10" t="str">
        <f>IF('[1]All Data '!BD2129="","",'[1]All Data '!BD2129)</f>
        <v/>
      </c>
      <c r="S2124" s="11" t="str">
        <f>IF(R2124="","",'[1]All Data '!BE2129)</f>
        <v/>
      </c>
      <c r="T2124" s="12" t="str">
        <f>IF(S2124="","",[1]Inputs_Outputs!$B$8*(1-'LOCH Calc COE Calc'!S2124))</f>
        <v/>
      </c>
      <c r="U2124" s="13" t="str">
        <f t="shared" si="166"/>
        <v/>
      </c>
      <c r="V2124" s="13" t="str">
        <f t="shared" si="167"/>
        <v/>
      </c>
      <c r="W2124" s="4" t="str">
        <f t="shared" si="168"/>
        <v/>
      </c>
      <c r="X2124" t="str">
        <f>IF(W2124="","",LOOKUP(_xlfn.CONCAT(P2124,", ",Q2124),'[1]T+S Costs'!$F$2:$F$3138,'[1]T+S Costs'!$N$2:$N$3138))</f>
        <v/>
      </c>
      <c r="Y2124" s="14" t="str">
        <f t="shared" si="169"/>
        <v/>
      </c>
      <c r="Z2124" s="4" t="str">
        <f t="shared" si="170"/>
        <v/>
      </c>
    </row>
    <row r="2125" spans="16:26" x14ac:dyDescent="0.25">
      <c r="P2125" s="10" t="str">
        <f>IF('[1]All Data '!AZ2130="","",'[1]All Data '!AZ2130)</f>
        <v/>
      </c>
      <c r="Q2125" s="10" t="str">
        <f>IF('[1]All Data '!BB2130="","",'[1]All Data '!BB2130)</f>
        <v/>
      </c>
      <c r="R2125" s="10" t="str">
        <f>IF('[1]All Data '!BD2130="","",'[1]All Data '!BD2130)</f>
        <v/>
      </c>
      <c r="S2125" s="11" t="str">
        <f>IF(R2125="","",'[1]All Data '!BE2130)</f>
        <v/>
      </c>
      <c r="T2125" s="12" t="str">
        <f>IF(S2125="","",[1]Inputs_Outputs!$B$8*(1-'LOCH Calc COE Calc'!S2125))</f>
        <v/>
      </c>
      <c r="U2125" s="13" t="str">
        <f t="shared" si="166"/>
        <v/>
      </c>
      <c r="V2125" s="13" t="str">
        <f t="shared" si="167"/>
        <v/>
      </c>
      <c r="W2125" s="4" t="str">
        <f t="shared" si="168"/>
        <v/>
      </c>
      <c r="X2125" t="str">
        <f>IF(W2125="","",LOOKUP(_xlfn.CONCAT(P2125,", ",Q2125),'[1]T+S Costs'!$F$2:$F$3138,'[1]T+S Costs'!$N$2:$N$3138))</f>
        <v/>
      </c>
      <c r="Y2125" s="14" t="str">
        <f t="shared" si="169"/>
        <v/>
      </c>
      <c r="Z2125" s="4" t="str">
        <f t="shared" si="170"/>
        <v/>
      </c>
    </row>
    <row r="2126" spans="16:26" x14ac:dyDescent="0.25">
      <c r="P2126" s="10" t="str">
        <f>IF('[1]All Data '!AZ2131="","",'[1]All Data '!AZ2131)</f>
        <v/>
      </c>
      <c r="Q2126" s="10" t="str">
        <f>IF('[1]All Data '!BB2131="","",'[1]All Data '!BB2131)</f>
        <v/>
      </c>
      <c r="R2126" s="10" t="str">
        <f>IF('[1]All Data '!BD2131="","",'[1]All Data '!BD2131)</f>
        <v/>
      </c>
      <c r="S2126" s="11" t="str">
        <f>IF(R2126="","",'[1]All Data '!BE2131)</f>
        <v/>
      </c>
      <c r="T2126" s="12" t="str">
        <f>IF(S2126="","",[1]Inputs_Outputs!$B$8*(1-'LOCH Calc COE Calc'!S2126))</f>
        <v/>
      </c>
      <c r="U2126" s="13" t="str">
        <f t="shared" si="166"/>
        <v/>
      </c>
      <c r="V2126" s="13" t="str">
        <f t="shared" si="167"/>
        <v/>
      </c>
      <c r="W2126" s="4" t="str">
        <f t="shared" si="168"/>
        <v/>
      </c>
      <c r="X2126" t="str">
        <f>IF(W2126="","",LOOKUP(_xlfn.CONCAT(P2126,", ",Q2126),'[1]T+S Costs'!$F$2:$F$3138,'[1]T+S Costs'!$N$2:$N$3138))</f>
        <v/>
      </c>
      <c r="Y2126" s="14" t="str">
        <f t="shared" si="169"/>
        <v/>
      </c>
      <c r="Z2126" s="4" t="str">
        <f t="shared" si="170"/>
        <v/>
      </c>
    </row>
    <row r="2127" spans="16:26" x14ac:dyDescent="0.25">
      <c r="P2127" s="10" t="str">
        <f>IF('[1]All Data '!AZ2132="","",'[1]All Data '!AZ2132)</f>
        <v/>
      </c>
      <c r="Q2127" s="10" t="str">
        <f>IF('[1]All Data '!BB2132="","",'[1]All Data '!BB2132)</f>
        <v/>
      </c>
      <c r="R2127" s="10" t="str">
        <f>IF('[1]All Data '!BD2132="","",'[1]All Data '!BD2132)</f>
        <v/>
      </c>
      <c r="S2127" s="11" t="str">
        <f>IF(R2127="","",'[1]All Data '!BE2132)</f>
        <v/>
      </c>
      <c r="T2127" s="12" t="str">
        <f>IF(S2127="","",[1]Inputs_Outputs!$B$8*(1-'LOCH Calc COE Calc'!S2127))</f>
        <v/>
      </c>
      <c r="U2127" s="13" t="str">
        <f t="shared" si="166"/>
        <v/>
      </c>
      <c r="V2127" s="13" t="str">
        <f t="shared" si="167"/>
        <v/>
      </c>
      <c r="W2127" s="4" t="str">
        <f t="shared" si="168"/>
        <v/>
      </c>
      <c r="X2127" t="str">
        <f>IF(W2127="","",LOOKUP(_xlfn.CONCAT(P2127,", ",Q2127),'[1]T+S Costs'!$F$2:$F$3138,'[1]T+S Costs'!$N$2:$N$3138))</f>
        <v/>
      </c>
      <c r="Y2127" s="14" t="str">
        <f t="shared" si="169"/>
        <v/>
      </c>
      <c r="Z2127" s="4" t="str">
        <f t="shared" si="170"/>
        <v/>
      </c>
    </row>
    <row r="2128" spans="16:26" x14ac:dyDescent="0.25">
      <c r="P2128" s="10" t="str">
        <f>IF('[1]All Data '!AZ2133="","",'[1]All Data '!AZ2133)</f>
        <v/>
      </c>
      <c r="Q2128" s="10" t="str">
        <f>IF('[1]All Data '!BB2133="","",'[1]All Data '!BB2133)</f>
        <v/>
      </c>
      <c r="R2128" s="10" t="str">
        <f>IF('[1]All Data '!BD2133="","",'[1]All Data '!BD2133)</f>
        <v/>
      </c>
      <c r="S2128" s="11" t="str">
        <f>IF(R2128="","",'[1]All Data '!BE2133)</f>
        <v/>
      </c>
      <c r="T2128" s="12" t="str">
        <f>IF(S2128="","",[1]Inputs_Outputs!$B$8*(1-'LOCH Calc COE Calc'!S2128))</f>
        <v/>
      </c>
      <c r="U2128" s="13" t="str">
        <f t="shared" si="166"/>
        <v/>
      </c>
      <c r="V2128" s="13" t="str">
        <f t="shared" si="167"/>
        <v/>
      </c>
      <c r="W2128" s="4" t="str">
        <f t="shared" si="168"/>
        <v/>
      </c>
      <c r="X2128" t="str">
        <f>IF(W2128="","",LOOKUP(_xlfn.CONCAT(P2128,", ",Q2128),'[1]T+S Costs'!$F$2:$F$3138,'[1]T+S Costs'!$N$2:$N$3138))</f>
        <v/>
      </c>
      <c r="Y2128" s="14" t="str">
        <f t="shared" si="169"/>
        <v/>
      </c>
      <c r="Z2128" s="4" t="str">
        <f t="shared" si="170"/>
        <v/>
      </c>
    </row>
    <row r="2129" spans="16:26" x14ac:dyDescent="0.25">
      <c r="P2129" s="10" t="str">
        <f>IF('[1]All Data '!AZ2134="","",'[1]All Data '!AZ2134)</f>
        <v/>
      </c>
      <c r="Q2129" s="10" t="str">
        <f>IF('[1]All Data '!BB2134="","",'[1]All Data '!BB2134)</f>
        <v/>
      </c>
      <c r="R2129" s="10" t="str">
        <f>IF('[1]All Data '!BD2134="","",'[1]All Data '!BD2134)</f>
        <v/>
      </c>
      <c r="S2129" s="11" t="str">
        <f>IF(R2129="","",'[1]All Data '!BE2134)</f>
        <v/>
      </c>
      <c r="T2129" s="12" t="str">
        <f>IF(S2129="","",[1]Inputs_Outputs!$B$8*(1-'LOCH Calc COE Calc'!S2129))</f>
        <v/>
      </c>
      <c r="U2129" s="13" t="str">
        <f t="shared" si="166"/>
        <v/>
      </c>
      <c r="V2129" s="13" t="str">
        <f t="shared" si="167"/>
        <v/>
      </c>
      <c r="W2129" s="4" t="str">
        <f t="shared" si="168"/>
        <v/>
      </c>
      <c r="X2129" t="str">
        <f>IF(W2129="","",LOOKUP(_xlfn.CONCAT(P2129,", ",Q2129),'[1]T+S Costs'!$F$2:$F$3138,'[1]T+S Costs'!$N$2:$N$3138))</f>
        <v/>
      </c>
      <c r="Y2129" s="14" t="str">
        <f t="shared" si="169"/>
        <v/>
      </c>
      <c r="Z2129" s="4" t="str">
        <f t="shared" si="170"/>
        <v/>
      </c>
    </row>
    <row r="2130" spans="16:26" x14ac:dyDescent="0.25">
      <c r="P2130" s="10" t="str">
        <f>IF('[1]All Data '!AZ2135="","",'[1]All Data '!AZ2135)</f>
        <v/>
      </c>
      <c r="Q2130" s="10" t="str">
        <f>IF('[1]All Data '!BB2135="","",'[1]All Data '!BB2135)</f>
        <v/>
      </c>
      <c r="R2130" s="10" t="str">
        <f>IF('[1]All Data '!BD2135="","",'[1]All Data '!BD2135)</f>
        <v/>
      </c>
      <c r="S2130" s="11" t="str">
        <f>IF(R2130="","",'[1]All Data '!BE2135)</f>
        <v/>
      </c>
      <c r="T2130" s="12" t="str">
        <f>IF(S2130="","",[1]Inputs_Outputs!$B$8*(1-'LOCH Calc COE Calc'!S2130))</f>
        <v/>
      </c>
      <c r="U2130" s="13" t="str">
        <f t="shared" si="166"/>
        <v/>
      </c>
      <c r="V2130" s="13" t="str">
        <f t="shared" si="167"/>
        <v/>
      </c>
      <c r="W2130" s="4" t="str">
        <f t="shared" si="168"/>
        <v/>
      </c>
      <c r="X2130" t="str">
        <f>IF(W2130="","",LOOKUP(_xlfn.CONCAT(P2130,", ",Q2130),'[1]T+S Costs'!$F$2:$F$3138,'[1]T+S Costs'!$N$2:$N$3138))</f>
        <v/>
      </c>
      <c r="Y2130" s="14" t="str">
        <f t="shared" si="169"/>
        <v/>
      </c>
      <c r="Z2130" s="4" t="str">
        <f t="shared" si="170"/>
        <v/>
      </c>
    </row>
    <row r="2131" spans="16:26" x14ac:dyDescent="0.25">
      <c r="P2131" s="10" t="str">
        <f>IF('[1]All Data '!AZ2136="","",'[1]All Data '!AZ2136)</f>
        <v/>
      </c>
      <c r="Q2131" s="10" t="str">
        <f>IF('[1]All Data '!BB2136="","",'[1]All Data '!BB2136)</f>
        <v/>
      </c>
      <c r="R2131" s="10" t="str">
        <f>IF('[1]All Data '!BD2136="","",'[1]All Data '!BD2136)</f>
        <v/>
      </c>
      <c r="S2131" s="11" t="str">
        <f>IF(R2131="","",'[1]All Data '!BE2136)</f>
        <v/>
      </c>
      <c r="T2131" s="12" t="str">
        <f>IF(S2131="","",[1]Inputs_Outputs!$B$8*(1-'LOCH Calc COE Calc'!S2131))</f>
        <v/>
      </c>
      <c r="U2131" s="13" t="str">
        <f t="shared" si="166"/>
        <v/>
      </c>
      <c r="V2131" s="13" t="str">
        <f t="shared" si="167"/>
        <v/>
      </c>
      <c r="W2131" s="4" t="str">
        <f t="shared" si="168"/>
        <v/>
      </c>
      <c r="X2131" t="str">
        <f>IF(W2131="","",LOOKUP(_xlfn.CONCAT(P2131,", ",Q2131),'[1]T+S Costs'!$F$2:$F$3138,'[1]T+S Costs'!$N$2:$N$3138))</f>
        <v/>
      </c>
      <c r="Y2131" s="14" t="str">
        <f t="shared" si="169"/>
        <v/>
      </c>
      <c r="Z2131" s="4" t="str">
        <f t="shared" si="170"/>
        <v/>
      </c>
    </row>
    <row r="2132" spans="16:26" x14ac:dyDescent="0.25">
      <c r="P2132" s="10" t="str">
        <f>IF('[1]All Data '!AZ2137="","",'[1]All Data '!AZ2137)</f>
        <v/>
      </c>
      <c r="Q2132" s="10" t="str">
        <f>IF('[1]All Data '!BB2137="","",'[1]All Data '!BB2137)</f>
        <v/>
      </c>
      <c r="R2132" s="10" t="str">
        <f>IF('[1]All Data '!BD2137="","",'[1]All Data '!BD2137)</f>
        <v/>
      </c>
      <c r="S2132" s="11" t="str">
        <f>IF(R2132="","",'[1]All Data '!BE2137)</f>
        <v/>
      </c>
      <c r="T2132" s="12" t="str">
        <f>IF(S2132="","",[1]Inputs_Outputs!$B$8*(1-'LOCH Calc COE Calc'!S2132))</f>
        <v/>
      </c>
      <c r="U2132" s="13" t="str">
        <f t="shared" si="166"/>
        <v/>
      </c>
      <c r="V2132" s="13" t="str">
        <f t="shared" si="167"/>
        <v/>
      </c>
      <c r="W2132" s="4" t="str">
        <f t="shared" si="168"/>
        <v/>
      </c>
      <c r="X2132" t="str">
        <f>IF(W2132="","",LOOKUP(_xlfn.CONCAT(P2132,", ",Q2132),'[1]T+S Costs'!$F$2:$F$3138,'[1]T+S Costs'!$N$2:$N$3138))</f>
        <v/>
      </c>
      <c r="Y2132" s="14" t="str">
        <f t="shared" si="169"/>
        <v/>
      </c>
      <c r="Z2132" s="4" t="str">
        <f t="shared" si="170"/>
        <v/>
      </c>
    </row>
    <row r="2133" spans="16:26" x14ac:dyDescent="0.25">
      <c r="P2133" s="10" t="str">
        <f>IF('[1]All Data '!AZ2138="","",'[1]All Data '!AZ2138)</f>
        <v/>
      </c>
      <c r="Q2133" s="10" t="str">
        <f>IF('[1]All Data '!BB2138="","",'[1]All Data '!BB2138)</f>
        <v/>
      </c>
      <c r="R2133" s="10" t="str">
        <f>IF('[1]All Data '!BD2138="","",'[1]All Data '!BD2138)</f>
        <v/>
      </c>
      <c r="S2133" s="11" t="str">
        <f>IF(R2133="","",'[1]All Data '!BE2138)</f>
        <v/>
      </c>
      <c r="T2133" s="12" t="str">
        <f>IF(S2133="","",[1]Inputs_Outputs!$B$8*(1-'LOCH Calc COE Calc'!S2133))</f>
        <v/>
      </c>
      <c r="U2133" s="13" t="str">
        <f t="shared" si="166"/>
        <v/>
      </c>
      <c r="V2133" s="13" t="str">
        <f t="shared" si="167"/>
        <v/>
      </c>
      <c r="W2133" s="4" t="str">
        <f t="shared" si="168"/>
        <v/>
      </c>
      <c r="X2133" t="str">
        <f>IF(W2133="","",LOOKUP(_xlfn.CONCAT(P2133,", ",Q2133),'[1]T+S Costs'!$F$2:$F$3138,'[1]T+S Costs'!$N$2:$N$3138))</f>
        <v/>
      </c>
      <c r="Y2133" s="14" t="str">
        <f t="shared" si="169"/>
        <v/>
      </c>
      <c r="Z2133" s="4" t="str">
        <f t="shared" si="170"/>
        <v/>
      </c>
    </row>
    <row r="2134" spans="16:26" x14ac:dyDescent="0.25">
      <c r="P2134" s="10" t="str">
        <f>IF('[1]All Data '!AZ2139="","",'[1]All Data '!AZ2139)</f>
        <v/>
      </c>
      <c r="Q2134" s="10" t="str">
        <f>IF('[1]All Data '!BB2139="","",'[1]All Data '!BB2139)</f>
        <v/>
      </c>
      <c r="R2134" s="10" t="str">
        <f>IF('[1]All Data '!BD2139="","",'[1]All Data '!BD2139)</f>
        <v/>
      </c>
      <c r="S2134" s="11" t="str">
        <f>IF(R2134="","",'[1]All Data '!BE2139)</f>
        <v/>
      </c>
      <c r="T2134" s="12" t="str">
        <f>IF(S2134="","",[1]Inputs_Outputs!$B$8*(1-'LOCH Calc COE Calc'!S2134))</f>
        <v/>
      </c>
      <c r="U2134" s="13" t="str">
        <f t="shared" si="166"/>
        <v/>
      </c>
      <c r="V2134" s="13" t="str">
        <f t="shared" si="167"/>
        <v/>
      </c>
      <c r="W2134" s="4" t="str">
        <f t="shared" si="168"/>
        <v/>
      </c>
      <c r="X2134" t="str">
        <f>IF(W2134="","",LOOKUP(_xlfn.CONCAT(P2134,", ",Q2134),'[1]T+S Costs'!$F$2:$F$3138,'[1]T+S Costs'!$N$2:$N$3138))</f>
        <v/>
      </c>
      <c r="Y2134" s="14" t="str">
        <f t="shared" si="169"/>
        <v/>
      </c>
      <c r="Z2134" s="4" t="str">
        <f t="shared" si="170"/>
        <v/>
      </c>
    </row>
    <row r="2135" spans="16:26" x14ac:dyDescent="0.25">
      <c r="P2135" s="10" t="str">
        <f>IF('[1]All Data '!AZ2140="","",'[1]All Data '!AZ2140)</f>
        <v/>
      </c>
      <c r="Q2135" s="10" t="str">
        <f>IF('[1]All Data '!BB2140="","",'[1]All Data '!BB2140)</f>
        <v/>
      </c>
      <c r="R2135" s="10" t="str">
        <f>IF('[1]All Data '!BD2140="","",'[1]All Data '!BD2140)</f>
        <v/>
      </c>
      <c r="S2135" s="11" t="str">
        <f>IF(R2135="","",'[1]All Data '!BE2140)</f>
        <v/>
      </c>
      <c r="T2135" s="12" t="str">
        <f>IF(S2135="","",[1]Inputs_Outputs!$B$8*(1-'LOCH Calc COE Calc'!S2135))</f>
        <v/>
      </c>
      <c r="U2135" s="13" t="str">
        <f t="shared" si="166"/>
        <v/>
      </c>
      <c r="V2135" s="13" t="str">
        <f t="shared" si="167"/>
        <v/>
      </c>
      <c r="W2135" s="4" t="str">
        <f t="shared" si="168"/>
        <v/>
      </c>
      <c r="X2135" t="str">
        <f>IF(W2135="","",LOOKUP(_xlfn.CONCAT(P2135,", ",Q2135),'[1]T+S Costs'!$F$2:$F$3138,'[1]T+S Costs'!$N$2:$N$3138))</f>
        <v/>
      </c>
      <c r="Y2135" s="14" t="str">
        <f t="shared" si="169"/>
        <v/>
      </c>
      <c r="Z2135" s="4" t="str">
        <f t="shared" si="170"/>
        <v/>
      </c>
    </row>
    <row r="2136" spans="16:26" x14ac:dyDescent="0.25">
      <c r="P2136" s="10" t="str">
        <f>IF('[1]All Data '!AZ2141="","",'[1]All Data '!AZ2141)</f>
        <v/>
      </c>
      <c r="Q2136" s="10" t="str">
        <f>IF('[1]All Data '!BB2141="","",'[1]All Data '!BB2141)</f>
        <v/>
      </c>
      <c r="R2136" s="10" t="str">
        <f>IF('[1]All Data '!BD2141="","",'[1]All Data '!BD2141)</f>
        <v/>
      </c>
      <c r="S2136" s="11" t="str">
        <f>IF(R2136="","",'[1]All Data '!BE2141)</f>
        <v/>
      </c>
      <c r="T2136" s="12" t="str">
        <f>IF(S2136="","",[1]Inputs_Outputs!$B$8*(1-'LOCH Calc COE Calc'!S2136))</f>
        <v/>
      </c>
      <c r="U2136" s="13" t="str">
        <f t="shared" si="166"/>
        <v/>
      </c>
      <c r="V2136" s="13" t="str">
        <f t="shared" si="167"/>
        <v/>
      </c>
      <c r="W2136" s="4" t="str">
        <f t="shared" si="168"/>
        <v/>
      </c>
      <c r="X2136" t="str">
        <f>IF(W2136="","",LOOKUP(_xlfn.CONCAT(P2136,", ",Q2136),'[1]T+S Costs'!$F$2:$F$3138,'[1]T+S Costs'!$N$2:$N$3138))</f>
        <v/>
      </c>
      <c r="Y2136" s="14" t="str">
        <f t="shared" si="169"/>
        <v/>
      </c>
      <c r="Z2136" s="4" t="str">
        <f t="shared" si="170"/>
        <v/>
      </c>
    </row>
    <row r="2137" spans="16:26" x14ac:dyDescent="0.25">
      <c r="P2137" s="10" t="str">
        <f>IF('[1]All Data '!AZ2142="","",'[1]All Data '!AZ2142)</f>
        <v/>
      </c>
      <c r="Q2137" s="10" t="str">
        <f>IF('[1]All Data '!BB2142="","",'[1]All Data '!BB2142)</f>
        <v/>
      </c>
      <c r="R2137" s="10" t="str">
        <f>IF('[1]All Data '!BD2142="","",'[1]All Data '!BD2142)</f>
        <v/>
      </c>
      <c r="S2137" s="11" t="str">
        <f>IF(R2137="","",'[1]All Data '!BE2142)</f>
        <v/>
      </c>
      <c r="T2137" s="12" t="str">
        <f>IF(S2137="","",[1]Inputs_Outputs!$B$8*(1-'LOCH Calc COE Calc'!S2137))</f>
        <v/>
      </c>
      <c r="U2137" s="13" t="str">
        <f t="shared" si="166"/>
        <v/>
      </c>
      <c r="V2137" s="13" t="str">
        <f t="shared" si="167"/>
        <v/>
      </c>
      <c r="W2137" s="4" t="str">
        <f t="shared" si="168"/>
        <v/>
      </c>
      <c r="X2137" t="str">
        <f>IF(W2137="","",LOOKUP(_xlfn.CONCAT(P2137,", ",Q2137),'[1]T+S Costs'!$F$2:$F$3138,'[1]T+S Costs'!$N$2:$N$3138))</f>
        <v/>
      </c>
      <c r="Y2137" s="14" t="str">
        <f t="shared" si="169"/>
        <v/>
      </c>
      <c r="Z2137" s="4" t="str">
        <f t="shared" si="170"/>
        <v/>
      </c>
    </row>
    <row r="2138" spans="16:26" x14ac:dyDescent="0.25">
      <c r="P2138" s="10" t="str">
        <f>IF('[1]All Data '!AZ2143="","",'[1]All Data '!AZ2143)</f>
        <v/>
      </c>
      <c r="Q2138" s="10" t="str">
        <f>IF('[1]All Data '!BB2143="","",'[1]All Data '!BB2143)</f>
        <v/>
      </c>
      <c r="R2138" s="10" t="str">
        <f>IF('[1]All Data '!BD2143="","",'[1]All Data '!BD2143)</f>
        <v/>
      </c>
      <c r="S2138" s="11" t="str">
        <f>IF(R2138="","",'[1]All Data '!BE2143)</f>
        <v/>
      </c>
      <c r="T2138" s="12" t="str">
        <f>IF(S2138="","",[1]Inputs_Outputs!$B$8*(1-'LOCH Calc COE Calc'!S2138))</f>
        <v/>
      </c>
      <c r="U2138" s="13" t="str">
        <f t="shared" si="166"/>
        <v/>
      </c>
      <c r="V2138" s="13" t="str">
        <f t="shared" si="167"/>
        <v/>
      </c>
      <c r="W2138" s="4" t="str">
        <f t="shared" si="168"/>
        <v/>
      </c>
      <c r="X2138" t="str">
        <f>IF(W2138="","",LOOKUP(_xlfn.CONCAT(P2138,", ",Q2138),'[1]T+S Costs'!$F$2:$F$3138,'[1]T+S Costs'!$N$2:$N$3138))</f>
        <v/>
      </c>
      <c r="Y2138" s="14" t="str">
        <f t="shared" si="169"/>
        <v/>
      </c>
      <c r="Z2138" s="4" t="str">
        <f t="shared" si="170"/>
        <v/>
      </c>
    </row>
    <row r="2139" spans="16:26" x14ac:dyDescent="0.25">
      <c r="P2139" s="10" t="str">
        <f>IF('[1]All Data '!AZ2144="","",'[1]All Data '!AZ2144)</f>
        <v/>
      </c>
      <c r="Q2139" s="10" t="str">
        <f>IF('[1]All Data '!BB2144="","",'[1]All Data '!BB2144)</f>
        <v/>
      </c>
      <c r="R2139" s="10" t="str">
        <f>IF('[1]All Data '!BD2144="","",'[1]All Data '!BD2144)</f>
        <v/>
      </c>
      <c r="S2139" s="11" t="str">
        <f>IF(R2139="","",'[1]All Data '!BE2144)</f>
        <v/>
      </c>
      <c r="T2139" s="12" t="str">
        <f>IF(S2139="","",[1]Inputs_Outputs!$B$8*(1-'LOCH Calc COE Calc'!S2139))</f>
        <v/>
      </c>
      <c r="U2139" s="13" t="str">
        <f t="shared" si="166"/>
        <v/>
      </c>
      <c r="V2139" s="13" t="str">
        <f t="shared" si="167"/>
        <v/>
      </c>
      <c r="W2139" s="4" t="str">
        <f t="shared" si="168"/>
        <v/>
      </c>
      <c r="X2139" t="str">
        <f>IF(W2139="","",LOOKUP(_xlfn.CONCAT(P2139,", ",Q2139),'[1]T+S Costs'!$F$2:$F$3138,'[1]T+S Costs'!$N$2:$N$3138))</f>
        <v/>
      </c>
      <c r="Y2139" s="14" t="str">
        <f t="shared" si="169"/>
        <v/>
      </c>
      <c r="Z2139" s="4" t="str">
        <f t="shared" si="170"/>
        <v/>
      </c>
    </row>
    <row r="2140" spans="16:26" x14ac:dyDescent="0.25">
      <c r="P2140" s="10" t="str">
        <f>IF('[1]All Data '!AZ2145="","",'[1]All Data '!AZ2145)</f>
        <v/>
      </c>
      <c r="Q2140" s="10" t="str">
        <f>IF('[1]All Data '!BB2145="","",'[1]All Data '!BB2145)</f>
        <v/>
      </c>
      <c r="R2140" s="10" t="str">
        <f>IF('[1]All Data '!BD2145="","",'[1]All Data '!BD2145)</f>
        <v/>
      </c>
      <c r="S2140" s="11" t="str">
        <f>IF(R2140="","",'[1]All Data '!BE2145)</f>
        <v/>
      </c>
      <c r="T2140" s="12" t="str">
        <f>IF(S2140="","",[1]Inputs_Outputs!$B$8*(1-'LOCH Calc COE Calc'!S2140))</f>
        <v/>
      </c>
      <c r="U2140" s="13" t="str">
        <f t="shared" si="166"/>
        <v/>
      </c>
      <c r="V2140" s="13" t="str">
        <f t="shared" si="167"/>
        <v/>
      </c>
      <c r="W2140" s="4" t="str">
        <f t="shared" si="168"/>
        <v/>
      </c>
      <c r="X2140" t="str">
        <f>IF(W2140="","",LOOKUP(_xlfn.CONCAT(P2140,", ",Q2140),'[1]T+S Costs'!$F$2:$F$3138,'[1]T+S Costs'!$N$2:$N$3138))</f>
        <v/>
      </c>
      <c r="Y2140" s="14" t="str">
        <f t="shared" si="169"/>
        <v/>
      </c>
      <c r="Z2140" s="4" t="str">
        <f t="shared" si="170"/>
        <v/>
      </c>
    </row>
    <row r="2141" spans="16:26" x14ac:dyDescent="0.25">
      <c r="P2141" s="10" t="str">
        <f>IF('[1]All Data '!AZ2146="","",'[1]All Data '!AZ2146)</f>
        <v/>
      </c>
      <c r="Q2141" s="10" t="str">
        <f>IF('[1]All Data '!BB2146="","",'[1]All Data '!BB2146)</f>
        <v/>
      </c>
      <c r="R2141" s="10" t="str">
        <f>IF('[1]All Data '!BD2146="","",'[1]All Data '!BD2146)</f>
        <v/>
      </c>
      <c r="S2141" s="11" t="str">
        <f>IF(R2141="","",'[1]All Data '!BE2146)</f>
        <v/>
      </c>
      <c r="T2141" s="12" t="str">
        <f>IF(S2141="","",[1]Inputs_Outputs!$B$8*(1-'LOCH Calc COE Calc'!S2141))</f>
        <v/>
      </c>
      <c r="U2141" s="13" t="str">
        <f t="shared" si="166"/>
        <v/>
      </c>
      <c r="V2141" s="13" t="str">
        <f t="shared" si="167"/>
        <v/>
      </c>
      <c r="W2141" s="4" t="str">
        <f t="shared" si="168"/>
        <v/>
      </c>
      <c r="X2141" t="str">
        <f>IF(W2141="","",LOOKUP(_xlfn.CONCAT(P2141,", ",Q2141),'[1]T+S Costs'!$F$2:$F$3138,'[1]T+S Costs'!$N$2:$N$3138))</f>
        <v/>
      </c>
      <c r="Y2141" s="14" t="str">
        <f t="shared" si="169"/>
        <v/>
      </c>
      <c r="Z2141" s="4" t="str">
        <f t="shared" si="170"/>
        <v/>
      </c>
    </row>
    <row r="2142" spans="16:26" x14ac:dyDescent="0.25">
      <c r="P2142" s="10" t="str">
        <f>IF('[1]All Data '!AZ2147="","",'[1]All Data '!AZ2147)</f>
        <v/>
      </c>
      <c r="Q2142" s="10" t="str">
        <f>IF('[1]All Data '!BB2147="","",'[1]All Data '!BB2147)</f>
        <v/>
      </c>
      <c r="R2142" s="10" t="str">
        <f>IF('[1]All Data '!BD2147="","",'[1]All Data '!BD2147)</f>
        <v/>
      </c>
      <c r="S2142" s="11" t="str">
        <f>IF(R2142="","",'[1]All Data '!BE2147)</f>
        <v/>
      </c>
      <c r="T2142" s="12" t="str">
        <f>IF(S2142="","",[1]Inputs_Outputs!$B$8*(1-'LOCH Calc COE Calc'!S2142))</f>
        <v/>
      </c>
      <c r="U2142" s="13" t="str">
        <f t="shared" si="166"/>
        <v/>
      </c>
      <c r="V2142" s="13" t="str">
        <f t="shared" si="167"/>
        <v/>
      </c>
      <c r="W2142" s="4" t="str">
        <f t="shared" si="168"/>
        <v/>
      </c>
      <c r="X2142" t="str">
        <f>IF(W2142="","",LOOKUP(_xlfn.CONCAT(P2142,", ",Q2142),'[1]T+S Costs'!$F$2:$F$3138,'[1]T+S Costs'!$N$2:$N$3138))</f>
        <v/>
      </c>
      <c r="Y2142" s="14" t="str">
        <f t="shared" si="169"/>
        <v/>
      </c>
      <c r="Z2142" s="4" t="str">
        <f t="shared" si="170"/>
        <v/>
      </c>
    </row>
    <row r="2143" spans="16:26" x14ac:dyDescent="0.25">
      <c r="P2143" s="10" t="str">
        <f>IF('[1]All Data '!AZ2148="","",'[1]All Data '!AZ2148)</f>
        <v/>
      </c>
      <c r="Q2143" s="10" t="str">
        <f>IF('[1]All Data '!BB2148="","",'[1]All Data '!BB2148)</f>
        <v/>
      </c>
      <c r="R2143" s="10" t="str">
        <f>IF('[1]All Data '!BD2148="","",'[1]All Data '!BD2148)</f>
        <v/>
      </c>
      <c r="S2143" s="11" t="str">
        <f>IF(R2143="","",'[1]All Data '!BE2148)</f>
        <v/>
      </c>
      <c r="T2143" s="12" t="str">
        <f>IF(S2143="","",[1]Inputs_Outputs!$B$8*(1-'LOCH Calc COE Calc'!S2143))</f>
        <v/>
      </c>
      <c r="U2143" s="13" t="str">
        <f t="shared" si="166"/>
        <v/>
      </c>
      <c r="V2143" s="13" t="str">
        <f t="shared" si="167"/>
        <v/>
      </c>
      <c r="W2143" s="4" t="str">
        <f t="shared" si="168"/>
        <v/>
      </c>
      <c r="X2143" t="str">
        <f>IF(W2143="","",LOOKUP(_xlfn.CONCAT(P2143,", ",Q2143),'[1]T+S Costs'!$F$2:$F$3138,'[1]T+S Costs'!$N$2:$N$3138))</f>
        <v/>
      </c>
      <c r="Y2143" s="14" t="str">
        <f t="shared" si="169"/>
        <v/>
      </c>
      <c r="Z2143" s="4" t="str">
        <f t="shared" si="170"/>
        <v/>
      </c>
    </row>
    <row r="2144" spans="16:26" x14ac:dyDescent="0.25">
      <c r="P2144" s="10" t="str">
        <f>IF('[1]All Data '!AZ2149="","",'[1]All Data '!AZ2149)</f>
        <v/>
      </c>
      <c r="Q2144" s="10" t="str">
        <f>IF('[1]All Data '!BB2149="","",'[1]All Data '!BB2149)</f>
        <v/>
      </c>
      <c r="R2144" s="10" t="str">
        <f>IF('[1]All Data '!BD2149="","",'[1]All Data '!BD2149)</f>
        <v/>
      </c>
      <c r="S2144" s="11" t="str">
        <f>IF(R2144="","",'[1]All Data '!BE2149)</f>
        <v/>
      </c>
      <c r="T2144" s="12" t="str">
        <f>IF(S2144="","",[1]Inputs_Outputs!$B$8*(1-'LOCH Calc COE Calc'!S2144))</f>
        <v/>
      </c>
      <c r="U2144" s="13" t="str">
        <f t="shared" si="166"/>
        <v/>
      </c>
      <c r="V2144" s="13" t="str">
        <f t="shared" si="167"/>
        <v/>
      </c>
      <c r="W2144" s="4" t="str">
        <f t="shared" si="168"/>
        <v/>
      </c>
      <c r="X2144" t="str">
        <f>IF(W2144="","",LOOKUP(_xlfn.CONCAT(P2144,", ",Q2144),'[1]T+S Costs'!$F$2:$F$3138,'[1]T+S Costs'!$N$2:$N$3138))</f>
        <v/>
      </c>
      <c r="Y2144" s="14" t="str">
        <f t="shared" si="169"/>
        <v/>
      </c>
      <c r="Z2144" s="4" t="str">
        <f t="shared" si="170"/>
        <v/>
      </c>
    </row>
    <row r="2145" spans="16:26" x14ac:dyDescent="0.25">
      <c r="P2145" s="10" t="str">
        <f>IF('[1]All Data '!AZ2150="","",'[1]All Data '!AZ2150)</f>
        <v/>
      </c>
      <c r="Q2145" s="10" t="str">
        <f>IF('[1]All Data '!BB2150="","",'[1]All Data '!BB2150)</f>
        <v/>
      </c>
      <c r="R2145" s="10" t="str">
        <f>IF('[1]All Data '!BD2150="","",'[1]All Data '!BD2150)</f>
        <v/>
      </c>
      <c r="S2145" s="11" t="str">
        <f>IF(R2145="","",'[1]All Data '!BE2150)</f>
        <v/>
      </c>
      <c r="T2145" s="12" t="str">
        <f>IF(S2145="","",[1]Inputs_Outputs!$B$8*(1-'LOCH Calc COE Calc'!S2145))</f>
        <v/>
      </c>
      <c r="U2145" s="13" t="str">
        <f t="shared" si="166"/>
        <v/>
      </c>
      <c r="V2145" s="13" t="str">
        <f t="shared" si="167"/>
        <v/>
      </c>
      <c r="W2145" s="4" t="str">
        <f t="shared" si="168"/>
        <v/>
      </c>
      <c r="X2145" t="str">
        <f>IF(W2145="","",LOOKUP(_xlfn.CONCAT(P2145,", ",Q2145),'[1]T+S Costs'!$F$2:$F$3138,'[1]T+S Costs'!$N$2:$N$3138))</f>
        <v/>
      </c>
      <c r="Y2145" s="14" t="str">
        <f t="shared" si="169"/>
        <v/>
      </c>
      <c r="Z2145" s="4" t="str">
        <f t="shared" si="170"/>
        <v/>
      </c>
    </row>
    <row r="2146" spans="16:26" x14ac:dyDescent="0.25">
      <c r="P2146" s="10" t="str">
        <f>IF('[1]All Data '!AZ2151="","",'[1]All Data '!AZ2151)</f>
        <v/>
      </c>
      <c r="Q2146" s="10" t="str">
        <f>IF('[1]All Data '!BB2151="","",'[1]All Data '!BB2151)</f>
        <v/>
      </c>
      <c r="R2146" s="10" t="str">
        <f>IF('[1]All Data '!BD2151="","",'[1]All Data '!BD2151)</f>
        <v/>
      </c>
      <c r="S2146" s="11" t="str">
        <f>IF(R2146="","",'[1]All Data '!BE2151)</f>
        <v/>
      </c>
      <c r="T2146" s="12" t="str">
        <f>IF(S2146="","",[1]Inputs_Outputs!$B$8*(1-'LOCH Calc COE Calc'!S2146))</f>
        <v/>
      </c>
      <c r="U2146" s="13" t="str">
        <f t="shared" si="166"/>
        <v/>
      </c>
      <c r="V2146" s="13" t="str">
        <f t="shared" si="167"/>
        <v/>
      </c>
      <c r="W2146" s="4" t="str">
        <f t="shared" si="168"/>
        <v/>
      </c>
      <c r="X2146" t="str">
        <f>IF(W2146="","",LOOKUP(_xlfn.CONCAT(P2146,", ",Q2146),'[1]T+S Costs'!$F$2:$F$3138,'[1]T+S Costs'!$N$2:$N$3138))</f>
        <v/>
      </c>
      <c r="Y2146" s="14" t="str">
        <f t="shared" si="169"/>
        <v/>
      </c>
      <c r="Z2146" s="4" t="str">
        <f t="shared" si="170"/>
        <v/>
      </c>
    </row>
    <row r="2147" spans="16:26" x14ac:dyDescent="0.25">
      <c r="P2147" s="10" t="str">
        <f>IF('[1]All Data '!AZ2152="","",'[1]All Data '!AZ2152)</f>
        <v/>
      </c>
      <c r="Q2147" s="10" t="str">
        <f>IF('[1]All Data '!BB2152="","",'[1]All Data '!BB2152)</f>
        <v/>
      </c>
      <c r="R2147" s="10" t="str">
        <f>IF('[1]All Data '!BD2152="","",'[1]All Data '!BD2152)</f>
        <v/>
      </c>
      <c r="S2147" s="11" t="str">
        <f>IF(R2147="","",'[1]All Data '!BE2152)</f>
        <v/>
      </c>
      <c r="T2147" s="12" t="str">
        <f>IF(S2147="","",[1]Inputs_Outputs!$B$8*(1-'LOCH Calc COE Calc'!S2147))</f>
        <v/>
      </c>
      <c r="U2147" s="13" t="str">
        <f t="shared" si="166"/>
        <v/>
      </c>
      <c r="V2147" s="13" t="str">
        <f t="shared" si="167"/>
        <v/>
      </c>
      <c r="W2147" s="4" t="str">
        <f t="shared" si="168"/>
        <v/>
      </c>
      <c r="X2147" t="str">
        <f>IF(W2147="","",LOOKUP(_xlfn.CONCAT(P2147,", ",Q2147),'[1]T+S Costs'!$F$2:$F$3138,'[1]T+S Costs'!$N$2:$N$3138))</f>
        <v/>
      </c>
      <c r="Y2147" s="14" t="str">
        <f t="shared" si="169"/>
        <v/>
      </c>
      <c r="Z2147" s="4" t="str">
        <f t="shared" si="170"/>
        <v/>
      </c>
    </row>
    <row r="2148" spans="16:26" x14ac:dyDescent="0.25">
      <c r="P2148" s="10" t="str">
        <f>IF('[1]All Data '!AZ2153="","",'[1]All Data '!AZ2153)</f>
        <v/>
      </c>
      <c r="Q2148" s="10" t="str">
        <f>IF('[1]All Data '!BB2153="","",'[1]All Data '!BB2153)</f>
        <v/>
      </c>
      <c r="R2148" s="10" t="str">
        <f>IF('[1]All Data '!BD2153="","",'[1]All Data '!BD2153)</f>
        <v/>
      </c>
      <c r="S2148" s="11" t="str">
        <f>IF(R2148="","",'[1]All Data '!BE2153)</f>
        <v/>
      </c>
      <c r="T2148" s="12" t="str">
        <f>IF(S2148="","",[1]Inputs_Outputs!$B$8*(1-'LOCH Calc COE Calc'!S2148))</f>
        <v/>
      </c>
      <c r="U2148" s="13" t="str">
        <f t="shared" si="166"/>
        <v/>
      </c>
      <c r="V2148" s="13" t="str">
        <f t="shared" si="167"/>
        <v/>
      </c>
      <c r="W2148" s="4" t="str">
        <f t="shared" si="168"/>
        <v/>
      </c>
      <c r="X2148" t="str">
        <f>IF(W2148="","",LOOKUP(_xlfn.CONCAT(P2148,", ",Q2148),'[1]T+S Costs'!$F$2:$F$3138,'[1]T+S Costs'!$N$2:$N$3138))</f>
        <v/>
      </c>
      <c r="Y2148" s="14" t="str">
        <f t="shared" si="169"/>
        <v/>
      </c>
      <c r="Z2148" s="4" t="str">
        <f t="shared" si="170"/>
        <v/>
      </c>
    </row>
    <row r="2149" spans="16:26" x14ac:dyDescent="0.25">
      <c r="P2149" s="10" t="str">
        <f>IF('[1]All Data '!AZ2154="","",'[1]All Data '!AZ2154)</f>
        <v/>
      </c>
      <c r="Q2149" s="10" t="str">
        <f>IF('[1]All Data '!BB2154="","",'[1]All Data '!BB2154)</f>
        <v/>
      </c>
      <c r="R2149" s="10" t="str">
        <f>IF('[1]All Data '!BD2154="","",'[1]All Data '!BD2154)</f>
        <v/>
      </c>
      <c r="S2149" s="11" t="str">
        <f>IF(R2149="","",'[1]All Data '!BE2154)</f>
        <v/>
      </c>
      <c r="T2149" s="12" t="str">
        <f>IF(S2149="","",[1]Inputs_Outputs!$B$8*(1-'LOCH Calc COE Calc'!S2149))</f>
        <v/>
      </c>
      <c r="U2149" s="13" t="str">
        <f t="shared" si="166"/>
        <v/>
      </c>
      <c r="V2149" s="13" t="str">
        <f t="shared" si="167"/>
        <v/>
      </c>
      <c r="W2149" s="4" t="str">
        <f t="shared" si="168"/>
        <v/>
      </c>
      <c r="X2149" t="str">
        <f>IF(W2149="","",LOOKUP(_xlfn.CONCAT(P2149,", ",Q2149),'[1]T+S Costs'!$F$2:$F$3138,'[1]T+S Costs'!$N$2:$N$3138))</f>
        <v/>
      </c>
      <c r="Y2149" s="14" t="str">
        <f t="shared" si="169"/>
        <v/>
      </c>
      <c r="Z2149" s="4" t="str">
        <f t="shared" si="170"/>
        <v/>
      </c>
    </row>
    <row r="2150" spans="16:26" x14ac:dyDescent="0.25">
      <c r="P2150" s="10" t="str">
        <f>IF('[1]All Data '!AZ2155="","",'[1]All Data '!AZ2155)</f>
        <v/>
      </c>
      <c r="Q2150" s="10" t="str">
        <f>IF('[1]All Data '!BB2155="","",'[1]All Data '!BB2155)</f>
        <v/>
      </c>
      <c r="R2150" s="10" t="str">
        <f>IF('[1]All Data '!BD2155="","",'[1]All Data '!BD2155)</f>
        <v/>
      </c>
      <c r="S2150" s="11" t="str">
        <f>IF(R2150="","",'[1]All Data '!BE2155)</f>
        <v/>
      </c>
      <c r="T2150" s="12" t="str">
        <f>IF(S2150="","",[1]Inputs_Outputs!$B$8*(1-'LOCH Calc COE Calc'!S2150))</f>
        <v/>
      </c>
      <c r="U2150" s="13" t="str">
        <f t="shared" si="166"/>
        <v/>
      </c>
      <c r="V2150" s="13" t="str">
        <f t="shared" si="167"/>
        <v/>
      </c>
      <c r="W2150" s="4" t="str">
        <f t="shared" si="168"/>
        <v/>
      </c>
      <c r="X2150" t="str">
        <f>IF(W2150="","",LOOKUP(_xlfn.CONCAT(P2150,", ",Q2150),'[1]T+S Costs'!$F$2:$F$3138,'[1]T+S Costs'!$N$2:$N$3138))</f>
        <v/>
      </c>
      <c r="Y2150" s="14" t="str">
        <f t="shared" si="169"/>
        <v/>
      </c>
      <c r="Z2150" s="4" t="str">
        <f t="shared" si="170"/>
        <v/>
      </c>
    </row>
    <row r="2151" spans="16:26" x14ac:dyDescent="0.25">
      <c r="P2151" s="10" t="str">
        <f>IF('[1]All Data '!AZ2156="","",'[1]All Data '!AZ2156)</f>
        <v/>
      </c>
      <c r="Q2151" s="10" t="str">
        <f>IF('[1]All Data '!BB2156="","",'[1]All Data '!BB2156)</f>
        <v/>
      </c>
      <c r="R2151" s="10" t="str">
        <f>IF('[1]All Data '!BD2156="","",'[1]All Data '!BD2156)</f>
        <v/>
      </c>
      <c r="S2151" s="11" t="str">
        <f>IF(R2151="","",'[1]All Data '!BE2156)</f>
        <v/>
      </c>
      <c r="T2151" s="12" t="str">
        <f>IF(S2151="","",[1]Inputs_Outputs!$B$8*(1-'LOCH Calc COE Calc'!S2151))</f>
        <v/>
      </c>
      <c r="U2151" s="13" t="str">
        <f t="shared" si="166"/>
        <v/>
      </c>
      <c r="V2151" s="13" t="str">
        <f t="shared" si="167"/>
        <v/>
      </c>
      <c r="W2151" s="4" t="str">
        <f t="shared" si="168"/>
        <v/>
      </c>
      <c r="X2151" t="str">
        <f>IF(W2151="","",LOOKUP(_xlfn.CONCAT(P2151,", ",Q2151),'[1]T+S Costs'!$F$2:$F$3138,'[1]T+S Costs'!$N$2:$N$3138))</f>
        <v/>
      </c>
      <c r="Y2151" s="14" t="str">
        <f t="shared" si="169"/>
        <v/>
      </c>
      <c r="Z2151" s="4" t="str">
        <f t="shared" si="170"/>
        <v/>
      </c>
    </row>
    <row r="2152" spans="16:26" x14ac:dyDescent="0.25">
      <c r="P2152" s="10" t="str">
        <f>IF('[1]All Data '!AZ2157="","",'[1]All Data '!AZ2157)</f>
        <v/>
      </c>
      <c r="Q2152" s="10" t="str">
        <f>IF('[1]All Data '!BB2157="","",'[1]All Data '!BB2157)</f>
        <v/>
      </c>
      <c r="R2152" s="10" t="str">
        <f>IF('[1]All Data '!BD2157="","",'[1]All Data '!BD2157)</f>
        <v/>
      </c>
      <c r="S2152" s="11" t="str">
        <f>IF(R2152="","",'[1]All Data '!BE2157)</f>
        <v/>
      </c>
      <c r="T2152" s="12" t="str">
        <f>IF(S2152="","",[1]Inputs_Outputs!$B$8*(1-'LOCH Calc COE Calc'!S2152))</f>
        <v/>
      </c>
      <c r="U2152" s="13" t="str">
        <f t="shared" si="166"/>
        <v/>
      </c>
      <c r="V2152" s="13" t="str">
        <f t="shared" si="167"/>
        <v/>
      </c>
      <c r="W2152" s="4" t="str">
        <f t="shared" si="168"/>
        <v/>
      </c>
      <c r="X2152" t="str">
        <f>IF(W2152="","",LOOKUP(_xlfn.CONCAT(P2152,", ",Q2152),'[1]T+S Costs'!$F$2:$F$3138,'[1]T+S Costs'!$N$2:$N$3138))</f>
        <v/>
      </c>
      <c r="Y2152" s="14" t="str">
        <f t="shared" si="169"/>
        <v/>
      </c>
      <c r="Z2152" s="4" t="str">
        <f t="shared" si="170"/>
        <v/>
      </c>
    </row>
    <row r="2153" spans="16:26" x14ac:dyDescent="0.25">
      <c r="P2153" s="10" t="str">
        <f>IF('[1]All Data '!AZ2158="","",'[1]All Data '!AZ2158)</f>
        <v/>
      </c>
      <c r="Q2153" s="10" t="str">
        <f>IF('[1]All Data '!BB2158="","",'[1]All Data '!BB2158)</f>
        <v/>
      </c>
      <c r="R2153" s="10" t="str">
        <f>IF('[1]All Data '!BD2158="","",'[1]All Data '!BD2158)</f>
        <v/>
      </c>
      <c r="S2153" s="11" t="str">
        <f>IF(R2153="","",'[1]All Data '!BE2158)</f>
        <v/>
      </c>
      <c r="T2153" s="12" t="str">
        <f>IF(S2153="","",[1]Inputs_Outputs!$B$8*(1-'LOCH Calc COE Calc'!S2153))</f>
        <v/>
      </c>
      <c r="U2153" s="13" t="str">
        <f t="shared" si="166"/>
        <v/>
      </c>
      <c r="V2153" s="13" t="str">
        <f t="shared" si="167"/>
        <v/>
      </c>
      <c r="W2153" s="4" t="str">
        <f t="shared" si="168"/>
        <v/>
      </c>
      <c r="X2153" t="str">
        <f>IF(W2153="","",LOOKUP(_xlfn.CONCAT(P2153,", ",Q2153),'[1]T+S Costs'!$F$2:$F$3138,'[1]T+S Costs'!$N$2:$N$3138))</f>
        <v/>
      </c>
      <c r="Y2153" s="14" t="str">
        <f t="shared" si="169"/>
        <v/>
      </c>
      <c r="Z2153" s="4" t="str">
        <f t="shared" si="170"/>
        <v/>
      </c>
    </row>
    <row r="2154" spans="16:26" x14ac:dyDescent="0.25">
      <c r="P2154" s="10" t="str">
        <f>IF('[1]All Data '!AZ2159="","",'[1]All Data '!AZ2159)</f>
        <v/>
      </c>
      <c r="Q2154" s="10" t="str">
        <f>IF('[1]All Data '!BB2159="","",'[1]All Data '!BB2159)</f>
        <v/>
      </c>
      <c r="R2154" s="10" t="str">
        <f>IF('[1]All Data '!BD2159="","",'[1]All Data '!BD2159)</f>
        <v/>
      </c>
      <c r="S2154" s="11" t="str">
        <f>IF(R2154="","",'[1]All Data '!BE2159)</f>
        <v/>
      </c>
      <c r="T2154" s="12" t="str">
        <f>IF(S2154="","",[1]Inputs_Outputs!$B$8*(1-'LOCH Calc COE Calc'!S2154))</f>
        <v/>
      </c>
      <c r="U2154" s="13" t="str">
        <f t="shared" si="166"/>
        <v/>
      </c>
      <c r="V2154" s="13" t="str">
        <f t="shared" si="167"/>
        <v/>
      </c>
      <c r="W2154" s="4" t="str">
        <f t="shared" si="168"/>
        <v/>
      </c>
      <c r="X2154" t="str">
        <f>IF(W2154="","",LOOKUP(_xlfn.CONCAT(P2154,", ",Q2154),'[1]T+S Costs'!$F$2:$F$3138,'[1]T+S Costs'!$N$2:$N$3138))</f>
        <v/>
      </c>
      <c r="Y2154" s="14" t="str">
        <f t="shared" si="169"/>
        <v/>
      </c>
      <c r="Z2154" s="4" t="str">
        <f t="shared" si="170"/>
        <v/>
      </c>
    </row>
    <row r="2155" spans="16:26" x14ac:dyDescent="0.25">
      <c r="P2155" s="10" t="str">
        <f>IF('[1]All Data '!AZ2160="","",'[1]All Data '!AZ2160)</f>
        <v/>
      </c>
      <c r="Q2155" s="10" t="str">
        <f>IF('[1]All Data '!BB2160="","",'[1]All Data '!BB2160)</f>
        <v/>
      </c>
      <c r="R2155" s="10" t="str">
        <f>IF('[1]All Data '!BD2160="","",'[1]All Data '!BD2160)</f>
        <v/>
      </c>
      <c r="S2155" s="11" t="str">
        <f>IF(R2155="","",'[1]All Data '!BE2160)</f>
        <v/>
      </c>
      <c r="T2155" s="12" t="str">
        <f>IF(S2155="","",[1]Inputs_Outputs!$B$8*(1-'LOCH Calc COE Calc'!S2155))</f>
        <v/>
      </c>
      <c r="U2155" s="13" t="str">
        <f t="shared" si="166"/>
        <v/>
      </c>
      <c r="V2155" s="13" t="str">
        <f t="shared" si="167"/>
        <v/>
      </c>
      <c r="W2155" s="4" t="str">
        <f t="shared" si="168"/>
        <v/>
      </c>
      <c r="X2155" t="str">
        <f>IF(W2155="","",LOOKUP(_xlfn.CONCAT(P2155,", ",Q2155),'[1]T+S Costs'!$F$2:$F$3138,'[1]T+S Costs'!$N$2:$N$3138))</f>
        <v/>
      </c>
      <c r="Y2155" s="14" t="str">
        <f t="shared" si="169"/>
        <v/>
      </c>
      <c r="Z2155" s="4" t="str">
        <f t="shared" si="170"/>
        <v/>
      </c>
    </row>
    <row r="2156" spans="16:26" x14ac:dyDescent="0.25">
      <c r="P2156" s="10" t="str">
        <f>IF('[1]All Data '!AZ2161="","",'[1]All Data '!AZ2161)</f>
        <v/>
      </c>
      <c r="Q2156" s="10" t="str">
        <f>IF('[1]All Data '!BB2161="","",'[1]All Data '!BB2161)</f>
        <v/>
      </c>
      <c r="R2156" s="10" t="str">
        <f>IF('[1]All Data '!BD2161="","",'[1]All Data '!BD2161)</f>
        <v/>
      </c>
      <c r="S2156" s="11" t="str">
        <f>IF(R2156="","",'[1]All Data '!BE2161)</f>
        <v/>
      </c>
      <c r="T2156" s="12" t="str">
        <f>IF(S2156="","",[1]Inputs_Outputs!$B$8*(1-'LOCH Calc COE Calc'!S2156))</f>
        <v/>
      </c>
      <c r="U2156" s="13" t="str">
        <f t="shared" si="166"/>
        <v/>
      </c>
      <c r="V2156" s="13" t="str">
        <f t="shared" si="167"/>
        <v/>
      </c>
      <c r="W2156" s="4" t="str">
        <f t="shared" si="168"/>
        <v/>
      </c>
      <c r="X2156" t="str">
        <f>IF(W2156="","",LOOKUP(_xlfn.CONCAT(P2156,", ",Q2156),'[1]T+S Costs'!$F$2:$F$3138,'[1]T+S Costs'!$N$2:$N$3138))</f>
        <v/>
      </c>
      <c r="Y2156" s="14" t="str">
        <f t="shared" si="169"/>
        <v/>
      </c>
      <c r="Z2156" s="4" t="str">
        <f t="shared" si="170"/>
        <v/>
      </c>
    </row>
    <row r="2157" spans="16:26" x14ac:dyDescent="0.25">
      <c r="P2157" s="10" t="str">
        <f>IF('[1]All Data '!AZ2162="","",'[1]All Data '!AZ2162)</f>
        <v/>
      </c>
      <c r="Q2157" s="10" t="str">
        <f>IF('[1]All Data '!BB2162="","",'[1]All Data '!BB2162)</f>
        <v/>
      </c>
      <c r="R2157" s="10" t="str">
        <f>IF('[1]All Data '!BD2162="","",'[1]All Data '!BD2162)</f>
        <v/>
      </c>
      <c r="S2157" s="11" t="str">
        <f>IF(R2157="","",'[1]All Data '!BE2162)</f>
        <v/>
      </c>
      <c r="T2157" s="12" t="str">
        <f>IF(S2157="","",[1]Inputs_Outputs!$B$8*(1-'LOCH Calc COE Calc'!S2157))</f>
        <v/>
      </c>
      <c r="U2157" s="13" t="str">
        <f t="shared" si="166"/>
        <v/>
      </c>
      <c r="V2157" s="13" t="str">
        <f t="shared" si="167"/>
        <v/>
      </c>
      <c r="W2157" s="4" t="str">
        <f t="shared" si="168"/>
        <v/>
      </c>
      <c r="X2157" t="str">
        <f>IF(W2157="","",LOOKUP(_xlfn.CONCAT(P2157,", ",Q2157),'[1]T+S Costs'!$F$2:$F$3138,'[1]T+S Costs'!$N$2:$N$3138))</f>
        <v/>
      </c>
      <c r="Y2157" s="14" t="str">
        <f t="shared" si="169"/>
        <v/>
      </c>
      <c r="Z2157" s="4" t="str">
        <f t="shared" si="170"/>
        <v/>
      </c>
    </row>
    <row r="2158" spans="16:26" x14ac:dyDescent="0.25">
      <c r="P2158" s="10" t="str">
        <f>IF('[1]All Data '!AZ2163="","",'[1]All Data '!AZ2163)</f>
        <v/>
      </c>
      <c r="Q2158" s="10" t="str">
        <f>IF('[1]All Data '!BB2163="","",'[1]All Data '!BB2163)</f>
        <v/>
      </c>
      <c r="R2158" s="10" t="str">
        <f>IF('[1]All Data '!BD2163="","",'[1]All Data '!BD2163)</f>
        <v/>
      </c>
      <c r="S2158" s="11" t="str">
        <f>IF(R2158="","",'[1]All Data '!BE2163)</f>
        <v/>
      </c>
      <c r="T2158" s="12" t="str">
        <f>IF(S2158="","",[1]Inputs_Outputs!$B$8*(1-'LOCH Calc COE Calc'!S2158))</f>
        <v/>
      </c>
      <c r="U2158" s="13" t="str">
        <f t="shared" si="166"/>
        <v/>
      </c>
      <c r="V2158" s="13" t="str">
        <f t="shared" si="167"/>
        <v/>
      </c>
      <c r="W2158" s="4" t="str">
        <f t="shared" si="168"/>
        <v/>
      </c>
      <c r="X2158" t="str">
        <f>IF(W2158="","",LOOKUP(_xlfn.CONCAT(P2158,", ",Q2158),'[1]T+S Costs'!$F$2:$F$3138,'[1]T+S Costs'!$N$2:$N$3138))</f>
        <v/>
      </c>
      <c r="Y2158" s="14" t="str">
        <f t="shared" si="169"/>
        <v/>
      </c>
      <c r="Z2158" s="4" t="str">
        <f t="shared" si="170"/>
        <v/>
      </c>
    </row>
    <row r="2159" spans="16:26" x14ac:dyDescent="0.25">
      <c r="P2159" s="10" t="str">
        <f>IF('[1]All Data '!AZ2164="","",'[1]All Data '!AZ2164)</f>
        <v/>
      </c>
      <c r="Q2159" s="10" t="str">
        <f>IF('[1]All Data '!BB2164="","",'[1]All Data '!BB2164)</f>
        <v/>
      </c>
      <c r="R2159" s="10" t="str">
        <f>IF('[1]All Data '!BD2164="","",'[1]All Data '!BD2164)</f>
        <v/>
      </c>
      <c r="S2159" s="11" t="str">
        <f>IF(R2159="","",'[1]All Data '!BE2164)</f>
        <v/>
      </c>
      <c r="T2159" s="12" t="str">
        <f>IF(S2159="","",[1]Inputs_Outputs!$B$8*(1-'LOCH Calc COE Calc'!S2159))</f>
        <v/>
      </c>
      <c r="U2159" s="13" t="str">
        <f t="shared" si="166"/>
        <v/>
      </c>
      <c r="V2159" s="13" t="str">
        <f t="shared" si="167"/>
        <v/>
      </c>
      <c r="W2159" s="4" t="str">
        <f t="shared" si="168"/>
        <v/>
      </c>
      <c r="X2159" t="str">
        <f>IF(W2159="","",LOOKUP(_xlfn.CONCAT(P2159,", ",Q2159),'[1]T+S Costs'!$F$2:$F$3138,'[1]T+S Costs'!$N$2:$N$3138))</f>
        <v/>
      </c>
      <c r="Y2159" s="14" t="str">
        <f t="shared" si="169"/>
        <v/>
      </c>
      <c r="Z2159" s="4" t="str">
        <f t="shared" si="170"/>
        <v/>
      </c>
    </row>
    <row r="2160" spans="16:26" x14ac:dyDescent="0.25">
      <c r="P2160" s="10" t="str">
        <f>IF('[1]All Data '!AZ2165="","",'[1]All Data '!AZ2165)</f>
        <v/>
      </c>
      <c r="Q2160" s="10" t="str">
        <f>IF('[1]All Data '!BB2165="","",'[1]All Data '!BB2165)</f>
        <v/>
      </c>
      <c r="R2160" s="10" t="str">
        <f>IF('[1]All Data '!BD2165="","",'[1]All Data '!BD2165)</f>
        <v/>
      </c>
      <c r="S2160" s="11" t="str">
        <f>IF(R2160="","",'[1]All Data '!BE2165)</f>
        <v/>
      </c>
      <c r="T2160" s="12" t="str">
        <f>IF(S2160="","",[1]Inputs_Outputs!$B$8*(1-'LOCH Calc COE Calc'!S2160))</f>
        <v/>
      </c>
      <c r="U2160" s="13" t="str">
        <f t="shared" si="166"/>
        <v/>
      </c>
      <c r="V2160" s="13" t="str">
        <f t="shared" si="167"/>
        <v/>
      </c>
      <c r="W2160" s="4" t="str">
        <f t="shared" si="168"/>
        <v/>
      </c>
      <c r="X2160" t="str">
        <f>IF(W2160="","",LOOKUP(_xlfn.CONCAT(P2160,", ",Q2160),'[1]T+S Costs'!$F$2:$F$3138,'[1]T+S Costs'!$N$2:$N$3138))</f>
        <v/>
      </c>
      <c r="Y2160" s="14" t="str">
        <f t="shared" si="169"/>
        <v/>
      </c>
      <c r="Z2160" s="4" t="str">
        <f t="shared" si="170"/>
        <v/>
      </c>
    </row>
    <row r="2161" spans="16:26" x14ac:dyDescent="0.25">
      <c r="P2161" s="10" t="str">
        <f>IF('[1]All Data '!AZ2166="","",'[1]All Data '!AZ2166)</f>
        <v/>
      </c>
      <c r="Q2161" s="10" t="str">
        <f>IF('[1]All Data '!BB2166="","",'[1]All Data '!BB2166)</f>
        <v/>
      </c>
      <c r="R2161" s="10" t="str">
        <f>IF('[1]All Data '!BD2166="","",'[1]All Data '!BD2166)</f>
        <v/>
      </c>
      <c r="S2161" s="11" t="str">
        <f>IF(R2161="","",'[1]All Data '!BE2166)</f>
        <v/>
      </c>
      <c r="T2161" s="12" t="str">
        <f>IF(S2161="","",[1]Inputs_Outputs!$B$8*(1-'LOCH Calc COE Calc'!S2161))</f>
        <v/>
      </c>
      <c r="U2161" s="13" t="str">
        <f t="shared" si="166"/>
        <v/>
      </c>
      <c r="V2161" s="13" t="str">
        <f t="shared" si="167"/>
        <v/>
      </c>
      <c r="W2161" s="4" t="str">
        <f t="shared" si="168"/>
        <v/>
      </c>
      <c r="X2161" t="str">
        <f>IF(W2161="","",LOOKUP(_xlfn.CONCAT(P2161,", ",Q2161),'[1]T+S Costs'!$F$2:$F$3138,'[1]T+S Costs'!$N$2:$N$3138))</f>
        <v/>
      </c>
      <c r="Y2161" s="14" t="str">
        <f t="shared" si="169"/>
        <v/>
      </c>
      <c r="Z2161" s="4" t="str">
        <f t="shared" si="170"/>
        <v/>
      </c>
    </row>
    <row r="2162" spans="16:26" x14ac:dyDescent="0.25">
      <c r="P2162" s="10" t="str">
        <f>IF('[1]All Data '!AZ2167="","",'[1]All Data '!AZ2167)</f>
        <v/>
      </c>
      <c r="Q2162" s="10" t="str">
        <f>IF('[1]All Data '!BB2167="","",'[1]All Data '!BB2167)</f>
        <v/>
      </c>
      <c r="R2162" s="10" t="str">
        <f>IF('[1]All Data '!BD2167="","",'[1]All Data '!BD2167)</f>
        <v/>
      </c>
      <c r="S2162" s="11" t="str">
        <f>IF(R2162="","",'[1]All Data '!BE2167)</f>
        <v/>
      </c>
      <c r="T2162" s="12" t="str">
        <f>IF(S2162="","",[1]Inputs_Outputs!$B$8*(1-'LOCH Calc COE Calc'!S2162))</f>
        <v/>
      </c>
      <c r="U2162" s="13" t="str">
        <f t="shared" si="166"/>
        <v/>
      </c>
      <c r="V2162" s="13" t="str">
        <f t="shared" si="167"/>
        <v/>
      </c>
      <c r="W2162" s="4" t="str">
        <f t="shared" si="168"/>
        <v/>
      </c>
      <c r="X2162" t="str">
        <f>IF(W2162="","",LOOKUP(_xlfn.CONCAT(P2162,", ",Q2162),'[1]T+S Costs'!$F$2:$F$3138,'[1]T+S Costs'!$N$2:$N$3138))</f>
        <v/>
      </c>
      <c r="Y2162" s="14" t="str">
        <f t="shared" si="169"/>
        <v/>
      </c>
      <c r="Z2162" s="4" t="str">
        <f t="shared" si="170"/>
        <v/>
      </c>
    </row>
    <row r="2163" spans="16:26" x14ac:dyDescent="0.25">
      <c r="P2163" s="10" t="str">
        <f>IF('[1]All Data '!AZ2168="","",'[1]All Data '!AZ2168)</f>
        <v/>
      </c>
      <c r="Q2163" s="10" t="str">
        <f>IF('[1]All Data '!BB2168="","",'[1]All Data '!BB2168)</f>
        <v/>
      </c>
      <c r="R2163" s="10" t="str">
        <f>IF('[1]All Data '!BD2168="","",'[1]All Data '!BD2168)</f>
        <v/>
      </c>
      <c r="S2163" s="11" t="str">
        <f>IF(R2163="","",'[1]All Data '!BE2168)</f>
        <v/>
      </c>
      <c r="T2163" s="12" t="str">
        <f>IF(S2163="","",[1]Inputs_Outputs!$B$8*(1-'LOCH Calc COE Calc'!S2163))</f>
        <v/>
      </c>
      <c r="U2163" s="13" t="str">
        <f t="shared" si="166"/>
        <v/>
      </c>
      <c r="V2163" s="13" t="str">
        <f t="shared" si="167"/>
        <v/>
      </c>
      <c r="W2163" s="4" t="str">
        <f t="shared" si="168"/>
        <v/>
      </c>
      <c r="X2163" t="str">
        <f>IF(W2163="","",LOOKUP(_xlfn.CONCAT(P2163,", ",Q2163),'[1]T+S Costs'!$F$2:$F$3138,'[1]T+S Costs'!$N$2:$N$3138))</f>
        <v/>
      </c>
      <c r="Y2163" s="14" t="str">
        <f t="shared" si="169"/>
        <v/>
      </c>
      <c r="Z2163" s="4" t="str">
        <f t="shared" si="170"/>
        <v/>
      </c>
    </row>
    <row r="2164" spans="16:26" x14ac:dyDescent="0.25">
      <c r="P2164" s="10" t="str">
        <f>IF('[1]All Data '!AZ2169="","",'[1]All Data '!AZ2169)</f>
        <v/>
      </c>
      <c r="Q2164" s="10" t="str">
        <f>IF('[1]All Data '!BB2169="","",'[1]All Data '!BB2169)</f>
        <v/>
      </c>
      <c r="R2164" s="10" t="str">
        <f>IF('[1]All Data '!BD2169="","",'[1]All Data '!BD2169)</f>
        <v/>
      </c>
      <c r="S2164" s="11" t="str">
        <f>IF(R2164="","",'[1]All Data '!BE2169)</f>
        <v/>
      </c>
      <c r="T2164" s="12" t="str">
        <f>IF(S2164="","",[1]Inputs_Outputs!$B$8*(1-'LOCH Calc COE Calc'!S2164))</f>
        <v/>
      </c>
      <c r="U2164" s="13" t="str">
        <f t="shared" si="166"/>
        <v/>
      </c>
      <c r="V2164" s="13" t="str">
        <f t="shared" si="167"/>
        <v/>
      </c>
      <c r="W2164" s="4" t="str">
        <f t="shared" si="168"/>
        <v/>
      </c>
      <c r="X2164" t="str">
        <f>IF(W2164="","",LOOKUP(_xlfn.CONCAT(P2164,", ",Q2164),'[1]T+S Costs'!$F$2:$F$3138,'[1]T+S Costs'!$N$2:$N$3138))</f>
        <v/>
      </c>
      <c r="Y2164" s="14" t="str">
        <f t="shared" si="169"/>
        <v/>
      </c>
      <c r="Z2164" s="4" t="str">
        <f t="shared" si="170"/>
        <v/>
      </c>
    </row>
    <row r="2165" spans="16:26" x14ac:dyDescent="0.25">
      <c r="P2165" s="10" t="str">
        <f>IF('[1]All Data '!AZ2170="","",'[1]All Data '!AZ2170)</f>
        <v/>
      </c>
      <c r="Q2165" s="10" t="str">
        <f>IF('[1]All Data '!BB2170="","",'[1]All Data '!BB2170)</f>
        <v/>
      </c>
      <c r="R2165" s="10" t="str">
        <f>IF('[1]All Data '!BD2170="","",'[1]All Data '!BD2170)</f>
        <v/>
      </c>
      <c r="S2165" s="11" t="str">
        <f>IF(R2165="","",'[1]All Data '!BE2170)</f>
        <v/>
      </c>
      <c r="T2165" s="12" t="str">
        <f>IF(S2165="","",[1]Inputs_Outputs!$B$8*(1-'LOCH Calc COE Calc'!S2165))</f>
        <v/>
      </c>
      <c r="U2165" s="13" t="str">
        <f t="shared" si="166"/>
        <v/>
      </c>
      <c r="V2165" s="13" t="str">
        <f t="shared" si="167"/>
        <v/>
      </c>
      <c r="W2165" s="4" t="str">
        <f t="shared" si="168"/>
        <v/>
      </c>
      <c r="X2165" t="str">
        <f>IF(W2165="","",LOOKUP(_xlfn.CONCAT(P2165,", ",Q2165),'[1]T+S Costs'!$F$2:$F$3138,'[1]T+S Costs'!$N$2:$N$3138))</f>
        <v/>
      </c>
      <c r="Y2165" s="14" t="str">
        <f t="shared" si="169"/>
        <v/>
      </c>
      <c r="Z2165" s="4" t="str">
        <f t="shared" si="170"/>
        <v/>
      </c>
    </row>
    <row r="2166" spans="16:26" x14ac:dyDescent="0.25">
      <c r="P2166" s="10" t="str">
        <f>IF('[1]All Data '!AZ2171="","",'[1]All Data '!AZ2171)</f>
        <v/>
      </c>
      <c r="Q2166" s="10" t="str">
        <f>IF('[1]All Data '!BB2171="","",'[1]All Data '!BB2171)</f>
        <v/>
      </c>
      <c r="R2166" s="10" t="str">
        <f>IF('[1]All Data '!BD2171="","",'[1]All Data '!BD2171)</f>
        <v/>
      </c>
      <c r="S2166" s="11" t="str">
        <f>IF(R2166="","",'[1]All Data '!BE2171)</f>
        <v/>
      </c>
      <c r="T2166" s="12" t="str">
        <f>IF(S2166="","",[1]Inputs_Outputs!$B$8*(1-'LOCH Calc COE Calc'!S2166))</f>
        <v/>
      </c>
      <c r="U2166" s="13" t="str">
        <f t="shared" si="166"/>
        <v/>
      </c>
      <c r="V2166" s="13" t="str">
        <f t="shared" si="167"/>
        <v/>
      </c>
      <c r="W2166" s="4" t="str">
        <f t="shared" si="168"/>
        <v/>
      </c>
      <c r="X2166" t="str">
        <f>IF(W2166="","",LOOKUP(_xlfn.CONCAT(P2166,", ",Q2166),'[1]T+S Costs'!$F$2:$F$3138,'[1]T+S Costs'!$N$2:$N$3138))</f>
        <v/>
      </c>
      <c r="Y2166" s="14" t="str">
        <f t="shared" si="169"/>
        <v/>
      </c>
      <c r="Z2166" s="4" t="str">
        <f t="shared" si="170"/>
        <v/>
      </c>
    </row>
    <row r="2167" spans="16:26" x14ac:dyDescent="0.25">
      <c r="P2167" s="10" t="str">
        <f>IF('[1]All Data '!AZ2172="","",'[1]All Data '!AZ2172)</f>
        <v/>
      </c>
      <c r="Q2167" s="10" t="str">
        <f>IF('[1]All Data '!BB2172="","",'[1]All Data '!BB2172)</f>
        <v/>
      </c>
      <c r="R2167" s="10" t="str">
        <f>IF('[1]All Data '!BD2172="","",'[1]All Data '!BD2172)</f>
        <v/>
      </c>
      <c r="S2167" s="11" t="str">
        <f>IF(R2167="","",'[1]All Data '!BE2172)</f>
        <v/>
      </c>
      <c r="T2167" s="12" t="str">
        <f>IF(S2167="","",[1]Inputs_Outputs!$B$8*(1-'LOCH Calc COE Calc'!S2167))</f>
        <v/>
      </c>
      <c r="U2167" s="13" t="str">
        <f t="shared" si="166"/>
        <v/>
      </c>
      <c r="V2167" s="13" t="str">
        <f t="shared" si="167"/>
        <v/>
      </c>
      <c r="W2167" s="4" t="str">
        <f t="shared" si="168"/>
        <v/>
      </c>
      <c r="X2167" t="str">
        <f>IF(W2167="","",LOOKUP(_xlfn.CONCAT(P2167,", ",Q2167),'[1]T+S Costs'!$F$2:$F$3138,'[1]T+S Costs'!$N$2:$N$3138))</f>
        <v/>
      </c>
      <c r="Y2167" s="14" t="str">
        <f t="shared" si="169"/>
        <v/>
      </c>
      <c r="Z2167" s="4" t="str">
        <f t="shared" si="170"/>
        <v/>
      </c>
    </row>
    <row r="2168" spans="16:26" x14ac:dyDescent="0.25">
      <c r="P2168" s="10" t="str">
        <f>IF('[1]All Data '!AZ2173="","",'[1]All Data '!AZ2173)</f>
        <v/>
      </c>
      <c r="Q2168" s="10" t="str">
        <f>IF('[1]All Data '!BB2173="","",'[1]All Data '!BB2173)</f>
        <v/>
      </c>
      <c r="R2168" s="10" t="str">
        <f>IF('[1]All Data '!BD2173="","",'[1]All Data '!BD2173)</f>
        <v/>
      </c>
      <c r="S2168" s="11" t="str">
        <f>IF(R2168="","",'[1]All Data '!BE2173)</f>
        <v/>
      </c>
      <c r="T2168" s="12" t="str">
        <f>IF(S2168="","",[1]Inputs_Outputs!$B$8*(1-'LOCH Calc COE Calc'!S2168))</f>
        <v/>
      </c>
      <c r="U2168" s="13" t="str">
        <f t="shared" si="166"/>
        <v/>
      </c>
      <c r="V2168" s="13" t="str">
        <f t="shared" si="167"/>
        <v/>
      </c>
      <c r="W2168" s="4" t="str">
        <f t="shared" si="168"/>
        <v/>
      </c>
      <c r="X2168" t="str">
        <f>IF(W2168="","",LOOKUP(_xlfn.CONCAT(P2168,", ",Q2168),'[1]T+S Costs'!$F$2:$F$3138,'[1]T+S Costs'!$N$2:$N$3138))</f>
        <v/>
      </c>
      <c r="Y2168" s="14" t="str">
        <f t="shared" si="169"/>
        <v/>
      </c>
      <c r="Z2168" s="4" t="str">
        <f t="shared" si="170"/>
        <v/>
      </c>
    </row>
    <row r="2169" spans="16:26" x14ac:dyDescent="0.25">
      <c r="P2169" s="10" t="str">
        <f>IF('[1]All Data '!AZ2174="","",'[1]All Data '!AZ2174)</f>
        <v/>
      </c>
      <c r="Q2169" s="10" t="str">
        <f>IF('[1]All Data '!BB2174="","",'[1]All Data '!BB2174)</f>
        <v/>
      </c>
      <c r="R2169" s="10" t="str">
        <f>IF('[1]All Data '!BD2174="","",'[1]All Data '!BD2174)</f>
        <v/>
      </c>
      <c r="S2169" s="11" t="str">
        <f>IF(R2169="","",'[1]All Data '!BE2174)</f>
        <v/>
      </c>
      <c r="T2169" s="12" t="str">
        <f>IF(S2169="","",[1]Inputs_Outputs!$B$8*(1-'LOCH Calc COE Calc'!S2169))</f>
        <v/>
      </c>
      <c r="U2169" s="13" t="str">
        <f t="shared" si="166"/>
        <v/>
      </c>
      <c r="V2169" s="13" t="str">
        <f t="shared" si="167"/>
        <v/>
      </c>
      <c r="W2169" s="4" t="str">
        <f t="shared" si="168"/>
        <v/>
      </c>
      <c r="X2169" t="str">
        <f>IF(W2169="","",LOOKUP(_xlfn.CONCAT(P2169,", ",Q2169),'[1]T+S Costs'!$F$2:$F$3138,'[1]T+S Costs'!$N$2:$N$3138))</f>
        <v/>
      </c>
      <c r="Y2169" s="14" t="str">
        <f t="shared" si="169"/>
        <v/>
      </c>
      <c r="Z2169" s="4" t="str">
        <f t="shared" si="170"/>
        <v/>
      </c>
    </row>
    <row r="2170" spans="16:26" x14ac:dyDescent="0.25">
      <c r="P2170" s="10" t="str">
        <f>IF('[1]All Data '!AZ2175="","",'[1]All Data '!AZ2175)</f>
        <v/>
      </c>
      <c r="Q2170" s="10" t="str">
        <f>IF('[1]All Data '!BB2175="","",'[1]All Data '!BB2175)</f>
        <v/>
      </c>
      <c r="R2170" s="10" t="str">
        <f>IF('[1]All Data '!BD2175="","",'[1]All Data '!BD2175)</f>
        <v/>
      </c>
      <c r="S2170" s="11" t="str">
        <f>IF(R2170="","",'[1]All Data '!BE2175)</f>
        <v/>
      </c>
      <c r="T2170" s="12" t="str">
        <f>IF(S2170="","",[1]Inputs_Outputs!$B$8*(1-'LOCH Calc COE Calc'!S2170))</f>
        <v/>
      </c>
      <c r="U2170" s="13" t="str">
        <f t="shared" si="166"/>
        <v/>
      </c>
      <c r="V2170" s="13" t="str">
        <f t="shared" si="167"/>
        <v/>
      </c>
      <c r="W2170" s="4" t="str">
        <f t="shared" si="168"/>
        <v/>
      </c>
      <c r="X2170" t="str">
        <f>IF(W2170="","",LOOKUP(_xlfn.CONCAT(P2170,", ",Q2170),'[1]T+S Costs'!$F$2:$F$3138,'[1]T+S Costs'!$N$2:$N$3138))</f>
        <v/>
      </c>
      <c r="Y2170" s="14" t="str">
        <f t="shared" si="169"/>
        <v/>
      </c>
      <c r="Z2170" s="4" t="str">
        <f t="shared" si="170"/>
        <v/>
      </c>
    </row>
    <row r="2171" spans="16:26" x14ac:dyDescent="0.25">
      <c r="P2171" s="10" t="str">
        <f>IF('[1]All Data '!AZ2176="","",'[1]All Data '!AZ2176)</f>
        <v/>
      </c>
      <c r="Q2171" s="10" t="str">
        <f>IF('[1]All Data '!BB2176="","",'[1]All Data '!BB2176)</f>
        <v/>
      </c>
      <c r="R2171" s="10" t="str">
        <f>IF('[1]All Data '!BD2176="","",'[1]All Data '!BD2176)</f>
        <v/>
      </c>
      <c r="S2171" s="11" t="str">
        <f>IF(R2171="","",'[1]All Data '!BE2176)</f>
        <v/>
      </c>
      <c r="T2171" s="12" t="str">
        <f>IF(S2171="","",[1]Inputs_Outputs!$B$8*(1-'LOCH Calc COE Calc'!S2171))</f>
        <v/>
      </c>
      <c r="U2171" s="13" t="str">
        <f t="shared" si="166"/>
        <v/>
      </c>
      <c r="V2171" s="13" t="str">
        <f t="shared" si="167"/>
        <v/>
      </c>
      <c r="W2171" s="4" t="str">
        <f t="shared" si="168"/>
        <v/>
      </c>
      <c r="X2171" t="str">
        <f>IF(W2171="","",LOOKUP(_xlfn.CONCAT(P2171,", ",Q2171),'[1]T+S Costs'!$F$2:$F$3138,'[1]T+S Costs'!$N$2:$N$3138))</f>
        <v/>
      </c>
      <c r="Y2171" s="14" t="str">
        <f t="shared" si="169"/>
        <v/>
      </c>
      <c r="Z2171" s="4" t="str">
        <f t="shared" si="170"/>
        <v/>
      </c>
    </row>
    <row r="2172" spans="16:26" x14ac:dyDescent="0.25">
      <c r="P2172" s="10" t="str">
        <f>IF('[1]All Data '!AZ2177="","",'[1]All Data '!AZ2177)</f>
        <v/>
      </c>
      <c r="Q2172" s="10" t="str">
        <f>IF('[1]All Data '!BB2177="","",'[1]All Data '!BB2177)</f>
        <v/>
      </c>
      <c r="R2172" s="10" t="str">
        <f>IF('[1]All Data '!BD2177="","",'[1]All Data '!BD2177)</f>
        <v/>
      </c>
      <c r="S2172" s="11" t="str">
        <f>IF(R2172="","",'[1]All Data '!BE2177)</f>
        <v/>
      </c>
      <c r="T2172" s="12" t="str">
        <f>IF(S2172="","",[1]Inputs_Outputs!$B$8*(1-'LOCH Calc COE Calc'!S2172))</f>
        <v/>
      </c>
      <c r="U2172" s="13" t="str">
        <f t="shared" si="166"/>
        <v/>
      </c>
      <c r="V2172" s="13" t="str">
        <f t="shared" si="167"/>
        <v/>
      </c>
      <c r="W2172" s="4" t="str">
        <f t="shared" si="168"/>
        <v/>
      </c>
      <c r="X2172" t="str">
        <f>IF(W2172="","",LOOKUP(_xlfn.CONCAT(P2172,", ",Q2172),'[1]T+S Costs'!$F$2:$F$3138,'[1]T+S Costs'!$N$2:$N$3138))</f>
        <v/>
      </c>
      <c r="Y2172" s="14" t="str">
        <f t="shared" si="169"/>
        <v/>
      </c>
      <c r="Z2172" s="4" t="str">
        <f t="shared" si="170"/>
        <v/>
      </c>
    </row>
    <row r="2173" spans="16:26" x14ac:dyDescent="0.25">
      <c r="P2173" s="10" t="str">
        <f>IF('[1]All Data '!AZ2178="","",'[1]All Data '!AZ2178)</f>
        <v/>
      </c>
      <c r="Q2173" s="10" t="str">
        <f>IF('[1]All Data '!BB2178="","",'[1]All Data '!BB2178)</f>
        <v/>
      </c>
      <c r="R2173" s="10" t="str">
        <f>IF('[1]All Data '!BD2178="","",'[1]All Data '!BD2178)</f>
        <v/>
      </c>
      <c r="S2173" s="11" t="str">
        <f>IF(R2173="","",'[1]All Data '!BE2178)</f>
        <v/>
      </c>
      <c r="T2173" s="12" t="str">
        <f>IF(S2173="","",[1]Inputs_Outputs!$B$8*(1-'LOCH Calc COE Calc'!S2173))</f>
        <v/>
      </c>
      <c r="U2173" s="13" t="str">
        <f t="shared" si="166"/>
        <v/>
      </c>
      <c r="V2173" s="13" t="str">
        <f t="shared" si="167"/>
        <v/>
      </c>
      <c r="W2173" s="4" t="str">
        <f t="shared" si="168"/>
        <v/>
      </c>
      <c r="X2173" t="str">
        <f>IF(W2173="","",LOOKUP(_xlfn.CONCAT(P2173,", ",Q2173),'[1]T+S Costs'!$F$2:$F$3138,'[1]T+S Costs'!$N$2:$N$3138))</f>
        <v/>
      </c>
      <c r="Y2173" s="14" t="str">
        <f t="shared" si="169"/>
        <v/>
      </c>
      <c r="Z2173" s="4" t="str">
        <f t="shared" si="170"/>
        <v/>
      </c>
    </row>
    <row r="2174" spans="16:26" x14ac:dyDescent="0.25">
      <c r="P2174" s="10" t="str">
        <f>IF('[1]All Data '!AZ2179="","",'[1]All Data '!AZ2179)</f>
        <v/>
      </c>
      <c r="Q2174" s="10" t="str">
        <f>IF('[1]All Data '!BB2179="","",'[1]All Data '!BB2179)</f>
        <v/>
      </c>
      <c r="R2174" s="10" t="str">
        <f>IF('[1]All Data '!BD2179="","",'[1]All Data '!BD2179)</f>
        <v/>
      </c>
      <c r="S2174" s="11" t="str">
        <f>IF(R2174="","",'[1]All Data '!BE2179)</f>
        <v/>
      </c>
      <c r="T2174" s="12" t="str">
        <f>IF(S2174="","",[1]Inputs_Outputs!$B$8*(1-'LOCH Calc COE Calc'!S2174))</f>
        <v/>
      </c>
      <c r="U2174" s="13" t="str">
        <f t="shared" si="166"/>
        <v/>
      </c>
      <c r="V2174" s="13" t="str">
        <f t="shared" si="167"/>
        <v/>
      </c>
      <c r="W2174" s="4" t="str">
        <f t="shared" si="168"/>
        <v/>
      </c>
      <c r="X2174" t="str">
        <f>IF(W2174="","",LOOKUP(_xlfn.CONCAT(P2174,", ",Q2174),'[1]T+S Costs'!$F$2:$F$3138,'[1]T+S Costs'!$N$2:$N$3138))</f>
        <v/>
      </c>
      <c r="Y2174" s="14" t="str">
        <f t="shared" si="169"/>
        <v/>
      </c>
      <c r="Z2174" s="4" t="str">
        <f t="shared" si="170"/>
        <v/>
      </c>
    </row>
    <row r="2175" spans="16:26" x14ac:dyDescent="0.25">
      <c r="P2175" s="10" t="str">
        <f>IF('[1]All Data '!AZ2180="","",'[1]All Data '!AZ2180)</f>
        <v/>
      </c>
      <c r="Q2175" s="10" t="str">
        <f>IF('[1]All Data '!BB2180="","",'[1]All Data '!BB2180)</f>
        <v/>
      </c>
      <c r="R2175" s="10" t="str">
        <f>IF('[1]All Data '!BD2180="","",'[1]All Data '!BD2180)</f>
        <v/>
      </c>
      <c r="S2175" s="11" t="str">
        <f>IF(R2175="","",'[1]All Data '!BE2180)</f>
        <v/>
      </c>
      <c r="T2175" s="12" t="str">
        <f>IF(S2175="","",[1]Inputs_Outputs!$B$8*(1-'LOCH Calc COE Calc'!S2175))</f>
        <v/>
      </c>
      <c r="U2175" s="13" t="str">
        <f t="shared" si="166"/>
        <v/>
      </c>
      <c r="V2175" s="13" t="str">
        <f t="shared" si="167"/>
        <v/>
      </c>
      <c r="W2175" s="4" t="str">
        <f t="shared" si="168"/>
        <v/>
      </c>
      <c r="X2175" t="str">
        <f>IF(W2175="","",LOOKUP(_xlfn.CONCAT(P2175,", ",Q2175),'[1]T+S Costs'!$F$2:$F$3138,'[1]T+S Costs'!$N$2:$N$3138))</f>
        <v/>
      </c>
      <c r="Y2175" s="14" t="str">
        <f t="shared" si="169"/>
        <v/>
      </c>
      <c r="Z2175" s="4" t="str">
        <f t="shared" si="170"/>
        <v/>
      </c>
    </row>
    <row r="2176" spans="16:26" x14ac:dyDescent="0.25">
      <c r="P2176" s="10" t="str">
        <f>IF('[1]All Data '!AZ2181="","",'[1]All Data '!AZ2181)</f>
        <v/>
      </c>
      <c r="Q2176" s="10" t="str">
        <f>IF('[1]All Data '!BB2181="","",'[1]All Data '!BB2181)</f>
        <v/>
      </c>
      <c r="R2176" s="10" t="str">
        <f>IF('[1]All Data '!BD2181="","",'[1]All Data '!BD2181)</f>
        <v/>
      </c>
      <c r="S2176" s="11" t="str">
        <f>IF(R2176="","",'[1]All Data '!BE2181)</f>
        <v/>
      </c>
      <c r="T2176" s="12" t="str">
        <f>IF(S2176="","",[1]Inputs_Outputs!$B$8*(1-'LOCH Calc COE Calc'!S2176))</f>
        <v/>
      </c>
      <c r="U2176" s="13" t="str">
        <f t="shared" si="166"/>
        <v/>
      </c>
      <c r="V2176" s="13" t="str">
        <f t="shared" si="167"/>
        <v/>
      </c>
      <c r="W2176" s="4" t="str">
        <f t="shared" si="168"/>
        <v/>
      </c>
      <c r="X2176" t="str">
        <f>IF(W2176="","",LOOKUP(_xlfn.CONCAT(P2176,", ",Q2176),'[1]T+S Costs'!$F$2:$F$3138,'[1]T+S Costs'!$N$2:$N$3138))</f>
        <v/>
      </c>
      <c r="Y2176" s="14" t="str">
        <f t="shared" si="169"/>
        <v/>
      </c>
      <c r="Z2176" s="4" t="str">
        <f t="shared" si="170"/>
        <v/>
      </c>
    </row>
    <row r="2177" spans="16:26" x14ac:dyDescent="0.25">
      <c r="P2177" s="10" t="str">
        <f>IF('[1]All Data '!AZ2182="","",'[1]All Data '!AZ2182)</f>
        <v/>
      </c>
      <c r="Q2177" s="10" t="str">
        <f>IF('[1]All Data '!BB2182="","",'[1]All Data '!BB2182)</f>
        <v/>
      </c>
      <c r="R2177" s="10" t="str">
        <f>IF('[1]All Data '!BD2182="","",'[1]All Data '!BD2182)</f>
        <v/>
      </c>
      <c r="S2177" s="11" t="str">
        <f>IF(R2177="","",'[1]All Data '!BE2182)</f>
        <v/>
      </c>
      <c r="T2177" s="12" t="str">
        <f>IF(S2177="","",[1]Inputs_Outputs!$B$8*(1-'LOCH Calc COE Calc'!S2177))</f>
        <v/>
      </c>
      <c r="U2177" s="13" t="str">
        <f t="shared" si="166"/>
        <v/>
      </c>
      <c r="V2177" s="13" t="str">
        <f t="shared" si="167"/>
        <v/>
      </c>
      <c r="W2177" s="4" t="str">
        <f t="shared" si="168"/>
        <v/>
      </c>
      <c r="X2177" t="str">
        <f>IF(W2177="","",LOOKUP(_xlfn.CONCAT(P2177,", ",Q2177),'[1]T+S Costs'!$F$2:$F$3138,'[1]T+S Costs'!$N$2:$N$3138))</f>
        <v/>
      </c>
      <c r="Y2177" s="14" t="str">
        <f t="shared" si="169"/>
        <v/>
      </c>
      <c r="Z2177" s="4" t="str">
        <f t="shared" si="170"/>
        <v/>
      </c>
    </row>
    <row r="2178" spans="16:26" x14ac:dyDescent="0.25">
      <c r="P2178" s="10" t="str">
        <f>IF('[1]All Data '!AZ2183="","",'[1]All Data '!AZ2183)</f>
        <v/>
      </c>
      <c r="Q2178" s="10" t="str">
        <f>IF('[1]All Data '!BB2183="","",'[1]All Data '!BB2183)</f>
        <v/>
      </c>
      <c r="R2178" s="10" t="str">
        <f>IF('[1]All Data '!BD2183="","",'[1]All Data '!BD2183)</f>
        <v/>
      </c>
      <c r="S2178" s="11" t="str">
        <f>IF(R2178="","",'[1]All Data '!BE2183)</f>
        <v/>
      </c>
      <c r="T2178" s="12" t="str">
        <f>IF(S2178="","",[1]Inputs_Outputs!$B$8*(1-'LOCH Calc COE Calc'!S2178))</f>
        <v/>
      </c>
      <c r="U2178" s="13" t="str">
        <f t="shared" si="166"/>
        <v/>
      </c>
      <c r="V2178" s="13" t="str">
        <f t="shared" si="167"/>
        <v/>
      </c>
      <c r="W2178" s="4" t="str">
        <f t="shared" si="168"/>
        <v/>
      </c>
      <c r="X2178" t="str">
        <f>IF(W2178="","",LOOKUP(_xlfn.CONCAT(P2178,", ",Q2178),'[1]T+S Costs'!$F$2:$F$3138,'[1]T+S Costs'!$N$2:$N$3138))</f>
        <v/>
      </c>
      <c r="Y2178" s="14" t="str">
        <f t="shared" si="169"/>
        <v/>
      </c>
      <c r="Z2178" s="4" t="str">
        <f t="shared" si="170"/>
        <v/>
      </c>
    </row>
    <row r="2179" spans="16:26" x14ac:dyDescent="0.25">
      <c r="P2179" s="10" t="str">
        <f>IF('[1]All Data '!AZ2184="","",'[1]All Data '!AZ2184)</f>
        <v/>
      </c>
      <c r="Q2179" s="10" t="str">
        <f>IF('[1]All Data '!BB2184="","",'[1]All Data '!BB2184)</f>
        <v/>
      </c>
      <c r="R2179" s="10" t="str">
        <f>IF('[1]All Data '!BD2184="","",'[1]All Data '!BD2184)</f>
        <v/>
      </c>
      <c r="S2179" s="11" t="str">
        <f>IF(R2179="","",'[1]All Data '!BE2184)</f>
        <v/>
      </c>
      <c r="T2179" s="12" t="str">
        <f>IF(S2179="","",[1]Inputs_Outputs!$B$8*(1-'LOCH Calc COE Calc'!S2179))</f>
        <v/>
      </c>
      <c r="U2179" s="13" t="str">
        <f t="shared" ref="U2179:U2242" si="171">IF(S2179="","",R2179*T2179*365*$B$19/100)</f>
        <v/>
      </c>
      <c r="V2179" s="13" t="str">
        <f t="shared" ref="V2179:V2242" si="172">IF(S2179="","",(U2179*$B$19)/(($B$28)*$B$19))</f>
        <v/>
      </c>
      <c r="W2179" s="4" t="str">
        <f t="shared" ref="W2179:W2242" si="173">IF(S2179="","",V2179+$C$49+$C$50+$C$51)</f>
        <v/>
      </c>
      <c r="X2179" t="str">
        <f>IF(W2179="","",LOOKUP(_xlfn.CONCAT(P2179,", ",Q2179),'[1]T+S Costs'!$F$2:$F$3138,'[1]T+S Costs'!$N$2:$N$3138))</f>
        <v/>
      </c>
      <c r="Y2179" s="14" t="str">
        <f t="shared" ref="Y2179:Y2242" si="174">IF(X2179="","",((X2179*$B$60/$B$59)*$C$44)/$C$28)</f>
        <v/>
      </c>
      <c r="Z2179" s="4" t="str">
        <f t="shared" ref="Z2179:Z2242" si="175">IF(Y2179="","",W2179+Y2179)</f>
        <v/>
      </c>
    </row>
    <row r="2180" spans="16:26" x14ac:dyDescent="0.25">
      <c r="P2180" s="10" t="str">
        <f>IF('[1]All Data '!AZ2185="","",'[1]All Data '!AZ2185)</f>
        <v/>
      </c>
      <c r="Q2180" s="10" t="str">
        <f>IF('[1]All Data '!BB2185="","",'[1]All Data '!BB2185)</f>
        <v/>
      </c>
      <c r="R2180" s="10" t="str">
        <f>IF('[1]All Data '!BD2185="","",'[1]All Data '!BD2185)</f>
        <v/>
      </c>
      <c r="S2180" s="11" t="str">
        <f>IF(R2180="","",'[1]All Data '!BE2185)</f>
        <v/>
      </c>
      <c r="T2180" s="12" t="str">
        <f>IF(S2180="","",[1]Inputs_Outputs!$B$8*(1-'LOCH Calc COE Calc'!S2180))</f>
        <v/>
      </c>
      <c r="U2180" s="13" t="str">
        <f t="shared" si="171"/>
        <v/>
      </c>
      <c r="V2180" s="13" t="str">
        <f t="shared" si="172"/>
        <v/>
      </c>
      <c r="W2180" s="4" t="str">
        <f t="shared" si="173"/>
        <v/>
      </c>
      <c r="X2180" t="str">
        <f>IF(W2180="","",LOOKUP(_xlfn.CONCAT(P2180,", ",Q2180),'[1]T+S Costs'!$F$2:$F$3138,'[1]T+S Costs'!$N$2:$N$3138))</f>
        <v/>
      </c>
      <c r="Y2180" s="14" t="str">
        <f t="shared" si="174"/>
        <v/>
      </c>
      <c r="Z2180" s="4" t="str">
        <f t="shared" si="175"/>
        <v/>
      </c>
    </row>
    <row r="2181" spans="16:26" x14ac:dyDescent="0.25">
      <c r="P2181" s="10" t="str">
        <f>IF('[1]All Data '!AZ2186="","",'[1]All Data '!AZ2186)</f>
        <v/>
      </c>
      <c r="Q2181" s="10" t="str">
        <f>IF('[1]All Data '!BB2186="","",'[1]All Data '!BB2186)</f>
        <v/>
      </c>
      <c r="R2181" s="10" t="str">
        <f>IF('[1]All Data '!BD2186="","",'[1]All Data '!BD2186)</f>
        <v/>
      </c>
      <c r="S2181" s="11" t="str">
        <f>IF(R2181="","",'[1]All Data '!BE2186)</f>
        <v/>
      </c>
      <c r="T2181" s="12" t="str">
        <f>IF(S2181="","",[1]Inputs_Outputs!$B$8*(1-'LOCH Calc COE Calc'!S2181))</f>
        <v/>
      </c>
      <c r="U2181" s="13" t="str">
        <f t="shared" si="171"/>
        <v/>
      </c>
      <c r="V2181" s="13" t="str">
        <f t="shared" si="172"/>
        <v/>
      </c>
      <c r="W2181" s="4" t="str">
        <f t="shared" si="173"/>
        <v/>
      </c>
      <c r="X2181" t="str">
        <f>IF(W2181="","",LOOKUP(_xlfn.CONCAT(P2181,", ",Q2181),'[1]T+S Costs'!$F$2:$F$3138,'[1]T+S Costs'!$N$2:$N$3138))</f>
        <v/>
      </c>
      <c r="Y2181" s="14" t="str">
        <f t="shared" si="174"/>
        <v/>
      </c>
      <c r="Z2181" s="4" t="str">
        <f t="shared" si="175"/>
        <v/>
      </c>
    </row>
    <row r="2182" spans="16:26" x14ac:dyDescent="0.25">
      <c r="P2182" s="10" t="str">
        <f>IF('[1]All Data '!AZ2187="","",'[1]All Data '!AZ2187)</f>
        <v/>
      </c>
      <c r="Q2182" s="10" t="str">
        <f>IF('[1]All Data '!BB2187="","",'[1]All Data '!BB2187)</f>
        <v/>
      </c>
      <c r="R2182" s="10" t="str">
        <f>IF('[1]All Data '!BD2187="","",'[1]All Data '!BD2187)</f>
        <v/>
      </c>
      <c r="S2182" s="11" t="str">
        <f>IF(R2182="","",'[1]All Data '!BE2187)</f>
        <v/>
      </c>
      <c r="T2182" s="12" t="str">
        <f>IF(S2182="","",[1]Inputs_Outputs!$B$8*(1-'LOCH Calc COE Calc'!S2182))</f>
        <v/>
      </c>
      <c r="U2182" s="13" t="str">
        <f t="shared" si="171"/>
        <v/>
      </c>
      <c r="V2182" s="13" t="str">
        <f t="shared" si="172"/>
        <v/>
      </c>
      <c r="W2182" s="4" t="str">
        <f t="shared" si="173"/>
        <v/>
      </c>
      <c r="X2182" t="str">
        <f>IF(W2182="","",LOOKUP(_xlfn.CONCAT(P2182,", ",Q2182),'[1]T+S Costs'!$F$2:$F$3138,'[1]T+S Costs'!$N$2:$N$3138))</f>
        <v/>
      </c>
      <c r="Y2182" s="14" t="str">
        <f t="shared" si="174"/>
        <v/>
      </c>
      <c r="Z2182" s="4" t="str">
        <f t="shared" si="175"/>
        <v/>
      </c>
    </row>
    <row r="2183" spans="16:26" x14ac:dyDescent="0.25">
      <c r="P2183" s="10" t="str">
        <f>IF('[1]All Data '!AZ2188="","",'[1]All Data '!AZ2188)</f>
        <v/>
      </c>
      <c r="Q2183" s="10" t="str">
        <f>IF('[1]All Data '!BB2188="","",'[1]All Data '!BB2188)</f>
        <v/>
      </c>
      <c r="R2183" s="10" t="str">
        <f>IF('[1]All Data '!BD2188="","",'[1]All Data '!BD2188)</f>
        <v/>
      </c>
      <c r="S2183" s="11" t="str">
        <f>IF(R2183="","",'[1]All Data '!BE2188)</f>
        <v/>
      </c>
      <c r="T2183" s="12" t="str">
        <f>IF(S2183="","",[1]Inputs_Outputs!$B$8*(1-'LOCH Calc COE Calc'!S2183))</f>
        <v/>
      </c>
      <c r="U2183" s="13" t="str">
        <f t="shared" si="171"/>
        <v/>
      </c>
      <c r="V2183" s="13" t="str">
        <f t="shared" si="172"/>
        <v/>
      </c>
      <c r="W2183" s="4" t="str">
        <f t="shared" si="173"/>
        <v/>
      </c>
      <c r="X2183" t="str">
        <f>IF(W2183="","",LOOKUP(_xlfn.CONCAT(P2183,", ",Q2183),'[1]T+S Costs'!$F$2:$F$3138,'[1]T+S Costs'!$N$2:$N$3138))</f>
        <v/>
      </c>
      <c r="Y2183" s="14" t="str">
        <f t="shared" si="174"/>
        <v/>
      </c>
      <c r="Z2183" s="4" t="str">
        <f t="shared" si="175"/>
        <v/>
      </c>
    </row>
    <row r="2184" spans="16:26" x14ac:dyDescent="0.25">
      <c r="P2184" s="10" t="str">
        <f>IF('[1]All Data '!AZ2189="","",'[1]All Data '!AZ2189)</f>
        <v/>
      </c>
      <c r="Q2184" s="10" t="str">
        <f>IF('[1]All Data '!BB2189="","",'[1]All Data '!BB2189)</f>
        <v/>
      </c>
      <c r="R2184" s="10" t="str">
        <f>IF('[1]All Data '!BD2189="","",'[1]All Data '!BD2189)</f>
        <v/>
      </c>
      <c r="S2184" s="11" t="str">
        <f>IF(R2184="","",'[1]All Data '!BE2189)</f>
        <v/>
      </c>
      <c r="T2184" s="12" t="str">
        <f>IF(S2184="","",[1]Inputs_Outputs!$B$8*(1-'LOCH Calc COE Calc'!S2184))</f>
        <v/>
      </c>
      <c r="U2184" s="13" t="str">
        <f t="shared" si="171"/>
        <v/>
      </c>
      <c r="V2184" s="13" t="str">
        <f t="shared" si="172"/>
        <v/>
      </c>
      <c r="W2184" s="4" t="str">
        <f t="shared" si="173"/>
        <v/>
      </c>
      <c r="X2184" t="str">
        <f>IF(W2184="","",LOOKUP(_xlfn.CONCAT(P2184,", ",Q2184),'[1]T+S Costs'!$F$2:$F$3138,'[1]T+S Costs'!$N$2:$N$3138))</f>
        <v/>
      </c>
      <c r="Y2184" s="14" t="str">
        <f t="shared" si="174"/>
        <v/>
      </c>
      <c r="Z2184" s="4" t="str">
        <f t="shared" si="175"/>
        <v/>
      </c>
    </row>
    <row r="2185" spans="16:26" x14ac:dyDescent="0.25">
      <c r="P2185" s="10" t="str">
        <f>IF('[1]All Data '!AZ2190="","",'[1]All Data '!AZ2190)</f>
        <v/>
      </c>
      <c r="Q2185" s="10" t="str">
        <f>IF('[1]All Data '!BB2190="","",'[1]All Data '!BB2190)</f>
        <v/>
      </c>
      <c r="R2185" s="10" t="str">
        <f>IF('[1]All Data '!BD2190="","",'[1]All Data '!BD2190)</f>
        <v/>
      </c>
      <c r="S2185" s="11" t="str">
        <f>IF(R2185="","",'[1]All Data '!BE2190)</f>
        <v/>
      </c>
      <c r="T2185" s="12" t="str">
        <f>IF(S2185="","",[1]Inputs_Outputs!$B$8*(1-'LOCH Calc COE Calc'!S2185))</f>
        <v/>
      </c>
      <c r="U2185" s="13" t="str">
        <f t="shared" si="171"/>
        <v/>
      </c>
      <c r="V2185" s="13" t="str">
        <f t="shared" si="172"/>
        <v/>
      </c>
      <c r="W2185" s="4" t="str">
        <f t="shared" si="173"/>
        <v/>
      </c>
      <c r="X2185" t="str">
        <f>IF(W2185="","",LOOKUP(_xlfn.CONCAT(P2185,", ",Q2185),'[1]T+S Costs'!$F$2:$F$3138,'[1]T+S Costs'!$N$2:$N$3138))</f>
        <v/>
      </c>
      <c r="Y2185" s="14" t="str">
        <f t="shared" si="174"/>
        <v/>
      </c>
      <c r="Z2185" s="4" t="str">
        <f t="shared" si="175"/>
        <v/>
      </c>
    </row>
    <row r="2186" spans="16:26" x14ac:dyDescent="0.25">
      <c r="P2186" s="10" t="str">
        <f>IF('[1]All Data '!AZ2191="","",'[1]All Data '!AZ2191)</f>
        <v/>
      </c>
      <c r="Q2186" s="10" t="str">
        <f>IF('[1]All Data '!BB2191="","",'[1]All Data '!BB2191)</f>
        <v/>
      </c>
      <c r="R2186" s="10" t="str">
        <f>IF('[1]All Data '!BD2191="","",'[1]All Data '!BD2191)</f>
        <v/>
      </c>
      <c r="S2186" s="11" t="str">
        <f>IF(R2186="","",'[1]All Data '!BE2191)</f>
        <v/>
      </c>
      <c r="T2186" s="12" t="str">
        <f>IF(S2186="","",[1]Inputs_Outputs!$B$8*(1-'LOCH Calc COE Calc'!S2186))</f>
        <v/>
      </c>
      <c r="U2186" s="13" t="str">
        <f t="shared" si="171"/>
        <v/>
      </c>
      <c r="V2186" s="13" t="str">
        <f t="shared" si="172"/>
        <v/>
      </c>
      <c r="W2186" s="4" t="str">
        <f t="shared" si="173"/>
        <v/>
      </c>
      <c r="X2186" t="str">
        <f>IF(W2186="","",LOOKUP(_xlfn.CONCAT(P2186,", ",Q2186),'[1]T+S Costs'!$F$2:$F$3138,'[1]T+S Costs'!$N$2:$N$3138))</f>
        <v/>
      </c>
      <c r="Y2186" s="14" t="str">
        <f t="shared" si="174"/>
        <v/>
      </c>
      <c r="Z2186" s="4" t="str">
        <f t="shared" si="175"/>
        <v/>
      </c>
    </row>
    <row r="2187" spans="16:26" x14ac:dyDescent="0.25">
      <c r="P2187" s="10" t="str">
        <f>IF('[1]All Data '!AZ2192="","",'[1]All Data '!AZ2192)</f>
        <v/>
      </c>
      <c r="Q2187" s="10" t="str">
        <f>IF('[1]All Data '!BB2192="","",'[1]All Data '!BB2192)</f>
        <v/>
      </c>
      <c r="R2187" s="10" t="str">
        <f>IF('[1]All Data '!BD2192="","",'[1]All Data '!BD2192)</f>
        <v/>
      </c>
      <c r="S2187" s="11" t="str">
        <f>IF(R2187="","",'[1]All Data '!BE2192)</f>
        <v/>
      </c>
      <c r="T2187" s="12" t="str">
        <f>IF(S2187="","",[1]Inputs_Outputs!$B$8*(1-'LOCH Calc COE Calc'!S2187))</f>
        <v/>
      </c>
      <c r="U2187" s="13" t="str">
        <f t="shared" si="171"/>
        <v/>
      </c>
      <c r="V2187" s="13" t="str">
        <f t="shared" si="172"/>
        <v/>
      </c>
      <c r="W2187" s="4" t="str">
        <f t="shared" si="173"/>
        <v/>
      </c>
      <c r="X2187" t="str">
        <f>IF(W2187="","",LOOKUP(_xlfn.CONCAT(P2187,", ",Q2187),'[1]T+S Costs'!$F$2:$F$3138,'[1]T+S Costs'!$N$2:$N$3138))</f>
        <v/>
      </c>
      <c r="Y2187" s="14" t="str">
        <f t="shared" si="174"/>
        <v/>
      </c>
      <c r="Z2187" s="4" t="str">
        <f t="shared" si="175"/>
        <v/>
      </c>
    </row>
    <row r="2188" spans="16:26" x14ac:dyDescent="0.25">
      <c r="P2188" s="10" t="str">
        <f>IF('[1]All Data '!AZ2193="","",'[1]All Data '!AZ2193)</f>
        <v/>
      </c>
      <c r="Q2188" s="10" t="str">
        <f>IF('[1]All Data '!BB2193="","",'[1]All Data '!BB2193)</f>
        <v/>
      </c>
      <c r="R2188" s="10" t="str">
        <f>IF('[1]All Data '!BD2193="","",'[1]All Data '!BD2193)</f>
        <v/>
      </c>
      <c r="S2188" s="11" t="str">
        <f>IF(R2188="","",'[1]All Data '!BE2193)</f>
        <v/>
      </c>
      <c r="T2188" s="12" t="str">
        <f>IF(S2188="","",[1]Inputs_Outputs!$B$8*(1-'LOCH Calc COE Calc'!S2188))</f>
        <v/>
      </c>
      <c r="U2188" s="13" t="str">
        <f t="shared" si="171"/>
        <v/>
      </c>
      <c r="V2188" s="13" t="str">
        <f t="shared" si="172"/>
        <v/>
      </c>
      <c r="W2188" s="4" t="str">
        <f t="shared" si="173"/>
        <v/>
      </c>
      <c r="X2188" t="str">
        <f>IF(W2188="","",LOOKUP(_xlfn.CONCAT(P2188,", ",Q2188),'[1]T+S Costs'!$F$2:$F$3138,'[1]T+S Costs'!$N$2:$N$3138))</f>
        <v/>
      </c>
      <c r="Y2188" s="14" t="str">
        <f t="shared" si="174"/>
        <v/>
      </c>
      <c r="Z2188" s="4" t="str">
        <f t="shared" si="175"/>
        <v/>
      </c>
    </row>
    <row r="2189" spans="16:26" x14ac:dyDescent="0.25">
      <c r="P2189" s="10" t="str">
        <f>IF('[1]All Data '!AZ2194="","",'[1]All Data '!AZ2194)</f>
        <v/>
      </c>
      <c r="Q2189" s="10" t="str">
        <f>IF('[1]All Data '!BB2194="","",'[1]All Data '!BB2194)</f>
        <v/>
      </c>
      <c r="R2189" s="10" t="str">
        <f>IF('[1]All Data '!BD2194="","",'[1]All Data '!BD2194)</f>
        <v/>
      </c>
      <c r="S2189" s="11" t="str">
        <f>IF(R2189="","",'[1]All Data '!BE2194)</f>
        <v/>
      </c>
      <c r="T2189" s="12" t="str">
        <f>IF(S2189="","",[1]Inputs_Outputs!$B$8*(1-'LOCH Calc COE Calc'!S2189))</f>
        <v/>
      </c>
      <c r="U2189" s="13" t="str">
        <f t="shared" si="171"/>
        <v/>
      </c>
      <c r="V2189" s="13" t="str">
        <f t="shared" si="172"/>
        <v/>
      </c>
      <c r="W2189" s="4" t="str">
        <f t="shared" si="173"/>
        <v/>
      </c>
      <c r="X2189" t="str">
        <f>IF(W2189="","",LOOKUP(_xlfn.CONCAT(P2189,", ",Q2189),'[1]T+S Costs'!$F$2:$F$3138,'[1]T+S Costs'!$N$2:$N$3138))</f>
        <v/>
      </c>
      <c r="Y2189" s="14" t="str">
        <f t="shared" si="174"/>
        <v/>
      </c>
      <c r="Z2189" s="4" t="str">
        <f t="shared" si="175"/>
        <v/>
      </c>
    </row>
    <row r="2190" spans="16:26" x14ac:dyDescent="0.25">
      <c r="P2190" s="10" t="str">
        <f>IF('[1]All Data '!AZ2195="","",'[1]All Data '!AZ2195)</f>
        <v/>
      </c>
      <c r="Q2190" s="10" t="str">
        <f>IF('[1]All Data '!BB2195="","",'[1]All Data '!BB2195)</f>
        <v/>
      </c>
      <c r="R2190" s="10" t="str">
        <f>IF('[1]All Data '!BD2195="","",'[1]All Data '!BD2195)</f>
        <v/>
      </c>
      <c r="S2190" s="11" t="str">
        <f>IF(R2190="","",'[1]All Data '!BE2195)</f>
        <v/>
      </c>
      <c r="T2190" s="12" t="str">
        <f>IF(S2190="","",[1]Inputs_Outputs!$B$8*(1-'LOCH Calc COE Calc'!S2190))</f>
        <v/>
      </c>
      <c r="U2190" s="13" t="str">
        <f t="shared" si="171"/>
        <v/>
      </c>
      <c r="V2190" s="13" t="str">
        <f t="shared" si="172"/>
        <v/>
      </c>
      <c r="W2190" s="4" t="str">
        <f t="shared" si="173"/>
        <v/>
      </c>
      <c r="X2190" t="str">
        <f>IF(W2190="","",LOOKUP(_xlfn.CONCAT(P2190,", ",Q2190),'[1]T+S Costs'!$F$2:$F$3138,'[1]T+S Costs'!$N$2:$N$3138))</f>
        <v/>
      </c>
      <c r="Y2190" s="14" t="str">
        <f t="shared" si="174"/>
        <v/>
      </c>
      <c r="Z2190" s="4" t="str">
        <f t="shared" si="175"/>
        <v/>
      </c>
    </row>
    <row r="2191" spans="16:26" x14ac:dyDescent="0.25">
      <c r="P2191" s="10" t="str">
        <f>IF('[1]All Data '!AZ2196="","",'[1]All Data '!AZ2196)</f>
        <v/>
      </c>
      <c r="Q2191" s="10" t="str">
        <f>IF('[1]All Data '!BB2196="","",'[1]All Data '!BB2196)</f>
        <v/>
      </c>
      <c r="R2191" s="10" t="str">
        <f>IF('[1]All Data '!BD2196="","",'[1]All Data '!BD2196)</f>
        <v/>
      </c>
      <c r="S2191" s="11" t="str">
        <f>IF(R2191="","",'[1]All Data '!BE2196)</f>
        <v/>
      </c>
      <c r="T2191" s="12" t="str">
        <f>IF(S2191="","",[1]Inputs_Outputs!$B$8*(1-'LOCH Calc COE Calc'!S2191))</f>
        <v/>
      </c>
      <c r="U2191" s="13" t="str">
        <f t="shared" si="171"/>
        <v/>
      </c>
      <c r="V2191" s="13" t="str">
        <f t="shared" si="172"/>
        <v/>
      </c>
      <c r="W2191" s="4" t="str">
        <f t="shared" si="173"/>
        <v/>
      </c>
      <c r="X2191" t="str">
        <f>IF(W2191="","",LOOKUP(_xlfn.CONCAT(P2191,", ",Q2191),'[1]T+S Costs'!$F$2:$F$3138,'[1]T+S Costs'!$N$2:$N$3138))</f>
        <v/>
      </c>
      <c r="Y2191" s="14" t="str">
        <f t="shared" si="174"/>
        <v/>
      </c>
      <c r="Z2191" s="4" t="str">
        <f t="shared" si="175"/>
        <v/>
      </c>
    </row>
    <row r="2192" spans="16:26" x14ac:dyDescent="0.25">
      <c r="P2192" s="10" t="str">
        <f>IF('[1]All Data '!AZ2197="","",'[1]All Data '!AZ2197)</f>
        <v/>
      </c>
      <c r="Q2192" s="10" t="str">
        <f>IF('[1]All Data '!BB2197="","",'[1]All Data '!BB2197)</f>
        <v/>
      </c>
      <c r="R2192" s="10" t="str">
        <f>IF('[1]All Data '!BD2197="","",'[1]All Data '!BD2197)</f>
        <v/>
      </c>
      <c r="S2192" s="11" t="str">
        <f>IF(R2192="","",'[1]All Data '!BE2197)</f>
        <v/>
      </c>
      <c r="T2192" s="12" t="str">
        <f>IF(S2192="","",[1]Inputs_Outputs!$B$8*(1-'LOCH Calc COE Calc'!S2192))</f>
        <v/>
      </c>
      <c r="U2192" s="13" t="str">
        <f t="shared" si="171"/>
        <v/>
      </c>
      <c r="V2192" s="13" t="str">
        <f t="shared" si="172"/>
        <v/>
      </c>
      <c r="W2192" s="4" t="str">
        <f t="shared" si="173"/>
        <v/>
      </c>
      <c r="X2192" t="str">
        <f>IF(W2192="","",LOOKUP(_xlfn.CONCAT(P2192,", ",Q2192),'[1]T+S Costs'!$F$2:$F$3138,'[1]T+S Costs'!$N$2:$N$3138))</f>
        <v/>
      </c>
      <c r="Y2192" s="14" t="str">
        <f t="shared" si="174"/>
        <v/>
      </c>
      <c r="Z2192" s="4" t="str">
        <f t="shared" si="175"/>
        <v/>
      </c>
    </row>
    <row r="2193" spans="16:26" x14ac:dyDescent="0.25">
      <c r="P2193" s="10" t="str">
        <f>IF('[1]All Data '!AZ2198="","",'[1]All Data '!AZ2198)</f>
        <v/>
      </c>
      <c r="Q2193" s="10" t="str">
        <f>IF('[1]All Data '!BB2198="","",'[1]All Data '!BB2198)</f>
        <v/>
      </c>
      <c r="R2193" s="10" t="str">
        <f>IF('[1]All Data '!BD2198="","",'[1]All Data '!BD2198)</f>
        <v/>
      </c>
      <c r="S2193" s="11" t="str">
        <f>IF(R2193="","",'[1]All Data '!BE2198)</f>
        <v/>
      </c>
      <c r="T2193" s="12" t="str">
        <f>IF(S2193="","",[1]Inputs_Outputs!$B$8*(1-'LOCH Calc COE Calc'!S2193))</f>
        <v/>
      </c>
      <c r="U2193" s="13" t="str">
        <f t="shared" si="171"/>
        <v/>
      </c>
      <c r="V2193" s="13" t="str">
        <f t="shared" si="172"/>
        <v/>
      </c>
      <c r="W2193" s="4" t="str">
        <f t="shared" si="173"/>
        <v/>
      </c>
      <c r="X2193" t="str">
        <f>IF(W2193="","",LOOKUP(_xlfn.CONCAT(P2193,", ",Q2193),'[1]T+S Costs'!$F$2:$F$3138,'[1]T+S Costs'!$N$2:$N$3138))</f>
        <v/>
      </c>
      <c r="Y2193" s="14" t="str">
        <f t="shared" si="174"/>
        <v/>
      </c>
      <c r="Z2193" s="4" t="str">
        <f t="shared" si="175"/>
        <v/>
      </c>
    </row>
    <row r="2194" spans="16:26" x14ac:dyDescent="0.25">
      <c r="P2194" s="10" t="str">
        <f>IF('[1]All Data '!AZ2199="","",'[1]All Data '!AZ2199)</f>
        <v/>
      </c>
      <c r="Q2194" s="10" t="str">
        <f>IF('[1]All Data '!BB2199="","",'[1]All Data '!BB2199)</f>
        <v/>
      </c>
      <c r="R2194" s="10" t="str">
        <f>IF('[1]All Data '!BD2199="","",'[1]All Data '!BD2199)</f>
        <v/>
      </c>
      <c r="S2194" s="11" t="str">
        <f>IF(R2194="","",'[1]All Data '!BE2199)</f>
        <v/>
      </c>
      <c r="T2194" s="12" t="str">
        <f>IF(S2194="","",[1]Inputs_Outputs!$B$8*(1-'LOCH Calc COE Calc'!S2194))</f>
        <v/>
      </c>
      <c r="U2194" s="13" t="str">
        <f t="shared" si="171"/>
        <v/>
      </c>
      <c r="V2194" s="13" t="str">
        <f t="shared" si="172"/>
        <v/>
      </c>
      <c r="W2194" s="4" t="str">
        <f t="shared" si="173"/>
        <v/>
      </c>
      <c r="X2194" t="str">
        <f>IF(W2194="","",LOOKUP(_xlfn.CONCAT(P2194,", ",Q2194),'[1]T+S Costs'!$F$2:$F$3138,'[1]T+S Costs'!$N$2:$N$3138))</f>
        <v/>
      </c>
      <c r="Y2194" s="14" t="str">
        <f t="shared" si="174"/>
        <v/>
      </c>
      <c r="Z2194" s="4" t="str">
        <f t="shared" si="175"/>
        <v/>
      </c>
    </row>
    <row r="2195" spans="16:26" x14ac:dyDescent="0.25">
      <c r="P2195" s="10" t="str">
        <f>IF('[1]All Data '!AZ2200="","",'[1]All Data '!AZ2200)</f>
        <v/>
      </c>
      <c r="Q2195" s="10" t="str">
        <f>IF('[1]All Data '!BB2200="","",'[1]All Data '!BB2200)</f>
        <v/>
      </c>
      <c r="R2195" s="10" t="str">
        <f>IF('[1]All Data '!BD2200="","",'[1]All Data '!BD2200)</f>
        <v/>
      </c>
      <c r="S2195" s="11" t="str">
        <f>IF(R2195="","",'[1]All Data '!BE2200)</f>
        <v/>
      </c>
      <c r="T2195" s="12" t="str">
        <f>IF(S2195="","",[1]Inputs_Outputs!$B$8*(1-'LOCH Calc COE Calc'!S2195))</f>
        <v/>
      </c>
      <c r="U2195" s="13" t="str">
        <f t="shared" si="171"/>
        <v/>
      </c>
      <c r="V2195" s="13" t="str">
        <f t="shared" si="172"/>
        <v/>
      </c>
      <c r="W2195" s="4" t="str">
        <f t="shared" si="173"/>
        <v/>
      </c>
      <c r="X2195" t="str">
        <f>IF(W2195="","",LOOKUP(_xlfn.CONCAT(P2195,", ",Q2195),'[1]T+S Costs'!$F$2:$F$3138,'[1]T+S Costs'!$N$2:$N$3138))</f>
        <v/>
      </c>
      <c r="Y2195" s="14" t="str">
        <f t="shared" si="174"/>
        <v/>
      </c>
      <c r="Z2195" s="4" t="str">
        <f t="shared" si="175"/>
        <v/>
      </c>
    </row>
    <row r="2196" spans="16:26" x14ac:dyDescent="0.25">
      <c r="P2196" s="10" t="str">
        <f>IF('[1]All Data '!AZ2201="","",'[1]All Data '!AZ2201)</f>
        <v/>
      </c>
      <c r="Q2196" s="10" t="str">
        <f>IF('[1]All Data '!BB2201="","",'[1]All Data '!BB2201)</f>
        <v/>
      </c>
      <c r="R2196" s="10" t="str">
        <f>IF('[1]All Data '!BD2201="","",'[1]All Data '!BD2201)</f>
        <v/>
      </c>
      <c r="S2196" s="11" t="str">
        <f>IF(R2196="","",'[1]All Data '!BE2201)</f>
        <v/>
      </c>
      <c r="T2196" s="12" t="str">
        <f>IF(S2196="","",[1]Inputs_Outputs!$B$8*(1-'LOCH Calc COE Calc'!S2196))</f>
        <v/>
      </c>
      <c r="U2196" s="13" t="str">
        <f t="shared" si="171"/>
        <v/>
      </c>
      <c r="V2196" s="13" t="str">
        <f t="shared" si="172"/>
        <v/>
      </c>
      <c r="W2196" s="4" t="str">
        <f t="shared" si="173"/>
        <v/>
      </c>
      <c r="X2196" t="str">
        <f>IF(W2196="","",LOOKUP(_xlfn.CONCAT(P2196,", ",Q2196),'[1]T+S Costs'!$F$2:$F$3138,'[1]T+S Costs'!$N$2:$N$3138))</f>
        <v/>
      </c>
      <c r="Y2196" s="14" t="str">
        <f t="shared" si="174"/>
        <v/>
      </c>
      <c r="Z2196" s="4" t="str">
        <f t="shared" si="175"/>
        <v/>
      </c>
    </row>
    <row r="2197" spans="16:26" x14ac:dyDescent="0.25">
      <c r="P2197" s="10" t="str">
        <f>IF('[1]All Data '!AZ2202="","",'[1]All Data '!AZ2202)</f>
        <v/>
      </c>
      <c r="Q2197" s="10" t="str">
        <f>IF('[1]All Data '!BB2202="","",'[1]All Data '!BB2202)</f>
        <v/>
      </c>
      <c r="R2197" s="10" t="str">
        <f>IF('[1]All Data '!BD2202="","",'[1]All Data '!BD2202)</f>
        <v/>
      </c>
      <c r="S2197" s="11" t="str">
        <f>IF(R2197="","",'[1]All Data '!BE2202)</f>
        <v/>
      </c>
      <c r="T2197" s="12" t="str">
        <f>IF(S2197="","",[1]Inputs_Outputs!$B$8*(1-'LOCH Calc COE Calc'!S2197))</f>
        <v/>
      </c>
      <c r="U2197" s="13" t="str">
        <f t="shared" si="171"/>
        <v/>
      </c>
      <c r="V2197" s="13" t="str">
        <f t="shared" si="172"/>
        <v/>
      </c>
      <c r="W2197" s="4" t="str">
        <f t="shared" si="173"/>
        <v/>
      </c>
      <c r="X2197" t="str">
        <f>IF(W2197="","",LOOKUP(_xlfn.CONCAT(P2197,", ",Q2197),'[1]T+S Costs'!$F$2:$F$3138,'[1]T+S Costs'!$N$2:$N$3138))</f>
        <v/>
      </c>
      <c r="Y2197" s="14" t="str">
        <f t="shared" si="174"/>
        <v/>
      </c>
      <c r="Z2197" s="4" t="str">
        <f t="shared" si="175"/>
        <v/>
      </c>
    </row>
    <row r="2198" spans="16:26" x14ac:dyDescent="0.25">
      <c r="P2198" s="10" t="str">
        <f>IF('[1]All Data '!AZ2203="","",'[1]All Data '!AZ2203)</f>
        <v/>
      </c>
      <c r="Q2198" s="10" t="str">
        <f>IF('[1]All Data '!BB2203="","",'[1]All Data '!BB2203)</f>
        <v/>
      </c>
      <c r="R2198" s="10" t="str">
        <f>IF('[1]All Data '!BD2203="","",'[1]All Data '!BD2203)</f>
        <v/>
      </c>
      <c r="S2198" s="11" t="str">
        <f>IF(R2198="","",'[1]All Data '!BE2203)</f>
        <v/>
      </c>
      <c r="T2198" s="12" t="str">
        <f>IF(S2198="","",[1]Inputs_Outputs!$B$8*(1-'LOCH Calc COE Calc'!S2198))</f>
        <v/>
      </c>
      <c r="U2198" s="13" t="str">
        <f t="shared" si="171"/>
        <v/>
      </c>
      <c r="V2198" s="13" t="str">
        <f t="shared" si="172"/>
        <v/>
      </c>
      <c r="W2198" s="4" t="str">
        <f t="shared" si="173"/>
        <v/>
      </c>
      <c r="X2198" t="str">
        <f>IF(W2198="","",LOOKUP(_xlfn.CONCAT(P2198,", ",Q2198),'[1]T+S Costs'!$F$2:$F$3138,'[1]T+S Costs'!$N$2:$N$3138))</f>
        <v/>
      </c>
      <c r="Y2198" s="14" t="str">
        <f t="shared" si="174"/>
        <v/>
      </c>
      <c r="Z2198" s="4" t="str">
        <f t="shared" si="175"/>
        <v/>
      </c>
    </row>
    <row r="2199" spans="16:26" x14ac:dyDescent="0.25">
      <c r="P2199" s="10" t="str">
        <f>IF('[1]All Data '!AZ2204="","",'[1]All Data '!AZ2204)</f>
        <v/>
      </c>
      <c r="Q2199" s="10" t="str">
        <f>IF('[1]All Data '!BB2204="","",'[1]All Data '!BB2204)</f>
        <v/>
      </c>
      <c r="R2199" s="10" t="str">
        <f>IF('[1]All Data '!BD2204="","",'[1]All Data '!BD2204)</f>
        <v/>
      </c>
      <c r="S2199" s="11" t="str">
        <f>IF(R2199="","",'[1]All Data '!BE2204)</f>
        <v/>
      </c>
      <c r="T2199" s="12" t="str">
        <f>IF(S2199="","",[1]Inputs_Outputs!$B$8*(1-'LOCH Calc COE Calc'!S2199))</f>
        <v/>
      </c>
      <c r="U2199" s="13" t="str">
        <f t="shared" si="171"/>
        <v/>
      </c>
      <c r="V2199" s="13" t="str">
        <f t="shared" si="172"/>
        <v/>
      </c>
      <c r="W2199" s="4" t="str">
        <f t="shared" si="173"/>
        <v/>
      </c>
      <c r="X2199" t="str">
        <f>IF(W2199="","",LOOKUP(_xlfn.CONCAT(P2199,", ",Q2199),'[1]T+S Costs'!$F$2:$F$3138,'[1]T+S Costs'!$N$2:$N$3138))</f>
        <v/>
      </c>
      <c r="Y2199" s="14" t="str">
        <f t="shared" si="174"/>
        <v/>
      </c>
      <c r="Z2199" s="4" t="str">
        <f t="shared" si="175"/>
        <v/>
      </c>
    </row>
    <row r="2200" spans="16:26" x14ac:dyDescent="0.25">
      <c r="P2200" s="10" t="str">
        <f>IF('[1]All Data '!AZ2205="","",'[1]All Data '!AZ2205)</f>
        <v/>
      </c>
      <c r="Q2200" s="10" t="str">
        <f>IF('[1]All Data '!BB2205="","",'[1]All Data '!BB2205)</f>
        <v/>
      </c>
      <c r="R2200" s="10" t="str">
        <f>IF('[1]All Data '!BD2205="","",'[1]All Data '!BD2205)</f>
        <v/>
      </c>
      <c r="S2200" s="11" t="str">
        <f>IF(R2200="","",'[1]All Data '!BE2205)</f>
        <v/>
      </c>
      <c r="T2200" s="12" t="str">
        <f>IF(S2200="","",[1]Inputs_Outputs!$B$8*(1-'LOCH Calc COE Calc'!S2200))</f>
        <v/>
      </c>
      <c r="U2200" s="13" t="str">
        <f t="shared" si="171"/>
        <v/>
      </c>
      <c r="V2200" s="13" t="str">
        <f t="shared" si="172"/>
        <v/>
      </c>
      <c r="W2200" s="4" t="str">
        <f t="shared" si="173"/>
        <v/>
      </c>
      <c r="X2200" t="str">
        <f>IF(W2200="","",LOOKUP(_xlfn.CONCAT(P2200,", ",Q2200),'[1]T+S Costs'!$F$2:$F$3138,'[1]T+S Costs'!$N$2:$N$3138))</f>
        <v/>
      </c>
      <c r="Y2200" s="14" t="str">
        <f t="shared" si="174"/>
        <v/>
      </c>
      <c r="Z2200" s="4" t="str">
        <f t="shared" si="175"/>
        <v/>
      </c>
    </row>
    <row r="2201" spans="16:26" x14ac:dyDescent="0.25">
      <c r="P2201" s="10" t="str">
        <f>IF('[1]All Data '!AZ2206="","",'[1]All Data '!AZ2206)</f>
        <v/>
      </c>
      <c r="Q2201" s="10" t="str">
        <f>IF('[1]All Data '!BB2206="","",'[1]All Data '!BB2206)</f>
        <v/>
      </c>
      <c r="R2201" s="10" t="str">
        <f>IF('[1]All Data '!BD2206="","",'[1]All Data '!BD2206)</f>
        <v/>
      </c>
      <c r="S2201" s="11" t="str">
        <f>IF(R2201="","",'[1]All Data '!BE2206)</f>
        <v/>
      </c>
      <c r="T2201" s="12" t="str">
        <f>IF(S2201="","",[1]Inputs_Outputs!$B$8*(1-'LOCH Calc COE Calc'!S2201))</f>
        <v/>
      </c>
      <c r="U2201" s="13" t="str">
        <f t="shared" si="171"/>
        <v/>
      </c>
      <c r="V2201" s="13" t="str">
        <f t="shared" si="172"/>
        <v/>
      </c>
      <c r="W2201" s="4" t="str">
        <f t="shared" si="173"/>
        <v/>
      </c>
      <c r="X2201" t="str">
        <f>IF(W2201="","",LOOKUP(_xlfn.CONCAT(P2201,", ",Q2201),'[1]T+S Costs'!$F$2:$F$3138,'[1]T+S Costs'!$N$2:$N$3138))</f>
        <v/>
      </c>
      <c r="Y2201" s="14" t="str">
        <f t="shared" si="174"/>
        <v/>
      </c>
      <c r="Z2201" s="4" t="str">
        <f t="shared" si="175"/>
        <v/>
      </c>
    </row>
    <row r="2202" spans="16:26" x14ac:dyDescent="0.25">
      <c r="P2202" s="10" t="str">
        <f>IF('[1]All Data '!AZ2207="","",'[1]All Data '!AZ2207)</f>
        <v/>
      </c>
      <c r="Q2202" s="10" t="str">
        <f>IF('[1]All Data '!BB2207="","",'[1]All Data '!BB2207)</f>
        <v/>
      </c>
      <c r="R2202" s="10" t="str">
        <f>IF('[1]All Data '!BD2207="","",'[1]All Data '!BD2207)</f>
        <v/>
      </c>
      <c r="S2202" s="11" t="str">
        <f>IF(R2202="","",'[1]All Data '!BE2207)</f>
        <v/>
      </c>
      <c r="T2202" s="12" t="str">
        <f>IF(S2202="","",[1]Inputs_Outputs!$B$8*(1-'LOCH Calc COE Calc'!S2202))</f>
        <v/>
      </c>
      <c r="U2202" s="13" t="str">
        <f t="shared" si="171"/>
        <v/>
      </c>
      <c r="V2202" s="13" t="str">
        <f t="shared" si="172"/>
        <v/>
      </c>
      <c r="W2202" s="4" t="str">
        <f t="shared" si="173"/>
        <v/>
      </c>
      <c r="X2202" t="str">
        <f>IF(W2202="","",LOOKUP(_xlfn.CONCAT(P2202,", ",Q2202),'[1]T+S Costs'!$F$2:$F$3138,'[1]T+S Costs'!$N$2:$N$3138))</f>
        <v/>
      </c>
      <c r="Y2202" s="14" t="str">
        <f t="shared" si="174"/>
        <v/>
      </c>
      <c r="Z2202" s="4" t="str">
        <f t="shared" si="175"/>
        <v/>
      </c>
    </row>
    <row r="2203" spans="16:26" x14ac:dyDescent="0.25">
      <c r="P2203" s="10" t="str">
        <f>IF('[1]All Data '!AZ2208="","",'[1]All Data '!AZ2208)</f>
        <v/>
      </c>
      <c r="Q2203" s="10" t="str">
        <f>IF('[1]All Data '!BB2208="","",'[1]All Data '!BB2208)</f>
        <v/>
      </c>
      <c r="R2203" s="10" t="str">
        <f>IF('[1]All Data '!BD2208="","",'[1]All Data '!BD2208)</f>
        <v/>
      </c>
      <c r="S2203" s="11" t="str">
        <f>IF(R2203="","",'[1]All Data '!BE2208)</f>
        <v/>
      </c>
      <c r="T2203" s="12" t="str">
        <f>IF(S2203="","",[1]Inputs_Outputs!$B$8*(1-'LOCH Calc COE Calc'!S2203))</f>
        <v/>
      </c>
      <c r="U2203" s="13" t="str">
        <f t="shared" si="171"/>
        <v/>
      </c>
      <c r="V2203" s="13" t="str">
        <f t="shared" si="172"/>
        <v/>
      </c>
      <c r="W2203" s="4" t="str">
        <f t="shared" si="173"/>
        <v/>
      </c>
      <c r="X2203" t="str">
        <f>IF(W2203="","",LOOKUP(_xlfn.CONCAT(P2203,", ",Q2203),'[1]T+S Costs'!$F$2:$F$3138,'[1]T+S Costs'!$N$2:$N$3138))</f>
        <v/>
      </c>
      <c r="Y2203" s="14" t="str">
        <f t="shared" si="174"/>
        <v/>
      </c>
      <c r="Z2203" s="4" t="str">
        <f t="shared" si="175"/>
        <v/>
      </c>
    </row>
    <row r="2204" spans="16:26" x14ac:dyDescent="0.25">
      <c r="P2204" s="10" t="str">
        <f>IF('[1]All Data '!AZ2209="","",'[1]All Data '!AZ2209)</f>
        <v/>
      </c>
      <c r="Q2204" s="10" t="str">
        <f>IF('[1]All Data '!BB2209="","",'[1]All Data '!BB2209)</f>
        <v/>
      </c>
      <c r="R2204" s="10" t="str">
        <f>IF('[1]All Data '!BD2209="","",'[1]All Data '!BD2209)</f>
        <v/>
      </c>
      <c r="S2204" s="11" t="str">
        <f>IF(R2204="","",'[1]All Data '!BE2209)</f>
        <v/>
      </c>
      <c r="T2204" s="12" t="str">
        <f>IF(S2204="","",[1]Inputs_Outputs!$B$8*(1-'LOCH Calc COE Calc'!S2204))</f>
        <v/>
      </c>
      <c r="U2204" s="13" t="str">
        <f t="shared" si="171"/>
        <v/>
      </c>
      <c r="V2204" s="13" t="str">
        <f t="shared" si="172"/>
        <v/>
      </c>
      <c r="W2204" s="4" t="str">
        <f t="shared" si="173"/>
        <v/>
      </c>
      <c r="X2204" t="str">
        <f>IF(W2204="","",LOOKUP(_xlfn.CONCAT(P2204,", ",Q2204),'[1]T+S Costs'!$F$2:$F$3138,'[1]T+S Costs'!$N$2:$N$3138))</f>
        <v/>
      </c>
      <c r="Y2204" s="14" t="str">
        <f t="shared" si="174"/>
        <v/>
      </c>
      <c r="Z2204" s="4" t="str">
        <f t="shared" si="175"/>
        <v/>
      </c>
    </row>
    <row r="2205" spans="16:26" x14ac:dyDescent="0.25">
      <c r="P2205" s="10" t="str">
        <f>IF('[1]All Data '!AZ2210="","",'[1]All Data '!AZ2210)</f>
        <v/>
      </c>
      <c r="Q2205" s="10" t="str">
        <f>IF('[1]All Data '!BB2210="","",'[1]All Data '!BB2210)</f>
        <v/>
      </c>
      <c r="R2205" s="10" t="str">
        <f>IF('[1]All Data '!BD2210="","",'[1]All Data '!BD2210)</f>
        <v/>
      </c>
      <c r="S2205" s="11" t="str">
        <f>IF(R2205="","",'[1]All Data '!BE2210)</f>
        <v/>
      </c>
      <c r="T2205" s="12" t="str">
        <f>IF(S2205="","",[1]Inputs_Outputs!$B$8*(1-'LOCH Calc COE Calc'!S2205))</f>
        <v/>
      </c>
      <c r="U2205" s="13" t="str">
        <f t="shared" si="171"/>
        <v/>
      </c>
      <c r="V2205" s="13" t="str">
        <f t="shared" si="172"/>
        <v/>
      </c>
      <c r="W2205" s="4" t="str">
        <f t="shared" si="173"/>
        <v/>
      </c>
      <c r="X2205" t="str">
        <f>IF(W2205="","",LOOKUP(_xlfn.CONCAT(P2205,", ",Q2205),'[1]T+S Costs'!$F$2:$F$3138,'[1]T+S Costs'!$N$2:$N$3138))</f>
        <v/>
      </c>
      <c r="Y2205" s="14" t="str">
        <f t="shared" si="174"/>
        <v/>
      </c>
      <c r="Z2205" s="4" t="str">
        <f t="shared" si="175"/>
        <v/>
      </c>
    </row>
    <row r="2206" spans="16:26" x14ac:dyDescent="0.25">
      <c r="P2206" s="10" t="str">
        <f>IF('[1]All Data '!AZ2211="","",'[1]All Data '!AZ2211)</f>
        <v/>
      </c>
      <c r="Q2206" s="10" t="str">
        <f>IF('[1]All Data '!BB2211="","",'[1]All Data '!BB2211)</f>
        <v/>
      </c>
      <c r="R2206" s="10" t="str">
        <f>IF('[1]All Data '!BD2211="","",'[1]All Data '!BD2211)</f>
        <v/>
      </c>
      <c r="S2206" s="11" t="str">
        <f>IF(R2206="","",'[1]All Data '!BE2211)</f>
        <v/>
      </c>
      <c r="T2206" s="12" t="str">
        <f>IF(S2206="","",[1]Inputs_Outputs!$B$8*(1-'LOCH Calc COE Calc'!S2206))</f>
        <v/>
      </c>
      <c r="U2206" s="13" t="str">
        <f t="shared" si="171"/>
        <v/>
      </c>
      <c r="V2206" s="13" t="str">
        <f t="shared" si="172"/>
        <v/>
      </c>
      <c r="W2206" s="4" t="str">
        <f t="shared" si="173"/>
        <v/>
      </c>
      <c r="X2206" t="str">
        <f>IF(W2206="","",LOOKUP(_xlfn.CONCAT(P2206,", ",Q2206),'[1]T+S Costs'!$F$2:$F$3138,'[1]T+S Costs'!$N$2:$N$3138))</f>
        <v/>
      </c>
      <c r="Y2206" s="14" t="str">
        <f t="shared" si="174"/>
        <v/>
      </c>
      <c r="Z2206" s="4" t="str">
        <f t="shared" si="175"/>
        <v/>
      </c>
    </row>
    <row r="2207" spans="16:26" x14ac:dyDescent="0.25">
      <c r="P2207" s="10" t="str">
        <f>IF('[1]All Data '!AZ2212="","",'[1]All Data '!AZ2212)</f>
        <v/>
      </c>
      <c r="Q2207" s="10" t="str">
        <f>IF('[1]All Data '!BB2212="","",'[1]All Data '!BB2212)</f>
        <v/>
      </c>
      <c r="R2207" s="10" t="str">
        <f>IF('[1]All Data '!BD2212="","",'[1]All Data '!BD2212)</f>
        <v/>
      </c>
      <c r="S2207" s="11" t="str">
        <f>IF(R2207="","",'[1]All Data '!BE2212)</f>
        <v/>
      </c>
      <c r="T2207" s="12" t="str">
        <f>IF(S2207="","",[1]Inputs_Outputs!$B$8*(1-'LOCH Calc COE Calc'!S2207))</f>
        <v/>
      </c>
      <c r="U2207" s="13" t="str">
        <f t="shared" si="171"/>
        <v/>
      </c>
      <c r="V2207" s="13" t="str">
        <f t="shared" si="172"/>
        <v/>
      </c>
      <c r="W2207" s="4" t="str">
        <f t="shared" si="173"/>
        <v/>
      </c>
      <c r="X2207" t="str">
        <f>IF(W2207="","",LOOKUP(_xlfn.CONCAT(P2207,", ",Q2207),'[1]T+S Costs'!$F$2:$F$3138,'[1]T+S Costs'!$N$2:$N$3138))</f>
        <v/>
      </c>
      <c r="Y2207" s="14" t="str">
        <f t="shared" si="174"/>
        <v/>
      </c>
      <c r="Z2207" s="4" t="str">
        <f t="shared" si="175"/>
        <v/>
      </c>
    </row>
    <row r="2208" spans="16:26" x14ac:dyDescent="0.25">
      <c r="P2208" s="10" t="str">
        <f>IF('[1]All Data '!AZ2213="","",'[1]All Data '!AZ2213)</f>
        <v/>
      </c>
      <c r="Q2208" s="10" t="str">
        <f>IF('[1]All Data '!BB2213="","",'[1]All Data '!BB2213)</f>
        <v/>
      </c>
      <c r="R2208" s="10" t="str">
        <f>IF('[1]All Data '!BD2213="","",'[1]All Data '!BD2213)</f>
        <v/>
      </c>
      <c r="S2208" s="11" t="str">
        <f>IF(R2208="","",'[1]All Data '!BE2213)</f>
        <v/>
      </c>
      <c r="T2208" s="12" t="str">
        <f>IF(S2208="","",[1]Inputs_Outputs!$B$8*(1-'LOCH Calc COE Calc'!S2208))</f>
        <v/>
      </c>
      <c r="U2208" s="13" t="str">
        <f t="shared" si="171"/>
        <v/>
      </c>
      <c r="V2208" s="13" t="str">
        <f t="shared" si="172"/>
        <v/>
      </c>
      <c r="W2208" s="4" t="str">
        <f t="shared" si="173"/>
        <v/>
      </c>
      <c r="X2208" t="str">
        <f>IF(W2208="","",LOOKUP(_xlfn.CONCAT(P2208,", ",Q2208),'[1]T+S Costs'!$F$2:$F$3138,'[1]T+S Costs'!$N$2:$N$3138))</f>
        <v/>
      </c>
      <c r="Y2208" s="14" t="str">
        <f t="shared" si="174"/>
        <v/>
      </c>
      <c r="Z2208" s="4" t="str">
        <f t="shared" si="175"/>
        <v/>
      </c>
    </row>
    <row r="2209" spans="16:26" x14ac:dyDescent="0.25">
      <c r="P2209" s="10" t="str">
        <f>IF('[1]All Data '!AZ2214="","",'[1]All Data '!AZ2214)</f>
        <v/>
      </c>
      <c r="Q2209" s="10" t="str">
        <f>IF('[1]All Data '!BB2214="","",'[1]All Data '!BB2214)</f>
        <v/>
      </c>
      <c r="R2209" s="10" t="str">
        <f>IF('[1]All Data '!BD2214="","",'[1]All Data '!BD2214)</f>
        <v/>
      </c>
      <c r="S2209" s="11" t="str">
        <f>IF(R2209="","",'[1]All Data '!BE2214)</f>
        <v/>
      </c>
      <c r="T2209" s="12" t="str">
        <f>IF(S2209="","",[1]Inputs_Outputs!$B$8*(1-'LOCH Calc COE Calc'!S2209))</f>
        <v/>
      </c>
      <c r="U2209" s="13" t="str">
        <f t="shared" si="171"/>
        <v/>
      </c>
      <c r="V2209" s="13" t="str">
        <f t="shared" si="172"/>
        <v/>
      </c>
      <c r="W2209" s="4" t="str">
        <f t="shared" si="173"/>
        <v/>
      </c>
      <c r="X2209" t="str">
        <f>IF(W2209="","",LOOKUP(_xlfn.CONCAT(P2209,", ",Q2209),'[1]T+S Costs'!$F$2:$F$3138,'[1]T+S Costs'!$N$2:$N$3138))</f>
        <v/>
      </c>
      <c r="Y2209" s="14" t="str">
        <f t="shared" si="174"/>
        <v/>
      </c>
      <c r="Z2209" s="4" t="str">
        <f t="shared" si="175"/>
        <v/>
      </c>
    </row>
    <row r="2210" spans="16:26" x14ac:dyDescent="0.25">
      <c r="P2210" s="10" t="str">
        <f>IF('[1]All Data '!AZ2215="","",'[1]All Data '!AZ2215)</f>
        <v/>
      </c>
      <c r="Q2210" s="10" t="str">
        <f>IF('[1]All Data '!BB2215="","",'[1]All Data '!BB2215)</f>
        <v/>
      </c>
      <c r="R2210" s="10" t="str">
        <f>IF('[1]All Data '!BD2215="","",'[1]All Data '!BD2215)</f>
        <v/>
      </c>
      <c r="S2210" s="11" t="str">
        <f>IF(R2210="","",'[1]All Data '!BE2215)</f>
        <v/>
      </c>
      <c r="T2210" s="12" t="str">
        <f>IF(S2210="","",[1]Inputs_Outputs!$B$8*(1-'LOCH Calc COE Calc'!S2210))</f>
        <v/>
      </c>
      <c r="U2210" s="13" t="str">
        <f t="shared" si="171"/>
        <v/>
      </c>
      <c r="V2210" s="13" t="str">
        <f t="shared" si="172"/>
        <v/>
      </c>
      <c r="W2210" s="4" t="str">
        <f t="shared" si="173"/>
        <v/>
      </c>
      <c r="X2210" t="str">
        <f>IF(W2210="","",LOOKUP(_xlfn.CONCAT(P2210,", ",Q2210),'[1]T+S Costs'!$F$2:$F$3138,'[1]T+S Costs'!$N$2:$N$3138))</f>
        <v/>
      </c>
      <c r="Y2210" s="14" t="str">
        <f t="shared" si="174"/>
        <v/>
      </c>
      <c r="Z2210" s="4" t="str">
        <f t="shared" si="175"/>
        <v/>
      </c>
    </row>
    <row r="2211" spans="16:26" x14ac:dyDescent="0.25">
      <c r="P2211" s="10" t="str">
        <f>IF('[1]All Data '!AZ2216="","",'[1]All Data '!AZ2216)</f>
        <v/>
      </c>
      <c r="Q2211" s="10" t="str">
        <f>IF('[1]All Data '!BB2216="","",'[1]All Data '!BB2216)</f>
        <v/>
      </c>
      <c r="R2211" s="10" t="str">
        <f>IF('[1]All Data '!BD2216="","",'[1]All Data '!BD2216)</f>
        <v/>
      </c>
      <c r="S2211" s="11" t="str">
        <f>IF(R2211="","",'[1]All Data '!BE2216)</f>
        <v/>
      </c>
      <c r="T2211" s="12" t="str">
        <f>IF(S2211="","",[1]Inputs_Outputs!$B$8*(1-'LOCH Calc COE Calc'!S2211))</f>
        <v/>
      </c>
      <c r="U2211" s="13" t="str">
        <f t="shared" si="171"/>
        <v/>
      </c>
      <c r="V2211" s="13" t="str">
        <f t="shared" si="172"/>
        <v/>
      </c>
      <c r="W2211" s="4" t="str">
        <f t="shared" si="173"/>
        <v/>
      </c>
      <c r="X2211" t="str">
        <f>IF(W2211="","",LOOKUP(_xlfn.CONCAT(P2211,", ",Q2211),'[1]T+S Costs'!$F$2:$F$3138,'[1]T+S Costs'!$N$2:$N$3138))</f>
        <v/>
      </c>
      <c r="Y2211" s="14" t="str">
        <f t="shared" si="174"/>
        <v/>
      </c>
      <c r="Z2211" s="4" t="str">
        <f t="shared" si="175"/>
        <v/>
      </c>
    </row>
    <row r="2212" spans="16:26" x14ac:dyDescent="0.25">
      <c r="P2212" s="10" t="str">
        <f>IF('[1]All Data '!AZ2217="","",'[1]All Data '!AZ2217)</f>
        <v/>
      </c>
      <c r="Q2212" s="10" t="str">
        <f>IF('[1]All Data '!BB2217="","",'[1]All Data '!BB2217)</f>
        <v/>
      </c>
      <c r="R2212" s="10" t="str">
        <f>IF('[1]All Data '!BD2217="","",'[1]All Data '!BD2217)</f>
        <v/>
      </c>
      <c r="S2212" s="11" t="str">
        <f>IF(R2212="","",'[1]All Data '!BE2217)</f>
        <v/>
      </c>
      <c r="T2212" s="12" t="str">
        <f>IF(S2212="","",[1]Inputs_Outputs!$B$8*(1-'LOCH Calc COE Calc'!S2212))</f>
        <v/>
      </c>
      <c r="U2212" s="13" t="str">
        <f t="shared" si="171"/>
        <v/>
      </c>
      <c r="V2212" s="13" t="str">
        <f t="shared" si="172"/>
        <v/>
      </c>
      <c r="W2212" s="4" t="str">
        <f t="shared" si="173"/>
        <v/>
      </c>
      <c r="X2212" t="str">
        <f>IF(W2212="","",LOOKUP(_xlfn.CONCAT(P2212,", ",Q2212),'[1]T+S Costs'!$F$2:$F$3138,'[1]T+S Costs'!$N$2:$N$3138))</f>
        <v/>
      </c>
      <c r="Y2212" s="14" t="str">
        <f t="shared" si="174"/>
        <v/>
      </c>
      <c r="Z2212" s="4" t="str">
        <f t="shared" si="175"/>
        <v/>
      </c>
    </row>
    <row r="2213" spans="16:26" x14ac:dyDescent="0.25">
      <c r="P2213" s="10" t="str">
        <f>IF('[1]All Data '!AZ2218="","",'[1]All Data '!AZ2218)</f>
        <v/>
      </c>
      <c r="Q2213" s="10" t="str">
        <f>IF('[1]All Data '!BB2218="","",'[1]All Data '!BB2218)</f>
        <v/>
      </c>
      <c r="R2213" s="10" t="str">
        <f>IF('[1]All Data '!BD2218="","",'[1]All Data '!BD2218)</f>
        <v/>
      </c>
      <c r="S2213" s="11" t="str">
        <f>IF(R2213="","",'[1]All Data '!BE2218)</f>
        <v/>
      </c>
      <c r="T2213" s="12" t="str">
        <f>IF(S2213="","",[1]Inputs_Outputs!$B$8*(1-'LOCH Calc COE Calc'!S2213))</f>
        <v/>
      </c>
      <c r="U2213" s="13" t="str">
        <f t="shared" si="171"/>
        <v/>
      </c>
      <c r="V2213" s="13" t="str">
        <f t="shared" si="172"/>
        <v/>
      </c>
      <c r="W2213" s="4" t="str">
        <f t="shared" si="173"/>
        <v/>
      </c>
      <c r="X2213" t="str">
        <f>IF(W2213="","",LOOKUP(_xlfn.CONCAT(P2213,", ",Q2213),'[1]T+S Costs'!$F$2:$F$3138,'[1]T+S Costs'!$N$2:$N$3138))</f>
        <v/>
      </c>
      <c r="Y2213" s="14" t="str">
        <f t="shared" si="174"/>
        <v/>
      </c>
      <c r="Z2213" s="4" t="str">
        <f t="shared" si="175"/>
        <v/>
      </c>
    </row>
    <row r="2214" spans="16:26" x14ac:dyDescent="0.25">
      <c r="P2214" s="10" t="str">
        <f>IF('[1]All Data '!AZ2219="","",'[1]All Data '!AZ2219)</f>
        <v/>
      </c>
      <c r="Q2214" s="10" t="str">
        <f>IF('[1]All Data '!BB2219="","",'[1]All Data '!BB2219)</f>
        <v/>
      </c>
      <c r="R2214" s="10" t="str">
        <f>IF('[1]All Data '!BD2219="","",'[1]All Data '!BD2219)</f>
        <v/>
      </c>
      <c r="S2214" s="11" t="str">
        <f>IF(R2214="","",'[1]All Data '!BE2219)</f>
        <v/>
      </c>
      <c r="T2214" s="12" t="str">
        <f>IF(S2214="","",[1]Inputs_Outputs!$B$8*(1-'LOCH Calc COE Calc'!S2214))</f>
        <v/>
      </c>
      <c r="U2214" s="13" t="str">
        <f t="shared" si="171"/>
        <v/>
      </c>
      <c r="V2214" s="13" t="str">
        <f t="shared" si="172"/>
        <v/>
      </c>
      <c r="W2214" s="4" t="str">
        <f t="shared" si="173"/>
        <v/>
      </c>
      <c r="X2214" t="str">
        <f>IF(W2214="","",LOOKUP(_xlfn.CONCAT(P2214,", ",Q2214),'[1]T+S Costs'!$F$2:$F$3138,'[1]T+S Costs'!$N$2:$N$3138))</f>
        <v/>
      </c>
      <c r="Y2214" s="14" t="str">
        <f t="shared" si="174"/>
        <v/>
      </c>
      <c r="Z2214" s="4" t="str">
        <f t="shared" si="175"/>
        <v/>
      </c>
    </row>
    <row r="2215" spans="16:26" x14ac:dyDescent="0.25">
      <c r="P2215" s="10" t="str">
        <f>IF('[1]All Data '!AZ2220="","",'[1]All Data '!AZ2220)</f>
        <v/>
      </c>
      <c r="Q2215" s="10" t="str">
        <f>IF('[1]All Data '!BB2220="","",'[1]All Data '!BB2220)</f>
        <v/>
      </c>
      <c r="R2215" s="10" t="str">
        <f>IF('[1]All Data '!BD2220="","",'[1]All Data '!BD2220)</f>
        <v/>
      </c>
      <c r="S2215" s="11" t="str">
        <f>IF(R2215="","",'[1]All Data '!BE2220)</f>
        <v/>
      </c>
      <c r="T2215" s="12" t="str">
        <f>IF(S2215="","",[1]Inputs_Outputs!$B$8*(1-'LOCH Calc COE Calc'!S2215))</f>
        <v/>
      </c>
      <c r="U2215" s="13" t="str">
        <f t="shared" si="171"/>
        <v/>
      </c>
      <c r="V2215" s="13" t="str">
        <f t="shared" si="172"/>
        <v/>
      </c>
      <c r="W2215" s="4" t="str">
        <f t="shared" si="173"/>
        <v/>
      </c>
      <c r="X2215" t="str">
        <f>IF(W2215="","",LOOKUP(_xlfn.CONCAT(P2215,", ",Q2215),'[1]T+S Costs'!$F$2:$F$3138,'[1]T+S Costs'!$N$2:$N$3138))</f>
        <v/>
      </c>
      <c r="Y2215" s="14" t="str">
        <f t="shared" si="174"/>
        <v/>
      </c>
      <c r="Z2215" s="4" t="str">
        <f t="shared" si="175"/>
        <v/>
      </c>
    </row>
    <row r="2216" spans="16:26" x14ac:dyDescent="0.25">
      <c r="P2216" s="10" t="str">
        <f>IF('[1]All Data '!AZ2221="","",'[1]All Data '!AZ2221)</f>
        <v/>
      </c>
      <c r="Q2216" s="10" t="str">
        <f>IF('[1]All Data '!BB2221="","",'[1]All Data '!BB2221)</f>
        <v/>
      </c>
      <c r="R2216" s="10" t="str">
        <f>IF('[1]All Data '!BD2221="","",'[1]All Data '!BD2221)</f>
        <v/>
      </c>
      <c r="S2216" s="11" t="str">
        <f>IF(R2216="","",'[1]All Data '!BE2221)</f>
        <v/>
      </c>
      <c r="T2216" s="12" t="str">
        <f>IF(S2216="","",[1]Inputs_Outputs!$B$8*(1-'LOCH Calc COE Calc'!S2216))</f>
        <v/>
      </c>
      <c r="U2216" s="13" t="str">
        <f t="shared" si="171"/>
        <v/>
      </c>
      <c r="V2216" s="13" t="str">
        <f t="shared" si="172"/>
        <v/>
      </c>
      <c r="W2216" s="4" t="str">
        <f t="shared" si="173"/>
        <v/>
      </c>
      <c r="X2216" t="str">
        <f>IF(W2216="","",LOOKUP(_xlfn.CONCAT(P2216,", ",Q2216),'[1]T+S Costs'!$F$2:$F$3138,'[1]T+S Costs'!$N$2:$N$3138))</f>
        <v/>
      </c>
      <c r="Y2216" s="14" t="str">
        <f t="shared" si="174"/>
        <v/>
      </c>
      <c r="Z2216" s="4" t="str">
        <f t="shared" si="175"/>
        <v/>
      </c>
    </row>
    <row r="2217" spans="16:26" x14ac:dyDescent="0.25">
      <c r="P2217" s="10" t="str">
        <f>IF('[1]All Data '!AZ2222="","",'[1]All Data '!AZ2222)</f>
        <v/>
      </c>
      <c r="Q2217" s="10" t="str">
        <f>IF('[1]All Data '!BB2222="","",'[1]All Data '!BB2222)</f>
        <v/>
      </c>
      <c r="R2217" s="10" t="str">
        <f>IF('[1]All Data '!BD2222="","",'[1]All Data '!BD2222)</f>
        <v/>
      </c>
      <c r="S2217" s="11" t="str">
        <f>IF(R2217="","",'[1]All Data '!BE2222)</f>
        <v/>
      </c>
      <c r="T2217" s="12" t="str">
        <f>IF(S2217="","",[1]Inputs_Outputs!$B$8*(1-'LOCH Calc COE Calc'!S2217))</f>
        <v/>
      </c>
      <c r="U2217" s="13" t="str">
        <f t="shared" si="171"/>
        <v/>
      </c>
      <c r="V2217" s="13" t="str">
        <f t="shared" si="172"/>
        <v/>
      </c>
      <c r="W2217" s="4" t="str">
        <f t="shared" si="173"/>
        <v/>
      </c>
      <c r="X2217" t="str">
        <f>IF(W2217="","",LOOKUP(_xlfn.CONCAT(P2217,", ",Q2217),'[1]T+S Costs'!$F$2:$F$3138,'[1]T+S Costs'!$N$2:$N$3138))</f>
        <v/>
      </c>
      <c r="Y2217" s="14" t="str">
        <f t="shared" si="174"/>
        <v/>
      </c>
      <c r="Z2217" s="4" t="str">
        <f t="shared" si="175"/>
        <v/>
      </c>
    </row>
    <row r="2218" spans="16:26" x14ac:dyDescent="0.25">
      <c r="P2218" s="10" t="str">
        <f>IF('[1]All Data '!AZ2223="","",'[1]All Data '!AZ2223)</f>
        <v/>
      </c>
      <c r="Q2218" s="10" t="str">
        <f>IF('[1]All Data '!BB2223="","",'[1]All Data '!BB2223)</f>
        <v/>
      </c>
      <c r="R2218" s="10" t="str">
        <f>IF('[1]All Data '!BD2223="","",'[1]All Data '!BD2223)</f>
        <v/>
      </c>
      <c r="S2218" s="11" t="str">
        <f>IF(R2218="","",'[1]All Data '!BE2223)</f>
        <v/>
      </c>
      <c r="T2218" s="12" t="str">
        <f>IF(S2218="","",[1]Inputs_Outputs!$B$8*(1-'LOCH Calc COE Calc'!S2218))</f>
        <v/>
      </c>
      <c r="U2218" s="13" t="str">
        <f t="shared" si="171"/>
        <v/>
      </c>
      <c r="V2218" s="13" t="str">
        <f t="shared" si="172"/>
        <v/>
      </c>
      <c r="W2218" s="4" t="str">
        <f t="shared" si="173"/>
        <v/>
      </c>
      <c r="X2218" t="str">
        <f>IF(W2218="","",LOOKUP(_xlfn.CONCAT(P2218,", ",Q2218),'[1]T+S Costs'!$F$2:$F$3138,'[1]T+S Costs'!$N$2:$N$3138))</f>
        <v/>
      </c>
      <c r="Y2218" s="14" t="str">
        <f t="shared" si="174"/>
        <v/>
      </c>
      <c r="Z2218" s="4" t="str">
        <f t="shared" si="175"/>
        <v/>
      </c>
    </row>
    <row r="2219" spans="16:26" x14ac:dyDescent="0.25">
      <c r="P2219" s="10" t="str">
        <f>IF('[1]All Data '!AZ2224="","",'[1]All Data '!AZ2224)</f>
        <v/>
      </c>
      <c r="Q2219" s="10" t="str">
        <f>IF('[1]All Data '!BB2224="","",'[1]All Data '!BB2224)</f>
        <v/>
      </c>
      <c r="R2219" s="10" t="str">
        <f>IF('[1]All Data '!BD2224="","",'[1]All Data '!BD2224)</f>
        <v/>
      </c>
      <c r="S2219" s="11" t="str">
        <f>IF(R2219="","",'[1]All Data '!BE2224)</f>
        <v/>
      </c>
      <c r="T2219" s="12" t="str">
        <f>IF(S2219="","",[1]Inputs_Outputs!$B$8*(1-'LOCH Calc COE Calc'!S2219))</f>
        <v/>
      </c>
      <c r="U2219" s="13" t="str">
        <f t="shared" si="171"/>
        <v/>
      </c>
      <c r="V2219" s="13" t="str">
        <f t="shared" si="172"/>
        <v/>
      </c>
      <c r="W2219" s="4" t="str">
        <f t="shared" si="173"/>
        <v/>
      </c>
      <c r="X2219" t="str">
        <f>IF(W2219="","",LOOKUP(_xlfn.CONCAT(P2219,", ",Q2219),'[1]T+S Costs'!$F$2:$F$3138,'[1]T+S Costs'!$N$2:$N$3138))</f>
        <v/>
      </c>
      <c r="Y2219" s="14" t="str">
        <f t="shared" si="174"/>
        <v/>
      </c>
      <c r="Z2219" s="4" t="str">
        <f t="shared" si="175"/>
        <v/>
      </c>
    </row>
    <row r="2220" spans="16:26" x14ac:dyDescent="0.25">
      <c r="P2220" s="10" t="str">
        <f>IF('[1]All Data '!AZ2225="","",'[1]All Data '!AZ2225)</f>
        <v/>
      </c>
      <c r="Q2220" s="10" t="str">
        <f>IF('[1]All Data '!BB2225="","",'[1]All Data '!BB2225)</f>
        <v/>
      </c>
      <c r="R2220" s="10" t="str">
        <f>IF('[1]All Data '!BD2225="","",'[1]All Data '!BD2225)</f>
        <v/>
      </c>
      <c r="S2220" s="11" t="str">
        <f>IF(R2220="","",'[1]All Data '!BE2225)</f>
        <v/>
      </c>
      <c r="T2220" s="12" t="str">
        <f>IF(S2220="","",[1]Inputs_Outputs!$B$8*(1-'LOCH Calc COE Calc'!S2220))</f>
        <v/>
      </c>
      <c r="U2220" s="13" t="str">
        <f t="shared" si="171"/>
        <v/>
      </c>
      <c r="V2220" s="13" t="str">
        <f t="shared" si="172"/>
        <v/>
      </c>
      <c r="W2220" s="4" t="str">
        <f t="shared" si="173"/>
        <v/>
      </c>
      <c r="X2220" t="str">
        <f>IF(W2220="","",LOOKUP(_xlfn.CONCAT(P2220,", ",Q2220),'[1]T+S Costs'!$F$2:$F$3138,'[1]T+S Costs'!$N$2:$N$3138))</f>
        <v/>
      </c>
      <c r="Y2220" s="14" t="str">
        <f t="shared" si="174"/>
        <v/>
      </c>
      <c r="Z2220" s="4" t="str">
        <f t="shared" si="175"/>
        <v/>
      </c>
    </row>
    <row r="2221" spans="16:26" x14ac:dyDescent="0.25">
      <c r="P2221" s="10" t="str">
        <f>IF('[1]All Data '!AZ2226="","",'[1]All Data '!AZ2226)</f>
        <v/>
      </c>
      <c r="Q2221" s="10" t="str">
        <f>IF('[1]All Data '!BB2226="","",'[1]All Data '!BB2226)</f>
        <v/>
      </c>
      <c r="R2221" s="10" t="str">
        <f>IF('[1]All Data '!BD2226="","",'[1]All Data '!BD2226)</f>
        <v/>
      </c>
      <c r="S2221" s="11" t="str">
        <f>IF(R2221="","",'[1]All Data '!BE2226)</f>
        <v/>
      </c>
      <c r="T2221" s="12" t="str">
        <f>IF(S2221="","",[1]Inputs_Outputs!$B$8*(1-'LOCH Calc COE Calc'!S2221))</f>
        <v/>
      </c>
      <c r="U2221" s="13" t="str">
        <f t="shared" si="171"/>
        <v/>
      </c>
      <c r="V2221" s="13" t="str">
        <f t="shared" si="172"/>
        <v/>
      </c>
      <c r="W2221" s="4" t="str">
        <f t="shared" si="173"/>
        <v/>
      </c>
      <c r="X2221" t="str">
        <f>IF(W2221="","",LOOKUP(_xlfn.CONCAT(P2221,", ",Q2221),'[1]T+S Costs'!$F$2:$F$3138,'[1]T+S Costs'!$N$2:$N$3138))</f>
        <v/>
      </c>
      <c r="Y2221" s="14" t="str">
        <f t="shared" si="174"/>
        <v/>
      </c>
      <c r="Z2221" s="4" t="str">
        <f t="shared" si="175"/>
        <v/>
      </c>
    </row>
    <row r="2222" spans="16:26" x14ac:dyDescent="0.25">
      <c r="P2222" s="10" t="str">
        <f>IF('[1]All Data '!AZ2227="","",'[1]All Data '!AZ2227)</f>
        <v/>
      </c>
      <c r="Q2222" s="10" t="str">
        <f>IF('[1]All Data '!BB2227="","",'[1]All Data '!BB2227)</f>
        <v/>
      </c>
      <c r="R2222" s="10" t="str">
        <f>IF('[1]All Data '!BD2227="","",'[1]All Data '!BD2227)</f>
        <v/>
      </c>
      <c r="S2222" s="11" t="str">
        <f>IF(R2222="","",'[1]All Data '!BE2227)</f>
        <v/>
      </c>
      <c r="T2222" s="12" t="str">
        <f>IF(S2222="","",[1]Inputs_Outputs!$B$8*(1-'LOCH Calc COE Calc'!S2222))</f>
        <v/>
      </c>
      <c r="U2222" s="13" t="str">
        <f t="shared" si="171"/>
        <v/>
      </c>
      <c r="V2222" s="13" t="str">
        <f t="shared" si="172"/>
        <v/>
      </c>
      <c r="W2222" s="4" t="str">
        <f t="shared" si="173"/>
        <v/>
      </c>
      <c r="X2222" t="str">
        <f>IF(W2222="","",LOOKUP(_xlfn.CONCAT(P2222,", ",Q2222),'[1]T+S Costs'!$F$2:$F$3138,'[1]T+S Costs'!$N$2:$N$3138))</f>
        <v/>
      </c>
      <c r="Y2222" s="14" t="str">
        <f t="shared" si="174"/>
        <v/>
      </c>
      <c r="Z2222" s="4" t="str">
        <f t="shared" si="175"/>
        <v/>
      </c>
    </row>
    <row r="2223" spans="16:26" x14ac:dyDescent="0.25">
      <c r="P2223" s="10" t="str">
        <f>IF('[1]All Data '!AZ2228="","",'[1]All Data '!AZ2228)</f>
        <v/>
      </c>
      <c r="Q2223" s="10" t="str">
        <f>IF('[1]All Data '!BB2228="","",'[1]All Data '!BB2228)</f>
        <v/>
      </c>
      <c r="R2223" s="10" t="str">
        <f>IF('[1]All Data '!BD2228="","",'[1]All Data '!BD2228)</f>
        <v/>
      </c>
      <c r="S2223" s="11" t="str">
        <f>IF(R2223="","",'[1]All Data '!BE2228)</f>
        <v/>
      </c>
      <c r="T2223" s="12" t="str">
        <f>IF(S2223="","",[1]Inputs_Outputs!$B$8*(1-'LOCH Calc COE Calc'!S2223))</f>
        <v/>
      </c>
      <c r="U2223" s="13" t="str">
        <f t="shared" si="171"/>
        <v/>
      </c>
      <c r="V2223" s="13" t="str">
        <f t="shared" si="172"/>
        <v/>
      </c>
      <c r="W2223" s="4" t="str">
        <f t="shared" si="173"/>
        <v/>
      </c>
      <c r="X2223" t="str">
        <f>IF(W2223="","",LOOKUP(_xlfn.CONCAT(P2223,", ",Q2223),'[1]T+S Costs'!$F$2:$F$3138,'[1]T+S Costs'!$N$2:$N$3138))</f>
        <v/>
      </c>
      <c r="Y2223" s="14" t="str">
        <f t="shared" si="174"/>
        <v/>
      </c>
      <c r="Z2223" s="4" t="str">
        <f t="shared" si="175"/>
        <v/>
      </c>
    </row>
    <row r="2224" spans="16:26" x14ac:dyDescent="0.25">
      <c r="P2224" s="10" t="str">
        <f>IF('[1]All Data '!AZ2229="","",'[1]All Data '!AZ2229)</f>
        <v/>
      </c>
      <c r="Q2224" s="10" t="str">
        <f>IF('[1]All Data '!BB2229="","",'[1]All Data '!BB2229)</f>
        <v/>
      </c>
      <c r="R2224" s="10" t="str">
        <f>IF('[1]All Data '!BD2229="","",'[1]All Data '!BD2229)</f>
        <v/>
      </c>
      <c r="S2224" s="11" t="str">
        <f>IF(R2224="","",'[1]All Data '!BE2229)</f>
        <v/>
      </c>
      <c r="T2224" s="12" t="str">
        <f>IF(S2224="","",[1]Inputs_Outputs!$B$8*(1-'LOCH Calc COE Calc'!S2224))</f>
        <v/>
      </c>
      <c r="U2224" s="13" t="str">
        <f t="shared" si="171"/>
        <v/>
      </c>
      <c r="V2224" s="13" t="str">
        <f t="shared" si="172"/>
        <v/>
      </c>
      <c r="W2224" s="4" t="str">
        <f t="shared" si="173"/>
        <v/>
      </c>
      <c r="X2224" t="str">
        <f>IF(W2224="","",LOOKUP(_xlfn.CONCAT(P2224,", ",Q2224),'[1]T+S Costs'!$F$2:$F$3138,'[1]T+S Costs'!$N$2:$N$3138))</f>
        <v/>
      </c>
      <c r="Y2224" s="14" t="str">
        <f t="shared" si="174"/>
        <v/>
      </c>
      <c r="Z2224" s="4" t="str">
        <f t="shared" si="175"/>
        <v/>
      </c>
    </row>
    <row r="2225" spans="16:26" x14ac:dyDescent="0.25">
      <c r="P2225" s="10" t="str">
        <f>IF('[1]All Data '!AZ2230="","",'[1]All Data '!AZ2230)</f>
        <v/>
      </c>
      <c r="Q2225" s="10" t="str">
        <f>IF('[1]All Data '!BB2230="","",'[1]All Data '!BB2230)</f>
        <v/>
      </c>
      <c r="R2225" s="10" t="str">
        <f>IF('[1]All Data '!BD2230="","",'[1]All Data '!BD2230)</f>
        <v/>
      </c>
      <c r="S2225" s="11" t="str">
        <f>IF(R2225="","",'[1]All Data '!BE2230)</f>
        <v/>
      </c>
      <c r="T2225" s="12" t="str">
        <f>IF(S2225="","",[1]Inputs_Outputs!$B$8*(1-'LOCH Calc COE Calc'!S2225))</f>
        <v/>
      </c>
      <c r="U2225" s="13" t="str">
        <f t="shared" si="171"/>
        <v/>
      </c>
      <c r="V2225" s="13" t="str">
        <f t="shared" si="172"/>
        <v/>
      </c>
      <c r="W2225" s="4" t="str">
        <f t="shared" si="173"/>
        <v/>
      </c>
      <c r="X2225" t="str">
        <f>IF(W2225="","",LOOKUP(_xlfn.CONCAT(P2225,", ",Q2225),'[1]T+S Costs'!$F$2:$F$3138,'[1]T+S Costs'!$N$2:$N$3138))</f>
        <v/>
      </c>
      <c r="Y2225" s="14" t="str">
        <f t="shared" si="174"/>
        <v/>
      </c>
      <c r="Z2225" s="4" t="str">
        <f t="shared" si="175"/>
        <v/>
      </c>
    </row>
    <row r="2226" spans="16:26" x14ac:dyDescent="0.25">
      <c r="P2226" s="10" t="str">
        <f>IF('[1]All Data '!AZ2231="","",'[1]All Data '!AZ2231)</f>
        <v/>
      </c>
      <c r="Q2226" s="10" t="str">
        <f>IF('[1]All Data '!BB2231="","",'[1]All Data '!BB2231)</f>
        <v/>
      </c>
      <c r="R2226" s="10" t="str">
        <f>IF('[1]All Data '!BD2231="","",'[1]All Data '!BD2231)</f>
        <v/>
      </c>
      <c r="S2226" s="11" t="str">
        <f>IF(R2226="","",'[1]All Data '!BE2231)</f>
        <v/>
      </c>
      <c r="T2226" s="12" t="str">
        <f>IF(S2226="","",[1]Inputs_Outputs!$B$8*(1-'LOCH Calc COE Calc'!S2226))</f>
        <v/>
      </c>
      <c r="U2226" s="13" t="str">
        <f t="shared" si="171"/>
        <v/>
      </c>
      <c r="V2226" s="13" t="str">
        <f t="shared" si="172"/>
        <v/>
      </c>
      <c r="W2226" s="4" t="str">
        <f t="shared" si="173"/>
        <v/>
      </c>
      <c r="X2226" t="str">
        <f>IF(W2226="","",LOOKUP(_xlfn.CONCAT(P2226,", ",Q2226),'[1]T+S Costs'!$F$2:$F$3138,'[1]T+S Costs'!$N$2:$N$3138))</f>
        <v/>
      </c>
      <c r="Y2226" s="14" t="str">
        <f t="shared" si="174"/>
        <v/>
      </c>
      <c r="Z2226" s="4" t="str">
        <f t="shared" si="175"/>
        <v/>
      </c>
    </row>
    <row r="2227" spans="16:26" x14ac:dyDescent="0.25">
      <c r="P2227" s="10" t="str">
        <f>IF('[1]All Data '!AZ2232="","",'[1]All Data '!AZ2232)</f>
        <v/>
      </c>
      <c r="Q2227" s="10" t="str">
        <f>IF('[1]All Data '!BB2232="","",'[1]All Data '!BB2232)</f>
        <v/>
      </c>
      <c r="R2227" s="10" t="str">
        <f>IF('[1]All Data '!BD2232="","",'[1]All Data '!BD2232)</f>
        <v/>
      </c>
      <c r="S2227" s="11" t="str">
        <f>IF(R2227="","",'[1]All Data '!BE2232)</f>
        <v/>
      </c>
      <c r="T2227" s="12" t="str">
        <f>IF(S2227="","",[1]Inputs_Outputs!$B$8*(1-'LOCH Calc COE Calc'!S2227))</f>
        <v/>
      </c>
      <c r="U2227" s="13" t="str">
        <f t="shared" si="171"/>
        <v/>
      </c>
      <c r="V2227" s="13" t="str">
        <f t="shared" si="172"/>
        <v/>
      </c>
      <c r="W2227" s="4" t="str">
        <f t="shared" si="173"/>
        <v/>
      </c>
      <c r="X2227" t="str">
        <f>IF(W2227="","",LOOKUP(_xlfn.CONCAT(P2227,", ",Q2227),'[1]T+S Costs'!$F$2:$F$3138,'[1]T+S Costs'!$N$2:$N$3138))</f>
        <v/>
      </c>
      <c r="Y2227" s="14" t="str">
        <f t="shared" si="174"/>
        <v/>
      </c>
      <c r="Z2227" s="4" t="str">
        <f t="shared" si="175"/>
        <v/>
      </c>
    </row>
    <row r="2228" spans="16:26" x14ac:dyDescent="0.25">
      <c r="P2228" s="10" t="str">
        <f>IF('[1]All Data '!AZ2233="","",'[1]All Data '!AZ2233)</f>
        <v/>
      </c>
      <c r="Q2228" s="10" t="str">
        <f>IF('[1]All Data '!BB2233="","",'[1]All Data '!BB2233)</f>
        <v/>
      </c>
      <c r="R2228" s="10" t="str">
        <f>IF('[1]All Data '!BD2233="","",'[1]All Data '!BD2233)</f>
        <v/>
      </c>
      <c r="S2228" s="11" t="str">
        <f>IF(R2228="","",'[1]All Data '!BE2233)</f>
        <v/>
      </c>
      <c r="T2228" s="12" t="str">
        <f>IF(S2228="","",[1]Inputs_Outputs!$B$8*(1-'LOCH Calc COE Calc'!S2228))</f>
        <v/>
      </c>
      <c r="U2228" s="13" t="str">
        <f t="shared" si="171"/>
        <v/>
      </c>
      <c r="V2228" s="13" t="str">
        <f t="shared" si="172"/>
        <v/>
      </c>
      <c r="W2228" s="4" t="str">
        <f t="shared" si="173"/>
        <v/>
      </c>
      <c r="X2228" t="str">
        <f>IF(W2228="","",LOOKUP(_xlfn.CONCAT(P2228,", ",Q2228),'[1]T+S Costs'!$F$2:$F$3138,'[1]T+S Costs'!$N$2:$N$3138))</f>
        <v/>
      </c>
      <c r="Y2228" s="14" t="str">
        <f t="shared" si="174"/>
        <v/>
      </c>
      <c r="Z2228" s="4" t="str">
        <f t="shared" si="175"/>
        <v/>
      </c>
    </row>
    <row r="2229" spans="16:26" x14ac:dyDescent="0.25">
      <c r="P2229" s="10" t="str">
        <f>IF('[1]All Data '!AZ2234="","",'[1]All Data '!AZ2234)</f>
        <v/>
      </c>
      <c r="Q2229" s="10" t="str">
        <f>IF('[1]All Data '!BB2234="","",'[1]All Data '!BB2234)</f>
        <v/>
      </c>
      <c r="R2229" s="10" t="str">
        <f>IF('[1]All Data '!BD2234="","",'[1]All Data '!BD2234)</f>
        <v/>
      </c>
      <c r="S2229" s="11" t="str">
        <f>IF(R2229="","",'[1]All Data '!BE2234)</f>
        <v/>
      </c>
      <c r="T2229" s="12" t="str">
        <f>IF(S2229="","",[1]Inputs_Outputs!$B$8*(1-'LOCH Calc COE Calc'!S2229))</f>
        <v/>
      </c>
      <c r="U2229" s="13" t="str">
        <f t="shared" si="171"/>
        <v/>
      </c>
      <c r="V2229" s="13" t="str">
        <f t="shared" si="172"/>
        <v/>
      </c>
      <c r="W2229" s="4" t="str">
        <f t="shared" si="173"/>
        <v/>
      </c>
      <c r="X2229" t="str">
        <f>IF(W2229="","",LOOKUP(_xlfn.CONCAT(P2229,", ",Q2229),'[1]T+S Costs'!$F$2:$F$3138,'[1]T+S Costs'!$N$2:$N$3138))</f>
        <v/>
      </c>
      <c r="Y2229" s="14" t="str">
        <f t="shared" si="174"/>
        <v/>
      </c>
      <c r="Z2229" s="4" t="str">
        <f t="shared" si="175"/>
        <v/>
      </c>
    </row>
    <row r="2230" spans="16:26" x14ac:dyDescent="0.25">
      <c r="P2230" s="10" t="str">
        <f>IF('[1]All Data '!AZ2235="","",'[1]All Data '!AZ2235)</f>
        <v/>
      </c>
      <c r="Q2230" s="10" t="str">
        <f>IF('[1]All Data '!BB2235="","",'[1]All Data '!BB2235)</f>
        <v/>
      </c>
      <c r="R2230" s="10" t="str">
        <f>IF('[1]All Data '!BD2235="","",'[1]All Data '!BD2235)</f>
        <v/>
      </c>
      <c r="S2230" s="11" t="str">
        <f>IF(R2230="","",'[1]All Data '!BE2235)</f>
        <v/>
      </c>
      <c r="T2230" s="12" t="str">
        <f>IF(S2230="","",[1]Inputs_Outputs!$B$8*(1-'LOCH Calc COE Calc'!S2230))</f>
        <v/>
      </c>
      <c r="U2230" s="13" t="str">
        <f t="shared" si="171"/>
        <v/>
      </c>
      <c r="V2230" s="13" t="str">
        <f t="shared" si="172"/>
        <v/>
      </c>
      <c r="W2230" s="4" t="str">
        <f t="shared" si="173"/>
        <v/>
      </c>
      <c r="X2230" t="str">
        <f>IF(W2230="","",LOOKUP(_xlfn.CONCAT(P2230,", ",Q2230),'[1]T+S Costs'!$F$2:$F$3138,'[1]T+S Costs'!$N$2:$N$3138))</f>
        <v/>
      </c>
      <c r="Y2230" s="14" t="str">
        <f t="shared" si="174"/>
        <v/>
      </c>
      <c r="Z2230" s="4" t="str">
        <f t="shared" si="175"/>
        <v/>
      </c>
    </row>
    <row r="2231" spans="16:26" x14ac:dyDescent="0.25">
      <c r="P2231" s="10" t="str">
        <f>IF('[1]All Data '!AZ2236="","",'[1]All Data '!AZ2236)</f>
        <v/>
      </c>
      <c r="Q2231" s="10" t="str">
        <f>IF('[1]All Data '!BB2236="","",'[1]All Data '!BB2236)</f>
        <v/>
      </c>
      <c r="R2231" s="10" t="str">
        <f>IF('[1]All Data '!BD2236="","",'[1]All Data '!BD2236)</f>
        <v/>
      </c>
      <c r="S2231" s="11" t="str">
        <f>IF(R2231="","",'[1]All Data '!BE2236)</f>
        <v/>
      </c>
      <c r="T2231" s="12" t="str">
        <f>IF(S2231="","",[1]Inputs_Outputs!$B$8*(1-'LOCH Calc COE Calc'!S2231))</f>
        <v/>
      </c>
      <c r="U2231" s="13" t="str">
        <f t="shared" si="171"/>
        <v/>
      </c>
      <c r="V2231" s="13" t="str">
        <f t="shared" si="172"/>
        <v/>
      </c>
      <c r="W2231" s="4" t="str">
        <f t="shared" si="173"/>
        <v/>
      </c>
      <c r="X2231" t="str">
        <f>IF(W2231="","",LOOKUP(_xlfn.CONCAT(P2231,", ",Q2231),'[1]T+S Costs'!$F$2:$F$3138,'[1]T+S Costs'!$N$2:$N$3138))</f>
        <v/>
      </c>
      <c r="Y2231" s="14" t="str">
        <f t="shared" si="174"/>
        <v/>
      </c>
      <c r="Z2231" s="4" t="str">
        <f t="shared" si="175"/>
        <v/>
      </c>
    </row>
    <row r="2232" spans="16:26" x14ac:dyDescent="0.25">
      <c r="P2232" s="10" t="str">
        <f>IF('[1]All Data '!AZ2237="","",'[1]All Data '!AZ2237)</f>
        <v/>
      </c>
      <c r="Q2232" s="10" t="str">
        <f>IF('[1]All Data '!BB2237="","",'[1]All Data '!BB2237)</f>
        <v/>
      </c>
      <c r="R2232" s="10" t="str">
        <f>IF('[1]All Data '!BD2237="","",'[1]All Data '!BD2237)</f>
        <v/>
      </c>
      <c r="S2232" s="11" t="str">
        <f>IF(R2232="","",'[1]All Data '!BE2237)</f>
        <v/>
      </c>
      <c r="T2232" s="12" t="str">
        <f>IF(S2232="","",[1]Inputs_Outputs!$B$8*(1-'LOCH Calc COE Calc'!S2232))</f>
        <v/>
      </c>
      <c r="U2232" s="13" t="str">
        <f t="shared" si="171"/>
        <v/>
      </c>
      <c r="V2232" s="13" t="str">
        <f t="shared" si="172"/>
        <v/>
      </c>
      <c r="W2232" s="4" t="str">
        <f t="shared" si="173"/>
        <v/>
      </c>
      <c r="X2232" t="str">
        <f>IF(W2232="","",LOOKUP(_xlfn.CONCAT(P2232,", ",Q2232),'[1]T+S Costs'!$F$2:$F$3138,'[1]T+S Costs'!$N$2:$N$3138))</f>
        <v/>
      </c>
      <c r="Y2232" s="14" t="str">
        <f t="shared" si="174"/>
        <v/>
      </c>
      <c r="Z2232" s="4" t="str">
        <f t="shared" si="175"/>
        <v/>
      </c>
    </row>
    <row r="2233" spans="16:26" x14ac:dyDescent="0.25">
      <c r="P2233" s="10" t="str">
        <f>IF('[1]All Data '!AZ2238="","",'[1]All Data '!AZ2238)</f>
        <v/>
      </c>
      <c r="Q2233" s="10" t="str">
        <f>IF('[1]All Data '!BB2238="","",'[1]All Data '!BB2238)</f>
        <v/>
      </c>
      <c r="R2233" s="10" t="str">
        <f>IF('[1]All Data '!BD2238="","",'[1]All Data '!BD2238)</f>
        <v/>
      </c>
      <c r="S2233" s="11" t="str">
        <f>IF(R2233="","",'[1]All Data '!BE2238)</f>
        <v/>
      </c>
      <c r="T2233" s="12" t="str">
        <f>IF(S2233="","",[1]Inputs_Outputs!$B$8*(1-'LOCH Calc COE Calc'!S2233))</f>
        <v/>
      </c>
      <c r="U2233" s="13" t="str">
        <f t="shared" si="171"/>
        <v/>
      </c>
      <c r="V2233" s="13" t="str">
        <f t="shared" si="172"/>
        <v/>
      </c>
      <c r="W2233" s="4" t="str">
        <f t="shared" si="173"/>
        <v/>
      </c>
      <c r="X2233" t="str">
        <f>IF(W2233="","",LOOKUP(_xlfn.CONCAT(P2233,", ",Q2233),'[1]T+S Costs'!$F$2:$F$3138,'[1]T+S Costs'!$N$2:$N$3138))</f>
        <v/>
      </c>
      <c r="Y2233" s="14" t="str">
        <f t="shared" si="174"/>
        <v/>
      </c>
      <c r="Z2233" s="4" t="str">
        <f t="shared" si="175"/>
        <v/>
      </c>
    </row>
    <row r="2234" spans="16:26" x14ac:dyDescent="0.25">
      <c r="P2234" s="10" t="str">
        <f>IF('[1]All Data '!AZ2239="","",'[1]All Data '!AZ2239)</f>
        <v/>
      </c>
      <c r="Q2234" s="10" t="str">
        <f>IF('[1]All Data '!BB2239="","",'[1]All Data '!BB2239)</f>
        <v/>
      </c>
      <c r="R2234" s="10" t="str">
        <f>IF('[1]All Data '!BD2239="","",'[1]All Data '!BD2239)</f>
        <v/>
      </c>
      <c r="S2234" s="11" t="str">
        <f>IF(R2234="","",'[1]All Data '!BE2239)</f>
        <v/>
      </c>
      <c r="T2234" s="12" t="str">
        <f>IF(S2234="","",[1]Inputs_Outputs!$B$8*(1-'LOCH Calc COE Calc'!S2234))</f>
        <v/>
      </c>
      <c r="U2234" s="13" t="str">
        <f t="shared" si="171"/>
        <v/>
      </c>
      <c r="V2234" s="13" t="str">
        <f t="shared" si="172"/>
        <v/>
      </c>
      <c r="W2234" s="4" t="str">
        <f t="shared" si="173"/>
        <v/>
      </c>
      <c r="X2234" t="str">
        <f>IF(W2234="","",LOOKUP(_xlfn.CONCAT(P2234,", ",Q2234),'[1]T+S Costs'!$F$2:$F$3138,'[1]T+S Costs'!$N$2:$N$3138))</f>
        <v/>
      </c>
      <c r="Y2234" s="14" t="str">
        <f t="shared" si="174"/>
        <v/>
      </c>
      <c r="Z2234" s="4" t="str">
        <f t="shared" si="175"/>
        <v/>
      </c>
    </row>
    <row r="2235" spans="16:26" x14ac:dyDescent="0.25">
      <c r="P2235" s="10" t="str">
        <f>IF('[1]All Data '!AZ2240="","",'[1]All Data '!AZ2240)</f>
        <v/>
      </c>
      <c r="Q2235" s="10" t="str">
        <f>IF('[1]All Data '!BB2240="","",'[1]All Data '!BB2240)</f>
        <v/>
      </c>
      <c r="R2235" s="10" t="str">
        <f>IF('[1]All Data '!BD2240="","",'[1]All Data '!BD2240)</f>
        <v/>
      </c>
      <c r="S2235" s="11" t="str">
        <f>IF(R2235="","",'[1]All Data '!BE2240)</f>
        <v/>
      </c>
      <c r="T2235" s="12" t="str">
        <f>IF(S2235="","",[1]Inputs_Outputs!$B$8*(1-'LOCH Calc COE Calc'!S2235))</f>
        <v/>
      </c>
      <c r="U2235" s="13" t="str">
        <f t="shared" si="171"/>
        <v/>
      </c>
      <c r="V2235" s="13" t="str">
        <f t="shared" si="172"/>
        <v/>
      </c>
      <c r="W2235" s="4" t="str">
        <f t="shared" si="173"/>
        <v/>
      </c>
      <c r="X2235" t="str">
        <f>IF(W2235="","",LOOKUP(_xlfn.CONCAT(P2235,", ",Q2235),'[1]T+S Costs'!$F$2:$F$3138,'[1]T+S Costs'!$N$2:$N$3138))</f>
        <v/>
      </c>
      <c r="Y2235" s="14" t="str">
        <f t="shared" si="174"/>
        <v/>
      </c>
      <c r="Z2235" s="4" t="str">
        <f t="shared" si="175"/>
        <v/>
      </c>
    </row>
    <row r="2236" spans="16:26" x14ac:dyDescent="0.25">
      <c r="P2236" s="10" t="str">
        <f>IF('[1]All Data '!AZ2241="","",'[1]All Data '!AZ2241)</f>
        <v/>
      </c>
      <c r="Q2236" s="10" t="str">
        <f>IF('[1]All Data '!BB2241="","",'[1]All Data '!BB2241)</f>
        <v/>
      </c>
      <c r="R2236" s="10" t="str">
        <f>IF('[1]All Data '!BD2241="","",'[1]All Data '!BD2241)</f>
        <v/>
      </c>
      <c r="S2236" s="11" t="str">
        <f>IF(R2236="","",'[1]All Data '!BE2241)</f>
        <v/>
      </c>
      <c r="T2236" s="12" t="str">
        <f>IF(S2236="","",[1]Inputs_Outputs!$B$8*(1-'LOCH Calc COE Calc'!S2236))</f>
        <v/>
      </c>
      <c r="U2236" s="13" t="str">
        <f t="shared" si="171"/>
        <v/>
      </c>
      <c r="V2236" s="13" t="str">
        <f t="shared" si="172"/>
        <v/>
      </c>
      <c r="W2236" s="4" t="str">
        <f t="shared" si="173"/>
        <v/>
      </c>
      <c r="X2236" t="str">
        <f>IF(W2236="","",LOOKUP(_xlfn.CONCAT(P2236,", ",Q2236),'[1]T+S Costs'!$F$2:$F$3138,'[1]T+S Costs'!$N$2:$N$3138))</f>
        <v/>
      </c>
      <c r="Y2236" s="14" t="str">
        <f t="shared" si="174"/>
        <v/>
      </c>
      <c r="Z2236" s="4" t="str">
        <f t="shared" si="175"/>
        <v/>
      </c>
    </row>
    <row r="2237" spans="16:26" x14ac:dyDescent="0.25">
      <c r="P2237" s="10" t="str">
        <f>IF('[1]All Data '!AZ2242="","",'[1]All Data '!AZ2242)</f>
        <v/>
      </c>
      <c r="Q2237" s="10" t="str">
        <f>IF('[1]All Data '!BB2242="","",'[1]All Data '!BB2242)</f>
        <v/>
      </c>
      <c r="R2237" s="10" t="str">
        <f>IF('[1]All Data '!BD2242="","",'[1]All Data '!BD2242)</f>
        <v/>
      </c>
      <c r="S2237" s="11" t="str">
        <f>IF(R2237="","",'[1]All Data '!BE2242)</f>
        <v/>
      </c>
      <c r="T2237" s="12" t="str">
        <f>IF(S2237="","",[1]Inputs_Outputs!$B$8*(1-'LOCH Calc COE Calc'!S2237))</f>
        <v/>
      </c>
      <c r="U2237" s="13" t="str">
        <f t="shared" si="171"/>
        <v/>
      </c>
      <c r="V2237" s="13" t="str">
        <f t="shared" si="172"/>
        <v/>
      </c>
      <c r="W2237" s="4" t="str">
        <f t="shared" si="173"/>
        <v/>
      </c>
      <c r="X2237" t="str">
        <f>IF(W2237="","",LOOKUP(_xlfn.CONCAT(P2237,", ",Q2237),'[1]T+S Costs'!$F$2:$F$3138,'[1]T+S Costs'!$N$2:$N$3138))</f>
        <v/>
      </c>
      <c r="Y2237" s="14" t="str">
        <f t="shared" si="174"/>
        <v/>
      </c>
      <c r="Z2237" s="4" t="str">
        <f t="shared" si="175"/>
        <v/>
      </c>
    </row>
    <row r="2238" spans="16:26" x14ac:dyDescent="0.25">
      <c r="P2238" s="10" t="str">
        <f>IF('[1]All Data '!AZ2243="","",'[1]All Data '!AZ2243)</f>
        <v/>
      </c>
      <c r="Q2238" s="10" t="str">
        <f>IF('[1]All Data '!BB2243="","",'[1]All Data '!BB2243)</f>
        <v/>
      </c>
      <c r="R2238" s="10" t="str">
        <f>IF('[1]All Data '!BD2243="","",'[1]All Data '!BD2243)</f>
        <v/>
      </c>
      <c r="S2238" s="11" t="str">
        <f>IF(R2238="","",'[1]All Data '!BE2243)</f>
        <v/>
      </c>
      <c r="T2238" s="12" t="str">
        <f>IF(S2238="","",[1]Inputs_Outputs!$B$8*(1-'LOCH Calc COE Calc'!S2238))</f>
        <v/>
      </c>
      <c r="U2238" s="13" t="str">
        <f t="shared" si="171"/>
        <v/>
      </c>
      <c r="V2238" s="13" t="str">
        <f t="shared" si="172"/>
        <v/>
      </c>
      <c r="W2238" s="4" t="str">
        <f t="shared" si="173"/>
        <v/>
      </c>
      <c r="X2238" t="str">
        <f>IF(W2238="","",LOOKUP(_xlfn.CONCAT(P2238,", ",Q2238),'[1]T+S Costs'!$F$2:$F$3138,'[1]T+S Costs'!$N$2:$N$3138))</f>
        <v/>
      </c>
      <c r="Y2238" s="14" t="str">
        <f t="shared" si="174"/>
        <v/>
      </c>
      <c r="Z2238" s="4" t="str">
        <f t="shared" si="175"/>
        <v/>
      </c>
    </row>
    <row r="2239" spans="16:26" x14ac:dyDescent="0.25">
      <c r="P2239" s="10" t="str">
        <f>IF('[1]All Data '!AZ2244="","",'[1]All Data '!AZ2244)</f>
        <v/>
      </c>
      <c r="Q2239" s="10" t="str">
        <f>IF('[1]All Data '!BB2244="","",'[1]All Data '!BB2244)</f>
        <v/>
      </c>
      <c r="R2239" s="10" t="str">
        <f>IF('[1]All Data '!BD2244="","",'[1]All Data '!BD2244)</f>
        <v/>
      </c>
      <c r="S2239" s="11" t="str">
        <f>IF(R2239="","",'[1]All Data '!BE2244)</f>
        <v/>
      </c>
      <c r="T2239" s="12" t="str">
        <f>IF(S2239="","",[1]Inputs_Outputs!$B$8*(1-'LOCH Calc COE Calc'!S2239))</f>
        <v/>
      </c>
      <c r="U2239" s="13" t="str">
        <f t="shared" si="171"/>
        <v/>
      </c>
      <c r="V2239" s="13" t="str">
        <f t="shared" si="172"/>
        <v/>
      </c>
      <c r="W2239" s="4" t="str">
        <f t="shared" si="173"/>
        <v/>
      </c>
      <c r="X2239" t="str">
        <f>IF(W2239="","",LOOKUP(_xlfn.CONCAT(P2239,", ",Q2239),'[1]T+S Costs'!$F$2:$F$3138,'[1]T+S Costs'!$N$2:$N$3138))</f>
        <v/>
      </c>
      <c r="Y2239" s="14" t="str">
        <f t="shared" si="174"/>
        <v/>
      </c>
      <c r="Z2239" s="4" t="str">
        <f t="shared" si="175"/>
        <v/>
      </c>
    </row>
    <row r="2240" spans="16:26" x14ac:dyDescent="0.25">
      <c r="P2240" s="10" t="str">
        <f>IF('[1]All Data '!AZ2245="","",'[1]All Data '!AZ2245)</f>
        <v/>
      </c>
      <c r="Q2240" s="10" t="str">
        <f>IF('[1]All Data '!BB2245="","",'[1]All Data '!BB2245)</f>
        <v/>
      </c>
      <c r="R2240" s="10" t="str">
        <f>IF('[1]All Data '!BD2245="","",'[1]All Data '!BD2245)</f>
        <v/>
      </c>
      <c r="S2240" s="11" t="str">
        <f>IF(R2240="","",'[1]All Data '!BE2245)</f>
        <v/>
      </c>
      <c r="T2240" s="12" t="str">
        <f>IF(S2240="","",[1]Inputs_Outputs!$B$8*(1-'LOCH Calc COE Calc'!S2240))</f>
        <v/>
      </c>
      <c r="U2240" s="13" t="str">
        <f t="shared" si="171"/>
        <v/>
      </c>
      <c r="V2240" s="13" t="str">
        <f t="shared" si="172"/>
        <v/>
      </c>
      <c r="W2240" s="4" t="str">
        <f t="shared" si="173"/>
        <v/>
      </c>
      <c r="X2240" t="str">
        <f>IF(W2240="","",LOOKUP(_xlfn.CONCAT(P2240,", ",Q2240),'[1]T+S Costs'!$F$2:$F$3138,'[1]T+S Costs'!$N$2:$N$3138))</f>
        <v/>
      </c>
      <c r="Y2240" s="14" t="str">
        <f t="shared" si="174"/>
        <v/>
      </c>
      <c r="Z2240" s="4" t="str">
        <f t="shared" si="175"/>
        <v/>
      </c>
    </row>
    <row r="2241" spans="16:26" x14ac:dyDescent="0.25">
      <c r="P2241" s="10" t="str">
        <f>IF('[1]All Data '!AZ2246="","",'[1]All Data '!AZ2246)</f>
        <v/>
      </c>
      <c r="Q2241" s="10" t="str">
        <f>IF('[1]All Data '!BB2246="","",'[1]All Data '!BB2246)</f>
        <v/>
      </c>
      <c r="R2241" s="10" t="str">
        <f>IF('[1]All Data '!BD2246="","",'[1]All Data '!BD2246)</f>
        <v/>
      </c>
      <c r="S2241" s="11" t="str">
        <f>IF(R2241="","",'[1]All Data '!BE2246)</f>
        <v/>
      </c>
      <c r="T2241" s="12" t="str">
        <f>IF(S2241="","",[1]Inputs_Outputs!$B$8*(1-'LOCH Calc COE Calc'!S2241))</f>
        <v/>
      </c>
      <c r="U2241" s="13" t="str">
        <f t="shared" si="171"/>
        <v/>
      </c>
      <c r="V2241" s="13" t="str">
        <f t="shared" si="172"/>
        <v/>
      </c>
      <c r="W2241" s="4" t="str">
        <f t="shared" si="173"/>
        <v/>
      </c>
      <c r="X2241" t="str">
        <f>IF(W2241="","",LOOKUP(_xlfn.CONCAT(P2241,", ",Q2241),'[1]T+S Costs'!$F$2:$F$3138,'[1]T+S Costs'!$N$2:$N$3138))</f>
        <v/>
      </c>
      <c r="Y2241" s="14" t="str">
        <f t="shared" si="174"/>
        <v/>
      </c>
      <c r="Z2241" s="4" t="str">
        <f t="shared" si="175"/>
        <v/>
      </c>
    </row>
    <row r="2242" spans="16:26" x14ac:dyDescent="0.25">
      <c r="P2242" s="10" t="str">
        <f>IF('[1]All Data '!AZ2247="","",'[1]All Data '!AZ2247)</f>
        <v/>
      </c>
      <c r="Q2242" s="10" t="str">
        <f>IF('[1]All Data '!BB2247="","",'[1]All Data '!BB2247)</f>
        <v/>
      </c>
      <c r="R2242" s="10" t="str">
        <f>IF('[1]All Data '!BD2247="","",'[1]All Data '!BD2247)</f>
        <v/>
      </c>
      <c r="S2242" s="11" t="str">
        <f>IF(R2242="","",'[1]All Data '!BE2247)</f>
        <v/>
      </c>
      <c r="T2242" s="12" t="str">
        <f>IF(S2242="","",[1]Inputs_Outputs!$B$8*(1-'LOCH Calc COE Calc'!S2242))</f>
        <v/>
      </c>
      <c r="U2242" s="13" t="str">
        <f t="shared" si="171"/>
        <v/>
      </c>
      <c r="V2242" s="13" t="str">
        <f t="shared" si="172"/>
        <v/>
      </c>
      <c r="W2242" s="4" t="str">
        <f t="shared" si="173"/>
        <v/>
      </c>
      <c r="X2242" t="str">
        <f>IF(W2242="","",LOOKUP(_xlfn.CONCAT(P2242,", ",Q2242),'[1]T+S Costs'!$F$2:$F$3138,'[1]T+S Costs'!$N$2:$N$3138))</f>
        <v/>
      </c>
      <c r="Y2242" s="14" t="str">
        <f t="shared" si="174"/>
        <v/>
      </c>
      <c r="Z2242" s="4" t="str">
        <f t="shared" si="175"/>
        <v/>
      </c>
    </row>
    <row r="2243" spans="16:26" x14ac:dyDescent="0.25">
      <c r="P2243" s="10" t="str">
        <f>IF('[1]All Data '!AZ2248="","",'[1]All Data '!AZ2248)</f>
        <v/>
      </c>
      <c r="Q2243" s="10" t="str">
        <f>IF('[1]All Data '!BB2248="","",'[1]All Data '!BB2248)</f>
        <v/>
      </c>
      <c r="R2243" s="10" t="str">
        <f>IF('[1]All Data '!BD2248="","",'[1]All Data '!BD2248)</f>
        <v/>
      </c>
      <c r="S2243" s="11" t="str">
        <f>IF(R2243="","",'[1]All Data '!BE2248)</f>
        <v/>
      </c>
      <c r="T2243" s="12" t="str">
        <f>IF(S2243="","",[1]Inputs_Outputs!$B$8*(1-'LOCH Calc COE Calc'!S2243))</f>
        <v/>
      </c>
      <c r="U2243" s="13" t="str">
        <f t="shared" ref="U2243:U2306" si="176">IF(S2243="","",R2243*T2243*365*$B$19/100)</f>
        <v/>
      </c>
      <c r="V2243" s="13" t="str">
        <f t="shared" ref="V2243:V2306" si="177">IF(S2243="","",(U2243*$B$19)/(($B$28)*$B$19))</f>
        <v/>
      </c>
      <c r="W2243" s="4" t="str">
        <f t="shared" ref="W2243:W2306" si="178">IF(S2243="","",V2243+$C$49+$C$50+$C$51)</f>
        <v/>
      </c>
      <c r="X2243" t="str">
        <f>IF(W2243="","",LOOKUP(_xlfn.CONCAT(P2243,", ",Q2243),'[1]T+S Costs'!$F$2:$F$3138,'[1]T+S Costs'!$N$2:$N$3138))</f>
        <v/>
      </c>
      <c r="Y2243" s="14" t="str">
        <f t="shared" ref="Y2243:Y2306" si="179">IF(X2243="","",((X2243*$B$60/$B$59)*$C$44)/$C$28)</f>
        <v/>
      </c>
      <c r="Z2243" s="4" t="str">
        <f t="shared" ref="Z2243:Z2306" si="180">IF(Y2243="","",W2243+Y2243)</f>
        <v/>
      </c>
    </row>
    <row r="2244" spans="16:26" x14ac:dyDescent="0.25">
      <c r="P2244" s="10" t="str">
        <f>IF('[1]All Data '!AZ2249="","",'[1]All Data '!AZ2249)</f>
        <v/>
      </c>
      <c r="Q2244" s="10" t="str">
        <f>IF('[1]All Data '!BB2249="","",'[1]All Data '!BB2249)</f>
        <v/>
      </c>
      <c r="R2244" s="10" t="str">
        <f>IF('[1]All Data '!BD2249="","",'[1]All Data '!BD2249)</f>
        <v/>
      </c>
      <c r="S2244" s="11" t="str">
        <f>IF(R2244="","",'[1]All Data '!BE2249)</f>
        <v/>
      </c>
      <c r="T2244" s="12" t="str">
        <f>IF(S2244="","",[1]Inputs_Outputs!$B$8*(1-'LOCH Calc COE Calc'!S2244))</f>
        <v/>
      </c>
      <c r="U2244" s="13" t="str">
        <f t="shared" si="176"/>
        <v/>
      </c>
      <c r="V2244" s="13" t="str">
        <f t="shared" si="177"/>
        <v/>
      </c>
      <c r="W2244" s="4" t="str">
        <f t="shared" si="178"/>
        <v/>
      </c>
      <c r="X2244" t="str">
        <f>IF(W2244="","",LOOKUP(_xlfn.CONCAT(P2244,", ",Q2244),'[1]T+S Costs'!$F$2:$F$3138,'[1]T+S Costs'!$N$2:$N$3138))</f>
        <v/>
      </c>
      <c r="Y2244" s="14" t="str">
        <f t="shared" si="179"/>
        <v/>
      </c>
      <c r="Z2244" s="4" t="str">
        <f t="shared" si="180"/>
        <v/>
      </c>
    </row>
    <row r="2245" spans="16:26" x14ac:dyDescent="0.25">
      <c r="P2245" s="10" t="str">
        <f>IF('[1]All Data '!AZ2250="","",'[1]All Data '!AZ2250)</f>
        <v/>
      </c>
      <c r="Q2245" s="10" t="str">
        <f>IF('[1]All Data '!BB2250="","",'[1]All Data '!BB2250)</f>
        <v/>
      </c>
      <c r="R2245" s="10" t="str">
        <f>IF('[1]All Data '!BD2250="","",'[1]All Data '!BD2250)</f>
        <v/>
      </c>
      <c r="S2245" s="11" t="str">
        <f>IF(R2245="","",'[1]All Data '!BE2250)</f>
        <v/>
      </c>
      <c r="T2245" s="12" t="str">
        <f>IF(S2245="","",[1]Inputs_Outputs!$B$8*(1-'LOCH Calc COE Calc'!S2245))</f>
        <v/>
      </c>
      <c r="U2245" s="13" t="str">
        <f t="shared" si="176"/>
        <v/>
      </c>
      <c r="V2245" s="13" t="str">
        <f t="shared" si="177"/>
        <v/>
      </c>
      <c r="W2245" s="4" t="str">
        <f t="shared" si="178"/>
        <v/>
      </c>
      <c r="X2245" t="str">
        <f>IF(W2245="","",LOOKUP(_xlfn.CONCAT(P2245,", ",Q2245),'[1]T+S Costs'!$F$2:$F$3138,'[1]T+S Costs'!$N$2:$N$3138))</f>
        <v/>
      </c>
      <c r="Y2245" s="14" t="str">
        <f t="shared" si="179"/>
        <v/>
      </c>
      <c r="Z2245" s="4" t="str">
        <f t="shared" si="180"/>
        <v/>
      </c>
    </row>
    <row r="2246" spans="16:26" x14ac:dyDescent="0.25">
      <c r="P2246" s="10" t="str">
        <f>IF('[1]All Data '!AZ2251="","",'[1]All Data '!AZ2251)</f>
        <v/>
      </c>
      <c r="Q2246" s="10" t="str">
        <f>IF('[1]All Data '!BB2251="","",'[1]All Data '!BB2251)</f>
        <v/>
      </c>
      <c r="R2246" s="10" t="str">
        <f>IF('[1]All Data '!BD2251="","",'[1]All Data '!BD2251)</f>
        <v/>
      </c>
      <c r="S2246" s="11" t="str">
        <f>IF(R2246="","",'[1]All Data '!BE2251)</f>
        <v/>
      </c>
      <c r="T2246" s="12" t="str">
        <f>IF(S2246="","",[1]Inputs_Outputs!$B$8*(1-'LOCH Calc COE Calc'!S2246))</f>
        <v/>
      </c>
      <c r="U2246" s="13" t="str">
        <f t="shared" si="176"/>
        <v/>
      </c>
      <c r="V2246" s="13" t="str">
        <f t="shared" si="177"/>
        <v/>
      </c>
      <c r="W2246" s="4" t="str">
        <f t="shared" si="178"/>
        <v/>
      </c>
      <c r="X2246" t="str">
        <f>IF(W2246="","",LOOKUP(_xlfn.CONCAT(P2246,", ",Q2246),'[1]T+S Costs'!$F$2:$F$3138,'[1]T+S Costs'!$N$2:$N$3138))</f>
        <v/>
      </c>
      <c r="Y2246" s="14" t="str">
        <f t="shared" si="179"/>
        <v/>
      </c>
      <c r="Z2246" s="4" t="str">
        <f t="shared" si="180"/>
        <v/>
      </c>
    </row>
    <row r="2247" spans="16:26" x14ac:dyDescent="0.25">
      <c r="P2247" s="10" t="str">
        <f>IF('[1]All Data '!AZ2252="","",'[1]All Data '!AZ2252)</f>
        <v/>
      </c>
      <c r="Q2247" s="10" t="str">
        <f>IF('[1]All Data '!BB2252="","",'[1]All Data '!BB2252)</f>
        <v/>
      </c>
      <c r="R2247" s="10" t="str">
        <f>IF('[1]All Data '!BD2252="","",'[1]All Data '!BD2252)</f>
        <v/>
      </c>
      <c r="S2247" s="11" t="str">
        <f>IF(R2247="","",'[1]All Data '!BE2252)</f>
        <v/>
      </c>
      <c r="T2247" s="12" t="str">
        <f>IF(S2247="","",[1]Inputs_Outputs!$B$8*(1-'LOCH Calc COE Calc'!S2247))</f>
        <v/>
      </c>
      <c r="U2247" s="13" t="str">
        <f t="shared" si="176"/>
        <v/>
      </c>
      <c r="V2247" s="13" t="str">
        <f t="shared" si="177"/>
        <v/>
      </c>
      <c r="W2247" s="4" t="str">
        <f t="shared" si="178"/>
        <v/>
      </c>
      <c r="X2247" t="str">
        <f>IF(W2247="","",LOOKUP(_xlfn.CONCAT(P2247,", ",Q2247),'[1]T+S Costs'!$F$2:$F$3138,'[1]T+S Costs'!$N$2:$N$3138))</f>
        <v/>
      </c>
      <c r="Y2247" s="14" t="str">
        <f t="shared" si="179"/>
        <v/>
      </c>
      <c r="Z2247" s="4" t="str">
        <f t="shared" si="180"/>
        <v/>
      </c>
    </row>
    <row r="2248" spans="16:26" x14ac:dyDescent="0.25">
      <c r="P2248" s="10" t="str">
        <f>IF('[1]All Data '!AZ2253="","",'[1]All Data '!AZ2253)</f>
        <v/>
      </c>
      <c r="Q2248" s="10" t="str">
        <f>IF('[1]All Data '!BB2253="","",'[1]All Data '!BB2253)</f>
        <v/>
      </c>
      <c r="R2248" s="10" t="str">
        <f>IF('[1]All Data '!BD2253="","",'[1]All Data '!BD2253)</f>
        <v/>
      </c>
      <c r="S2248" s="11" t="str">
        <f>IF(R2248="","",'[1]All Data '!BE2253)</f>
        <v/>
      </c>
      <c r="T2248" s="12" t="str">
        <f>IF(S2248="","",[1]Inputs_Outputs!$B$8*(1-'LOCH Calc COE Calc'!S2248))</f>
        <v/>
      </c>
      <c r="U2248" s="13" t="str">
        <f t="shared" si="176"/>
        <v/>
      </c>
      <c r="V2248" s="13" t="str">
        <f t="shared" si="177"/>
        <v/>
      </c>
      <c r="W2248" s="4" t="str">
        <f t="shared" si="178"/>
        <v/>
      </c>
      <c r="X2248" t="str">
        <f>IF(W2248="","",LOOKUP(_xlfn.CONCAT(P2248,", ",Q2248),'[1]T+S Costs'!$F$2:$F$3138,'[1]T+S Costs'!$N$2:$N$3138))</f>
        <v/>
      </c>
      <c r="Y2248" s="14" t="str">
        <f t="shared" si="179"/>
        <v/>
      </c>
      <c r="Z2248" s="4" t="str">
        <f t="shared" si="180"/>
        <v/>
      </c>
    </row>
    <row r="2249" spans="16:26" x14ac:dyDescent="0.25">
      <c r="P2249" s="10" t="str">
        <f>IF('[1]All Data '!AZ2254="","",'[1]All Data '!AZ2254)</f>
        <v/>
      </c>
      <c r="Q2249" s="10" t="str">
        <f>IF('[1]All Data '!BB2254="","",'[1]All Data '!BB2254)</f>
        <v/>
      </c>
      <c r="R2249" s="10" t="str">
        <f>IF('[1]All Data '!BD2254="","",'[1]All Data '!BD2254)</f>
        <v/>
      </c>
      <c r="S2249" s="11" t="str">
        <f>IF(R2249="","",'[1]All Data '!BE2254)</f>
        <v/>
      </c>
      <c r="T2249" s="12" t="str">
        <f>IF(S2249="","",[1]Inputs_Outputs!$B$8*(1-'LOCH Calc COE Calc'!S2249))</f>
        <v/>
      </c>
      <c r="U2249" s="13" t="str">
        <f t="shared" si="176"/>
        <v/>
      </c>
      <c r="V2249" s="13" t="str">
        <f t="shared" si="177"/>
        <v/>
      </c>
      <c r="W2249" s="4" t="str">
        <f t="shared" si="178"/>
        <v/>
      </c>
      <c r="X2249" t="str">
        <f>IF(W2249="","",LOOKUP(_xlfn.CONCAT(P2249,", ",Q2249),'[1]T+S Costs'!$F$2:$F$3138,'[1]T+S Costs'!$N$2:$N$3138))</f>
        <v/>
      </c>
      <c r="Y2249" s="14" t="str">
        <f t="shared" si="179"/>
        <v/>
      </c>
      <c r="Z2249" s="4" t="str">
        <f t="shared" si="180"/>
        <v/>
      </c>
    </row>
    <row r="2250" spans="16:26" x14ac:dyDescent="0.25">
      <c r="P2250" s="10" t="str">
        <f>IF('[1]All Data '!AZ2255="","",'[1]All Data '!AZ2255)</f>
        <v/>
      </c>
      <c r="Q2250" s="10" t="str">
        <f>IF('[1]All Data '!BB2255="","",'[1]All Data '!BB2255)</f>
        <v/>
      </c>
      <c r="R2250" s="10" t="str">
        <f>IF('[1]All Data '!BD2255="","",'[1]All Data '!BD2255)</f>
        <v/>
      </c>
      <c r="S2250" s="11" t="str">
        <f>IF(R2250="","",'[1]All Data '!BE2255)</f>
        <v/>
      </c>
      <c r="T2250" s="12" t="str">
        <f>IF(S2250="","",[1]Inputs_Outputs!$B$8*(1-'LOCH Calc COE Calc'!S2250))</f>
        <v/>
      </c>
      <c r="U2250" s="13" t="str">
        <f t="shared" si="176"/>
        <v/>
      </c>
      <c r="V2250" s="13" t="str">
        <f t="shared" si="177"/>
        <v/>
      </c>
      <c r="W2250" s="4" t="str">
        <f t="shared" si="178"/>
        <v/>
      </c>
      <c r="X2250" t="str">
        <f>IF(W2250="","",LOOKUP(_xlfn.CONCAT(P2250,", ",Q2250),'[1]T+S Costs'!$F$2:$F$3138,'[1]T+S Costs'!$N$2:$N$3138))</f>
        <v/>
      </c>
      <c r="Y2250" s="14" t="str">
        <f t="shared" si="179"/>
        <v/>
      </c>
      <c r="Z2250" s="4" t="str">
        <f t="shared" si="180"/>
        <v/>
      </c>
    </row>
    <row r="2251" spans="16:26" x14ac:dyDescent="0.25">
      <c r="P2251" s="10" t="str">
        <f>IF('[1]All Data '!AZ2256="","",'[1]All Data '!AZ2256)</f>
        <v/>
      </c>
      <c r="Q2251" s="10" t="str">
        <f>IF('[1]All Data '!BB2256="","",'[1]All Data '!BB2256)</f>
        <v/>
      </c>
      <c r="R2251" s="10" t="str">
        <f>IF('[1]All Data '!BD2256="","",'[1]All Data '!BD2256)</f>
        <v/>
      </c>
      <c r="S2251" s="11" t="str">
        <f>IF(R2251="","",'[1]All Data '!BE2256)</f>
        <v/>
      </c>
      <c r="T2251" s="12" t="str">
        <f>IF(S2251="","",[1]Inputs_Outputs!$B$8*(1-'LOCH Calc COE Calc'!S2251))</f>
        <v/>
      </c>
      <c r="U2251" s="13" t="str">
        <f t="shared" si="176"/>
        <v/>
      </c>
      <c r="V2251" s="13" t="str">
        <f t="shared" si="177"/>
        <v/>
      </c>
      <c r="W2251" s="4" t="str">
        <f t="shared" si="178"/>
        <v/>
      </c>
      <c r="X2251" t="str">
        <f>IF(W2251="","",LOOKUP(_xlfn.CONCAT(P2251,", ",Q2251),'[1]T+S Costs'!$F$2:$F$3138,'[1]T+S Costs'!$N$2:$N$3138))</f>
        <v/>
      </c>
      <c r="Y2251" s="14" t="str">
        <f t="shared" si="179"/>
        <v/>
      </c>
      <c r="Z2251" s="4" t="str">
        <f t="shared" si="180"/>
        <v/>
      </c>
    </row>
    <row r="2252" spans="16:26" x14ac:dyDescent="0.25">
      <c r="P2252" s="10" t="str">
        <f>IF('[1]All Data '!AZ2257="","",'[1]All Data '!AZ2257)</f>
        <v/>
      </c>
      <c r="Q2252" s="10" t="str">
        <f>IF('[1]All Data '!BB2257="","",'[1]All Data '!BB2257)</f>
        <v/>
      </c>
      <c r="R2252" s="10" t="str">
        <f>IF('[1]All Data '!BD2257="","",'[1]All Data '!BD2257)</f>
        <v/>
      </c>
      <c r="S2252" s="11" t="str">
        <f>IF(R2252="","",'[1]All Data '!BE2257)</f>
        <v/>
      </c>
      <c r="T2252" s="12" t="str">
        <f>IF(S2252="","",[1]Inputs_Outputs!$B$8*(1-'LOCH Calc COE Calc'!S2252))</f>
        <v/>
      </c>
      <c r="U2252" s="13" t="str">
        <f t="shared" si="176"/>
        <v/>
      </c>
      <c r="V2252" s="13" t="str">
        <f t="shared" si="177"/>
        <v/>
      </c>
      <c r="W2252" s="4" t="str">
        <f t="shared" si="178"/>
        <v/>
      </c>
      <c r="X2252" t="str">
        <f>IF(W2252="","",LOOKUP(_xlfn.CONCAT(P2252,", ",Q2252),'[1]T+S Costs'!$F$2:$F$3138,'[1]T+S Costs'!$N$2:$N$3138))</f>
        <v/>
      </c>
      <c r="Y2252" s="14" t="str">
        <f t="shared" si="179"/>
        <v/>
      </c>
      <c r="Z2252" s="4" t="str">
        <f t="shared" si="180"/>
        <v/>
      </c>
    </row>
    <row r="2253" spans="16:26" x14ac:dyDescent="0.25">
      <c r="P2253" s="10" t="str">
        <f>IF('[1]All Data '!AZ2258="","",'[1]All Data '!AZ2258)</f>
        <v/>
      </c>
      <c r="Q2253" s="10" t="str">
        <f>IF('[1]All Data '!BB2258="","",'[1]All Data '!BB2258)</f>
        <v/>
      </c>
      <c r="R2253" s="10" t="str">
        <f>IF('[1]All Data '!BD2258="","",'[1]All Data '!BD2258)</f>
        <v/>
      </c>
      <c r="S2253" s="11" t="str">
        <f>IF(R2253="","",'[1]All Data '!BE2258)</f>
        <v/>
      </c>
      <c r="T2253" s="12" t="str">
        <f>IF(S2253="","",[1]Inputs_Outputs!$B$8*(1-'LOCH Calc COE Calc'!S2253))</f>
        <v/>
      </c>
      <c r="U2253" s="13" t="str">
        <f t="shared" si="176"/>
        <v/>
      </c>
      <c r="V2253" s="13" t="str">
        <f t="shared" si="177"/>
        <v/>
      </c>
      <c r="W2253" s="4" t="str">
        <f t="shared" si="178"/>
        <v/>
      </c>
      <c r="X2253" t="str">
        <f>IF(W2253="","",LOOKUP(_xlfn.CONCAT(P2253,", ",Q2253),'[1]T+S Costs'!$F$2:$F$3138,'[1]T+S Costs'!$N$2:$N$3138))</f>
        <v/>
      </c>
      <c r="Y2253" s="14" t="str">
        <f t="shared" si="179"/>
        <v/>
      </c>
      <c r="Z2253" s="4" t="str">
        <f t="shared" si="180"/>
        <v/>
      </c>
    </row>
    <row r="2254" spans="16:26" x14ac:dyDescent="0.25">
      <c r="P2254" s="10" t="str">
        <f>IF('[1]All Data '!AZ2259="","",'[1]All Data '!AZ2259)</f>
        <v/>
      </c>
      <c r="Q2254" s="10" t="str">
        <f>IF('[1]All Data '!BB2259="","",'[1]All Data '!BB2259)</f>
        <v/>
      </c>
      <c r="R2254" s="10" t="str">
        <f>IF('[1]All Data '!BD2259="","",'[1]All Data '!BD2259)</f>
        <v/>
      </c>
      <c r="S2254" s="11" t="str">
        <f>IF(R2254="","",'[1]All Data '!BE2259)</f>
        <v/>
      </c>
      <c r="T2254" s="12" t="str">
        <f>IF(S2254="","",[1]Inputs_Outputs!$B$8*(1-'LOCH Calc COE Calc'!S2254))</f>
        <v/>
      </c>
      <c r="U2254" s="13" t="str">
        <f t="shared" si="176"/>
        <v/>
      </c>
      <c r="V2254" s="13" t="str">
        <f t="shared" si="177"/>
        <v/>
      </c>
      <c r="W2254" s="4" t="str">
        <f t="shared" si="178"/>
        <v/>
      </c>
      <c r="X2254" t="str">
        <f>IF(W2254="","",LOOKUP(_xlfn.CONCAT(P2254,", ",Q2254),'[1]T+S Costs'!$F$2:$F$3138,'[1]T+S Costs'!$N$2:$N$3138))</f>
        <v/>
      </c>
      <c r="Y2254" s="14" t="str">
        <f t="shared" si="179"/>
        <v/>
      </c>
      <c r="Z2254" s="4" t="str">
        <f t="shared" si="180"/>
        <v/>
      </c>
    </row>
    <row r="2255" spans="16:26" x14ac:dyDescent="0.25">
      <c r="P2255" s="10" t="str">
        <f>IF('[1]All Data '!AZ2260="","",'[1]All Data '!AZ2260)</f>
        <v/>
      </c>
      <c r="Q2255" s="10" t="str">
        <f>IF('[1]All Data '!BB2260="","",'[1]All Data '!BB2260)</f>
        <v/>
      </c>
      <c r="R2255" s="10" t="str">
        <f>IF('[1]All Data '!BD2260="","",'[1]All Data '!BD2260)</f>
        <v/>
      </c>
      <c r="S2255" s="11" t="str">
        <f>IF(R2255="","",'[1]All Data '!BE2260)</f>
        <v/>
      </c>
      <c r="T2255" s="12" t="str">
        <f>IF(S2255="","",[1]Inputs_Outputs!$B$8*(1-'LOCH Calc COE Calc'!S2255))</f>
        <v/>
      </c>
      <c r="U2255" s="13" t="str">
        <f t="shared" si="176"/>
        <v/>
      </c>
      <c r="V2255" s="13" t="str">
        <f t="shared" si="177"/>
        <v/>
      </c>
      <c r="W2255" s="4" t="str">
        <f t="shared" si="178"/>
        <v/>
      </c>
      <c r="X2255" t="str">
        <f>IF(W2255="","",LOOKUP(_xlfn.CONCAT(P2255,", ",Q2255),'[1]T+S Costs'!$F$2:$F$3138,'[1]T+S Costs'!$N$2:$N$3138))</f>
        <v/>
      </c>
      <c r="Y2255" s="14" t="str">
        <f t="shared" si="179"/>
        <v/>
      </c>
      <c r="Z2255" s="4" t="str">
        <f t="shared" si="180"/>
        <v/>
      </c>
    </row>
    <row r="2256" spans="16:26" x14ac:dyDescent="0.25">
      <c r="P2256" s="10" t="str">
        <f>IF('[1]All Data '!AZ2261="","",'[1]All Data '!AZ2261)</f>
        <v/>
      </c>
      <c r="Q2256" s="10" t="str">
        <f>IF('[1]All Data '!BB2261="","",'[1]All Data '!BB2261)</f>
        <v/>
      </c>
      <c r="R2256" s="10" t="str">
        <f>IF('[1]All Data '!BD2261="","",'[1]All Data '!BD2261)</f>
        <v/>
      </c>
      <c r="S2256" s="11" t="str">
        <f>IF(R2256="","",'[1]All Data '!BE2261)</f>
        <v/>
      </c>
      <c r="T2256" s="12" t="str">
        <f>IF(S2256="","",[1]Inputs_Outputs!$B$8*(1-'LOCH Calc COE Calc'!S2256))</f>
        <v/>
      </c>
      <c r="U2256" s="13" t="str">
        <f t="shared" si="176"/>
        <v/>
      </c>
      <c r="V2256" s="13" t="str">
        <f t="shared" si="177"/>
        <v/>
      </c>
      <c r="W2256" s="4" t="str">
        <f t="shared" si="178"/>
        <v/>
      </c>
      <c r="X2256" t="str">
        <f>IF(W2256="","",LOOKUP(_xlfn.CONCAT(P2256,", ",Q2256),'[1]T+S Costs'!$F$2:$F$3138,'[1]T+S Costs'!$N$2:$N$3138))</f>
        <v/>
      </c>
      <c r="Y2256" s="14" t="str">
        <f t="shared" si="179"/>
        <v/>
      </c>
      <c r="Z2256" s="4" t="str">
        <f t="shared" si="180"/>
        <v/>
      </c>
    </row>
    <row r="2257" spans="16:26" x14ac:dyDescent="0.25">
      <c r="P2257" s="10" t="str">
        <f>IF('[1]All Data '!AZ2262="","",'[1]All Data '!AZ2262)</f>
        <v/>
      </c>
      <c r="Q2257" s="10" t="str">
        <f>IF('[1]All Data '!BB2262="","",'[1]All Data '!BB2262)</f>
        <v/>
      </c>
      <c r="R2257" s="10" t="str">
        <f>IF('[1]All Data '!BD2262="","",'[1]All Data '!BD2262)</f>
        <v/>
      </c>
      <c r="S2257" s="11" t="str">
        <f>IF(R2257="","",'[1]All Data '!BE2262)</f>
        <v/>
      </c>
      <c r="T2257" s="12" t="str">
        <f>IF(S2257="","",[1]Inputs_Outputs!$B$8*(1-'LOCH Calc COE Calc'!S2257))</f>
        <v/>
      </c>
      <c r="U2257" s="13" t="str">
        <f t="shared" si="176"/>
        <v/>
      </c>
      <c r="V2257" s="13" t="str">
        <f t="shared" si="177"/>
        <v/>
      </c>
      <c r="W2257" s="4" t="str">
        <f t="shared" si="178"/>
        <v/>
      </c>
      <c r="X2257" t="str">
        <f>IF(W2257="","",LOOKUP(_xlfn.CONCAT(P2257,", ",Q2257),'[1]T+S Costs'!$F$2:$F$3138,'[1]T+S Costs'!$N$2:$N$3138))</f>
        <v/>
      </c>
      <c r="Y2257" s="14" t="str">
        <f t="shared" si="179"/>
        <v/>
      </c>
      <c r="Z2257" s="4" t="str">
        <f t="shared" si="180"/>
        <v/>
      </c>
    </row>
    <row r="2258" spans="16:26" x14ac:dyDescent="0.25">
      <c r="P2258" s="10" t="str">
        <f>IF('[1]All Data '!AZ2263="","",'[1]All Data '!AZ2263)</f>
        <v/>
      </c>
      <c r="Q2258" s="10" t="str">
        <f>IF('[1]All Data '!BB2263="","",'[1]All Data '!BB2263)</f>
        <v/>
      </c>
      <c r="R2258" s="10" t="str">
        <f>IF('[1]All Data '!BD2263="","",'[1]All Data '!BD2263)</f>
        <v/>
      </c>
      <c r="S2258" s="11" t="str">
        <f>IF(R2258="","",'[1]All Data '!BE2263)</f>
        <v/>
      </c>
      <c r="T2258" s="12" t="str">
        <f>IF(S2258="","",[1]Inputs_Outputs!$B$8*(1-'LOCH Calc COE Calc'!S2258))</f>
        <v/>
      </c>
      <c r="U2258" s="13" t="str">
        <f t="shared" si="176"/>
        <v/>
      </c>
      <c r="V2258" s="13" t="str">
        <f t="shared" si="177"/>
        <v/>
      </c>
      <c r="W2258" s="4" t="str">
        <f t="shared" si="178"/>
        <v/>
      </c>
      <c r="X2258" t="str">
        <f>IF(W2258="","",LOOKUP(_xlfn.CONCAT(P2258,", ",Q2258),'[1]T+S Costs'!$F$2:$F$3138,'[1]T+S Costs'!$N$2:$N$3138))</f>
        <v/>
      </c>
      <c r="Y2258" s="14" t="str">
        <f t="shared" si="179"/>
        <v/>
      </c>
      <c r="Z2258" s="4" t="str">
        <f t="shared" si="180"/>
        <v/>
      </c>
    </row>
    <row r="2259" spans="16:26" x14ac:dyDescent="0.25">
      <c r="P2259" s="10" t="str">
        <f>IF('[1]All Data '!AZ2264="","",'[1]All Data '!AZ2264)</f>
        <v/>
      </c>
      <c r="Q2259" s="10" t="str">
        <f>IF('[1]All Data '!BB2264="","",'[1]All Data '!BB2264)</f>
        <v/>
      </c>
      <c r="R2259" s="10" t="str">
        <f>IF('[1]All Data '!BD2264="","",'[1]All Data '!BD2264)</f>
        <v/>
      </c>
      <c r="S2259" s="11" t="str">
        <f>IF(R2259="","",'[1]All Data '!BE2264)</f>
        <v/>
      </c>
      <c r="T2259" s="12" t="str">
        <f>IF(S2259="","",[1]Inputs_Outputs!$B$8*(1-'LOCH Calc COE Calc'!S2259))</f>
        <v/>
      </c>
      <c r="U2259" s="13" t="str">
        <f t="shared" si="176"/>
        <v/>
      </c>
      <c r="V2259" s="13" t="str">
        <f t="shared" si="177"/>
        <v/>
      </c>
      <c r="W2259" s="4" t="str">
        <f t="shared" si="178"/>
        <v/>
      </c>
      <c r="X2259" t="str">
        <f>IF(W2259="","",LOOKUP(_xlfn.CONCAT(P2259,", ",Q2259),'[1]T+S Costs'!$F$2:$F$3138,'[1]T+S Costs'!$N$2:$N$3138))</f>
        <v/>
      </c>
      <c r="Y2259" s="14" t="str">
        <f t="shared" si="179"/>
        <v/>
      </c>
      <c r="Z2259" s="4" t="str">
        <f t="shared" si="180"/>
        <v/>
      </c>
    </row>
    <row r="2260" spans="16:26" x14ac:dyDescent="0.25">
      <c r="P2260" s="10" t="str">
        <f>IF('[1]All Data '!AZ2265="","",'[1]All Data '!AZ2265)</f>
        <v/>
      </c>
      <c r="Q2260" s="10" t="str">
        <f>IF('[1]All Data '!BB2265="","",'[1]All Data '!BB2265)</f>
        <v/>
      </c>
      <c r="R2260" s="10" t="str">
        <f>IF('[1]All Data '!BD2265="","",'[1]All Data '!BD2265)</f>
        <v/>
      </c>
      <c r="S2260" s="11" t="str">
        <f>IF(R2260="","",'[1]All Data '!BE2265)</f>
        <v/>
      </c>
      <c r="T2260" s="12" t="str">
        <f>IF(S2260="","",[1]Inputs_Outputs!$B$8*(1-'LOCH Calc COE Calc'!S2260))</f>
        <v/>
      </c>
      <c r="U2260" s="13" t="str">
        <f t="shared" si="176"/>
        <v/>
      </c>
      <c r="V2260" s="13" t="str">
        <f t="shared" si="177"/>
        <v/>
      </c>
      <c r="W2260" s="4" t="str">
        <f t="shared" si="178"/>
        <v/>
      </c>
      <c r="X2260" t="str">
        <f>IF(W2260="","",LOOKUP(_xlfn.CONCAT(P2260,", ",Q2260),'[1]T+S Costs'!$F$2:$F$3138,'[1]T+S Costs'!$N$2:$N$3138))</f>
        <v/>
      </c>
      <c r="Y2260" s="14" t="str">
        <f t="shared" si="179"/>
        <v/>
      </c>
      <c r="Z2260" s="4" t="str">
        <f t="shared" si="180"/>
        <v/>
      </c>
    </row>
    <row r="2261" spans="16:26" x14ac:dyDescent="0.25">
      <c r="P2261" s="10" t="str">
        <f>IF('[1]All Data '!AZ2266="","",'[1]All Data '!AZ2266)</f>
        <v/>
      </c>
      <c r="Q2261" s="10" t="str">
        <f>IF('[1]All Data '!BB2266="","",'[1]All Data '!BB2266)</f>
        <v/>
      </c>
      <c r="R2261" s="10" t="str">
        <f>IF('[1]All Data '!BD2266="","",'[1]All Data '!BD2266)</f>
        <v/>
      </c>
      <c r="S2261" s="11" t="str">
        <f>IF(R2261="","",'[1]All Data '!BE2266)</f>
        <v/>
      </c>
      <c r="T2261" s="12" t="str">
        <f>IF(S2261="","",[1]Inputs_Outputs!$B$8*(1-'LOCH Calc COE Calc'!S2261))</f>
        <v/>
      </c>
      <c r="U2261" s="13" t="str">
        <f t="shared" si="176"/>
        <v/>
      </c>
      <c r="V2261" s="13" t="str">
        <f t="shared" si="177"/>
        <v/>
      </c>
      <c r="W2261" s="4" t="str">
        <f t="shared" si="178"/>
        <v/>
      </c>
      <c r="X2261" t="str">
        <f>IF(W2261="","",LOOKUP(_xlfn.CONCAT(P2261,", ",Q2261),'[1]T+S Costs'!$F$2:$F$3138,'[1]T+S Costs'!$N$2:$N$3138))</f>
        <v/>
      </c>
      <c r="Y2261" s="14" t="str">
        <f t="shared" si="179"/>
        <v/>
      </c>
      <c r="Z2261" s="4" t="str">
        <f t="shared" si="180"/>
        <v/>
      </c>
    </row>
    <row r="2262" spans="16:26" x14ac:dyDescent="0.25">
      <c r="P2262" s="10" t="str">
        <f>IF('[1]All Data '!AZ2267="","",'[1]All Data '!AZ2267)</f>
        <v/>
      </c>
      <c r="Q2262" s="10" t="str">
        <f>IF('[1]All Data '!BB2267="","",'[1]All Data '!BB2267)</f>
        <v/>
      </c>
      <c r="R2262" s="10" t="str">
        <f>IF('[1]All Data '!BD2267="","",'[1]All Data '!BD2267)</f>
        <v/>
      </c>
      <c r="S2262" s="11" t="str">
        <f>IF(R2262="","",'[1]All Data '!BE2267)</f>
        <v/>
      </c>
      <c r="T2262" s="12" t="str">
        <f>IF(S2262="","",[1]Inputs_Outputs!$B$8*(1-'LOCH Calc COE Calc'!S2262))</f>
        <v/>
      </c>
      <c r="U2262" s="13" t="str">
        <f t="shared" si="176"/>
        <v/>
      </c>
      <c r="V2262" s="13" t="str">
        <f t="shared" si="177"/>
        <v/>
      </c>
      <c r="W2262" s="4" t="str">
        <f t="shared" si="178"/>
        <v/>
      </c>
      <c r="X2262" t="str">
        <f>IF(W2262="","",LOOKUP(_xlfn.CONCAT(P2262,", ",Q2262),'[1]T+S Costs'!$F$2:$F$3138,'[1]T+S Costs'!$N$2:$N$3138))</f>
        <v/>
      </c>
      <c r="Y2262" s="14" t="str">
        <f t="shared" si="179"/>
        <v/>
      </c>
      <c r="Z2262" s="4" t="str">
        <f t="shared" si="180"/>
        <v/>
      </c>
    </row>
    <row r="2263" spans="16:26" x14ac:dyDescent="0.25">
      <c r="P2263" s="10" t="str">
        <f>IF('[1]All Data '!AZ2268="","",'[1]All Data '!AZ2268)</f>
        <v/>
      </c>
      <c r="Q2263" s="10" t="str">
        <f>IF('[1]All Data '!BB2268="","",'[1]All Data '!BB2268)</f>
        <v/>
      </c>
      <c r="R2263" s="10" t="str">
        <f>IF('[1]All Data '!BD2268="","",'[1]All Data '!BD2268)</f>
        <v/>
      </c>
      <c r="S2263" s="11" t="str">
        <f>IF(R2263="","",'[1]All Data '!BE2268)</f>
        <v/>
      </c>
      <c r="T2263" s="12" t="str">
        <f>IF(S2263="","",[1]Inputs_Outputs!$B$8*(1-'LOCH Calc COE Calc'!S2263))</f>
        <v/>
      </c>
      <c r="U2263" s="13" t="str">
        <f t="shared" si="176"/>
        <v/>
      </c>
      <c r="V2263" s="13" t="str">
        <f t="shared" si="177"/>
        <v/>
      </c>
      <c r="W2263" s="4" t="str">
        <f t="shared" si="178"/>
        <v/>
      </c>
      <c r="X2263" t="str">
        <f>IF(W2263="","",LOOKUP(_xlfn.CONCAT(P2263,", ",Q2263),'[1]T+S Costs'!$F$2:$F$3138,'[1]T+S Costs'!$N$2:$N$3138))</f>
        <v/>
      </c>
      <c r="Y2263" s="14" t="str">
        <f t="shared" si="179"/>
        <v/>
      </c>
      <c r="Z2263" s="4" t="str">
        <f t="shared" si="180"/>
        <v/>
      </c>
    </row>
    <row r="2264" spans="16:26" x14ac:dyDescent="0.25">
      <c r="P2264" s="10" t="str">
        <f>IF('[1]All Data '!AZ2269="","",'[1]All Data '!AZ2269)</f>
        <v/>
      </c>
      <c r="Q2264" s="10" t="str">
        <f>IF('[1]All Data '!BB2269="","",'[1]All Data '!BB2269)</f>
        <v/>
      </c>
      <c r="R2264" s="10" t="str">
        <f>IF('[1]All Data '!BD2269="","",'[1]All Data '!BD2269)</f>
        <v/>
      </c>
      <c r="S2264" s="11" t="str">
        <f>IF(R2264="","",'[1]All Data '!BE2269)</f>
        <v/>
      </c>
      <c r="T2264" s="12" t="str">
        <f>IF(S2264="","",[1]Inputs_Outputs!$B$8*(1-'LOCH Calc COE Calc'!S2264))</f>
        <v/>
      </c>
      <c r="U2264" s="13" t="str">
        <f t="shared" si="176"/>
        <v/>
      </c>
      <c r="V2264" s="13" t="str">
        <f t="shared" si="177"/>
        <v/>
      </c>
      <c r="W2264" s="4" t="str">
        <f t="shared" si="178"/>
        <v/>
      </c>
      <c r="X2264" t="str">
        <f>IF(W2264="","",LOOKUP(_xlfn.CONCAT(P2264,", ",Q2264),'[1]T+S Costs'!$F$2:$F$3138,'[1]T+S Costs'!$N$2:$N$3138))</f>
        <v/>
      </c>
      <c r="Y2264" s="14" t="str">
        <f t="shared" si="179"/>
        <v/>
      </c>
      <c r="Z2264" s="4" t="str">
        <f t="shared" si="180"/>
        <v/>
      </c>
    </row>
    <row r="2265" spans="16:26" x14ac:dyDescent="0.25">
      <c r="P2265" s="10" t="str">
        <f>IF('[1]All Data '!AZ2270="","",'[1]All Data '!AZ2270)</f>
        <v/>
      </c>
      <c r="Q2265" s="10" t="str">
        <f>IF('[1]All Data '!BB2270="","",'[1]All Data '!BB2270)</f>
        <v/>
      </c>
      <c r="R2265" s="10" t="str">
        <f>IF('[1]All Data '!BD2270="","",'[1]All Data '!BD2270)</f>
        <v/>
      </c>
      <c r="S2265" s="11" t="str">
        <f>IF(R2265="","",'[1]All Data '!BE2270)</f>
        <v/>
      </c>
      <c r="T2265" s="12" t="str">
        <f>IF(S2265="","",[1]Inputs_Outputs!$B$8*(1-'LOCH Calc COE Calc'!S2265))</f>
        <v/>
      </c>
      <c r="U2265" s="13" t="str">
        <f t="shared" si="176"/>
        <v/>
      </c>
      <c r="V2265" s="13" t="str">
        <f t="shared" si="177"/>
        <v/>
      </c>
      <c r="W2265" s="4" t="str">
        <f t="shared" si="178"/>
        <v/>
      </c>
      <c r="X2265" t="str">
        <f>IF(W2265="","",LOOKUP(_xlfn.CONCAT(P2265,", ",Q2265),'[1]T+S Costs'!$F$2:$F$3138,'[1]T+S Costs'!$N$2:$N$3138))</f>
        <v/>
      </c>
      <c r="Y2265" s="14" t="str">
        <f t="shared" si="179"/>
        <v/>
      </c>
      <c r="Z2265" s="4" t="str">
        <f t="shared" si="180"/>
        <v/>
      </c>
    </row>
    <row r="2266" spans="16:26" x14ac:dyDescent="0.25">
      <c r="P2266" s="10" t="str">
        <f>IF('[1]All Data '!AZ2271="","",'[1]All Data '!AZ2271)</f>
        <v/>
      </c>
      <c r="Q2266" s="10" t="str">
        <f>IF('[1]All Data '!BB2271="","",'[1]All Data '!BB2271)</f>
        <v/>
      </c>
      <c r="R2266" s="10" t="str">
        <f>IF('[1]All Data '!BD2271="","",'[1]All Data '!BD2271)</f>
        <v/>
      </c>
      <c r="S2266" s="11" t="str">
        <f>IF(R2266="","",'[1]All Data '!BE2271)</f>
        <v/>
      </c>
      <c r="T2266" s="12" t="str">
        <f>IF(S2266="","",[1]Inputs_Outputs!$B$8*(1-'LOCH Calc COE Calc'!S2266))</f>
        <v/>
      </c>
      <c r="U2266" s="13" t="str">
        <f t="shared" si="176"/>
        <v/>
      </c>
      <c r="V2266" s="13" t="str">
        <f t="shared" si="177"/>
        <v/>
      </c>
      <c r="W2266" s="4" t="str">
        <f t="shared" si="178"/>
        <v/>
      </c>
      <c r="X2266" t="str">
        <f>IF(W2266="","",LOOKUP(_xlfn.CONCAT(P2266,", ",Q2266),'[1]T+S Costs'!$F$2:$F$3138,'[1]T+S Costs'!$N$2:$N$3138))</f>
        <v/>
      </c>
      <c r="Y2266" s="14" t="str">
        <f t="shared" si="179"/>
        <v/>
      </c>
      <c r="Z2266" s="4" t="str">
        <f t="shared" si="180"/>
        <v/>
      </c>
    </row>
    <row r="2267" spans="16:26" x14ac:dyDescent="0.25">
      <c r="P2267" s="10" t="str">
        <f>IF('[1]All Data '!AZ2272="","",'[1]All Data '!AZ2272)</f>
        <v/>
      </c>
      <c r="Q2267" s="10" t="str">
        <f>IF('[1]All Data '!BB2272="","",'[1]All Data '!BB2272)</f>
        <v/>
      </c>
      <c r="R2267" s="10" t="str">
        <f>IF('[1]All Data '!BD2272="","",'[1]All Data '!BD2272)</f>
        <v/>
      </c>
      <c r="S2267" s="11" t="str">
        <f>IF(R2267="","",'[1]All Data '!BE2272)</f>
        <v/>
      </c>
      <c r="T2267" s="12" t="str">
        <f>IF(S2267="","",[1]Inputs_Outputs!$B$8*(1-'LOCH Calc COE Calc'!S2267))</f>
        <v/>
      </c>
      <c r="U2267" s="13" t="str">
        <f t="shared" si="176"/>
        <v/>
      </c>
      <c r="V2267" s="13" t="str">
        <f t="shared" si="177"/>
        <v/>
      </c>
      <c r="W2267" s="4" t="str">
        <f t="shared" si="178"/>
        <v/>
      </c>
      <c r="X2267" t="str">
        <f>IF(W2267="","",LOOKUP(_xlfn.CONCAT(P2267,", ",Q2267),'[1]T+S Costs'!$F$2:$F$3138,'[1]T+S Costs'!$N$2:$N$3138))</f>
        <v/>
      </c>
      <c r="Y2267" s="14" t="str">
        <f t="shared" si="179"/>
        <v/>
      </c>
      <c r="Z2267" s="4" t="str">
        <f t="shared" si="180"/>
        <v/>
      </c>
    </row>
    <row r="2268" spans="16:26" x14ac:dyDescent="0.25">
      <c r="P2268" s="10" t="str">
        <f>IF('[1]All Data '!AZ2273="","",'[1]All Data '!AZ2273)</f>
        <v/>
      </c>
      <c r="Q2268" s="10" t="str">
        <f>IF('[1]All Data '!BB2273="","",'[1]All Data '!BB2273)</f>
        <v/>
      </c>
      <c r="R2268" s="10" t="str">
        <f>IF('[1]All Data '!BD2273="","",'[1]All Data '!BD2273)</f>
        <v/>
      </c>
      <c r="S2268" s="11" t="str">
        <f>IF(R2268="","",'[1]All Data '!BE2273)</f>
        <v/>
      </c>
      <c r="T2268" s="12" t="str">
        <f>IF(S2268="","",[1]Inputs_Outputs!$B$8*(1-'LOCH Calc COE Calc'!S2268))</f>
        <v/>
      </c>
      <c r="U2268" s="13" t="str">
        <f t="shared" si="176"/>
        <v/>
      </c>
      <c r="V2268" s="13" t="str">
        <f t="shared" si="177"/>
        <v/>
      </c>
      <c r="W2268" s="4" t="str">
        <f t="shared" si="178"/>
        <v/>
      </c>
      <c r="X2268" t="str">
        <f>IF(W2268="","",LOOKUP(_xlfn.CONCAT(P2268,", ",Q2268),'[1]T+S Costs'!$F$2:$F$3138,'[1]T+S Costs'!$N$2:$N$3138))</f>
        <v/>
      </c>
      <c r="Y2268" s="14" t="str">
        <f t="shared" si="179"/>
        <v/>
      </c>
      <c r="Z2268" s="4" t="str">
        <f t="shared" si="180"/>
        <v/>
      </c>
    </row>
    <row r="2269" spans="16:26" x14ac:dyDescent="0.25">
      <c r="P2269" s="10" t="str">
        <f>IF('[1]All Data '!AZ2274="","",'[1]All Data '!AZ2274)</f>
        <v/>
      </c>
      <c r="Q2269" s="10" t="str">
        <f>IF('[1]All Data '!BB2274="","",'[1]All Data '!BB2274)</f>
        <v/>
      </c>
      <c r="R2269" s="10" t="str">
        <f>IF('[1]All Data '!BD2274="","",'[1]All Data '!BD2274)</f>
        <v/>
      </c>
      <c r="S2269" s="11" t="str">
        <f>IF(R2269="","",'[1]All Data '!BE2274)</f>
        <v/>
      </c>
      <c r="T2269" s="12" t="str">
        <f>IF(S2269="","",[1]Inputs_Outputs!$B$8*(1-'LOCH Calc COE Calc'!S2269))</f>
        <v/>
      </c>
      <c r="U2269" s="13" t="str">
        <f t="shared" si="176"/>
        <v/>
      </c>
      <c r="V2269" s="13" t="str">
        <f t="shared" si="177"/>
        <v/>
      </c>
      <c r="W2269" s="4" t="str">
        <f t="shared" si="178"/>
        <v/>
      </c>
      <c r="X2269" t="str">
        <f>IF(W2269="","",LOOKUP(_xlfn.CONCAT(P2269,", ",Q2269),'[1]T+S Costs'!$F$2:$F$3138,'[1]T+S Costs'!$N$2:$N$3138))</f>
        <v/>
      </c>
      <c r="Y2269" s="14" t="str">
        <f t="shared" si="179"/>
        <v/>
      </c>
      <c r="Z2269" s="4" t="str">
        <f t="shared" si="180"/>
        <v/>
      </c>
    </row>
    <row r="2270" spans="16:26" x14ac:dyDescent="0.25">
      <c r="P2270" s="10" t="str">
        <f>IF('[1]All Data '!AZ2275="","",'[1]All Data '!AZ2275)</f>
        <v/>
      </c>
      <c r="Q2270" s="10" t="str">
        <f>IF('[1]All Data '!BB2275="","",'[1]All Data '!BB2275)</f>
        <v/>
      </c>
      <c r="R2270" s="10" t="str">
        <f>IF('[1]All Data '!BD2275="","",'[1]All Data '!BD2275)</f>
        <v/>
      </c>
      <c r="S2270" s="11" t="str">
        <f>IF(R2270="","",'[1]All Data '!BE2275)</f>
        <v/>
      </c>
      <c r="T2270" s="12" t="str">
        <f>IF(S2270="","",[1]Inputs_Outputs!$B$8*(1-'LOCH Calc COE Calc'!S2270))</f>
        <v/>
      </c>
      <c r="U2270" s="13" t="str">
        <f t="shared" si="176"/>
        <v/>
      </c>
      <c r="V2270" s="13" t="str">
        <f t="shared" si="177"/>
        <v/>
      </c>
      <c r="W2270" s="4" t="str">
        <f t="shared" si="178"/>
        <v/>
      </c>
      <c r="X2270" t="str">
        <f>IF(W2270="","",LOOKUP(_xlfn.CONCAT(P2270,", ",Q2270),'[1]T+S Costs'!$F$2:$F$3138,'[1]T+S Costs'!$N$2:$N$3138))</f>
        <v/>
      </c>
      <c r="Y2270" s="14" t="str">
        <f t="shared" si="179"/>
        <v/>
      </c>
      <c r="Z2270" s="4" t="str">
        <f t="shared" si="180"/>
        <v/>
      </c>
    </row>
    <row r="2271" spans="16:26" x14ac:dyDescent="0.25">
      <c r="P2271" s="10" t="str">
        <f>IF('[1]All Data '!AZ2276="","",'[1]All Data '!AZ2276)</f>
        <v/>
      </c>
      <c r="Q2271" s="10" t="str">
        <f>IF('[1]All Data '!BB2276="","",'[1]All Data '!BB2276)</f>
        <v/>
      </c>
      <c r="R2271" s="10" t="str">
        <f>IF('[1]All Data '!BD2276="","",'[1]All Data '!BD2276)</f>
        <v/>
      </c>
      <c r="S2271" s="11" t="str">
        <f>IF(R2271="","",'[1]All Data '!BE2276)</f>
        <v/>
      </c>
      <c r="T2271" s="12" t="str">
        <f>IF(S2271="","",[1]Inputs_Outputs!$B$8*(1-'LOCH Calc COE Calc'!S2271))</f>
        <v/>
      </c>
      <c r="U2271" s="13" t="str">
        <f t="shared" si="176"/>
        <v/>
      </c>
      <c r="V2271" s="13" t="str">
        <f t="shared" si="177"/>
        <v/>
      </c>
      <c r="W2271" s="4" t="str">
        <f t="shared" si="178"/>
        <v/>
      </c>
      <c r="X2271" t="str">
        <f>IF(W2271="","",LOOKUP(_xlfn.CONCAT(P2271,", ",Q2271),'[1]T+S Costs'!$F$2:$F$3138,'[1]T+S Costs'!$N$2:$N$3138))</f>
        <v/>
      </c>
      <c r="Y2271" s="14" t="str">
        <f t="shared" si="179"/>
        <v/>
      </c>
      <c r="Z2271" s="4" t="str">
        <f t="shared" si="180"/>
        <v/>
      </c>
    </row>
    <row r="2272" spans="16:26" x14ac:dyDescent="0.25">
      <c r="P2272" s="10" t="str">
        <f>IF('[1]All Data '!AZ2277="","",'[1]All Data '!AZ2277)</f>
        <v/>
      </c>
      <c r="Q2272" s="10" t="str">
        <f>IF('[1]All Data '!BB2277="","",'[1]All Data '!BB2277)</f>
        <v/>
      </c>
      <c r="R2272" s="10" t="str">
        <f>IF('[1]All Data '!BD2277="","",'[1]All Data '!BD2277)</f>
        <v/>
      </c>
      <c r="S2272" s="11" t="str">
        <f>IF(R2272="","",'[1]All Data '!BE2277)</f>
        <v/>
      </c>
      <c r="T2272" s="12" t="str">
        <f>IF(S2272="","",[1]Inputs_Outputs!$B$8*(1-'LOCH Calc COE Calc'!S2272))</f>
        <v/>
      </c>
      <c r="U2272" s="13" t="str">
        <f t="shared" si="176"/>
        <v/>
      </c>
      <c r="V2272" s="13" t="str">
        <f t="shared" si="177"/>
        <v/>
      </c>
      <c r="W2272" s="4" t="str">
        <f t="shared" si="178"/>
        <v/>
      </c>
      <c r="X2272" t="str">
        <f>IF(W2272="","",LOOKUP(_xlfn.CONCAT(P2272,", ",Q2272),'[1]T+S Costs'!$F$2:$F$3138,'[1]T+S Costs'!$N$2:$N$3138))</f>
        <v/>
      </c>
      <c r="Y2272" s="14" t="str">
        <f t="shared" si="179"/>
        <v/>
      </c>
      <c r="Z2272" s="4" t="str">
        <f t="shared" si="180"/>
        <v/>
      </c>
    </row>
    <row r="2273" spans="16:26" x14ac:dyDescent="0.25">
      <c r="P2273" s="10" t="str">
        <f>IF('[1]All Data '!AZ2278="","",'[1]All Data '!AZ2278)</f>
        <v/>
      </c>
      <c r="Q2273" s="10" t="str">
        <f>IF('[1]All Data '!BB2278="","",'[1]All Data '!BB2278)</f>
        <v/>
      </c>
      <c r="R2273" s="10" t="str">
        <f>IF('[1]All Data '!BD2278="","",'[1]All Data '!BD2278)</f>
        <v/>
      </c>
      <c r="S2273" s="11" t="str">
        <f>IF(R2273="","",'[1]All Data '!BE2278)</f>
        <v/>
      </c>
      <c r="T2273" s="12" t="str">
        <f>IF(S2273="","",[1]Inputs_Outputs!$B$8*(1-'LOCH Calc COE Calc'!S2273))</f>
        <v/>
      </c>
      <c r="U2273" s="13" t="str">
        <f t="shared" si="176"/>
        <v/>
      </c>
      <c r="V2273" s="13" t="str">
        <f t="shared" si="177"/>
        <v/>
      </c>
      <c r="W2273" s="4" t="str">
        <f t="shared" si="178"/>
        <v/>
      </c>
      <c r="X2273" t="str">
        <f>IF(W2273="","",LOOKUP(_xlfn.CONCAT(P2273,", ",Q2273),'[1]T+S Costs'!$F$2:$F$3138,'[1]T+S Costs'!$N$2:$N$3138))</f>
        <v/>
      </c>
      <c r="Y2273" s="14" t="str">
        <f t="shared" si="179"/>
        <v/>
      </c>
      <c r="Z2273" s="4" t="str">
        <f t="shared" si="180"/>
        <v/>
      </c>
    </row>
    <row r="2274" spans="16:26" x14ac:dyDescent="0.25">
      <c r="P2274" s="10" t="str">
        <f>IF('[1]All Data '!AZ2279="","",'[1]All Data '!AZ2279)</f>
        <v/>
      </c>
      <c r="Q2274" s="10" t="str">
        <f>IF('[1]All Data '!BB2279="","",'[1]All Data '!BB2279)</f>
        <v/>
      </c>
      <c r="R2274" s="10" t="str">
        <f>IF('[1]All Data '!BD2279="","",'[1]All Data '!BD2279)</f>
        <v/>
      </c>
      <c r="S2274" s="11" t="str">
        <f>IF(R2274="","",'[1]All Data '!BE2279)</f>
        <v/>
      </c>
      <c r="T2274" s="12" t="str">
        <f>IF(S2274="","",[1]Inputs_Outputs!$B$8*(1-'LOCH Calc COE Calc'!S2274))</f>
        <v/>
      </c>
      <c r="U2274" s="13" t="str">
        <f t="shared" si="176"/>
        <v/>
      </c>
      <c r="V2274" s="13" t="str">
        <f t="shared" si="177"/>
        <v/>
      </c>
      <c r="W2274" s="4" t="str">
        <f t="shared" si="178"/>
        <v/>
      </c>
      <c r="X2274" t="str">
        <f>IF(W2274="","",LOOKUP(_xlfn.CONCAT(P2274,", ",Q2274),'[1]T+S Costs'!$F$2:$F$3138,'[1]T+S Costs'!$N$2:$N$3138))</f>
        <v/>
      </c>
      <c r="Y2274" s="14" t="str">
        <f t="shared" si="179"/>
        <v/>
      </c>
      <c r="Z2274" s="4" t="str">
        <f t="shared" si="180"/>
        <v/>
      </c>
    </row>
    <row r="2275" spans="16:26" x14ac:dyDescent="0.25">
      <c r="P2275" s="10" t="str">
        <f>IF('[1]All Data '!AZ2280="","",'[1]All Data '!AZ2280)</f>
        <v/>
      </c>
      <c r="Q2275" s="10" t="str">
        <f>IF('[1]All Data '!BB2280="","",'[1]All Data '!BB2280)</f>
        <v/>
      </c>
      <c r="R2275" s="10" t="str">
        <f>IF('[1]All Data '!BD2280="","",'[1]All Data '!BD2280)</f>
        <v/>
      </c>
      <c r="S2275" s="11" t="str">
        <f>IF(R2275="","",'[1]All Data '!BE2280)</f>
        <v/>
      </c>
      <c r="T2275" s="12" t="str">
        <f>IF(S2275="","",[1]Inputs_Outputs!$B$8*(1-'LOCH Calc COE Calc'!S2275))</f>
        <v/>
      </c>
      <c r="U2275" s="13" t="str">
        <f t="shared" si="176"/>
        <v/>
      </c>
      <c r="V2275" s="13" t="str">
        <f t="shared" si="177"/>
        <v/>
      </c>
      <c r="W2275" s="4" t="str">
        <f t="shared" si="178"/>
        <v/>
      </c>
      <c r="X2275" t="str">
        <f>IF(W2275="","",LOOKUP(_xlfn.CONCAT(P2275,", ",Q2275),'[1]T+S Costs'!$F$2:$F$3138,'[1]T+S Costs'!$N$2:$N$3138))</f>
        <v/>
      </c>
      <c r="Y2275" s="14" t="str">
        <f t="shared" si="179"/>
        <v/>
      </c>
      <c r="Z2275" s="4" t="str">
        <f t="shared" si="180"/>
        <v/>
      </c>
    </row>
    <row r="2276" spans="16:26" x14ac:dyDescent="0.25">
      <c r="P2276" s="10" t="str">
        <f>IF('[1]All Data '!AZ2281="","",'[1]All Data '!AZ2281)</f>
        <v/>
      </c>
      <c r="Q2276" s="10" t="str">
        <f>IF('[1]All Data '!BB2281="","",'[1]All Data '!BB2281)</f>
        <v/>
      </c>
      <c r="R2276" s="10" t="str">
        <f>IF('[1]All Data '!BD2281="","",'[1]All Data '!BD2281)</f>
        <v/>
      </c>
      <c r="S2276" s="11" t="str">
        <f>IF(R2276="","",'[1]All Data '!BE2281)</f>
        <v/>
      </c>
      <c r="T2276" s="12" t="str">
        <f>IF(S2276="","",[1]Inputs_Outputs!$B$8*(1-'LOCH Calc COE Calc'!S2276))</f>
        <v/>
      </c>
      <c r="U2276" s="13" t="str">
        <f t="shared" si="176"/>
        <v/>
      </c>
      <c r="V2276" s="13" t="str">
        <f t="shared" si="177"/>
        <v/>
      </c>
      <c r="W2276" s="4" t="str">
        <f t="shared" si="178"/>
        <v/>
      </c>
      <c r="X2276" t="str">
        <f>IF(W2276="","",LOOKUP(_xlfn.CONCAT(P2276,", ",Q2276),'[1]T+S Costs'!$F$2:$F$3138,'[1]T+S Costs'!$N$2:$N$3138))</f>
        <v/>
      </c>
      <c r="Y2276" s="14" t="str">
        <f t="shared" si="179"/>
        <v/>
      </c>
      <c r="Z2276" s="4" t="str">
        <f t="shared" si="180"/>
        <v/>
      </c>
    </row>
    <row r="2277" spans="16:26" x14ac:dyDescent="0.25">
      <c r="P2277" s="10" t="str">
        <f>IF('[1]All Data '!AZ2282="","",'[1]All Data '!AZ2282)</f>
        <v/>
      </c>
      <c r="Q2277" s="10" t="str">
        <f>IF('[1]All Data '!BB2282="","",'[1]All Data '!BB2282)</f>
        <v/>
      </c>
      <c r="R2277" s="10" t="str">
        <f>IF('[1]All Data '!BD2282="","",'[1]All Data '!BD2282)</f>
        <v/>
      </c>
      <c r="S2277" s="11" t="str">
        <f>IF(R2277="","",'[1]All Data '!BE2282)</f>
        <v/>
      </c>
      <c r="T2277" s="12" t="str">
        <f>IF(S2277="","",[1]Inputs_Outputs!$B$8*(1-'LOCH Calc COE Calc'!S2277))</f>
        <v/>
      </c>
      <c r="U2277" s="13" t="str">
        <f t="shared" si="176"/>
        <v/>
      </c>
      <c r="V2277" s="13" t="str">
        <f t="shared" si="177"/>
        <v/>
      </c>
      <c r="W2277" s="4" t="str">
        <f t="shared" si="178"/>
        <v/>
      </c>
      <c r="X2277" t="str">
        <f>IF(W2277="","",LOOKUP(_xlfn.CONCAT(P2277,", ",Q2277),'[1]T+S Costs'!$F$2:$F$3138,'[1]T+S Costs'!$N$2:$N$3138))</f>
        <v/>
      </c>
      <c r="Y2277" s="14" t="str">
        <f t="shared" si="179"/>
        <v/>
      </c>
      <c r="Z2277" s="4" t="str">
        <f t="shared" si="180"/>
        <v/>
      </c>
    </row>
    <row r="2278" spans="16:26" x14ac:dyDescent="0.25">
      <c r="P2278" s="10" t="str">
        <f>IF('[1]All Data '!AZ2283="","",'[1]All Data '!AZ2283)</f>
        <v/>
      </c>
      <c r="Q2278" s="10" t="str">
        <f>IF('[1]All Data '!BB2283="","",'[1]All Data '!BB2283)</f>
        <v/>
      </c>
      <c r="R2278" s="10" t="str">
        <f>IF('[1]All Data '!BD2283="","",'[1]All Data '!BD2283)</f>
        <v/>
      </c>
      <c r="S2278" s="11" t="str">
        <f>IF(R2278="","",'[1]All Data '!BE2283)</f>
        <v/>
      </c>
      <c r="T2278" s="12" t="str">
        <f>IF(S2278="","",[1]Inputs_Outputs!$B$8*(1-'LOCH Calc COE Calc'!S2278))</f>
        <v/>
      </c>
      <c r="U2278" s="13" t="str">
        <f t="shared" si="176"/>
        <v/>
      </c>
      <c r="V2278" s="13" t="str">
        <f t="shared" si="177"/>
        <v/>
      </c>
      <c r="W2278" s="4" t="str">
        <f t="shared" si="178"/>
        <v/>
      </c>
      <c r="X2278" t="str">
        <f>IF(W2278="","",LOOKUP(_xlfn.CONCAT(P2278,", ",Q2278),'[1]T+S Costs'!$F$2:$F$3138,'[1]T+S Costs'!$N$2:$N$3138))</f>
        <v/>
      </c>
      <c r="Y2278" s="14" t="str">
        <f t="shared" si="179"/>
        <v/>
      </c>
      <c r="Z2278" s="4" t="str">
        <f t="shared" si="180"/>
        <v/>
      </c>
    </row>
    <row r="2279" spans="16:26" x14ac:dyDescent="0.25">
      <c r="P2279" s="10" t="str">
        <f>IF('[1]All Data '!AZ2284="","",'[1]All Data '!AZ2284)</f>
        <v/>
      </c>
      <c r="Q2279" s="10" t="str">
        <f>IF('[1]All Data '!BB2284="","",'[1]All Data '!BB2284)</f>
        <v/>
      </c>
      <c r="R2279" s="10" t="str">
        <f>IF('[1]All Data '!BD2284="","",'[1]All Data '!BD2284)</f>
        <v/>
      </c>
      <c r="S2279" s="11" t="str">
        <f>IF(R2279="","",'[1]All Data '!BE2284)</f>
        <v/>
      </c>
      <c r="T2279" s="12" t="str">
        <f>IF(S2279="","",[1]Inputs_Outputs!$B$8*(1-'LOCH Calc COE Calc'!S2279))</f>
        <v/>
      </c>
      <c r="U2279" s="13" t="str">
        <f t="shared" si="176"/>
        <v/>
      </c>
      <c r="V2279" s="13" t="str">
        <f t="shared" si="177"/>
        <v/>
      </c>
      <c r="W2279" s="4" t="str">
        <f t="shared" si="178"/>
        <v/>
      </c>
      <c r="X2279" t="str">
        <f>IF(W2279="","",LOOKUP(_xlfn.CONCAT(P2279,", ",Q2279),'[1]T+S Costs'!$F$2:$F$3138,'[1]T+S Costs'!$N$2:$N$3138))</f>
        <v/>
      </c>
      <c r="Y2279" s="14" t="str">
        <f t="shared" si="179"/>
        <v/>
      </c>
      <c r="Z2279" s="4" t="str">
        <f t="shared" si="180"/>
        <v/>
      </c>
    </row>
    <row r="2280" spans="16:26" x14ac:dyDescent="0.25">
      <c r="P2280" s="10" t="str">
        <f>IF('[1]All Data '!AZ2285="","",'[1]All Data '!AZ2285)</f>
        <v/>
      </c>
      <c r="Q2280" s="10" t="str">
        <f>IF('[1]All Data '!BB2285="","",'[1]All Data '!BB2285)</f>
        <v/>
      </c>
      <c r="R2280" s="10" t="str">
        <f>IF('[1]All Data '!BD2285="","",'[1]All Data '!BD2285)</f>
        <v/>
      </c>
      <c r="S2280" s="11" t="str">
        <f>IF(R2280="","",'[1]All Data '!BE2285)</f>
        <v/>
      </c>
      <c r="T2280" s="12" t="str">
        <f>IF(S2280="","",[1]Inputs_Outputs!$B$8*(1-'LOCH Calc COE Calc'!S2280))</f>
        <v/>
      </c>
      <c r="U2280" s="13" t="str">
        <f t="shared" si="176"/>
        <v/>
      </c>
      <c r="V2280" s="13" t="str">
        <f t="shared" si="177"/>
        <v/>
      </c>
      <c r="W2280" s="4" t="str">
        <f t="shared" si="178"/>
        <v/>
      </c>
      <c r="X2280" t="str">
        <f>IF(W2280="","",LOOKUP(_xlfn.CONCAT(P2280,", ",Q2280),'[1]T+S Costs'!$F$2:$F$3138,'[1]T+S Costs'!$N$2:$N$3138))</f>
        <v/>
      </c>
      <c r="Y2280" s="14" t="str">
        <f t="shared" si="179"/>
        <v/>
      </c>
      <c r="Z2280" s="4" t="str">
        <f t="shared" si="180"/>
        <v/>
      </c>
    </row>
    <row r="2281" spans="16:26" x14ac:dyDescent="0.25">
      <c r="P2281" s="10" t="str">
        <f>IF('[1]All Data '!AZ2286="","",'[1]All Data '!AZ2286)</f>
        <v/>
      </c>
      <c r="Q2281" s="10" t="str">
        <f>IF('[1]All Data '!BB2286="","",'[1]All Data '!BB2286)</f>
        <v/>
      </c>
      <c r="R2281" s="10" t="str">
        <f>IF('[1]All Data '!BD2286="","",'[1]All Data '!BD2286)</f>
        <v/>
      </c>
      <c r="S2281" s="11" t="str">
        <f>IF(R2281="","",'[1]All Data '!BE2286)</f>
        <v/>
      </c>
      <c r="T2281" s="12" t="str">
        <f>IF(S2281="","",[1]Inputs_Outputs!$B$8*(1-'LOCH Calc COE Calc'!S2281))</f>
        <v/>
      </c>
      <c r="U2281" s="13" t="str">
        <f t="shared" si="176"/>
        <v/>
      </c>
      <c r="V2281" s="13" t="str">
        <f t="shared" si="177"/>
        <v/>
      </c>
      <c r="W2281" s="4" t="str">
        <f t="shared" si="178"/>
        <v/>
      </c>
      <c r="X2281" t="str">
        <f>IF(W2281="","",LOOKUP(_xlfn.CONCAT(P2281,", ",Q2281),'[1]T+S Costs'!$F$2:$F$3138,'[1]T+S Costs'!$N$2:$N$3138))</f>
        <v/>
      </c>
      <c r="Y2281" s="14" t="str">
        <f t="shared" si="179"/>
        <v/>
      </c>
      <c r="Z2281" s="4" t="str">
        <f t="shared" si="180"/>
        <v/>
      </c>
    </row>
    <row r="2282" spans="16:26" x14ac:dyDescent="0.25">
      <c r="P2282" s="10" t="str">
        <f>IF('[1]All Data '!AZ2287="","",'[1]All Data '!AZ2287)</f>
        <v/>
      </c>
      <c r="Q2282" s="10" t="str">
        <f>IF('[1]All Data '!BB2287="","",'[1]All Data '!BB2287)</f>
        <v/>
      </c>
      <c r="R2282" s="10" t="str">
        <f>IF('[1]All Data '!BD2287="","",'[1]All Data '!BD2287)</f>
        <v/>
      </c>
      <c r="S2282" s="11" t="str">
        <f>IF(R2282="","",'[1]All Data '!BE2287)</f>
        <v/>
      </c>
      <c r="T2282" s="12" t="str">
        <f>IF(S2282="","",[1]Inputs_Outputs!$B$8*(1-'LOCH Calc COE Calc'!S2282))</f>
        <v/>
      </c>
      <c r="U2282" s="13" t="str">
        <f t="shared" si="176"/>
        <v/>
      </c>
      <c r="V2282" s="13" t="str">
        <f t="shared" si="177"/>
        <v/>
      </c>
      <c r="W2282" s="4" t="str">
        <f t="shared" si="178"/>
        <v/>
      </c>
      <c r="X2282" t="str">
        <f>IF(W2282="","",LOOKUP(_xlfn.CONCAT(P2282,", ",Q2282),'[1]T+S Costs'!$F$2:$F$3138,'[1]T+S Costs'!$N$2:$N$3138))</f>
        <v/>
      </c>
      <c r="Y2282" s="14" t="str">
        <f t="shared" si="179"/>
        <v/>
      </c>
      <c r="Z2282" s="4" t="str">
        <f t="shared" si="180"/>
        <v/>
      </c>
    </row>
    <row r="2283" spans="16:26" x14ac:dyDescent="0.25">
      <c r="P2283" s="10" t="str">
        <f>IF('[1]All Data '!AZ2288="","",'[1]All Data '!AZ2288)</f>
        <v/>
      </c>
      <c r="Q2283" s="10" t="str">
        <f>IF('[1]All Data '!BB2288="","",'[1]All Data '!BB2288)</f>
        <v/>
      </c>
      <c r="R2283" s="10" t="str">
        <f>IF('[1]All Data '!BD2288="","",'[1]All Data '!BD2288)</f>
        <v/>
      </c>
      <c r="S2283" s="11" t="str">
        <f>IF(R2283="","",'[1]All Data '!BE2288)</f>
        <v/>
      </c>
      <c r="T2283" s="12" t="str">
        <f>IF(S2283="","",[1]Inputs_Outputs!$B$8*(1-'LOCH Calc COE Calc'!S2283))</f>
        <v/>
      </c>
      <c r="U2283" s="13" t="str">
        <f t="shared" si="176"/>
        <v/>
      </c>
      <c r="V2283" s="13" t="str">
        <f t="shared" si="177"/>
        <v/>
      </c>
      <c r="W2283" s="4" t="str">
        <f t="shared" si="178"/>
        <v/>
      </c>
      <c r="X2283" t="str">
        <f>IF(W2283="","",LOOKUP(_xlfn.CONCAT(P2283,", ",Q2283),'[1]T+S Costs'!$F$2:$F$3138,'[1]T+S Costs'!$N$2:$N$3138))</f>
        <v/>
      </c>
      <c r="Y2283" s="14" t="str">
        <f t="shared" si="179"/>
        <v/>
      </c>
      <c r="Z2283" s="4" t="str">
        <f t="shared" si="180"/>
        <v/>
      </c>
    </row>
    <row r="2284" spans="16:26" x14ac:dyDescent="0.25">
      <c r="P2284" s="10" t="str">
        <f>IF('[1]All Data '!AZ2289="","",'[1]All Data '!AZ2289)</f>
        <v/>
      </c>
      <c r="Q2284" s="10" t="str">
        <f>IF('[1]All Data '!BB2289="","",'[1]All Data '!BB2289)</f>
        <v/>
      </c>
      <c r="R2284" s="10" t="str">
        <f>IF('[1]All Data '!BD2289="","",'[1]All Data '!BD2289)</f>
        <v/>
      </c>
      <c r="S2284" s="11" t="str">
        <f>IF(R2284="","",'[1]All Data '!BE2289)</f>
        <v/>
      </c>
      <c r="T2284" s="12" t="str">
        <f>IF(S2284="","",[1]Inputs_Outputs!$B$8*(1-'LOCH Calc COE Calc'!S2284))</f>
        <v/>
      </c>
      <c r="U2284" s="13" t="str">
        <f t="shared" si="176"/>
        <v/>
      </c>
      <c r="V2284" s="13" t="str">
        <f t="shared" si="177"/>
        <v/>
      </c>
      <c r="W2284" s="4" t="str">
        <f t="shared" si="178"/>
        <v/>
      </c>
      <c r="X2284" t="str">
        <f>IF(W2284="","",LOOKUP(_xlfn.CONCAT(P2284,", ",Q2284),'[1]T+S Costs'!$F$2:$F$3138,'[1]T+S Costs'!$N$2:$N$3138))</f>
        <v/>
      </c>
      <c r="Y2284" s="14" t="str">
        <f t="shared" si="179"/>
        <v/>
      </c>
      <c r="Z2284" s="4" t="str">
        <f t="shared" si="180"/>
        <v/>
      </c>
    </row>
    <row r="2285" spans="16:26" x14ac:dyDescent="0.25">
      <c r="P2285" s="10" t="str">
        <f>IF('[1]All Data '!AZ2290="","",'[1]All Data '!AZ2290)</f>
        <v/>
      </c>
      <c r="Q2285" s="10" t="str">
        <f>IF('[1]All Data '!BB2290="","",'[1]All Data '!BB2290)</f>
        <v/>
      </c>
      <c r="R2285" s="10" t="str">
        <f>IF('[1]All Data '!BD2290="","",'[1]All Data '!BD2290)</f>
        <v/>
      </c>
      <c r="S2285" s="11" t="str">
        <f>IF(R2285="","",'[1]All Data '!BE2290)</f>
        <v/>
      </c>
      <c r="T2285" s="12" t="str">
        <f>IF(S2285="","",[1]Inputs_Outputs!$B$8*(1-'LOCH Calc COE Calc'!S2285))</f>
        <v/>
      </c>
      <c r="U2285" s="13" t="str">
        <f t="shared" si="176"/>
        <v/>
      </c>
      <c r="V2285" s="13" t="str">
        <f t="shared" si="177"/>
        <v/>
      </c>
      <c r="W2285" s="4" t="str">
        <f t="shared" si="178"/>
        <v/>
      </c>
      <c r="X2285" t="str">
        <f>IF(W2285="","",LOOKUP(_xlfn.CONCAT(P2285,", ",Q2285),'[1]T+S Costs'!$F$2:$F$3138,'[1]T+S Costs'!$N$2:$N$3138))</f>
        <v/>
      </c>
      <c r="Y2285" s="14" t="str">
        <f t="shared" si="179"/>
        <v/>
      </c>
      <c r="Z2285" s="4" t="str">
        <f t="shared" si="180"/>
        <v/>
      </c>
    </row>
    <row r="2286" spans="16:26" x14ac:dyDescent="0.25">
      <c r="P2286" s="10" t="str">
        <f>IF('[1]All Data '!AZ2291="","",'[1]All Data '!AZ2291)</f>
        <v/>
      </c>
      <c r="Q2286" s="10" t="str">
        <f>IF('[1]All Data '!BB2291="","",'[1]All Data '!BB2291)</f>
        <v/>
      </c>
      <c r="R2286" s="10" t="str">
        <f>IF('[1]All Data '!BD2291="","",'[1]All Data '!BD2291)</f>
        <v/>
      </c>
      <c r="S2286" s="11" t="str">
        <f>IF(R2286="","",'[1]All Data '!BE2291)</f>
        <v/>
      </c>
      <c r="T2286" s="12" t="str">
        <f>IF(S2286="","",[1]Inputs_Outputs!$B$8*(1-'LOCH Calc COE Calc'!S2286))</f>
        <v/>
      </c>
      <c r="U2286" s="13" t="str">
        <f t="shared" si="176"/>
        <v/>
      </c>
      <c r="V2286" s="13" t="str">
        <f t="shared" si="177"/>
        <v/>
      </c>
      <c r="W2286" s="4" t="str">
        <f t="shared" si="178"/>
        <v/>
      </c>
      <c r="X2286" t="str">
        <f>IF(W2286="","",LOOKUP(_xlfn.CONCAT(P2286,", ",Q2286),'[1]T+S Costs'!$F$2:$F$3138,'[1]T+S Costs'!$N$2:$N$3138))</f>
        <v/>
      </c>
      <c r="Y2286" s="14" t="str">
        <f t="shared" si="179"/>
        <v/>
      </c>
      <c r="Z2286" s="4" t="str">
        <f t="shared" si="180"/>
        <v/>
      </c>
    </row>
    <row r="2287" spans="16:26" x14ac:dyDescent="0.25">
      <c r="P2287" s="10" t="str">
        <f>IF('[1]All Data '!AZ2292="","",'[1]All Data '!AZ2292)</f>
        <v/>
      </c>
      <c r="Q2287" s="10" t="str">
        <f>IF('[1]All Data '!BB2292="","",'[1]All Data '!BB2292)</f>
        <v/>
      </c>
      <c r="R2287" s="10" t="str">
        <f>IF('[1]All Data '!BD2292="","",'[1]All Data '!BD2292)</f>
        <v/>
      </c>
      <c r="S2287" s="11" t="str">
        <f>IF(R2287="","",'[1]All Data '!BE2292)</f>
        <v/>
      </c>
      <c r="T2287" s="12" t="str">
        <f>IF(S2287="","",[1]Inputs_Outputs!$B$8*(1-'LOCH Calc COE Calc'!S2287))</f>
        <v/>
      </c>
      <c r="U2287" s="13" t="str">
        <f t="shared" si="176"/>
        <v/>
      </c>
      <c r="V2287" s="13" t="str">
        <f t="shared" si="177"/>
        <v/>
      </c>
      <c r="W2287" s="4" t="str">
        <f t="shared" si="178"/>
        <v/>
      </c>
      <c r="X2287" t="str">
        <f>IF(W2287="","",LOOKUP(_xlfn.CONCAT(P2287,", ",Q2287),'[1]T+S Costs'!$F$2:$F$3138,'[1]T+S Costs'!$N$2:$N$3138))</f>
        <v/>
      </c>
      <c r="Y2287" s="14" t="str">
        <f t="shared" si="179"/>
        <v/>
      </c>
      <c r="Z2287" s="4" t="str">
        <f t="shared" si="180"/>
        <v/>
      </c>
    </row>
    <row r="2288" spans="16:26" x14ac:dyDescent="0.25">
      <c r="P2288" s="10" t="str">
        <f>IF('[1]All Data '!AZ2293="","",'[1]All Data '!AZ2293)</f>
        <v/>
      </c>
      <c r="Q2288" s="10" t="str">
        <f>IF('[1]All Data '!BB2293="","",'[1]All Data '!BB2293)</f>
        <v/>
      </c>
      <c r="R2288" s="10" t="str">
        <f>IF('[1]All Data '!BD2293="","",'[1]All Data '!BD2293)</f>
        <v/>
      </c>
      <c r="S2288" s="11" t="str">
        <f>IF(R2288="","",'[1]All Data '!BE2293)</f>
        <v/>
      </c>
      <c r="T2288" s="12" t="str">
        <f>IF(S2288="","",[1]Inputs_Outputs!$B$8*(1-'LOCH Calc COE Calc'!S2288))</f>
        <v/>
      </c>
      <c r="U2288" s="13" t="str">
        <f t="shared" si="176"/>
        <v/>
      </c>
      <c r="V2288" s="13" t="str">
        <f t="shared" si="177"/>
        <v/>
      </c>
      <c r="W2288" s="4" t="str">
        <f t="shared" si="178"/>
        <v/>
      </c>
      <c r="X2288" t="str">
        <f>IF(W2288="","",LOOKUP(_xlfn.CONCAT(P2288,", ",Q2288),'[1]T+S Costs'!$F$2:$F$3138,'[1]T+S Costs'!$N$2:$N$3138))</f>
        <v/>
      </c>
      <c r="Y2288" s="14" t="str">
        <f t="shared" si="179"/>
        <v/>
      </c>
      <c r="Z2288" s="4" t="str">
        <f t="shared" si="180"/>
        <v/>
      </c>
    </row>
    <row r="2289" spans="16:26" x14ac:dyDescent="0.25">
      <c r="P2289" s="10" t="str">
        <f>IF('[1]All Data '!AZ2294="","",'[1]All Data '!AZ2294)</f>
        <v/>
      </c>
      <c r="Q2289" s="10" t="str">
        <f>IF('[1]All Data '!BB2294="","",'[1]All Data '!BB2294)</f>
        <v/>
      </c>
      <c r="R2289" s="10" t="str">
        <f>IF('[1]All Data '!BD2294="","",'[1]All Data '!BD2294)</f>
        <v/>
      </c>
      <c r="S2289" s="11" t="str">
        <f>IF(R2289="","",'[1]All Data '!BE2294)</f>
        <v/>
      </c>
      <c r="T2289" s="12" t="str">
        <f>IF(S2289="","",[1]Inputs_Outputs!$B$8*(1-'LOCH Calc COE Calc'!S2289))</f>
        <v/>
      </c>
      <c r="U2289" s="13" t="str">
        <f t="shared" si="176"/>
        <v/>
      </c>
      <c r="V2289" s="13" t="str">
        <f t="shared" si="177"/>
        <v/>
      </c>
      <c r="W2289" s="4" t="str">
        <f t="shared" si="178"/>
        <v/>
      </c>
      <c r="X2289" t="str">
        <f>IF(W2289="","",LOOKUP(_xlfn.CONCAT(P2289,", ",Q2289),'[1]T+S Costs'!$F$2:$F$3138,'[1]T+S Costs'!$N$2:$N$3138))</f>
        <v/>
      </c>
      <c r="Y2289" s="14" t="str">
        <f t="shared" si="179"/>
        <v/>
      </c>
      <c r="Z2289" s="4" t="str">
        <f t="shared" si="180"/>
        <v/>
      </c>
    </row>
    <row r="2290" spans="16:26" x14ac:dyDescent="0.25">
      <c r="P2290" s="10" t="str">
        <f>IF('[1]All Data '!AZ2295="","",'[1]All Data '!AZ2295)</f>
        <v/>
      </c>
      <c r="Q2290" s="10" t="str">
        <f>IF('[1]All Data '!BB2295="","",'[1]All Data '!BB2295)</f>
        <v/>
      </c>
      <c r="R2290" s="10" t="str">
        <f>IF('[1]All Data '!BD2295="","",'[1]All Data '!BD2295)</f>
        <v/>
      </c>
      <c r="S2290" s="11" t="str">
        <f>IF(R2290="","",'[1]All Data '!BE2295)</f>
        <v/>
      </c>
      <c r="T2290" s="12" t="str">
        <f>IF(S2290="","",[1]Inputs_Outputs!$B$8*(1-'LOCH Calc COE Calc'!S2290))</f>
        <v/>
      </c>
      <c r="U2290" s="13" t="str">
        <f t="shared" si="176"/>
        <v/>
      </c>
      <c r="V2290" s="13" t="str">
        <f t="shared" si="177"/>
        <v/>
      </c>
      <c r="W2290" s="4" t="str">
        <f t="shared" si="178"/>
        <v/>
      </c>
      <c r="X2290" t="str">
        <f>IF(W2290="","",LOOKUP(_xlfn.CONCAT(P2290,", ",Q2290),'[1]T+S Costs'!$F$2:$F$3138,'[1]T+S Costs'!$N$2:$N$3138))</f>
        <v/>
      </c>
      <c r="Y2290" s="14" t="str">
        <f t="shared" si="179"/>
        <v/>
      </c>
      <c r="Z2290" s="4" t="str">
        <f t="shared" si="180"/>
        <v/>
      </c>
    </row>
    <row r="2291" spans="16:26" x14ac:dyDescent="0.25">
      <c r="P2291" s="10" t="str">
        <f>IF('[1]All Data '!AZ2296="","",'[1]All Data '!AZ2296)</f>
        <v/>
      </c>
      <c r="Q2291" s="10" t="str">
        <f>IF('[1]All Data '!BB2296="","",'[1]All Data '!BB2296)</f>
        <v/>
      </c>
      <c r="R2291" s="10" t="str">
        <f>IF('[1]All Data '!BD2296="","",'[1]All Data '!BD2296)</f>
        <v/>
      </c>
      <c r="S2291" s="11" t="str">
        <f>IF(R2291="","",'[1]All Data '!BE2296)</f>
        <v/>
      </c>
      <c r="T2291" s="12" t="str">
        <f>IF(S2291="","",[1]Inputs_Outputs!$B$8*(1-'LOCH Calc COE Calc'!S2291))</f>
        <v/>
      </c>
      <c r="U2291" s="13" t="str">
        <f t="shared" si="176"/>
        <v/>
      </c>
      <c r="V2291" s="13" t="str">
        <f t="shared" si="177"/>
        <v/>
      </c>
      <c r="W2291" s="4" t="str">
        <f t="shared" si="178"/>
        <v/>
      </c>
      <c r="X2291" t="str">
        <f>IF(W2291="","",LOOKUP(_xlfn.CONCAT(P2291,", ",Q2291),'[1]T+S Costs'!$F$2:$F$3138,'[1]T+S Costs'!$N$2:$N$3138))</f>
        <v/>
      </c>
      <c r="Y2291" s="14" t="str">
        <f t="shared" si="179"/>
        <v/>
      </c>
      <c r="Z2291" s="4" t="str">
        <f t="shared" si="180"/>
        <v/>
      </c>
    </row>
    <row r="2292" spans="16:26" x14ac:dyDescent="0.25">
      <c r="P2292" s="10" t="str">
        <f>IF('[1]All Data '!AZ2297="","",'[1]All Data '!AZ2297)</f>
        <v/>
      </c>
      <c r="Q2292" s="10" t="str">
        <f>IF('[1]All Data '!BB2297="","",'[1]All Data '!BB2297)</f>
        <v/>
      </c>
      <c r="R2292" s="10" t="str">
        <f>IF('[1]All Data '!BD2297="","",'[1]All Data '!BD2297)</f>
        <v/>
      </c>
      <c r="S2292" s="11" t="str">
        <f>IF(R2292="","",'[1]All Data '!BE2297)</f>
        <v/>
      </c>
      <c r="T2292" s="12" t="str">
        <f>IF(S2292="","",[1]Inputs_Outputs!$B$8*(1-'LOCH Calc COE Calc'!S2292))</f>
        <v/>
      </c>
      <c r="U2292" s="13" t="str">
        <f t="shared" si="176"/>
        <v/>
      </c>
      <c r="V2292" s="13" t="str">
        <f t="shared" si="177"/>
        <v/>
      </c>
      <c r="W2292" s="4" t="str">
        <f t="shared" si="178"/>
        <v/>
      </c>
      <c r="X2292" t="str">
        <f>IF(W2292="","",LOOKUP(_xlfn.CONCAT(P2292,", ",Q2292),'[1]T+S Costs'!$F$2:$F$3138,'[1]T+S Costs'!$N$2:$N$3138))</f>
        <v/>
      </c>
      <c r="Y2292" s="14" t="str">
        <f t="shared" si="179"/>
        <v/>
      </c>
      <c r="Z2292" s="4" t="str">
        <f t="shared" si="180"/>
        <v/>
      </c>
    </row>
    <row r="2293" spans="16:26" x14ac:dyDescent="0.25">
      <c r="P2293" s="10" t="str">
        <f>IF('[1]All Data '!AZ2298="","",'[1]All Data '!AZ2298)</f>
        <v/>
      </c>
      <c r="Q2293" s="10" t="str">
        <f>IF('[1]All Data '!BB2298="","",'[1]All Data '!BB2298)</f>
        <v/>
      </c>
      <c r="R2293" s="10" t="str">
        <f>IF('[1]All Data '!BD2298="","",'[1]All Data '!BD2298)</f>
        <v/>
      </c>
      <c r="S2293" s="11" t="str">
        <f>IF(R2293="","",'[1]All Data '!BE2298)</f>
        <v/>
      </c>
      <c r="T2293" s="12" t="str">
        <f>IF(S2293="","",[1]Inputs_Outputs!$B$8*(1-'LOCH Calc COE Calc'!S2293))</f>
        <v/>
      </c>
      <c r="U2293" s="13" t="str">
        <f t="shared" si="176"/>
        <v/>
      </c>
      <c r="V2293" s="13" t="str">
        <f t="shared" si="177"/>
        <v/>
      </c>
      <c r="W2293" s="4" t="str">
        <f t="shared" si="178"/>
        <v/>
      </c>
      <c r="X2293" t="str">
        <f>IF(W2293="","",LOOKUP(_xlfn.CONCAT(P2293,", ",Q2293),'[1]T+S Costs'!$F$2:$F$3138,'[1]T+S Costs'!$N$2:$N$3138))</f>
        <v/>
      </c>
      <c r="Y2293" s="14" t="str">
        <f t="shared" si="179"/>
        <v/>
      </c>
      <c r="Z2293" s="4" t="str">
        <f t="shared" si="180"/>
        <v/>
      </c>
    </row>
    <row r="2294" spans="16:26" x14ac:dyDescent="0.25">
      <c r="P2294" s="10" t="str">
        <f>IF('[1]All Data '!AZ2299="","",'[1]All Data '!AZ2299)</f>
        <v/>
      </c>
      <c r="Q2294" s="10" t="str">
        <f>IF('[1]All Data '!BB2299="","",'[1]All Data '!BB2299)</f>
        <v/>
      </c>
      <c r="R2294" s="10" t="str">
        <f>IF('[1]All Data '!BD2299="","",'[1]All Data '!BD2299)</f>
        <v/>
      </c>
      <c r="S2294" s="11" t="str">
        <f>IF(R2294="","",'[1]All Data '!BE2299)</f>
        <v/>
      </c>
      <c r="T2294" s="12" t="str">
        <f>IF(S2294="","",[1]Inputs_Outputs!$B$8*(1-'LOCH Calc COE Calc'!S2294))</f>
        <v/>
      </c>
      <c r="U2294" s="13" t="str">
        <f t="shared" si="176"/>
        <v/>
      </c>
      <c r="V2294" s="13" t="str">
        <f t="shared" si="177"/>
        <v/>
      </c>
      <c r="W2294" s="4" t="str">
        <f t="shared" si="178"/>
        <v/>
      </c>
      <c r="X2294" t="str">
        <f>IF(W2294="","",LOOKUP(_xlfn.CONCAT(P2294,", ",Q2294),'[1]T+S Costs'!$F$2:$F$3138,'[1]T+S Costs'!$N$2:$N$3138))</f>
        <v/>
      </c>
      <c r="Y2294" s="14" t="str">
        <f t="shared" si="179"/>
        <v/>
      </c>
      <c r="Z2294" s="4" t="str">
        <f t="shared" si="180"/>
        <v/>
      </c>
    </row>
    <row r="2295" spans="16:26" x14ac:dyDescent="0.25">
      <c r="P2295" s="10" t="str">
        <f>IF('[1]All Data '!AZ2300="","",'[1]All Data '!AZ2300)</f>
        <v/>
      </c>
      <c r="Q2295" s="10" t="str">
        <f>IF('[1]All Data '!BB2300="","",'[1]All Data '!BB2300)</f>
        <v/>
      </c>
      <c r="R2295" s="10" t="str">
        <f>IF('[1]All Data '!BD2300="","",'[1]All Data '!BD2300)</f>
        <v/>
      </c>
      <c r="S2295" s="11" t="str">
        <f>IF(R2295="","",'[1]All Data '!BE2300)</f>
        <v/>
      </c>
      <c r="T2295" s="12" t="str">
        <f>IF(S2295="","",[1]Inputs_Outputs!$B$8*(1-'LOCH Calc COE Calc'!S2295))</f>
        <v/>
      </c>
      <c r="U2295" s="13" t="str">
        <f t="shared" si="176"/>
        <v/>
      </c>
      <c r="V2295" s="13" t="str">
        <f t="shared" si="177"/>
        <v/>
      </c>
      <c r="W2295" s="4" t="str">
        <f t="shared" si="178"/>
        <v/>
      </c>
      <c r="X2295" t="str">
        <f>IF(W2295="","",LOOKUP(_xlfn.CONCAT(P2295,", ",Q2295),'[1]T+S Costs'!$F$2:$F$3138,'[1]T+S Costs'!$N$2:$N$3138))</f>
        <v/>
      </c>
      <c r="Y2295" s="14" t="str">
        <f t="shared" si="179"/>
        <v/>
      </c>
      <c r="Z2295" s="4" t="str">
        <f t="shared" si="180"/>
        <v/>
      </c>
    </row>
    <row r="2296" spans="16:26" x14ac:dyDescent="0.25">
      <c r="P2296" s="10" t="str">
        <f>IF('[1]All Data '!AZ2301="","",'[1]All Data '!AZ2301)</f>
        <v/>
      </c>
      <c r="Q2296" s="10" t="str">
        <f>IF('[1]All Data '!BB2301="","",'[1]All Data '!BB2301)</f>
        <v/>
      </c>
      <c r="R2296" s="10" t="str">
        <f>IF('[1]All Data '!BD2301="","",'[1]All Data '!BD2301)</f>
        <v/>
      </c>
      <c r="S2296" s="11" t="str">
        <f>IF(R2296="","",'[1]All Data '!BE2301)</f>
        <v/>
      </c>
      <c r="T2296" s="12" t="str">
        <f>IF(S2296="","",[1]Inputs_Outputs!$B$8*(1-'LOCH Calc COE Calc'!S2296))</f>
        <v/>
      </c>
      <c r="U2296" s="13" t="str">
        <f t="shared" si="176"/>
        <v/>
      </c>
      <c r="V2296" s="13" t="str">
        <f t="shared" si="177"/>
        <v/>
      </c>
      <c r="W2296" s="4" t="str">
        <f t="shared" si="178"/>
        <v/>
      </c>
      <c r="X2296" t="str">
        <f>IF(W2296="","",LOOKUP(_xlfn.CONCAT(P2296,", ",Q2296),'[1]T+S Costs'!$F$2:$F$3138,'[1]T+S Costs'!$N$2:$N$3138))</f>
        <v/>
      </c>
      <c r="Y2296" s="14" t="str">
        <f t="shared" si="179"/>
        <v/>
      </c>
      <c r="Z2296" s="4" t="str">
        <f t="shared" si="180"/>
        <v/>
      </c>
    </row>
    <row r="2297" spans="16:26" x14ac:dyDescent="0.25">
      <c r="P2297" s="10" t="str">
        <f>IF('[1]All Data '!AZ2302="","",'[1]All Data '!AZ2302)</f>
        <v/>
      </c>
      <c r="Q2297" s="10" t="str">
        <f>IF('[1]All Data '!BB2302="","",'[1]All Data '!BB2302)</f>
        <v/>
      </c>
      <c r="R2297" s="10" t="str">
        <f>IF('[1]All Data '!BD2302="","",'[1]All Data '!BD2302)</f>
        <v/>
      </c>
      <c r="S2297" s="11" t="str">
        <f>IF(R2297="","",'[1]All Data '!BE2302)</f>
        <v/>
      </c>
      <c r="T2297" s="12" t="str">
        <f>IF(S2297="","",[1]Inputs_Outputs!$B$8*(1-'LOCH Calc COE Calc'!S2297))</f>
        <v/>
      </c>
      <c r="U2297" s="13" t="str">
        <f t="shared" si="176"/>
        <v/>
      </c>
      <c r="V2297" s="13" t="str">
        <f t="shared" si="177"/>
        <v/>
      </c>
      <c r="W2297" s="4" t="str">
        <f t="shared" si="178"/>
        <v/>
      </c>
      <c r="X2297" t="str">
        <f>IF(W2297="","",LOOKUP(_xlfn.CONCAT(P2297,", ",Q2297),'[1]T+S Costs'!$F$2:$F$3138,'[1]T+S Costs'!$N$2:$N$3138))</f>
        <v/>
      </c>
      <c r="Y2297" s="14" t="str">
        <f t="shared" si="179"/>
        <v/>
      </c>
      <c r="Z2297" s="4" t="str">
        <f t="shared" si="180"/>
        <v/>
      </c>
    </row>
    <row r="2298" spans="16:26" x14ac:dyDescent="0.25">
      <c r="P2298" s="10" t="str">
        <f>IF('[1]All Data '!AZ2303="","",'[1]All Data '!AZ2303)</f>
        <v/>
      </c>
      <c r="Q2298" s="10" t="str">
        <f>IF('[1]All Data '!BB2303="","",'[1]All Data '!BB2303)</f>
        <v/>
      </c>
      <c r="R2298" s="10" t="str">
        <f>IF('[1]All Data '!BD2303="","",'[1]All Data '!BD2303)</f>
        <v/>
      </c>
      <c r="S2298" s="11" t="str">
        <f>IF(R2298="","",'[1]All Data '!BE2303)</f>
        <v/>
      </c>
      <c r="T2298" s="12" t="str">
        <f>IF(S2298="","",[1]Inputs_Outputs!$B$8*(1-'LOCH Calc COE Calc'!S2298))</f>
        <v/>
      </c>
      <c r="U2298" s="13" t="str">
        <f t="shared" si="176"/>
        <v/>
      </c>
      <c r="V2298" s="13" t="str">
        <f t="shared" si="177"/>
        <v/>
      </c>
      <c r="W2298" s="4" t="str">
        <f t="shared" si="178"/>
        <v/>
      </c>
      <c r="X2298" t="str">
        <f>IF(W2298="","",LOOKUP(_xlfn.CONCAT(P2298,", ",Q2298),'[1]T+S Costs'!$F$2:$F$3138,'[1]T+S Costs'!$N$2:$N$3138))</f>
        <v/>
      </c>
      <c r="Y2298" s="14" t="str">
        <f t="shared" si="179"/>
        <v/>
      </c>
      <c r="Z2298" s="4" t="str">
        <f t="shared" si="180"/>
        <v/>
      </c>
    </row>
    <row r="2299" spans="16:26" x14ac:dyDescent="0.25">
      <c r="P2299" s="10" t="str">
        <f>IF('[1]All Data '!AZ2304="","",'[1]All Data '!AZ2304)</f>
        <v/>
      </c>
      <c r="Q2299" s="10" t="str">
        <f>IF('[1]All Data '!BB2304="","",'[1]All Data '!BB2304)</f>
        <v/>
      </c>
      <c r="R2299" s="10" t="str">
        <f>IF('[1]All Data '!BD2304="","",'[1]All Data '!BD2304)</f>
        <v/>
      </c>
      <c r="S2299" s="11" t="str">
        <f>IF(R2299="","",'[1]All Data '!BE2304)</f>
        <v/>
      </c>
      <c r="T2299" s="12" t="str">
        <f>IF(S2299="","",[1]Inputs_Outputs!$B$8*(1-'LOCH Calc COE Calc'!S2299))</f>
        <v/>
      </c>
      <c r="U2299" s="13" t="str">
        <f t="shared" si="176"/>
        <v/>
      </c>
      <c r="V2299" s="13" t="str">
        <f t="shared" si="177"/>
        <v/>
      </c>
      <c r="W2299" s="4" t="str">
        <f t="shared" si="178"/>
        <v/>
      </c>
      <c r="X2299" t="str">
        <f>IF(W2299="","",LOOKUP(_xlfn.CONCAT(P2299,", ",Q2299),'[1]T+S Costs'!$F$2:$F$3138,'[1]T+S Costs'!$N$2:$N$3138))</f>
        <v/>
      </c>
      <c r="Y2299" s="14" t="str">
        <f t="shared" si="179"/>
        <v/>
      </c>
      <c r="Z2299" s="4" t="str">
        <f t="shared" si="180"/>
        <v/>
      </c>
    </row>
    <row r="2300" spans="16:26" x14ac:dyDescent="0.25">
      <c r="P2300" s="10" t="str">
        <f>IF('[1]All Data '!AZ2305="","",'[1]All Data '!AZ2305)</f>
        <v/>
      </c>
      <c r="Q2300" s="10" t="str">
        <f>IF('[1]All Data '!BB2305="","",'[1]All Data '!BB2305)</f>
        <v/>
      </c>
      <c r="R2300" s="10" t="str">
        <f>IF('[1]All Data '!BD2305="","",'[1]All Data '!BD2305)</f>
        <v/>
      </c>
      <c r="S2300" s="11" t="str">
        <f>IF(R2300="","",'[1]All Data '!BE2305)</f>
        <v/>
      </c>
      <c r="T2300" s="12" t="str">
        <f>IF(S2300="","",[1]Inputs_Outputs!$B$8*(1-'LOCH Calc COE Calc'!S2300))</f>
        <v/>
      </c>
      <c r="U2300" s="13" t="str">
        <f t="shared" si="176"/>
        <v/>
      </c>
      <c r="V2300" s="13" t="str">
        <f t="shared" si="177"/>
        <v/>
      </c>
      <c r="W2300" s="4" t="str">
        <f t="shared" si="178"/>
        <v/>
      </c>
      <c r="X2300" t="str">
        <f>IF(W2300="","",LOOKUP(_xlfn.CONCAT(P2300,", ",Q2300),'[1]T+S Costs'!$F$2:$F$3138,'[1]T+S Costs'!$N$2:$N$3138))</f>
        <v/>
      </c>
      <c r="Y2300" s="14" t="str">
        <f t="shared" si="179"/>
        <v/>
      </c>
      <c r="Z2300" s="4" t="str">
        <f t="shared" si="180"/>
        <v/>
      </c>
    </row>
    <row r="2301" spans="16:26" x14ac:dyDescent="0.25">
      <c r="P2301" s="10" t="str">
        <f>IF('[1]All Data '!AZ2306="","",'[1]All Data '!AZ2306)</f>
        <v/>
      </c>
      <c r="Q2301" s="10" t="str">
        <f>IF('[1]All Data '!BB2306="","",'[1]All Data '!BB2306)</f>
        <v/>
      </c>
      <c r="R2301" s="10" t="str">
        <f>IF('[1]All Data '!BD2306="","",'[1]All Data '!BD2306)</f>
        <v/>
      </c>
      <c r="S2301" s="11" t="str">
        <f>IF(R2301="","",'[1]All Data '!BE2306)</f>
        <v/>
      </c>
      <c r="T2301" s="12" t="str">
        <f>IF(S2301="","",[1]Inputs_Outputs!$B$8*(1-'LOCH Calc COE Calc'!S2301))</f>
        <v/>
      </c>
      <c r="U2301" s="13" t="str">
        <f t="shared" si="176"/>
        <v/>
      </c>
      <c r="V2301" s="13" t="str">
        <f t="shared" si="177"/>
        <v/>
      </c>
      <c r="W2301" s="4" t="str">
        <f t="shared" si="178"/>
        <v/>
      </c>
      <c r="X2301" t="str">
        <f>IF(W2301="","",LOOKUP(_xlfn.CONCAT(P2301,", ",Q2301),'[1]T+S Costs'!$F$2:$F$3138,'[1]T+S Costs'!$N$2:$N$3138))</f>
        <v/>
      </c>
      <c r="Y2301" s="14" t="str">
        <f t="shared" si="179"/>
        <v/>
      </c>
      <c r="Z2301" s="4" t="str">
        <f t="shared" si="180"/>
        <v/>
      </c>
    </row>
    <row r="2302" spans="16:26" x14ac:dyDescent="0.25">
      <c r="P2302" s="10" t="str">
        <f>IF('[1]All Data '!AZ2307="","",'[1]All Data '!AZ2307)</f>
        <v/>
      </c>
      <c r="Q2302" s="10" t="str">
        <f>IF('[1]All Data '!BB2307="","",'[1]All Data '!BB2307)</f>
        <v/>
      </c>
      <c r="R2302" s="10" t="str">
        <f>IF('[1]All Data '!BD2307="","",'[1]All Data '!BD2307)</f>
        <v/>
      </c>
      <c r="S2302" s="11" t="str">
        <f>IF(R2302="","",'[1]All Data '!BE2307)</f>
        <v/>
      </c>
      <c r="T2302" s="12" t="str">
        <f>IF(S2302="","",[1]Inputs_Outputs!$B$8*(1-'LOCH Calc COE Calc'!S2302))</f>
        <v/>
      </c>
      <c r="U2302" s="13" t="str">
        <f t="shared" si="176"/>
        <v/>
      </c>
      <c r="V2302" s="13" t="str">
        <f t="shared" si="177"/>
        <v/>
      </c>
      <c r="W2302" s="4" t="str">
        <f t="shared" si="178"/>
        <v/>
      </c>
      <c r="X2302" t="str">
        <f>IF(W2302="","",LOOKUP(_xlfn.CONCAT(P2302,", ",Q2302),'[1]T+S Costs'!$F$2:$F$3138,'[1]T+S Costs'!$N$2:$N$3138))</f>
        <v/>
      </c>
      <c r="Y2302" s="14" t="str">
        <f t="shared" si="179"/>
        <v/>
      </c>
      <c r="Z2302" s="4" t="str">
        <f t="shared" si="180"/>
        <v/>
      </c>
    </row>
    <row r="2303" spans="16:26" x14ac:dyDescent="0.25">
      <c r="P2303" s="10" t="str">
        <f>IF('[1]All Data '!AZ2308="","",'[1]All Data '!AZ2308)</f>
        <v/>
      </c>
      <c r="Q2303" s="10" t="str">
        <f>IF('[1]All Data '!BB2308="","",'[1]All Data '!BB2308)</f>
        <v/>
      </c>
      <c r="R2303" s="10" t="str">
        <f>IF('[1]All Data '!BD2308="","",'[1]All Data '!BD2308)</f>
        <v/>
      </c>
      <c r="S2303" s="11" t="str">
        <f>IF(R2303="","",'[1]All Data '!BE2308)</f>
        <v/>
      </c>
      <c r="T2303" s="12" t="str">
        <f>IF(S2303="","",[1]Inputs_Outputs!$B$8*(1-'LOCH Calc COE Calc'!S2303))</f>
        <v/>
      </c>
      <c r="U2303" s="13" t="str">
        <f t="shared" si="176"/>
        <v/>
      </c>
      <c r="V2303" s="13" t="str">
        <f t="shared" si="177"/>
        <v/>
      </c>
      <c r="W2303" s="4" t="str">
        <f t="shared" si="178"/>
        <v/>
      </c>
      <c r="X2303" t="str">
        <f>IF(W2303="","",LOOKUP(_xlfn.CONCAT(P2303,", ",Q2303),'[1]T+S Costs'!$F$2:$F$3138,'[1]T+S Costs'!$N$2:$N$3138))</f>
        <v/>
      </c>
      <c r="Y2303" s="14" t="str">
        <f t="shared" si="179"/>
        <v/>
      </c>
      <c r="Z2303" s="4" t="str">
        <f t="shared" si="180"/>
        <v/>
      </c>
    </row>
    <row r="2304" spans="16:26" x14ac:dyDescent="0.25">
      <c r="P2304" s="10" t="str">
        <f>IF('[1]All Data '!AZ2309="","",'[1]All Data '!AZ2309)</f>
        <v/>
      </c>
      <c r="Q2304" s="10" t="str">
        <f>IF('[1]All Data '!BB2309="","",'[1]All Data '!BB2309)</f>
        <v/>
      </c>
      <c r="R2304" s="10" t="str">
        <f>IF('[1]All Data '!BD2309="","",'[1]All Data '!BD2309)</f>
        <v/>
      </c>
      <c r="S2304" s="11" t="str">
        <f>IF(R2304="","",'[1]All Data '!BE2309)</f>
        <v/>
      </c>
      <c r="T2304" s="12" t="str">
        <f>IF(S2304="","",[1]Inputs_Outputs!$B$8*(1-'LOCH Calc COE Calc'!S2304))</f>
        <v/>
      </c>
      <c r="U2304" s="13" t="str">
        <f t="shared" si="176"/>
        <v/>
      </c>
      <c r="V2304" s="13" t="str">
        <f t="shared" si="177"/>
        <v/>
      </c>
      <c r="W2304" s="4" t="str">
        <f t="shared" si="178"/>
        <v/>
      </c>
      <c r="X2304" t="str">
        <f>IF(W2304="","",LOOKUP(_xlfn.CONCAT(P2304,", ",Q2304),'[1]T+S Costs'!$F$2:$F$3138,'[1]T+S Costs'!$N$2:$N$3138))</f>
        <v/>
      </c>
      <c r="Y2304" s="14" t="str">
        <f t="shared" si="179"/>
        <v/>
      </c>
      <c r="Z2304" s="4" t="str">
        <f t="shared" si="180"/>
        <v/>
      </c>
    </row>
    <row r="2305" spans="16:26" x14ac:dyDescent="0.25">
      <c r="P2305" s="10" t="str">
        <f>IF('[1]All Data '!AZ2310="","",'[1]All Data '!AZ2310)</f>
        <v/>
      </c>
      <c r="Q2305" s="10" t="str">
        <f>IF('[1]All Data '!BB2310="","",'[1]All Data '!BB2310)</f>
        <v/>
      </c>
      <c r="R2305" s="10" t="str">
        <f>IF('[1]All Data '!BD2310="","",'[1]All Data '!BD2310)</f>
        <v/>
      </c>
      <c r="S2305" s="11" t="str">
        <f>IF(R2305="","",'[1]All Data '!BE2310)</f>
        <v/>
      </c>
      <c r="T2305" s="12" t="str">
        <f>IF(S2305="","",[1]Inputs_Outputs!$B$8*(1-'LOCH Calc COE Calc'!S2305))</f>
        <v/>
      </c>
      <c r="U2305" s="13" t="str">
        <f t="shared" si="176"/>
        <v/>
      </c>
      <c r="V2305" s="13" t="str">
        <f t="shared" si="177"/>
        <v/>
      </c>
      <c r="W2305" s="4" t="str">
        <f t="shared" si="178"/>
        <v/>
      </c>
      <c r="X2305" t="str">
        <f>IF(W2305="","",LOOKUP(_xlfn.CONCAT(P2305,", ",Q2305),'[1]T+S Costs'!$F$2:$F$3138,'[1]T+S Costs'!$N$2:$N$3138))</f>
        <v/>
      </c>
      <c r="Y2305" s="14" t="str">
        <f t="shared" si="179"/>
        <v/>
      </c>
      <c r="Z2305" s="4" t="str">
        <f t="shared" si="180"/>
        <v/>
      </c>
    </row>
    <row r="2306" spans="16:26" x14ac:dyDescent="0.25">
      <c r="P2306" s="10" t="str">
        <f>IF('[1]All Data '!AZ2311="","",'[1]All Data '!AZ2311)</f>
        <v/>
      </c>
      <c r="Q2306" s="10" t="str">
        <f>IF('[1]All Data '!BB2311="","",'[1]All Data '!BB2311)</f>
        <v/>
      </c>
      <c r="R2306" s="10" t="str">
        <f>IF('[1]All Data '!BD2311="","",'[1]All Data '!BD2311)</f>
        <v/>
      </c>
      <c r="S2306" s="11" t="str">
        <f>IF(R2306="","",'[1]All Data '!BE2311)</f>
        <v/>
      </c>
      <c r="T2306" s="12" t="str">
        <f>IF(S2306="","",[1]Inputs_Outputs!$B$8*(1-'LOCH Calc COE Calc'!S2306))</f>
        <v/>
      </c>
      <c r="U2306" s="13" t="str">
        <f t="shared" si="176"/>
        <v/>
      </c>
      <c r="V2306" s="13" t="str">
        <f t="shared" si="177"/>
        <v/>
      </c>
      <c r="W2306" s="4" t="str">
        <f t="shared" si="178"/>
        <v/>
      </c>
      <c r="X2306" t="str">
        <f>IF(W2306="","",LOOKUP(_xlfn.CONCAT(P2306,", ",Q2306),'[1]T+S Costs'!$F$2:$F$3138,'[1]T+S Costs'!$N$2:$N$3138))</f>
        <v/>
      </c>
      <c r="Y2306" s="14" t="str">
        <f t="shared" si="179"/>
        <v/>
      </c>
      <c r="Z2306" s="4" t="str">
        <f t="shared" si="180"/>
        <v/>
      </c>
    </row>
    <row r="2307" spans="16:26" x14ac:dyDescent="0.25">
      <c r="P2307" s="10" t="str">
        <f>IF('[1]All Data '!AZ2312="","",'[1]All Data '!AZ2312)</f>
        <v/>
      </c>
      <c r="Q2307" s="10" t="str">
        <f>IF('[1]All Data '!BB2312="","",'[1]All Data '!BB2312)</f>
        <v/>
      </c>
      <c r="R2307" s="10" t="str">
        <f>IF('[1]All Data '!BD2312="","",'[1]All Data '!BD2312)</f>
        <v/>
      </c>
      <c r="S2307" s="11" t="str">
        <f>IF(R2307="","",'[1]All Data '!BE2312)</f>
        <v/>
      </c>
      <c r="T2307" s="12" t="str">
        <f>IF(S2307="","",[1]Inputs_Outputs!$B$8*(1-'LOCH Calc COE Calc'!S2307))</f>
        <v/>
      </c>
      <c r="U2307" s="13" t="str">
        <f t="shared" ref="U2307:U2370" si="181">IF(S2307="","",R2307*T2307*365*$B$19/100)</f>
        <v/>
      </c>
      <c r="V2307" s="13" t="str">
        <f t="shared" ref="V2307:V2370" si="182">IF(S2307="","",(U2307*$B$19)/(($B$28)*$B$19))</f>
        <v/>
      </c>
      <c r="W2307" s="4" t="str">
        <f t="shared" ref="W2307:W2370" si="183">IF(S2307="","",V2307+$C$49+$C$50+$C$51)</f>
        <v/>
      </c>
      <c r="X2307" t="str">
        <f>IF(W2307="","",LOOKUP(_xlfn.CONCAT(P2307,", ",Q2307),'[1]T+S Costs'!$F$2:$F$3138,'[1]T+S Costs'!$N$2:$N$3138))</f>
        <v/>
      </c>
      <c r="Y2307" s="14" t="str">
        <f t="shared" ref="Y2307:Y2370" si="184">IF(X2307="","",((X2307*$B$60/$B$59)*$C$44)/$C$28)</f>
        <v/>
      </c>
      <c r="Z2307" s="4" t="str">
        <f t="shared" ref="Z2307:Z2370" si="185">IF(Y2307="","",W2307+Y2307)</f>
        <v/>
      </c>
    </row>
    <row r="2308" spans="16:26" x14ac:dyDescent="0.25">
      <c r="P2308" s="10" t="str">
        <f>IF('[1]All Data '!AZ2313="","",'[1]All Data '!AZ2313)</f>
        <v/>
      </c>
      <c r="Q2308" s="10" t="str">
        <f>IF('[1]All Data '!BB2313="","",'[1]All Data '!BB2313)</f>
        <v/>
      </c>
      <c r="R2308" s="10" t="str">
        <f>IF('[1]All Data '!BD2313="","",'[1]All Data '!BD2313)</f>
        <v/>
      </c>
      <c r="S2308" s="11" t="str">
        <f>IF(R2308="","",'[1]All Data '!BE2313)</f>
        <v/>
      </c>
      <c r="T2308" s="12" t="str">
        <f>IF(S2308="","",[1]Inputs_Outputs!$B$8*(1-'LOCH Calc COE Calc'!S2308))</f>
        <v/>
      </c>
      <c r="U2308" s="13" t="str">
        <f t="shared" si="181"/>
        <v/>
      </c>
      <c r="V2308" s="13" t="str">
        <f t="shared" si="182"/>
        <v/>
      </c>
      <c r="W2308" s="4" t="str">
        <f t="shared" si="183"/>
        <v/>
      </c>
      <c r="X2308" t="str">
        <f>IF(W2308="","",LOOKUP(_xlfn.CONCAT(P2308,", ",Q2308),'[1]T+S Costs'!$F$2:$F$3138,'[1]T+S Costs'!$N$2:$N$3138))</f>
        <v/>
      </c>
      <c r="Y2308" s="14" t="str">
        <f t="shared" si="184"/>
        <v/>
      </c>
      <c r="Z2308" s="4" t="str">
        <f t="shared" si="185"/>
        <v/>
      </c>
    </row>
    <row r="2309" spans="16:26" x14ac:dyDescent="0.25">
      <c r="P2309" s="10" t="str">
        <f>IF('[1]All Data '!AZ2314="","",'[1]All Data '!AZ2314)</f>
        <v/>
      </c>
      <c r="Q2309" s="10" t="str">
        <f>IF('[1]All Data '!BB2314="","",'[1]All Data '!BB2314)</f>
        <v/>
      </c>
      <c r="R2309" s="10" t="str">
        <f>IF('[1]All Data '!BD2314="","",'[1]All Data '!BD2314)</f>
        <v/>
      </c>
      <c r="S2309" s="11" t="str">
        <f>IF(R2309="","",'[1]All Data '!BE2314)</f>
        <v/>
      </c>
      <c r="T2309" s="12" t="str">
        <f>IF(S2309="","",[1]Inputs_Outputs!$B$8*(1-'LOCH Calc COE Calc'!S2309))</f>
        <v/>
      </c>
      <c r="U2309" s="13" t="str">
        <f t="shared" si="181"/>
        <v/>
      </c>
      <c r="V2309" s="13" t="str">
        <f t="shared" si="182"/>
        <v/>
      </c>
      <c r="W2309" s="4" t="str">
        <f t="shared" si="183"/>
        <v/>
      </c>
      <c r="X2309" t="str">
        <f>IF(W2309="","",LOOKUP(_xlfn.CONCAT(P2309,", ",Q2309),'[1]T+S Costs'!$F$2:$F$3138,'[1]T+S Costs'!$N$2:$N$3138))</f>
        <v/>
      </c>
      <c r="Y2309" s="14" t="str">
        <f t="shared" si="184"/>
        <v/>
      </c>
      <c r="Z2309" s="4" t="str">
        <f t="shared" si="185"/>
        <v/>
      </c>
    </row>
    <row r="2310" spans="16:26" x14ac:dyDescent="0.25">
      <c r="P2310" s="10" t="str">
        <f>IF('[1]All Data '!AZ2315="","",'[1]All Data '!AZ2315)</f>
        <v/>
      </c>
      <c r="Q2310" s="10" t="str">
        <f>IF('[1]All Data '!BB2315="","",'[1]All Data '!BB2315)</f>
        <v/>
      </c>
      <c r="R2310" s="10" t="str">
        <f>IF('[1]All Data '!BD2315="","",'[1]All Data '!BD2315)</f>
        <v/>
      </c>
      <c r="S2310" s="11" t="str">
        <f>IF(R2310="","",'[1]All Data '!BE2315)</f>
        <v/>
      </c>
      <c r="T2310" s="12" t="str">
        <f>IF(S2310="","",[1]Inputs_Outputs!$B$8*(1-'LOCH Calc COE Calc'!S2310))</f>
        <v/>
      </c>
      <c r="U2310" s="13" t="str">
        <f t="shared" si="181"/>
        <v/>
      </c>
      <c r="V2310" s="13" t="str">
        <f t="shared" si="182"/>
        <v/>
      </c>
      <c r="W2310" s="4" t="str">
        <f t="shared" si="183"/>
        <v/>
      </c>
      <c r="X2310" t="str">
        <f>IF(W2310="","",LOOKUP(_xlfn.CONCAT(P2310,", ",Q2310),'[1]T+S Costs'!$F$2:$F$3138,'[1]T+S Costs'!$N$2:$N$3138))</f>
        <v/>
      </c>
      <c r="Y2310" s="14" t="str">
        <f t="shared" si="184"/>
        <v/>
      </c>
      <c r="Z2310" s="4" t="str">
        <f t="shared" si="185"/>
        <v/>
      </c>
    </row>
    <row r="2311" spans="16:26" x14ac:dyDescent="0.25">
      <c r="P2311" s="10" t="str">
        <f>IF('[1]All Data '!AZ2316="","",'[1]All Data '!AZ2316)</f>
        <v/>
      </c>
      <c r="Q2311" s="10" t="str">
        <f>IF('[1]All Data '!BB2316="","",'[1]All Data '!BB2316)</f>
        <v/>
      </c>
      <c r="R2311" s="10" t="str">
        <f>IF('[1]All Data '!BD2316="","",'[1]All Data '!BD2316)</f>
        <v/>
      </c>
      <c r="S2311" s="11" t="str">
        <f>IF(R2311="","",'[1]All Data '!BE2316)</f>
        <v/>
      </c>
      <c r="T2311" s="12" t="str">
        <f>IF(S2311="","",[1]Inputs_Outputs!$B$8*(1-'LOCH Calc COE Calc'!S2311))</f>
        <v/>
      </c>
      <c r="U2311" s="13" t="str">
        <f t="shared" si="181"/>
        <v/>
      </c>
      <c r="V2311" s="13" t="str">
        <f t="shared" si="182"/>
        <v/>
      </c>
      <c r="W2311" s="4" t="str">
        <f t="shared" si="183"/>
        <v/>
      </c>
      <c r="X2311" t="str">
        <f>IF(W2311="","",LOOKUP(_xlfn.CONCAT(P2311,", ",Q2311),'[1]T+S Costs'!$F$2:$F$3138,'[1]T+S Costs'!$N$2:$N$3138))</f>
        <v/>
      </c>
      <c r="Y2311" s="14" t="str">
        <f t="shared" si="184"/>
        <v/>
      </c>
      <c r="Z2311" s="4" t="str">
        <f t="shared" si="185"/>
        <v/>
      </c>
    </row>
    <row r="2312" spans="16:26" x14ac:dyDescent="0.25">
      <c r="P2312" s="10" t="str">
        <f>IF('[1]All Data '!AZ2317="","",'[1]All Data '!AZ2317)</f>
        <v/>
      </c>
      <c r="Q2312" s="10" t="str">
        <f>IF('[1]All Data '!BB2317="","",'[1]All Data '!BB2317)</f>
        <v/>
      </c>
      <c r="R2312" s="10" t="str">
        <f>IF('[1]All Data '!BD2317="","",'[1]All Data '!BD2317)</f>
        <v/>
      </c>
      <c r="S2312" s="11" t="str">
        <f>IF(R2312="","",'[1]All Data '!BE2317)</f>
        <v/>
      </c>
      <c r="T2312" s="12" t="str">
        <f>IF(S2312="","",[1]Inputs_Outputs!$B$8*(1-'LOCH Calc COE Calc'!S2312))</f>
        <v/>
      </c>
      <c r="U2312" s="13" t="str">
        <f t="shared" si="181"/>
        <v/>
      </c>
      <c r="V2312" s="13" t="str">
        <f t="shared" si="182"/>
        <v/>
      </c>
      <c r="W2312" s="4" t="str">
        <f t="shared" si="183"/>
        <v/>
      </c>
      <c r="X2312" t="str">
        <f>IF(W2312="","",LOOKUP(_xlfn.CONCAT(P2312,", ",Q2312),'[1]T+S Costs'!$F$2:$F$3138,'[1]T+S Costs'!$N$2:$N$3138))</f>
        <v/>
      </c>
      <c r="Y2312" s="14" t="str">
        <f t="shared" si="184"/>
        <v/>
      </c>
      <c r="Z2312" s="4" t="str">
        <f t="shared" si="185"/>
        <v/>
      </c>
    </row>
    <row r="2313" spans="16:26" x14ac:dyDescent="0.25">
      <c r="P2313" s="10" t="str">
        <f>IF('[1]All Data '!AZ2318="","",'[1]All Data '!AZ2318)</f>
        <v/>
      </c>
      <c r="Q2313" s="10" t="str">
        <f>IF('[1]All Data '!BB2318="","",'[1]All Data '!BB2318)</f>
        <v/>
      </c>
      <c r="R2313" s="10" t="str">
        <f>IF('[1]All Data '!BD2318="","",'[1]All Data '!BD2318)</f>
        <v/>
      </c>
      <c r="S2313" s="11" t="str">
        <f>IF(R2313="","",'[1]All Data '!BE2318)</f>
        <v/>
      </c>
      <c r="T2313" s="12" t="str">
        <f>IF(S2313="","",[1]Inputs_Outputs!$B$8*(1-'LOCH Calc COE Calc'!S2313))</f>
        <v/>
      </c>
      <c r="U2313" s="13" t="str">
        <f t="shared" si="181"/>
        <v/>
      </c>
      <c r="V2313" s="13" t="str">
        <f t="shared" si="182"/>
        <v/>
      </c>
      <c r="W2313" s="4" t="str">
        <f t="shared" si="183"/>
        <v/>
      </c>
      <c r="X2313" t="str">
        <f>IF(W2313="","",LOOKUP(_xlfn.CONCAT(P2313,", ",Q2313),'[1]T+S Costs'!$F$2:$F$3138,'[1]T+S Costs'!$N$2:$N$3138))</f>
        <v/>
      </c>
      <c r="Y2313" s="14" t="str">
        <f t="shared" si="184"/>
        <v/>
      </c>
      <c r="Z2313" s="4" t="str">
        <f t="shared" si="185"/>
        <v/>
      </c>
    </row>
    <row r="2314" spans="16:26" x14ac:dyDescent="0.25">
      <c r="P2314" s="10" t="str">
        <f>IF('[1]All Data '!AZ2319="","",'[1]All Data '!AZ2319)</f>
        <v/>
      </c>
      <c r="Q2314" s="10" t="str">
        <f>IF('[1]All Data '!BB2319="","",'[1]All Data '!BB2319)</f>
        <v/>
      </c>
      <c r="R2314" s="10" t="str">
        <f>IF('[1]All Data '!BD2319="","",'[1]All Data '!BD2319)</f>
        <v/>
      </c>
      <c r="S2314" s="11" t="str">
        <f>IF(R2314="","",'[1]All Data '!BE2319)</f>
        <v/>
      </c>
      <c r="T2314" s="12" t="str">
        <f>IF(S2314="","",[1]Inputs_Outputs!$B$8*(1-'LOCH Calc COE Calc'!S2314))</f>
        <v/>
      </c>
      <c r="U2314" s="13" t="str">
        <f t="shared" si="181"/>
        <v/>
      </c>
      <c r="V2314" s="13" t="str">
        <f t="shared" si="182"/>
        <v/>
      </c>
      <c r="W2314" s="4" t="str">
        <f t="shared" si="183"/>
        <v/>
      </c>
      <c r="X2314" t="str">
        <f>IF(W2314="","",LOOKUP(_xlfn.CONCAT(P2314,", ",Q2314),'[1]T+S Costs'!$F$2:$F$3138,'[1]T+S Costs'!$N$2:$N$3138))</f>
        <v/>
      </c>
      <c r="Y2314" s="14" t="str">
        <f t="shared" si="184"/>
        <v/>
      </c>
      <c r="Z2314" s="4" t="str">
        <f t="shared" si="185"/>
        <v/>
      </c>
    </row>
    <row r="2315" spans="16:26" x14ac:dyDescent="0.25">
      <c r="P2315" s="10" t="str">
        <f>IF('[1]All Data '!AZ2320="","",'[1]All Data '!AZ2320)</f>
        <v/>
      </c>
      <c r="Q2315" s="10" t="str">
        <f>IF('[1]All Data '!BB2320="","",'[1]All Data '!BB2320)</f>
        <v/>
      </c>
      <c r="R2315" s="10" t="str">
        <f>IF('[1]All Data '!BD2320="","",'[1]All Data '!BD2320)</f>
        <v/>
      </c>
      <c r="S2315" s="11" t="str">
        <f>IF(R2315="","",'[1]All Data '!BE2320)</f>
        <v/>
      </c>
      <c r="T2315" s="12" t="str">
        <f>IF(S2315="","",[1]Inputs_Outputs!$B$8*(1-'LOCH Calc COE Calc'!S2315))</f>
        <v/>
      </c>
      <c r="U2315" s="13" t="str">
        <f t="shared" si="181"/>
        <v/>
      </c>
      <c r="V2315" s="13" t="str">
        <f t="shared" si="182"/>
        <v/>
      </c>
      <c r="W2315" s="4" t="str">
        <f t="shared" si="183"/>
        <v/>
      </c>
      <c r="X2315" t="str">
        <f>IF(W2315="","",LOOKUP(_xlfn.CONCAT(P2315,", ",Q2315),'[1]T+S Costs'!$F$2:$F$3138,'[1]T+S Costs'!$N$2:$N$3138))</f>
        <v/>
      </c>
      <c r="Y2315" s="14" t="str">
        <f t="shared" si="184"/>
        <v/>
      </c>
      <c r="Z2315" s="4" t="str">
        <f t="shared" si="185"/>
        <v/>
      </c>
    </row>
    <row r="2316" spans="16:26" x14ac:dyDescent="0.25">
      <c r="P2316" s="10" t="str">
        <f>IF('[1]All Data '!AZ2321="","",'[1]All Data '!AZ2321)</f>
        <v/>
      </c>
      <c r="Q2316" s="10" t="str">
        <f>IF('[1]All Data '!BB2321="","",'[1]All Data '!BB2321)</f>
        <v/>
      </c>
      <c r="R2316" s="10" t="str">
        <f>IF('[1]All Data '!BD2321="","",'[1]All Data '!BD2321)</f>
        <v/>
      </c>
      <c r="S2316" s="11" t="str">
        <f>IF(R2316="","",'[1]All Data '!BE2321)</f>
        <v/>
      </c>
      <c r="T2316" s="12" t="str">
        <f>IF(S2316="","",[1]Inputs_Outputs!$B$8*(1-'LOCH Calc COE Calc'!S2316))</f>
        <v/>
      </c>
      <c r="U2316" s="13" t="str">
        <f t="shared" si="181"/>
        <v/>
      </c>
      <c r="V2316" s="13" t="str">
        <f t="shared" si="182"/>
        <v/>
      </c>
      <c r="W2316" s="4" t="str">
        <f t="shared" si="183"/>
        <v/>
      </c>
      <c r="X2316" t="str">
        <f>IF(W2316="","",LOOKUP(_xlfn.CONCAT(P2316,", ",Q2316),'[1]T+S Costs'!$F$2:$F$3138,'[1]T+S Costs'!$N$2:$N$3138))</f>
        <v/>
      </c>
      <c r="Y2316" s="14" t="str">
        <f t="shared" si="184"/>
        <v/>
      </c>
      <c r="Z2316" s="4" t="str">
        <f t="shared" si="185"/>
        <v/>
      </c>
    </row>
    <row r="2317" spans="16:26" x14ac:dyDescent="0.25">
      <c r="P2317" s="10" t="str">
        <f>IF('[1]All Data '!AZ2322="","",'[1]All Data '!AZ2322)</f>
        <v/>
      </c>
      <c r="Q2317" s="10" t="str">
        <f>IF('[1]All Data '!BB2322="","",'[1]All Data '!BB2322)</f>
        <v/>
      </c>
      <c r="R2317" s="10" t="str">
        <f>IF('[1]All Data '!BD2322="","",'[1]All Data '!BD2322)</f>
        <v/>
      </c>
      <c r="S2317" s="11" t="str">
        <f>IF(R2317="","",'[1]All Data '!BE2322)</f>
        <v/>
      </c>
      <c r="T2317" s="12" t="str">
        <f>IF(S2317="","",[1]Inputs_Outputs!$B$8*(1-'LOCH Calc COE Calc'!S2317))</f>
        <v/>
      </c>
      <c r="U2317" s="13" t="str">
        <f t="shared" si="181"/>
        <v/>
      </c>
      <c r="V2317" s="13" t="str">
        <f t="shared" si="182"/>
        <v/>
      </c>
      <c r="W2317" s="4" t="str">
        <f t="shared" si="183"/>
        <v/>
      </c>
      <c r="X2317" t="str">
        <f>IF(W2317="","",LOOKUP(_xlfn.CONCAT(P2317,", ",Q2317),'[1]T+S Costs'!$F$2:$F$3138,'[1]T+S Costs'!$N$2:$N$3138))</f>
        <v/>
      </c>
      <c r="Y2317" s="14" t="str">
        <f t="shared" si="184"/>
        <v/>
      </c>
      <c r="Z2317" s="4" t="str">
        <f t="shared" si="185"/>
        <v/>
      </c>
    </row>
    <row r="2318" spans="16:26" x14ac:dyDescent="0.25">
      <c r="P2318" s="10" t="str">
        <f>IF('[1]All Data '!AZ2323="","",'[1]All Data '!AZ2323)</f>
        <v/>
      </c>
      <c r="Q2318" s="10" t="str">
        <f>IF('[1]All Data '!BB2323="","",'[1]All Data '!BB2323)</f>
        <v/>
      </c>
      <c r="R2318" s="10" t="str">
        <f>IF('[1]All Data '!BD2323="","",'[1]All Data '!BD2323)</f>
        <v/>
      </c>
      <c r="S2318" s="11" t="str">
        <f>IF(R2318="","",'[1]All Data '!BE2323)</f>
        <v/>
      </c>
      <c r="T2318" s="12" t="str">
        <f>IF(S2318="","",[1]Inputs_Outputs!$B$8*(1-'LOCH Calc COE Calc'!S2318))</f>
        <v/>
      </c>
      <c r="U2318" s="13" t="str">
        <f t="shared" si="181"/>
        <v/>
      </c>
      <c r="V2318" s="13" t="str">
        <f t="shared" si="182"/>
        <v/>
      </c>
      <c r="W2318" s="4" t="str">
        <f t="shared" si="183"/>
        <v/>
      </c>
      <c r="X2318" t="str">
        <f>IF(W2318="","",LOOKUP(_xlfn.CONCAT(P2318,", ",Q2318),'[1]T+S Costs'!$F$2:$F$3138,'[1]T+S Costs'!$N$2:$N$3138))</f>
        <v/>
      </c>
      <c r="Y2318" s="14" t="str">
        <f t="shared" si="184"/>
        <v/>
      </c>
      <c r="Z2318" s="4" t="str">
        <f t="shared" si="185"/>
        <v/>
      </c>
    </row>
    <row r="2319" spans="16:26" x14ac:dyDescent="0.25">
      <c r="P2319" s="10" t="str">
        <f>IF('[1]All Data '!AZ2324="","",'[1]All Data '!AZ2324)</f>
        <v/>
      </c>
      <c r="Q2319" s="10" t="str">
        <f>IF('[1]All Data '!BB2324="","",'[1]All Data '!BB2324)</f>
        <v/>
      </c>
      <c r="R2319" s="10" t="str">
        <f>IF('[1]All Data '!BD2324="","",'[1]All Data '!BD2324)</f>
        <v/>
      </c>
      <c r="S2319" s="11" t="str">
        <f>IF(R2319="","",'[1]All Data '!BE2324)</f>
        <v/>
      </c>
      <c r="T2319" s="12" t="str">
        <f>IF(S2319="","",[1]Inputs_Outputs!$B$8*(1-'LOCH Calc COE Calc'!S2319))</f>
        <v/>
      </c>
      <c r="U2319" s="13" t="str">
        <f t="shared" si="181"/>
        <v/>
      </c>
      <c r="V2319" s="13" t="str">
        <f t="shared" si="182"/>
        <v/>
      </c>
      <c r="W2319" s="4" t="str">
        <f t="shared" si="183"/>
        <v/>
      </c>
      <c r="X2319" t="str">
        <f>IF(W2319="","",LOOKUP(_xlfn.CONCAT(P2319,", ",Q2319),'[1]T+S Costs'!$F$2:$F$3138,'[1]T+S Costs'!$N$2:$N$3138))</f>
        <v/>
      </c>
      <c r="Y2319" s="14" t="str">
        <f t="shared" si="184"/>
        <v/>
      </c>
      <c r="Z2319" s="4" t="str">
        <f t="shared" si="185"/>
        <v/>
      </c>
    </row>
    <row r="2320" spans="16:26" x14ac:dyDescent="0.25">
      <c r="P2320" s="10" t="str">
        <f>IF('[1]All Data '!AZ2325="","",'[1]All Data '!AZ2325)</f>
        <v/>
      </c>
      <c r="Q2320" s="10" t="str">
        <f>IF('[1]All Data '!BB2325="","",'[1]All Data '!BB2325)</f>
        <v/>
      </c>
      <c r="R2320" s="10" t="str">
        <f>IF('[1]All Data '!BD2325="","",'[1]All Data '!BD2325)</f>
        <v/>
      </c>
      <c r="S2320" s="11" t="str">
        <f>IF(R2320="","",'[1]All Data '!BE2325)</f>
        <v/>
      </c>
      <c r="T2320" s="12" t="str">
        <f>IF(S2320="","",[1]Inputs_Outputs!$B$8*(1-'LOCH Calc COE Calc'!S2320))</f>
        <v/>
      </c>
      <c r="U2320" s="13" t="str">
        <f t="shared" si="181"/>
        <v/>
      </c>
      <c r="V2320" s="13" t="str">
        <f t="shared" si="182"/>
        <v/>
      </c>
      <c r="W2320" s="4" t="str">
        <f t="shared" si="183"/>
        <v/>
      </c>
      <c r="X2320" t="str">
        <f>IF(W2320="","",LOOKUP(_xlfn.CONCAT(P2320,", ",Q2320),'[1]T+S Costs'!$F$2:$F$3138,'[1]T+S Costs'!$N$2:$N$3138))</f>
        <v/>
      </c>
      <c r="Y2320" s="14" t="str">
        <f t="shared" si="184"/>
        <v/>
      </c>
      <c r="Z2320" s="4" t="str">
        <f t="shared" si="185"/>
        <v/>
      </c>
    </row>
    <row r="2321" spans="16:26" x14ac:dyDescent="0.25">
      <c r="P2321" s="10" t="str">
        <f>IF('[1]All Data '!AZ2326="","",'[1]All Data '!AZ2326)</f>
        <v/>
      </c>
      <c r="Q2321" s="10" t="str">
        <f>IF('[1]All Data '!BB2326="","",'[1]All Data '!BB2326)</f>
        <v/>
      </c>
      <c r="R2321" s="10" t="str">
        <f>IF('[1]All Data '!BD2326="","",'[1]All Data '!BD2326)</f>
        <v/>
      </c>
      <c r="S2321" s="11" t="str">
        <f>IF(R2321="","",'[1]All Data '!BE2326)</f>
        <v/>
      </c>
      <c r="T2321" s="12" t="str">
        <f>IF(S2321="","",[1]Inputs_Outputs!$B$8*(1-'LOCH Calc COE Calc'!S2321))</f>
        <v/>
      </c>
      <c r="U2321" s="13" t="str">
        <f t="shared" si="181"/>
        <v/>
      </c>
      <c r="V2321" s="13" t="str">
        <f t="shared" si="182"/>
        <v/>
      </c>
      <c r="W2321" s="4" t="str">
        <f t="shared" si="183"/>
        <v/>
      </c>
      <c r="X2321" t="str">
        <f>IF(W2321="","",LOOKUP(_xlfn.CONCAT(P2321,", ",Q2321),'[1]T+S Costs'!$F$2:$F$3138,'[1]T+S Costs'!$N$2:$N$3138))</f>
        <v/>
      </c>
      <c r="Y2321" s="14" t="str">
        <f t="shared" si="184"/>
        <v/>
      </c>
      <c r="Z2321" s="4" t="str">
        <f t="shared" si="185"/>
        <v/>
      </c>
    </row>
    <row r="2322" spans="16:26" x14ac:dyDescent="0.25">
      <c r="P2322" s="10" t="str">
        <f>IF('[1]All Data '!AZ2327="","",'[1]All Data '!AZ2327)</f>
        <v/>
      </c>
      <c r="Q2322" s="10" t="str">
        <f>IF('[1]All Data '!BB2327="","",'[1]All Data '!BB2327)</f>
        <v/>
      </c>
      <c r="R2322" s="10" t="str">
        <f>IF('[1]All Data '!BD2327="","",'[1]All Data '!BD2327)</f>
        <v/>
      </c>
      <c r="S2322" s="11" t="str">
        <f>IF(R2322="","",'[1]All Data '!BE2327)</f>
        <v/>
      </c>
      <c r="T2322" s="12" t="str">
        <f>IF(S2322="","",[1]Inputs_Outputs!$B$8*(1-'LOCH Calc COE Calc'!S2322))</f>
        <v/>
      </c>
      <c r="U2322" s="13" t="str">
        <f t="shared" si="181"/>
        <v/>
      </c>
      <c r="V2322" s="13" t="str">
        <f t="shared" si="182"/>
        <v/>
      </c>
      <c r="W2322" s="4" t="str">
        <f t="shared" si="183"/>
        <v/>
      </c>
      <c r="X2322" t="str">
        <f>IF(W2322="","",LOOKUP(_xlfn.CONCAT(P2322,", ",Q2322),'[1]T+S Costs'!$F$2:$F$3138,'[1]T+S Costs'!$N$2:$N$3138))</f>
        <v/>
      </c>
      <c r="Y2322" s="14" t="str">
        <f t="shared" si="184"/>
        <v/>
      </c>
      <c r="Z2322" s="4" t="str">
        <f t="shared" si="185"/>
        <v/>
      </c>
    </row>
    <row r="2323" spans="16:26" x14ac:dyDescent="0.25">
      <c r="P2323" s="10" t="str">
        <f>IF('[1]All Data '!AZ2328="","",'[1]All Data '!AZ2328)</f>
        <v/>
      </c>
      <c r="Q2323" s="10" t="str">
        <f>IF('[1]All Data '!BB2328="","",'[1]All Data '!BB2328)</f>
        <v/>
      </c>
      <c r="R2323" s="10" t="str">
        <f>IF('[1]All Data '!BD2328="","",'[1]All Data '!BD2328)</f>
        <v/>
      </c>
      <c r="S2323" s="11" t="str">
        <f>IF(R2323="","",'[1]All Data '!BE2328)</f>
        <v/>
      </c>
      <c r="T2323" s="12" t="str">
        <f>IF(S2323="","",[1]Inputs_Outputs!$B$8*(1-'LOCH Calc COE Calc'!S2323))</f>
        <v/>
      </c>
      <c r="U2323" s="13" t="str">
        <f t="shared" si="181"/>
        <v/>
      </c>
      <c r="V2323" s="13" t="str">
        <f t="shared" si="182"/>
        <v/>
      </c>
      <c r="W2323" s="4" t="str">
        <f t="shared" si="183"/>
        <v/>
      </c>
      <c r="X2323" t="str">
        <f>IF(W2323="","",LOOKUP(_xlfn.CONCAT(P2323,", ",Q2323),'[1]T+S Costs'!$F$2:$F$3138,'[1]T+S Costs'!$N$2:$N$3138))</f>
        <v/>
      </c>
      <c r="Y2323" s="14" t="str">
        <f t="shared" si="184"/>
        <v/>
      </c>
      <c r="Z2323" s="4" t="str">
        <f t="shared" si="185"/>
        <v/>
      </c>
    </row>
    <row r="2324" spans="16:26" x14ac:dyDescent="0.25">
      <c r="P2324" s="10" t="str">
        <f>IF('[1]All Data '!AZ2329="","",'[1]All Data '!AZ2329)</f>
        <v/>
      </c>
      <c r="Q2324" s="10" t="str">
        <f>IF('[1]All Data '!BB2329="","",'[1]All Data '!BB2329)</f>
        <v/>
      </c>
      <c r="R2324" s="10" t="str">
        <f>IF('[1]All Data '!BD2329="","",'[1]All Data '!BD2329)</f>
        <v/>
      </c>
      <c r="S2324" s="11" t="str">
        <f>IF(R2324="","",'[1]All Data '!BE2329)</f>
        <v/>
      </c>
      <c r="T2324" s="12" t="str">
        <f>IF(S2324="","",[1]Inputs_Outputs!$B$8*(1-'LOCH Calc COE Calc'!S2324))</f>
        <v/>
      </c>
      <c r="U2324" s="13" t="str">
        <f t="shared" si="181"/>
        <v/>
      </c>
      <c r="V2324" s="13" t="str">
        <f t="shared" si="182"/>
        <v/>
      </c>
      <c r="W2324" s="4" t="str">
        <f t="shared" si="183"/>
        <v/>
      </c>
      <c r="X2324" t="str">
        <f>IF(W2324="","",LOOKUP(_xlfn.CONCAT(P2324,", ",Q2324),'[1]T+S Costs'!$F$2:$F$3138,'[1]T+S Costs'!$N$2:$N$3138))</f>
        <v/>
      </c>
      <c r="Y2324" s="14" t="str">
        <f t="shared" si="184"/>
        <v/>
      </c>
      <c r="Z2324" s="4" t="str">
        <f t="shared" si="185"/>
        <v/>
      </c>
    </row>
    <row r="2325" spans="16:26" x14ac:dyDescent="0.25">
      <c r="P2325" s="10" t="str">
        <f>IF('[1]All Data '!AZ2330="","",'[1]All Data '!AZ2330)</f>
        <v/>
      </c>
      <c r="Q2325" s="10" t="str">
        <f>IF('[1]All Data '!BB2330="","",'[1]All Data '!BB2330)</f>
        <v/>
      </c>
      <c r="R2325" s="10" t="str">
        <f>IF('[1]All Data '!BD2330="","",'[1]All Data '!BD2330)</f>
        <v/>
      </c>
      <c r="S2325" s="11" t="str">
        <f>IF(R2325="","",'[1]All Data '!BE2330)</f>
        <v/>
      </c>
      <c r="T2325" s="12" t="str">
        <f>IF(S2325="","",[1]Inputs_Outputs!$B$8*(1-'LOCH Calc COE Calc'!S2325))</f>
        <v/>
      </c>
      <c r="U2325" s="13" t="str">
        <f t="shared" si="181"/>
        <v/>
      </c>
      <c r="V2325" s="13" t="str">
        <f t="shared" si="182"/>
        <v/>
      </c>
      <c r="W2325" s="4" t="str">
        <f t="shared" si="183"/>
        <v/>
      </c>
      <c r="X2325" t="str">
        <f>IF(W2325="","",LOOKUP(_xlfn.CONCAT(P2325,", ",Q2325),'[1]T+S Costs'!$F$2:$F$3138,'[1]T+S Costs'!$N$2:$N$3138))</f>
        <v/>
      </c>
      <c r="Y2325" s="14" t="str">
        <f t="shared" si="184"/>
        <v/>
      </c>
      <c r="Z2325" s="4" t="str">
        <f t="shared" si="185"/>
        <v/>
      </c>
    </row>
    <row r="2326" spans="16:26" x14ac:dyDescent="0.25">
      <c r="P2326" s="10" t="str">
        <f>IF('[1]All Data '!AZ2331="","",'[1]All Data '!AZ2331)</f>
        <v/>
      </c>
      <c r="Q2326" s="10" t="str">
        <f>IF('[1]All Data '!BB2331="","",'[1]All Data '!BB2331)</f>
        <v/>
      </c>
      <c r="R2326" s="10" t="str">
        <f>IF('[1]All Data '!BD2331="","",'[1]All Data '!BD2331)</f>
        <v/>
      </c>
      <c r="S2326" s="11" t="str">
        <f>IF(R2326="","",'[1]All Data '!BE2331)</f>
        <v/>
      </c>
      <c r="T2326" s="12" t="str">
        <f>IF(S2326="","",[1]Inputs_Outputs!$B$8*(1-'LOCH Calc COE Calc'!S2326))</f>
        <v/>
      </c>
      <c r="U2326" s="13" t="str">
        <f t="shared" si="181"/>
        <v/>
      </c>
      <c r="V2326" s="13" t="str">
        <f t="shared" si="182"/>
        <v/>
      </c>
      <c r="W2326" s="4" t="str">
        <f t="shared" si="183"/>
        <v/>
      </c>
      <c r="X2326" t="str">
        <f>IF(W2326="","",LOOKUP(_xlfn.CONCAT(P2326,", ",Q2326),'[1]T+S Costs'!$F$2:$F$3138,'[1]T+S Costs'!$N$2:$N$3138))</f>
        <v/>
      </c>
      <c r="Y2326" s="14" t="str">
        <f t="shared" si="184"/>
        <v/>
      </c>
      <c r="Z2326" s="4" t="str">
        <f t="shared" si="185"/>
        <v/>
      </c>
    </row>
    <row r="2327" spans="16:26" x14ac:dyDescent="0.25">
      <c r="P2327" s="10" t="str">
        <f>IF('[1]All Data '!AZ2332="","",'[1]All Data '!AZ2332)</f>
        <v/>
      </c>
      <c r="Q2327" s="10" t="str">
        <f>IF('[1]All Data '!BB2332="","",'[1]All Data '!BB2332)</f>
        <v/>
      </c>
      <c r="R2327" s="10" t="str">
        <f>IF('[1]All Data '!BD2332="","",'[1]All Data '!BD2332)</f>
        <v/>
      </c>
      <c r="S2327" s="11" t="str">
        <f>IF(R2327="","",'[1]All Data '!BE2332)</f>
        <v/>
      </c>
      <c r="T2327" s="12" t="str">
        <f>IF(S2327="","",[1]Inputs_Outputs!$B$8*(1-'LOCH Calc COE Calc'!S2327))</f>
        <v/>
      </c>
      <c r="U2327" s="13" t="str">
        <f t="shared" si="181"/>
        <v/>
      </c>
      <c r="V2327" s="13" t="str">
        <f t="shared" si="182"/>
        <v/>
      </c>
      <c r="W2327" s="4" t="str">
        <f t="shared" si="183"/>
        <v/>
      </c>
      <c r="X2327" t="str">
        <f>IF(W2327="","",LOOKUP(_xlfn.CONCAT(P2327,", ",Q2327),'[1]T+S Costs'!$F$2:$F$3138,'[1]T+S Costs'!$N$2:$N$3138))</f>
        <v/>
      </c>
      <c r="Y2327" s="14" t="str">
        <f t="shared" si="184"/>
        <v/>
      </c>
      <c r="Z2327" s="4" t="str">
        <f t="shared" si="185"/>
        <v/>
      </c>
    </row>
    <row r="2328" spans="16:26" x14ac:dyDescent="0.25">
      <c r="P2328" s="10" t="str">
        <f>IF('[1]All Data '!AZ2333="","",'[1]All Data '!AZ2333)</f>
        <v/>
      </c>
      <c r="Q2328" s="10" t="str">
        <f>IF('[1]All Data '!BB2333="","",'[1]All Data '!BB2333)</f>
        <v/>
      </c>
      <c r="R2328" s="10" t="str">
        <f>IF('[1]All Data '!BD2333="","",'[1]All Data '!BD2333)</f>
        <v/>
      </c>
      <c r="S2328" s="11" t="str">
        <f>IF(R2328="","",'[1]All Data '!BE2333)</f>
        <v/>
      </c>
      <c r="T2328" s="12" t="str">
        <f>IF(S2328="","",[1]Inputs_Outputs!$B$8*(1-'LOCH Calc COE Calc'!S2328))</f>
        <v/>
      </c>
      <c r="U2328" s="13" t="str">
        <f t="shared" si="181"/>
        <v/>
      </c>
      <c r="V2328" s="13" t="str">
        <f t="shared" si="182"/>
        <v/>
      </c>
      <c r="W2328" s="4" t="str">
        <f t="shared" si="183"/>
        <v/>
      </c>
      <c r="X2328" t="str">
        <f>IF(W2328="","",LOOKUP(_xlfn.CONCAT(P2328,", ",Q2328),'[1]T+S Costs'!$F$2:$F$3138,'[1]T+S Costs'!$N$2:$N$3138))</f>
        <v/>
      </c>
      <c r="Y2328" s="14" t="str">
        <f t="shared" si="184"/>
        <v/>
      </c>
      <c r="Z2328" s="4" t="str">
        <f t="shared" si="185"/>
        <v/>
      </c>
    </row>
    <row r="2329" spans="16:26" x14ac:dyDescent="0.25">
      <c r="P2329" s="10" t="str">
        <f>IF('[1]All Data '!AZ2334="","",'[1]All Data '!AZ2334)</f>
        <v/>
      </c>
      <c r="Q2329" s="10" t="str">
        <f>IF('[1]All Data '!BB2334="","",'[1]All Data '!BB2334)</f>
        <v/>
      </c>
      <c r="R2329" s="10" t="str">
        <f>IF('[1]All Data '!BD2334="","",'[1]All Data '!BD2334)</f>
        <v/>
      </c>
      <c r="S2329" s="11" t="str">
        <f>IF(R2329="","",'[1]All Data '!BE2334)</f>
        <v/>
      </c>
      <c r="T2329" s="12" t="str">
        <f>IF(S2329="","",[1]Inputs_Outputs!$B$8*(1-'LOCH Calc COE Calc'!S2329))</f>
        <v/>
      </c>
      <c r="U2329" s="13" t="str">
        <f t="shared" si="181"/>
        <v/>
      </c>
      <c r="V2329" s="13" t="str">
        <f t="shared" si="182"/>
        <v/>
      </c>
      <c r="W2329" s="4" t="str">
        <f t="shared" si="183"/>
        <v/>
      </c>
      <c r="X2329" t="str">
        <f>IF(W2329="","",LOOKUP(_xlfn.CONCAT(P2329,", ",Q2329),'[1]T+S Costs'!$F$2:$F$3138,'[1]T+S Costs'!$N$2:$N$3138))</f>
        <v/>
      </c>
      <c r="Y2329" s="14" t="str">
        <f t="shared" si="184"/>
        <v/>
      </c>
      <c r="Z2329" s="4" t="str">
        <f t="shared" si="185"/>
        <v/>
      </c>
    </row>
    <row r="2330" spans="16:26" x14ac:dyDescent="0.25">
      <c r="P2330" s="10" t="str">
        <f>IF('[1]All Data '!AZ2335="","",'[1]All Data '!AZ2335)</f>
        <v/>
      </c>
      <c r="Q2330" s="10" t="str">
        <f>IF('[1]All Data '!BB2335="","",'[1]All Data '!BB2335)</f>
        <v/>
      </c>
      <c r="R2330" s="10" t="str">
        <f>IF('[1]All Data '!BD2335="","",'[1]All Data '!BD2335)</f>
        <v/>
      </c>
      <c r="S2330" s="11" t="str">
        <f>IF(R2330="","",'[1]All Data '!BE2335)</f>
        <v/>
      </c>
      <c r="T2330" s="12" t="str">
        <f>IF(S2330="","",[1]Inputs_Outputs!$B$8*(1-'LOCH Calc COE Calc'!S2330))</f>
        <v/>
      </c>
      <c r="U2330" s="13" t="str">
        <f t="shared" si="181"/>
        <v/>
      </c>
      <c r="V2330" s="13" t="str">
        <f t="shared" si="182"/>
        <v/>
      </c>
      <c r="W2330" s="4" t="str">
        <f t="shared" si="183"/>
        <v/>
      </c>
      <c r="X2330" t="str">
        <f>IF(W2330="","",LOOKUP(_xlfn.CONCAT(P2330,", ",Q2330),'[1]T+S Costs'!$F$2:$F$3138,'[1]T+S Costs'!$N$2:$N$3138))</f>
        <v/>
      </c>
      <c r="Y2330" s="14" t="str">
        <f t="shared" si="184"/>
        <v/>
      </c>
      <c r="Z2330" s="4" t="str">
        <f t="shared" si="185"/>
        <v/>
      </c>
    </row>
    <row r="2331" spans="16:26" x14ac:dyDescent="0.25">
      <c r="P2331" s="10" t="str">
        <f>IF('[1]All Data '!AZ2336="","",'[1]All Data '!AZ2336)</f>
        <v/>
      </c>
      <c r="Q2331" s="10" t="str">
        <f>IF('[1]All Data '!BB2336="","",'[1]All Data '!BB2336)</f>
        <v/>
      </c>
      <c r="R2331" s="10" t="str">
        <f>IF('[1]All Data '!BD2336="","",'[1]All Data '!BD2336)</f>
        <v/>
      </c>
      <c r="S2331" s="11" t="str">
        <f>IF(R2331="","",'[1]All Data '!BE2336)</f>
        <v/>
      </c>
      <c r="T2331" s="12" t="str">
        <f>IF(S2331="","",[1]Inputs_Outputs!$B$8*(1-'LOCH Calc COE Calc'!S2331))</f>
        <v/>
      </c>
      <c r="U2331" s="13" t="str">
        <f t="shared" si="181"/>
        <v/>
      </c>
      <c r="V2331" s="13" t="str">
        <f t="shared" si="182"/>
        <v/>
      </c>
      <c r="W2331" s="4" t="str">
        <f t="shared" si="183"/>
        <v/>
      </c>
      <c r="X2331" t="str">
        <f>IF(W2331="","",LOOKUP(_xlfn.CONCAT(P2331,", ",Q2331),'[1]T+S Costs'!$F$2:$F$3138,'[1]T+S Costs'!$N$2:$N$3138))</f>
        <v/>
      </c>
      <c r="Y2331" s="14" t="str">
        <f t="shared" si="184"/>
        <v/>
      </c>
      <c r="Z2331" s="4" t="str">
        <f t="shared" si="185"/>
        <v/>
      </c>
    </row>
    <row r="2332" spans="16:26" x14ac:dyDescent="0.25">
      <c r="P2332" s="10" t="str">
        <f>IF('[1]All Data '!AZ2337="","",'[1]All Data '!AZ2337)</f>
        <v/>
      </c>
      <c r="Q2332" s="10" t="str">
        <f>IF('[1]All Data '!BB2337="","",'[1]All Data '!BB2337)</f>
        <v/>
      </c>
      <c r="R2332" s="10" t="str">
        <f>IF('[1]All Data '!BD2337="","",'[1]All Data '!BD2337)</f>
        <v/>
      </c>
      <c r="S2332" s="11" t="str">
        <f>IF(R2332="","",'[1]All Data '!BE2337)</f>
        <v/>
      </c>
      <c r="T2332" s="12" t="str">
        <f>IF(S2332="","",[1]Inputs_Outputs!$B$8*(1-'LOCH Calc COE Calc'!S2332))</f>
        <v/>
      </c>
      <c r="U2332" s="13" t="str">
        <f t="shared" si="181"/>
        <v/>
      </c>
      <c r="V2332" s="13" t="str">
        <f t="shared" si="182"/>
        <v/>
      </c>
      <c r="W2332" s="4" t="str">
        <f t="shared" si="183"/>
        <v/>
      </c>
      <c r="X2332" t="str">
        <f>IF(W2332="","",LOOKUP(_xlfn.CONCAT(P2332,", ",Q2332),'[1]T+S Costs'!$F$2:$F$3138,'[1]T+S Costs'!$N$2:$N$3138))</f>
        <v/>
      </c>
      <c r="Y2332" s="14" t="str">
        <f t="shared" si="184"/>
        <v/>
      </c>
      <c r="Z2332" s="4" t="str">
        <f t="shared" si="185"/>
        <v/>
      </c>
    </row>
    <row r="2333" spans="16:26" x14ac:dyDescent="0.25">
      <c r="P2333" s="10" t="str">
        <f>IF('[1]All Data '!AZ2338="","",'[1]All Data '!AZ2338)</f>
        <v/>
      </c>
      <c r="Q2333" s="10" t="str">
        <f>IF('[1]All Data '!BB2338="","",'[1]All Data '!BB2338)</f>
        <v/>
      </c>
      <c r="R2333" s="10" t="str">
        <f>IF('[1]All Data '!BD2338="","",'[1]All Data '!BD2338)</f>
        <v/>
      </c>
      <c r="S2333" s="11" t="str">
        <f>IF(R2333="","",'[1]All Data '!BE2338)</f>
        <v/>
      </c>
      <c r="T2333" s="12" t="str">
        <f>IF(S2333="","",[1]Inputs_Outputs!$B$8*(1-'LOCH Calc COE Calc'!S2333))</f>
        <v/>
      </c>
      <c r="U2333" s="13" t="str">
        <f t="shared" si="181"/>
        <v/>
      </c>
      <c r="V2333" s="13" t="str">
        <f t="shared" si="182"/>
        <v/>
      </c>
      <c r="W2333" s="4" t="str">
        <f t="shared" si="183"/>
        <v/>
      </c>
      <c r="X2333" t="str">
        <f>IF(W2333="","",LOOKUP(_xlfn.CONCAT(P2333,", ",Q2333),'[1]T+S Costs'!$F$2:$F$3138,'[1]T+S Costs'!$N$2:$N$3138))</f>
        <v/>
      </c>
      <c r="Y2333" s="14" t="str">
        <f t="shared" si="184"/>
        <v/>
      </c>
      <c r="Z2333" s="4" t="str">
        <f t="shared" si="185"/>
        <v/>
      </c>
    </row>
    <row r="2334" spans="16:26" x14ac:dyDescent="0.25">
      <c r="P2334" s="10" t="str">
        <f>IF('[1]All Data '!AZ2339="","",'[1]All Data '!AZ2339)</f>
        <v/>
      </c>
      <c r="Q2334" s="10" t="str">
        <f>IF('[1]All Data '!BB2339="","",'[1]All Data '!BB2339)</f>
        <v/>
      </c>
      <c r="R2334" s="10" t="str">
        <f>IF('[1]All Data '!BD2339="","",'[1]All Data '!BD2339)</f>
        <v/>
      </c>
      <c r="S2334" s="11" t="str">
        <f>IF(R2334="","",'[1]All Data '!BE2339)</f>
        <v/>
      </c>
      <c r="T2334" s="12" t="str">
        <f>IF(S2334="","",[1]Inputs_Outputs!$B$8*(1-'LOCH Calc COE Calc'!S2334))</f>
        <v/>
      </c>
      <c r="U2334" s="13" t="str">
        <f t="shared" si="181"/>
        <v/>
      </c>
      <c r="V2334" s="13" t="str">
        <f t="shared" si="182"/>
        <v/>
      </c>
      <c r="W2334" s="4" t="str">
        <f t="shared" si="183"/>
        <v/>
      </c>
      <c r="X2334" t="str">
        <f>IF(W2334="","",LOOKUP(_xlfn.CONCAT(P2334,", ",Q2334),'[1]T+S Costs'!$F$2:$F$3138,'[1]T+S Costs'!$N$2:$N$3138))</f>
        <v/>
      </c>
      <c r="Y2334" s="14" t="str">
        <f t="shared" si="184"/>
        <v/>
      </c>
      <c r="Z2334" s="4" t="str">
        <f t="shared" si="185"/>
        <v/>
      </c>
    </row>
    <row r="2335" spans="16:26" x14ac:dyDescent="0.25">
      <c r="P2335" s="10" t="str">
        <f>IF('[1]All Data '!AZ2340="","",'[1]All Data '!AZ2340)</f>
        <v/>
      </c>
      <c r="Q2335" s="10" t="str">
        <f>IF('[1]All Data '!BB2340="","",'[1]All Data '!BB2340)</f>
        <v/>
      </c>
      <c r="R2335" s="10" t="str">
        <f>IF('[1]All Data '!BD2340="","",'[1]All Data '!BD2340)</f>
        <v/>
      </c>
      <c r="S2335" s="11" t="str">
        <f>IF(R2335="","",'[1]All Data '!BE2340)</f>
        <v/>
      </c>
      <c r="T2335" s="12" t="str">
        <f>IF(S2335="","",[1]Inputs_Outputs!$B$8*(1-'LOCH Calc COE Calc'!S2335))</f>
        <v/>
      </c>
      <c r="U2335" s="13" t="str">
        <f t="shared" si="181"/>
        <v/>
      </c>
      <c r="V2335" s="13" t="str">
        <f t="shared" si="182"/>
        <v/>
      </c>
      <c r="W2335" s="4" t="str">
        <f t="shared" si="183"/>
        <v/>
      </c>
      <c r="X2335" t="str">
        <f>IF(W2335="","",LOOKUP(_xlfn.CONCAT(P2335,", ",Q2335),'[1]T+S Costs'!$F$2:$F$3138,'[1]T+S Costs'!$N$2:$N$3138))</f>
        <v/>
      </c>
      <c r="Y2335" s="14" t="str">
        <f t="shared" si="184"/>
        <v/>
      </c>
      <c r="Z2335" s="4" t="str">
        <f t="shared" si="185"/>
        <v/>
      </c>
    </row>
    <row r="2336" spans="16:26" x14ac:dyDescent="0.25">
      <c r="P2336" s="10" t="str">
        <f>IF('[1]All Data '!AZ2341="","",'[1]All Data '!AZ2341)</f>
        <v/>
      </c>
      <c r="Q2336" s="10" t="str">
        <f>IF('[1]All Data '!BB2341="","",'[1]All Data '!BB2341)</f>
        <v/>
      </c>
      <c r="R2336" s="10" t="str">
        <f>IF('[1]All Data '!BD2341="","",'[1]All Data '!BD2341)</f>
        <v/>
      </c>
      <c r="S2336" s="11" t="str">
        <f>IF(R2336="","",'[1]All Data '!BE2341)</f>
        <v/>
      </c>
      <c r="T2336" s="12" t="str">
        <f>IF(S2336="","",[1]Inputs_Outputs!$B$8*(1-'LOCH Calc COE Calc'!S2336))</f>
        <v/>
      </c>
      <c r="U2336" s="13" t="str">
        <f t="shared" si="181"/>
        <v/>
      </c>
      <c r="V2336" s="13" t="str">
        <f t="shared" si="182"/>
        <v/>
      </c>
      <c r="W2336" s="4" t="str">
        <f t="shared" si="183"/>
        <v/>
      </c>
      <c r="X2336" t="str">
        <f>IF(W2336="","",LOOKUP(_xlfn.CONCAT(P2336,", ",Q2336),'[1]T+S Costs'!$F$2:$F$3138,'[1]T+S Costs'!$N$2:$N$3138))</f>
        <v/>
      </c>
      <c r="Y2336" s="14" t="str">
        <f t="shared" si="184"/>
        <v/>
      </c>
      <c r="Z2336" s="4" t="str">
        <f t="shared" si="185"/>
        <v/>
      </c>
    </row>
    <row r="2337" spans="16:26" x14ac:dyDescent="0.25">
      <c r="P2337" s="10" t="str">
        <f>IF('[1]All Data '!AZ2342="","",'[1]All Data '!AZ2342)</f>
        <v/>
      </c>
      <c r="Q2337" s="10" t="str">
        <f>IF('[1]All Data '!BB2342="","",'[1]All Data '!BB2342)</f>
        <v/>
      </c>
      <c r="R2337" s="10" t="str">
        <f>IF('[1]All Data '!BD2342="","",'[1]All Data '!BD2342)</f>
        <v/>
      </c>
      <c r="S2337" s="11" t="str">
        <f>IF(R2337="","",'[1]All Data '!BE2342)</f>
        <v/>
      </c>
      <c r="T2337" s="12" t="str">
        <f>IF(S2337="","",[1]Inputs_Outputs!$B$8*(1-'LOCH Calc COE Calc'!S2337))</f>
        <v/>
      </c>
      <c r="U2337" s="13" t="str">
        <f t="shared" si="181"/>
        <v/>
      </c>
      <c r="V2337" s="13" t="str">
        <f t="shared" si="182"/>
        <v/>
      </c>
      <c r="W2337" s="4" t="str">
        <f t="shared" si="183"/>
        <v/>
      </c>
      <c r="X2337" t="str">
        <f>IF(W2337="","",LOOKUP(_xlfn.CONCAT(P2337,", ",Q2337),'[1]T+S Costs'!$F$2:$F$3138,'[1]T+S Costs'!$N$2:$N$3138))</f>
        <v/>
      </c>
      <c r="Y2337" s="14" t="str">
        <f t="shared" si="184"/>
        <v/>
      </c>
      <c r="Z2337" s="4" t="str">
        <f t="shared" si="185"/>
        <v/>
      </c>
    </row>
    <row r="2338" spans="16:26" x14ac:dyDescent="0.25">
      <c r="P2338" s="10" t="str">
        <f>IF('[1]All Data '!AZ2343="","",'[1]All Data '!AZ2343)</f>
        <v/>
      </c>
      <c r="Q2338" s="10" t="str">
        <f>IF('[1]All Data '!BB2343="","",'[1]All Data '!BB2343)</f>
        <v/>
      </c>
      <c r="R2338" s="10" t="str">
        <f>IF('[1]All Data '!BD2343="","",'[1]All Data '!BD2343)</f>
        <v/>
      </c>
      <c r="S2338" s="11" t="str">
        <f>IF(R2338="","",'[1]All Data '!BE2343)</f>
        <v/>
      </c>
      <c r="T2338" s="12" t="str">
        <f>IF(S2338="","",[1]Inputs_Outputs!$B$8*(1-'LOCH Calc COE Calc'!S2338))</f>
        <v/>
      </c>
      <c r="U2338" s="13" t="str">
        <f t="shared" si="181"/>
        <v/>
      </c>
      <c r="V2338" s="13" t="str">
        <f t="shared" si="182"/>
        <v/>
      </c>
      <c r="W2338" s="4" t="str">
        <f t="shared" si="183"/>
        <v/>
      </c>
      <c r="X2338" t="str">
        <f>IF(W2338="","",LOOKUP(_xlfn.CONCAT(P2338,", ",Q2338),'[1]T+S Costs'!$F$2:$F$3138,'[1]T+S Costs'!$N$2:$N$3138))</f>
        <v/>
      </c>
      <c r="Y2338" s="14" t="str">
        <f t="shared" si="184"/>
        <v/>
      </c>
      <c r="Z2338" s="4" t="str">
        <f t="shared" si="185"/>
        <v/>
      </c>
    </row>
    <row r="2339" spans="16:26" x14ac:dyDescent="0.25">
      <c r="P2339" s="10" t="str">
        <f>IF('[1]All Data '!AZ2344="","",'[1]All Data '!AZ2344)</f>
        <v/>
      </c>
      <c r="Q2339" s="10" t="str">
        <f>IF('[1]All Data '!BB2344="","",'[1]All Data '!BB2344)</f>
        <v/>
      </c>
      <c r="R2339" s="10" t="str">
        <f>IF('[1]All Data '!BD2344="","",'[1]All Data '!BD2344)</f>
        <v/>
      </c>
      <c r="S2339" s="11" t="str">
        <f>IF(R2339="","",'[1]All Data '!BE2344)</f>
        <v/>
      </c>
      <c r="T2339" s="12" t="str">
        <f>IF(S2339="","",[1]Inputs_Outputs!$B$8*(1-'LOCH Calc COE Calc'!S2339))</f>
        <v/>
      </c>
      <c r="U2339" s="13" t="str">
        <f t="shared" si="181"/>
        <v/>
      </c>
      <c r="V2339" s="13" t="str">
        <f t="shared" si="182"/>
        <v/>
      </c>
      <c r="W2339" s="4" t="str">
        <f t="shared" si="183"/>
        <v/>
      </c>
      <c r="X2339" t="str">
        <f>IF(W2339="","",LOOKUP(_xlfn.CONCAT(P2339,", ",Q2339),'[1]T+S Costs'!$F$2:$F$3138,'[1]T+S Costs'!$N$2:$N$3138))</f>
        <v/>
      </c>
      <c r="Y2339" s="14" t="str">
        <f t="shared" si="184"/>
        <v/>
      </c>
      <c r="Z2339" s="4" t="str">
        <f t="shared" si="185"/>
        <v/>
      </c>
    </row>
    <row r="2340" spans="16:26" x14ac:dyDescent="0.25">
      <c r="P2340" s="10" t="str">
        <f>IF('[1]All Data '!AZ2345="","",'[1]All Data '!AZ2345)</f>
        <v/>
      </c>
      <c r="Q2340" s="10" t="str">
        <f>IF('[1]All Data '!BB2345="","",'[1]All Data '!BB2345)</f>
        <v/>
      </c>
      <c r="R2340" s="10" t="str">
        <f>IF('[1]All Data '!BD2345="","",'[1]All Data '!BD2345)</f>
        <v/>
      </c>
      <c r="S2340" s="11" t="str">
        <f>IF(R2340="","",'[1]All Data '!BE2345)</f>
        <v/>
      </c>
      <c r="T2340" s="12" t="str">
        <f>IF(S2340="","",[1]Inputs_Outputs!$B$8*(1-'LOCH Calc COE Calc'!S2340))</f>
        <v/>
      </c>
      <c r="U2340" s="13" t="str">
        <f t="shared" si="181"/>
        <v/>
      </c>
      <c r="V2340" s="13" t="str">
        <f t="shared" si="182"/>
        <v/>
      </c>
      <c r="W2340" s="4" t="str">
        <f t="shared" si="183"/>
        <v/>
      </c>
      <c r="X2340" t="str">
        <f>IF(W2340="","",LOOKUP(_xlfn.CONCAT(P2340,", ",Q2340),'[1]T+S Costs'!$F$2:$F$3138,'[1]T+S Costs'!$N$2:$N$3138))</f>
        <v/>
      </c>
      <c r="Y2340" s="14" t="str">
        <f t="shared" si="184"/>
        <v/>
      </c>
      <c r="Z2340" s="4" t="str">
        <f t="shared" si="185"/>
        <v/>
      </c>
    </row>
    <row r="2341" spans="16:26" x14ac:dyDescent="0.25">
      <c r="P2341" s="10" t="str">
        <f>IF('[1]All Data '!AZ2346="","",'[1]All Data '!AZ2346)</f>
        <v/>
      </c>
      <c r="Q2341" s="10" t="str">
        <f>IF('[1]All Data '!BB2346="","",'[1]All Data '!BB2346)</f>
        <v/>
      </c>
      <c r="R2341" s="10" t="str">
        <f>IF('[1]All Data '!BD2346="","",'[1]All Data '!BD2346)</f>
        <v/>
      </c>
      <c r="S2341" s="11" t="str">
        <f>IF(R2341="","",'[1]All Data '!BE2346)</f>
        <v/>
      </c>
      <c r="T2341" s="12" t="str">
        <f>IF(S2341="","",[1]Inputs_Outputs!$B$8*(1-'LOCH Calc COE Calc'!S2341))</f>
        <v/>
      </c>
      <c r="U2341" s="13" t="str">
        <f t="shared" si="181"/>
        <v/>
      </c>
      <c r="V2341" s="13" t="str">
        <f t="shared" si="182"/>
        <v/>
      </c>
      <c r="W2341" s="4" t="str">
        <f t="shared" si="183"/>
        <v/>
      </c>
      <c r="X2341" t="str">
        <f>IF(W2341="","",LOOKUP(_xlfn.CONCAT(P2341,", ",Q2341),'[1]T+S Costs'!$F$2:$F$3138,'[1]T+S Costs'!$N$2:$N$3138))</f>
        <v/>
      </c>
      <c r="Y2341" s="14" t="str">
        <f t="shared" si="184"/>
        <v/>
      </c>
      <c r="Z2341" s="4" t="str">
        <f t="shared" si="185"/>
        <v/>
      </c>
    </row>
    <row r="2342" spans="16:26" x14ac:dyDescent="0.25">
      <c r="P2342" s="10" t="str">
        <f>IF('[1]All Data '!AZ2347="","",'[1]All Data '!AZ2347)</f>
        <v/>
      </c>
      <c r="Q2342" s="10" t="str">
        <f>IF('[1]All Data '!BB2347="","",'[1]All Data '!BB2347)</f>
        <v/>
      </c>
      <c r="R2342" s="10" t="str">
        <f>IF('[1]All Data '!BD2347="","",'[1]All Data '!BD2347)</f>
        <v/>
      </c>
      <c r="S2342" s="11" t="str">
        <f>IF(R2342="","",'[1]All Data '!BE2347)</f>
        <v/>
      </c>
      <c r="T2342" s="12" t="str">
        <f>IF(S2342="","",[1]Inputs_Outputs!$B$8*(1-'LOCH Calc COE Calc'!S2342))</f>
        <v/>
      </c>
      <c r="U2342" s="13" t="str">
        <f t="shared" si="181"/>
        <v/>
      </c>
      <c r="V2342" s="13" t="str">
        <f t="shared" si="182"/>
        <v/>
      </c>
      <c r="W2342" s="4" t="str">
        <f t="shared" si="183"/>
        <v/>
      </c>
      <c r="X2342" t="str">
        <f>IF(W2342="","",LOOKUP(_xlfn.CONCAT(P2342,", ",Q2342),'[1]T+S Costs'!$F$2:$F$3138,'[1]T+S Costs'!$N$2:$N$3138))</f>
        <v/>
      </c>
      <c r="Y2342" s="14" t="str">
        <f t="shared" si="184"/>
        <v/>
      </c>
      <c r="Z2342" s="4" t="str">
        <f t="shared" si="185"/>
        <v/>
      </c>
    </row>
    <row r="2343" spans="16:26" x14ac:dyDescent="0.25">
      <c r="P2343" s="10" t="str">
        <f>IF('[1]All Data '!AZ2348="","",'[1]All Data '!AZ2348)</f>
        <v/>
      </c>
      <c r="Q2343" s="10" t="str">
        <f>IF('[1]All Data '!BB2348="","",'[1]All Data '!BB2348)</f>
        <v/>
      </c>
      <c r="R2343" s="10" t="str">
        <f>IF('[1]All Data '!BD2348="","",'[1]All Data '!BD2348)</f>
        <v/>
      </c>
      <c r="S2343" s="11" t="str">
        <f>IF(R2343="","",'[1]All Data '!BE2348)</f>
        <v/>
      </c>
      <c r="T2343" s="12" t="str">
        <f>IF(S2343="","",[1]Inputs_Outputs!$B$8*(1-'LOCH Calc COE Calc'!S2343))</f>
        <v/>
      </c>
      <c r="U2343" s="13" t="str">
        <f t="shared" si="181"/>
        <v/>
      </c>
      <c r="V2343" s="13" t="str">
        <f t="shared" si="182"/>
        <v/>
      </c>
      <c r="W2343" s="4" t="str">
        <f t="shared" si="183"/>
        <v/>
      </c>
      <c r="X2343" t="str">
        <f>IF(W2343="","",LOOKUP(_xlfn.CONCAT(P2343,", ",Q2343),'[1]T+S Costs'!$F$2:$F$3138,'[1]T+S Costs'!$N$2:$N$3138))</f>
        <v/>
      </c>
      <c r="Y2343" s="14" t="str">
        <f t="shared" si="184"/>
        <v/>
      </c>
      <c r="Z2343" s="4" t="str">
        <f t="shared" si="185"/>
        <v/>
      </c>
    </row>
    <row r="2344" spans="16:26" x14ac:dyDescent="0.25">
      <c r="P2344" s="10" t="str">
        <f>IF('[1]All Data '!AZ2349="","",'[1]All Data '!AZ2349)</f>
        <v/>
      </c>
      <c r="Q2344" s="10" t="str">
        <f>IF('[1]All Data '!BB2349="","",'[1]All Data '!BB2349)</f>
        <v/>
      </c>
      <c r="R2344" s="10" t="str">
        <f>IF('[1]All Data '!BD2349="","",'[1]All Data '!BD2349)</f>
        <v/>
      </c>
      <c r="S2344" s="11" t="str">
        <f>IF(R2344="","",'[1]All Data '!BE2349)</f>
        <v/>
      </c>
      <c r="T2344" s="12" t="str">
        <f>IF(S2344="","",[1]Inputs_Outputs!$B$8*(1-'LOCH Calc COE Calc'!S2344))</f>
        <v/>
      </c>
      <c r="U2344" s="13" t="str">
        <f t="shared" si="181"/>
        <v/>
      </c>
      <c r="V2344" s="13" t="str">
        <f t="shared" si="182"/>
        <v/>
      </c>
      <c r="W2344" s="4" t="str">
        <f t="shared" si="183"/>
        <v/>
      </c>
      <c r="X2344" t="str">
        <f>IF(W2344="","",LOOKUP(_xlfn.CONCAT(P2344,", ",Q2344),'[1]T+S Costs'!$F$2:$F$3138,'[1]T+S Costs'!$N$2:$N$3138))</f>
        <v/>
      </c>
      <c r="Y2344" s="14" t="str">
        <f t="shared" si="184"/>
        <v/>
      </c>
      <c r="Z2344" s="4" t="str">
        <f t="shared" si="185"/>
        <v/>
      </c>
    </row>
    <row r="2345" spans="16:26" x14ac:dyDescent="0.25">
      <c r="P2345" s="10" t="str">
        <f>IF('[1]All Data '!AZ2350="","",'[1]All Data '!AZ2350)</f>
        <v/>
      </c>
      <c r="Q2345" s="10" t="str">
        <f>IF('[1]All Data '!BB2350="","",'[1]All Data '!BB2350)</f>
        <v/>
      </c>
      <c r="R2345" s="10" t="str">
        <f>IF('[1]All Data '!BD2350="","",'[1]All Data '!BD2350)</f>
        <v/>
      </c>
      <c r="S2345" s="11" t="str">
        <f>IF(R2345="","",'[1]All Data '!BE2350)</f>
        <v/>
      </c>
      <c r="T2345" s="12" t="str">
        <f>IF(S2345="","",[1]Inputs_Outputs!$B$8*(1-'LOCH Calc COE Calc'!S2345))</f>
        <v/>
      </c>
      <c r="U2345" s="13" t="str">
        <f t="shared" si="181"/>
        <v/>
      </c>
      <c r="V2345" s="13" t="str">
        <f t="shared" si="182"/>
        <v/>
      </c>
      <c r="W2345" s="4" t="str">
        <f t="shared" si="183"/>
        <v/>
      </c>
      <c r="X2345" t="str">
        <f>IF(W2345="","",LOOKUP(_xlfn.CONCAT(P2345,", ",Q2345),'[1]T+S Costs'!$F$2:$F$3138,'[1]T+S Costs'!$N$2:$N$3138))</f>
        <v/>
      </c>
      <c r="Y2345" s="14" t="str">
        <f t="shared" si="184"/>
        <v/>
      </c>
      <c r="Z2345" s="4" t="str">
        <f t="shared" si="185"/>
        <v/>
      </c>
    </row>
    <row r="2346" spans="16:26" x14ac:dyDescent="0.25">
      <c r="P2346" s="10" t="str">
        <f>IF('[1]All Data '!AZ2351="","",'[1]All Data '!AZ2351)</f>
        <v/>
      </c>
      <c r="Q2346" s="10" t="str">
        <f>IF('[1]All Data '!BB2351="","",'[1]All Data '!BB2351)</f>
        <v/>
      </c>
      <c r="R2346" s="10" t="str">
        <f>IF('[1]All Data '!BD2351="","",'[1]All Data '!BD2351)</f>
        <v/>
      </c>
      <c r="S2346" s="11" t="str">
        <f>IF(R2346="","",'[1]All Data '!BE2351)</f>
        <v/>
      </c>
      <c r="T2346" s="12" t="str">
        <f>IF(S2346="","",[1]Inputs_Outputs!$B$8*(1-'LOCH Calc COE Calc'!S2346))</f>
        <v/>
      </c>
      <c r="U2346" s="13" t="str">
        <f t="shared" si="181"/>
        <v/>
      </c>
      <c r="V2346" s="13" t="str">
        <f t="shared" si="182"/>
        <v/>
      </c>
      <c r="W2346" s="4" t="str">
        <f t="shared" si="183"/>
        <v/>
      </c>
      <c r="X2346" t="str">
        <f>IF(W2346="","",LOOKUP(_xlfn.CONCAT(P2346,", ",Q2346),'[1]T+S Costs'!$F$2:$F$3138,'[1]T+S Costs'!$N$2:$N$3138))</f>
        <v/>
      </c>
      <c r="Y2346" s="14" t="str">
        <f t="shared" si="184"/>
        <v/>
      </c>
      <c r="Z2346" s="4" t="str">
        <f t="shared" si="185"/>
        <v/>
      </c>
    </row>
    <row r="2347" spans="16:26" x14ac:dyDescent="0.25">
      <c r="P2347" s="10" t="str">
        <f>IF('[1]All Data '!AZ2352="","",'[1]All Data '!AZ2352)</f>
        <v/>
      </c>
      <c r="Q2347" s="10" t="str">
        <f>IF('[1]All Data '!BB2352="","",'[1]All Data '!BB2352)</f>
        <v/>
      </c>
      <c r="R2347" s="10" t="str">
        <f>IF('[1]All Data '!BD2352="","",'[1]All Data '!BD2352)</f>
        <v/>
      </c>
      <c r="S2347" s="11" t="str">
        <f>IF(R2347="","",'[1]All Data '!BE2352)</f>
        <v/>
      </c>
      <c r="T2347" s="12" t="str">
        <f>IF(S2347="","",[1]Inputs_Outputs!$B$8*(1-'LOCH Calc COE Calc'!S2347))</f>
        <v/>
      </c>
      <c r="U2347" s="13" t="str">
        <f t="shared" si="181"/>
        <v/>
      </c>
      <c r="V2347" s="13" t="str">
        <f t="shared" si="182"/>
        <v/>
      </c>
      <c r="W2347" s="4" t="str">
        <f t="shared" si="183"/>
        <v/>
      </c>
      <c r="X2347" t="str">
        <f>IF(W2347="","",LOOKUP(_xlfn.CONCAT(P2347,", ",Q2347),'[1]T+S Costs'!$F$2:$F$3138,'[1]T+S Costs'!$N$2:$N$3138))</f>
        <v/>
      </c>
      <c r="Y2347" s="14" t="str">
        <f t="shared" si="184"/>
        <v/>
      </c>
      <c r="Z2347" s="4" t="str">
        <f t="shared" si="185"/>
        <v/>
      </c>
    </row>
    <row r="2348" spans="16:26" x14ac:dyDescent="0.25">
      <c r="P2348" s="10" t="str">
        <f>IF('[1]All Data '!AZ2353="","",'[1]All Data '!AZ2353)</f>
        <v/>
      </c>
      <c r="Q2348" s="10" t="str">
        <f>IF('[1]All Data '!BB2353="","",'[1]All Data '!BB2353)</f>
        <v/>
      </c>
      <c r="R2348" s="10" t="str">
        <f>IF('[1]All Data '!BD2353="","",'[1]All Data '!BD2353)</f>
        <v/>
      </c>
      <c r="S2348" s="11" t="str">
        <f>IF(R2348="","",'[1]All Data '!BE2353)</f>
        <v/>
      </c>
      <c r="T2348" s="12" t="str">
        <f>IF(S2348="","",[1]Inputs_Outputs!$B$8*(1-'LOCH Calc COE Calc'!S2348))</f>
        <v/>
      </c>
      <c r="U2348" s="13" t="str">
        <f t="shared" si="181"/>
        <v/>
      </c>
      <c r="V2348" s="13" t="str">
        <f t="shared" si="182"/>
        <v/>
      </c>
      <c r="W2348" s="4" t="str">
        <f t="shared" si="183"/>
        <v/>
      </c>
      <c r="X2348" t="str">
        <f>IF(W2348="","",LOOKUP(_xlfn.CONCAT(P2348,", ",Q2348),'[1]T+S Costs'!$F$2:$F$3138,'[1]T+S Costs'!$N$2:$N$3138))</f>
        <v/>
      </c>
      <c r="Y2348" s="14" t="str">
        <f t="shared" si="184"/>
        <v/>
      </c>
      <c r="Z2348" s="4" t="str">
        <f t="shared" si="185"/>
        <v/>
      </c>
    </row>
    <row r="2349" spans="16:26" x14ac:dyDescent="0.25">
      <c r="P2349" s="10" t="str">
        <f>IF('[1]All Data '!AZ2354="","",'[1]All Data '!AZ2354)</f>
        <v/>
      </c>
      <c r="Q2349" s="10" t="str">
        <f>IF('[1]All Data '!BB2354="","",'[1]All Data '!BB2354)</f>
        <v/>
      </c>
      <c r="R2349" s="10" t="str">
        <f>IF('[1]All Data '!BD2354="","",'[1]All Data '!BD2354)</f>
        <v/>
      </c>
      <c r="S2349" s="11" t="str">
        <f>IF(R2349="","",'[1]All Data '!BE2354)</f>
        <v/>
      </c>
      <c r="T2349" s="12" t="str">
        <f>IF(S2349="","",[1]Inputs_Outputs!$B$8*(1-'LOCH Calc COE Calc'!S2349))</f>
        <v/>
      </c>
      <c r="U2349" s="13" t="str">
        <f t="shared" si="181"/>
        <v/>
      </c>
      <c r="V2349" s="13" t="str">
        <f t="shared" si="182"/>
        <v/>
      </c>
      <c r="W2349" s="4" t="str">
        <f t="shared" si="183"/>
        <v/>
      </c>
      <c r="X2349" t="str">
        <f>IF(W2349="","",LOOKUP(_xlfn.CONCAT(P2349,", ",Q2349),'[1]T+S Costs'!$F$2:$F$3138,'[1]T+S Costs'!$N$2:$N$3138))</f>
        <v/>
      </c>
      <c r="Y2349" s="14" t="str">
        <f t="shared" si="184"/>
        <v/>
      </c>
      <c r="Z2349" s="4" t="str">
        <f t="shared" si="185"/>
        <v/>
      </c>
    </row>
    <row r="2350" spans="16:26" x14ac:dyDescent="0.25">
      <c r="P2350" s="10" t="str">
        <f>IF('[1]All Data '!AZ2355="","",'[1]All Data '!AZ2355)</f>
        <v/>
      </c>
      <c r="Q2350" s="10" t="str">
        <f>IF('[1]All Data '!BB2355="","",'[1]All Data '!BB2355)</f>
        <v/>
      </c>
      <c r="R2350" s="10" t="str">
        <f>IF('[1]All Data '!BD2355="","",'[1]All Data '!BD2355)</f>
        <v/>
      </c>
      <c r="S2350" s="11" t="str">
        <f>IF(R2350="","",'[1]All Data '!BE2355)</f>
        <v/>
      </c>
      <c r="T2350" s="12" t="str">
        <f>IF(S2350="","",[1]Inputs_Outputs!$B$8*(1-'LOCH Calc COE Calc'!S2350))</f>
        <v/>
      </c>
      <c r="U2350" s="13" t="str">
        <f t="shared" si="181"/>
        <v/>
      </c>
      <c r="V2350" s="13" t="str">
        <f t="shared" si="182"/>
        <v/>
      </c>
      <c r="W2350" s="4" t="str">
        <f t="shared" si="183"/>
        <v/>
      </c>
      <c r="X2350" t="str">
        <f>IF(W2350="","",LOOKUP(_xlfn.CONCAT(P2350,", ",Q2350),'[1]T+S Costs'!$F$2:$F$3138,'[1]T+S Costs'!$N$2:$N$3138))</f>
        <v/>
      </c>
      <c r="Y2350" s="14" t="str">
        <f t="shared" si="184"/>
        <v/>
      </c>
      <c r="Z2350" s="4" t="str">
        <f t="shared" si="185"/>
        <v/>
      </c>
    </row>
    <row r="2351" spans="16:26" x14ac:dyDescent="0.25">
      <c r="P2351" s="10" t="str">
        <f>IF('[1]All Data '!AZ2356="","",'[1]All Data '!AZ2356)</f>
        <v/>
      </c>
      <c r="Q2351" s="10" t="str">
        <f>IF('[1]All Data '!BB2356="","",'[1]All Data '!BB2356)</f>
        <v/>
      </c>
      <c r="R2351" s="10" t="str">
        <f>IF('[1]All Data '!BD2356="","",'[1]All Data '!BD2356)</f>
        <v/>
      </c>
      <c r="S2351" s="11" t="str">
        <f>IF(R2351="","",'[1]All Data '!BE2356)</f>
        <v/>
      </c>
      <c r="T2351" s="12" t="str">
        <f>IF(S2351="","",[1]Inputs_Outputs!$B$8*(1-'LOCH Calc COE Calc'!S2351))</f>
        <v/>
      </c>
      <c r="U2351" s="13" t="str">
        <f t="shared" si="181"/>
        <v/>
      </c>
      <c r="V2351" s="13" t="str">
        <f t="shared" si="182"/>
        <v/>
      </c>
      <c r="W2351" s="4" t="str">
        <f t="shared" si="183"/>
        <v/>
      </c>
      <c r="X2351" t="str">
        <f>IF(W2351="","",LOOKUP(_xlfn.CONCAT(P2351,", ",Q2351),'[1]T+S Costs'!$F$2:$F$3138,'[1]T+S Costs'!$N$2:$N$3138))</f>
        <v/>
      </c>
      <c r="Y2351" s="14" t="str">
        <f t="shared" si="184"/>
        <v/>
      </c>
      <c r="Z2351" s="4" t="str">
        <f t="shared" si="185"/>
        <v/>
      </c>
    </row>
    <row r="2352" spans="16:26" x14ac:dyDescent="0.25">
      <c r="P2352" s="10" t="str">
        <f>IF('[1]All Data '!AZ2357="","",'[1]All Data '!AZ2357)</f>
        <v/>
      </c>
      <c r="Q2352" s="10" t="str">
        <f>IF('[1]All Data '!BB2357="","",'[1]All Data '!BB2357)</f>
        <v/>
      </c>
      <c r="R2352" s="10" t="str">
        <f>IF('[1]All Data '!BD2357="","",'[1]All Data '!BD2357)</f>
        <v/>
      </c>
      <c r="S2352" s="11" t="str">
        <f>IF(R2352="","",'[1]All Data '!BE2357)</f>
        <v/>
      </c>
      <c r="T2352" s="12" t="str">
        <f>IF(S2352="","",[1]Inputs_Outputs!$B$8*(1-'LOCH Calc COE Calc'!S2352))</f>
        <v/>
      </c>
      <c r="U2352" s="13" t="str">
        <f t="shared" si="181"/>
        <v/>
      </c>
      <c r="V2352" s="13" t="str">
        <f t="shared" si="182"/>
        <v/>
      </c>
      <c r="W2352" s="4" t="str">
        <f t="shared" si="183"/>
        <v/>
      </c>
      <c r="X2352" t="str">
        <f>IF(W2352="","",LOOKUP(_xlfn.CONCAT(P2352,", ",Q2352),'[1]T+S Costs'!$F$2:$F$3138,'[1]T+S Costs'!$N$2:$N$3138))</f>
        <v/>
      </c>
      <c r="Y2352" s="14" t="str">
        <f t="shared" si="184"/>
        <v/>
      </c>
      <c r="Z2352" s="4" t="str">
        <f t="shared" si="185"/>
        <v/>
      </c>
    </row>
    <row r="2353" spans="16:26" x14ac:dyDescent="0.25">
      <c r="P2353" s="10" t="str">
        <f>IF('[1]All Data '!AZ2358="","",'[1]All Data '!AZ2358)</f>
        <v/>
      </c>
      <c r="Q2353" s="10" t="str">
        <f>IF('[1]All Data '!BB2358="","",'[1]All Data '!BB2358)</f>
        <v/>
      </c>
      <c r="R2353" s="10" t="str">
        <f>IF('[1]All Data '!BD2358="","",'[1]All Data '!BD2358)</f>
        <v/>
      </c>
      <c r="S2353" s="11" t="str">
        <f>IF(R2353="","",'[1]All Data '!BE2358)</f>
        <v/>
      </c>
      <c r="T2353" s="12" t="str">
        <f>IF(S2353="","",[1]Inputs_Outputs!$B$8*(1-'LOCH Calc COE Calc'!S2353))</f>
        <v/>
      </c>
      <c r="U2353" s="13" t="str">
        <f t="shared" si="181"/>
        <v/>
      </c>
      <c r="V2353" s="13" t="str">
        <f t="shared" si="182"/>
        <v/>
      </c>
      <c r="W2353" s="4" t="str">
        <f t="shared" si="183"/>
        <v/>
      </c>
      <c r="X2353" t="str">
        <f>IF(W2353="","",LOOKUP(_xlfn.CONCAT(P2353,", ",Q2353),'[1]T+S Costs'!$F$2:$F$3138,'[1]T+S Costs'!$N$2:$N$3138))</f>
        <v/>
      </c>
      <c r="Y2353" s="14" t="str">
        <f t="shared" si="184"/>
        <v/>
      </c>
      <c r="Z2353" s="4" t="str">
        <f t="shared" si="185"/>
        <v/>
      </c>
    </row>
    <row r="2354" spans="16:26" x14ac:dyDescent="0.25">
      <c r="P2354" s="10" t="str">
        <f>IF('[1]All Data '!AZ2359="","",'[1]All Data '!AZ2359)</f>
        <v/>
      </c>
      <c r="Q2354" s="10" t="str">
        <f>IF('[1]All Data '!BB2359="","",'[1]All Data '!BB2359)</f>
        <v/>
      </c>
      <c r="R2354" s="10" t="str">
        <f>IF('[1]All Data '!BD2359="","",'[1]All Data '!BD2359)</f>
        <v/>
      </c>
      <c r="S2354" s="11" t="str">
        <f>IF(R2354="","",'[1]All Data '!BE2359)</f>
        <v/>
      </c>
      <c r="T2354" s="12" t="str">
        <f>IF(S2354="","",[1]Inputs_Outputs!$B$8*(1-'LOCH Calc COE Calc'!S2354))</f>
        <v/>
      </c>
      <c r="U2354" s="13" t="str">
        <f t="shared" si="181"/>
        <v/>
      </c>
      <c r="V2354" s="13" t="str">
        <f t="shared" si="182"/>
        <v/>
      </c>
      <c r="W2354" s="4" t="str">
        <f t="shared" si="183"/>
        <v/>
      </c>
      <c r="X2354" t="str">
        <f>IF(W2354="","",LOOKUP(_xlfn.CONCAT(P2354,", ",Q2354),'[1]T+S Costs'!$F$2:$F$3138,'[1]T+S Costs'!$N$2:$N$3138))</f>
        <v/>
      </c>
      <c r="Y2354" s="14" t="str">
        <f t="shared" si="184"/>
        <v/>
      </c>
      <c r="Z2354" s="4" t="str">
        <f t="shared" si="185"/>
        <v/>
      </c>
    </row>
    <row r="2355" spans="16:26" x14ac:dyDescent="0.25">
      <c r="P2355" s="10" t="str">
        <f>IF('[1]All Data '!AZ2360="","",'[1]All Data '!AZ2360)</f>
        <v/>
      </c>
      <c r="Q2355" s="10" t="str">
        <f>IF('[1]All Data '!BB2360="","",'[1]All Data '!BB2360)</f>
        <v/>
      </c>
      <c r="R2355" s="10" t="str">
        <f>IF('[1]All Data '!BD2360="","",'[1]All Data '!BD2360)</f>
        <v/>
      </c>
      <c r="S2355" s="11" t="str">
        <f>IF(R2355="","",'[1]All Data '!BE2360)</f>
        <v/>
      </c>
      <c r="T2355" s="12" t="str">
        <f>IF(S2355="","",[1]Inputs_Outputs!$B$8*(1-'LOCH Calc COE Calc'!S2355))</f>
        <v/>
      </c>
      <c r="U2355" s="13" t="str">
        <f t="shared" si="181"/>
        <v/>
      </c>
      <c r="V2355" s="13" t="str">
        <f t="shared" si="182"/>
        <v/>
      </c>
      <c r="W2355" s="4" t="str">
        <f t="shared" si="183"/>
        <v/>
      </c>
      <c r="X2355" t="str">
        <f>IF(W2355="","",LOOKUP(_xlfn.CONCAT(P2355,", ",Q2355),'[1]T+S Costs'!$F$2:$F$3138,'[1]T+S Costs'!$N$2:$N$3138))</f>
        <v/>
      </c>
      <c r="Y2355" s="14" t="str">
        <f t="shared" si="184"/>
        <v/>
      </c>
      <c r="Z2355" s="4" t="str">
        <f t="shared" si="185"/>
        <v/>
      </c>
    </row>
    <row r="2356" spans="16:26" x14ac:dyDescent="0.25">
      <c r="P2356" s="10" t="str">
        <f>IF('[1]All Data '!AZ2361="","",'[1]All Data '!AZ2361)</f>
        <v/>
      </c>
      <c r="Q2356" s="10" t="str">
        <f>IF('[1]All Data '!BB2361="","",'[1]All Data '!BB2361)</f>
        <v/>
      </c>
      <c r="R2356" s="10" t="str">
        <f>IF('[1]All Data '!BD2361="","",'[1]All Data '!BD2361)</f>
        <v/>
      </c>
      <c r="S2356" s="11" t="str">
        <f>IF(R2356="","",'[1]All Data '!BE2361)</f>
        <v/>
      </c>
      <c r="T2356" s="12" t="str">
        <f>IF(S2356="","",[1]Inputs_Outputs!$B$8*(1-'LOCH Calc COE Calc'!S2356))</f>
        <v/>
      </c>
      <c r="U2356" s="13" t="str">
        <f t="shared" si="181"/>
        <v/>
      </c>
      <c r="V2356" s="13" t="str">
        <f t="shared" si="182"/>
        <v/>
      </c>
      <c r="W2356" s="4" t="str">
        <f t="shared" si="183"/>
        <v/>
      </c>
      <c r="X2356" t="str">
        <f>IF(W2356="","",LOOKUP(_xlfn.CONCAT(P2356,", ",Q2356),'[1]T+S Costs'!$F$2:$F$3138,'[1]T+S Costs'!$N$2:$N$3138))</f>
        <v/>
      </c>
      <c r="Y2356" s="14" t="str">
        <f t="shared" si="184"/>
        <v/>
      </c>
      <c r="Z2356" s="4" t="str">
        <f t="shared" si="185"/>
        <v/>
      </c>
    </row>
    <row r="2357" spans="16:26" x14ac:dyDescent="0.25">
      <c r="P2357" s="10" t="str">
        <f>IF('[1]All Data '!AZ2362="","",'[1]All Data '!AZ2362)</f>
        <v/>
      </c>
      <c r="Q2357" s="10" t="str">
        <f>IF('[1]All Data '!BB2362="","",'[1]All Data '!BB2362)</f>
        <v/>
      </c>
      <c r="R2357" s="10" t="str">
        <f>IF('[1]All Data '!BD2362="","",'[1]All Data '!BD2362)</f>
        <v/>
      </c>
      <c r="S2357" s="11" t="str">
        <f>IF(R2357="","",'[1]All Data '!BE2362)</f>
        <v/>
      </c>
      <c r="T2357" s="12" t="str">
        <f>IF(S2357="","",[1]Inputs_Outputs!$B$8*(1-'LOCH Calc COE Calc'!S2357))</f>
        <v/>
      </c>
      <c r="U2357" s="13" t="str">
        <f t="shared" si="181"/>
        <v/>
      </c>
      <c r="V2357" s="13" t="str">
        <f t="shared" si="182"/>
        <v/>
      </c>
      <c r="W2357" s="4" t="str">
        <f t="shared" si="183"/>
        <v/>
      </c>
      <c r="X2357" t="str">
        <f>IF(W2357="","",LOOKUP(_xlfn.CONCAT(P2357,", ",Q2357),'[1]T+S Costs'!$F$2:$F$3138,'[1]T+S Costs'!$N$2:$N$3138))</f>
        <v/>
      </c>
      <c r="Y2357" s="14" t="str">
        <f t="shared" si="184"/>
        <v/>
      </c>
      <c r="Z2357" s="4" t="str">
        <f t="shared" si="185"/>
        <v/>
      </c>
    </row>
    <row r="2358" spans="16:26" x14ac:dyDescent="0.25">
      <c r="P2358" s="10" t="str">
        <f>IF('[1]All Data '!AZ2363="","",'[1]All Data '!AZ2363)</f>
        <v/>
      </c>
      <c r="Q2358" s="10" t="str">
        <f>IF('[1]All Data '!BB2363="","",'[1]All Data '!BB2363)</f>
        <v/>
      </c>
      <c r="R2358" s="10" t="str">
        <f>IF('[1]All Data '!BD2363="","",'[1]All Data '!BD2363)</f>
        <v/>
      </c>
      <c r="S2358" s="11" t="str">
        <f>IF(R2358="","",'[1]All Data '!BE2363)</f>
        <v/>
      </c>
      <c r="T2358" s="12" t="str">
        <f>IF(S2358="","",[1]Inputs_Outputs!$B$8*(1-'LOCH Calc COE Calc'!S2358))</f>
        <v/>
      </c>
      <c r="U2358" s="13" t="str">
        <f t="shared" si="181"/>
        <v/>
      </c>
      <c r="V2358" s="13" t="str">
        <f t="shared" si="182"/>
        <v/>
      </c>
      <c r="W2358" s="4" t="str">
        <f t="shared" si="183"/>
        <v/>
      </c>
      <c r="X2358" t="str">
        <f>IF(W2358="","",LOOKUP(_xlfn.CONCAT(P2358,", ",Q2358),'[1]T+S Costs'!$F$2:$F$3138,'[1]T+S Costs'!$N$2:$N$3138))</f>
        <v/>
      </c>
      <c r="Y2358" s="14" t="str">
        <f t="shared" si="184"/>
        <v/>
      </c>
      <c r="Z2358" s="4" t="str">
        <f t="shared" si="185"/>
        <v/>
      </c>
    </row>
    <row r="2359" spans="16:26" x14ac:dyDescent="0.25">
      <c r="P2359" s="10" t="str">
        <f>IF('[1]All Data '!AZ2364="","",'[1]All Data '!AZ2364)</f>
        <v/>
      </c>
      <c r="Q2359" s="10" t="str">
        <f>IF('[1]All Data '!BB2364="","",'[1]All Data '!BB2364)</f>
        <v/>
      </c>
      <c r="R2359" s="10" t="str">
        <f>IF('[1]All Data '!BD2364="","",'[1]All Data '!BD2364)</f>
        <v/>
      </c>
      <c r="S2359" s="11" t="str">
        <f>IF(R2359="","",'[1]All Data '!BE2364)</f>
        <v/>
      </c>
      <c r="T2359" s="12" t="str">
        <f>IF(S2359="","",[1]Inputs_Outputs!$B$8*(1-'LOCH Calc COE Calc'!S2359))</f>
        <v/>
      </c>
      <c r="U2359" s="13" t="str">
        <f t="shared" si="181"/>
        <v/>
      </c>
      <c r="V2359" s="13" t="str">
        <f t="shared" si="182"/>
        <v/>
      </c>
      <c r="W2359" s="4" t="str">
        <f t="shared" si="183"/>
        <v/>
      </c>
      <c r="X2359" t="str">
        <f>IF(W2359="","",LOOKUP(_xlfn.CONCAT(P2359,", ",Q2359),'[1]T+S Costs'!$F$2:$F$3138,'[1]T+S Costs'!$N$2:$N$3138))</f>
        <v/>
      </c>
      <c r="Y2359" s="14" t="str">
        <f t="shared" si="184"/>
        <v/>
      </c>
      <c r="Z2359" s="4" t="str">
        <f t="shared" si="185"/>
        <v/>
      </c>
    </row>
    <row r="2360" spans="16:26" x14ac:dyDescent="0.25">
      <c r="P2360" s="10" t="str">
        <f>IF('[1]All Data '!AZ2365="","",'[1]All Data '!AZ2365)</f>
        <v/>
      </c>
      <c r="Q2360" s="10" t="str">
        <f>IF('[1]All Data '!BB2365="","",'[1]All Data '!BB2365)</f>
        <v/>
      </c>
      <c r="R2360" s="10" t="str">
        <f>IF('[1]All Data '!BD2365="","",'[1]All Data '!BD2365)</f>
        <v/>
      </c>
      <c r="S2360" s="11" t="str">
        <f>IF(R2360="","",'[1]All Data '!BE2365)</f>
        <v/>
      </c>
      <c r="T2360" s="12" t="str">
        <f>IF(S2360="","",[1]Inputs_Outputs!$B$8*(1-'LOCH Calc COE Calc'!S2360))</f>
        <v/>
      </c>
      <c r="U2360" s="13" t="str">
        <f t="shared" si="181"/>
        <v/>
      </c>
      <c r="V2360" s="13" t="str">
        <f t="shared" si="182"/>
        <v/>
      </c>
      <c r="W2360" s="4" t="str">
        <f t="shared" si="183"/>
        <v/>
      </c>
      <c r="X2360" t="str">
        <f>IF(W2360="","",LOOKUP(_xlfn.CONCAT(P2360,", ",Q2360),'[1]T+S Costs'!$F$2:$F$3138,'[1]T+S Costs'!$N$2:$N$3138))</f>
        <v/>
      </c>
      <c r="Y2360" s="14" t="str">
        <f t="shared" si="184"/>
        <v/>
      </c>
      <c r="Z2360" s="4" t="str">
        <f t="shared" si="185"/>
        <v/>
      </c>
    </row>
    <row r="2361" spans="16:26" x14ac:dyDescent="0.25">
      <c r="P2361" s="10" t="str">
        <f>IF('[1]All Data '!AZ2366="","",'[1]All Data '!AZ2366)</f>
        <v/>
      </c>
      <c r="Q2361" s="10" t="str">
        <f>IF('[1]All Data '!BB2366="","",'[1]All Data '!BB2366)</f>
        <v/>
      </c>
      <c r="R2361" s="10" t="str">
        <f>IF('[1]All Data '!BD2366="","",'[1]All Data '!BD2366)</f>
        <v/>
      </c>
      <c r="S2361" s="11" t="str">
        <f>IF(R2361="","",'[1]All Data '!BE2366)</f>
        <v/>
      </c>
      <c r="T2361" s="12" t="str">
        <f>IF(S2361="","",[1]Inputs_Outputs!$B$8*(1-'LOCH Calc COE Calc'!S2361))</f>
        <v/>
      </c>
      <c r="U2361" s="13" t="str">
        <f t="shared" si="181"/>
        <v/>
      </c>
      <c r="V2361" s="13" t="str">
        <f t="shared" si="182"/>
        <v/>
      </c>
      <c r="W2361" s="4" t="str">
        <f t="shared" si="183"/>
        <v/>
      </c>
      <c r="X2361" t="str">
        <f>IF(W2361="","",LOOKUP(_xlfn.CONCAT(P2361,", ",Q2361),'[1]T+S Costs'!$F$2:$F$3138,'[1]T+S Costs'!$N$2:$N$3138))</f>
        <v/>
      </c>
      <c r="Y2361" s="14" t="str">
        <f t="shared" si="184"/>
        <v/>
      </c>
      <c r="Z2361" s="4" t="str">
        <f t="shared" si="185"/>
        <v/>
      </c>
    </row>
    <row r="2362" spans="16:26" x14ac:dyDescent="0.25">
      <c r="P2362" s="10" t="str">
        <f>IF('[1]All Data '!AZ2367="","",'[1]All Data '!AZ2367)</f>
        <v/>
      </c>
      <c r="Q2362" s="10" t="str">
        <f>IF('[1]All Data '!BB2367="","",'[1]All Data '!BB2367)</f>
        <v/>
      </c>
      <c r="R2362" s="10" t="str">
        <f>IF('[1]All Data '!BD2367="","",'[1]All Data '!BD2367)</f>
        <v/>
      </c>
      <c r="S2362" s="11" t="str">
        <f>IF(R2362="","",'[1]All Data '!BE2367)</f>
        <v/>
      </c>
      <c r="T2362" s="12" t="str">
        <f>IF(S2362="","",[1]Inputs_Outputs!$B$8*(1-'LOCH Calc COE Calc'!S2362))</f>
        <v/>
      </c>
      <c r="U2362" s="13" t="str">
        <f t="shared" si="181"/>
        <v/>
      </c>
      <c r="V2362" s="13" t="str">
        <f t="shared" si="182"/>
        <v/>
      </c>
      <c r="W2362" s="4" t="str">
        <f t="shared" si="183"/>
        <v/>
      </c>
      <c r="X2362" t="str">
        <f>IF(W2362="","",LOOKUP(_xlfn.CONCAT(P2362,", ",Q2362),'[1]T+S Costs'!$F$2:$F$3138,'[1]T+S Costs'!$N$2:$N$3138))</f>
        <v/>
      </c>
      <c r="Y2362" s="14" t="str">
        <f t="shared" si="184"/>
        <v/>
      </c>
      <c r="Z2362" s="4" t="str">
        <f t="shared" si="185"/>
        <v/>
      </c>
    </row>
    <row r="2363" spans="16:26" x14ac:dyDescent="0.25">
      <c r="P2363" s="10" t="str">
        <f>IF('[1]All Data '!AZ2368="","",'[1]All Data '!AZ2368)</f>
        <v/>
      </c>
      <c r="Q2363" s="10" t="str">
        <f>IF('[1]All Data '!BB2368="","",'[1]All Data '!BB2368)</f>
        <v/>
      </c>
      <c r="R2363" s="10" t="str">
        <f>IF('[1]All Data '!BD2368="","",'[1]All Data '!BD2368)</f>
        <v/>
      </c>
      <c r="S2363" s="11" t="str">
        <f>IF(R2363="","",'[1]All Data '!BE2368)</f>
        <v/>
      </c>
      <c r="T2363" s="12" t="str">
        <f>IF(S2363="","",[1]Inputs_Outputs!$B$8*(1-'LOCH Calc COE Calc'!S2363))</f>
        <v/>
      </c>
      <c r="U2363" s="13" t="str">
        <f t="shared" si="181"/>
        <v/>
      </c>
      <c r="V2363" s="13" t="str">
        <f t="shared" si="182"/>
        <v/>
      </c>
      <c r="W2363" s="4" t="str">
        <f t="shared" si="183"/>
        <v/>
      </c>
      <c r="X2363" t="str">
        <f>IF(W2363="","",LOOKUP(_xlfn.CONCAT(P2363,", ",Q2363),'[1]T+S Costs'!$F$2:$F$3138,'[1]T+S Costs'!$N$2:$N$3138))</f>
        <v/>
      </c>
      <c r="Y2363" s="14" t="str">
        <f t="shared" si="184"/>
        <v/>
      </c>
      <c r="Z2363" s="4" t="str">
        <f t="shared" si="185"/>
        <v/>
      </c>
    </row>
    <row r="2364" spans="16:26" x14ac:dyDescent="0.25">
      <c r="P2364" s="10" t="str">
        <f>IF('[1]All Data '!AZ2369="","",'[1]All Data '!AZ2369)</f>
        <v/>
      </c>
      <c r="Q2364" s="10" t="str">
        <f>IF('[1]All Data '!BB2369="","",'[1]All Data '!BB2369)</f>
        <v/>
      </c>
      <c r="R2364" s="10" t="str">
        <f>IF('[1]All Data '!BD2369="","",'[1]All Data '!BD2369)</f>
        <v/>
      </c>
      <c r="S2364" s="11" t="str">
        <f>IF(R2364="","",'[1]All Data '!BE2369)</f>
        <v/>
      </c>
      <c r="T2364" s="12" t="str">
        <f>IF(S2364="","",[1]Inputs_Outputs!$B$8*(1-'LOCH Calc COE Calc'!S2364))</f>
        <v/>
      </c>
      <c r="U2364" s="13" t="str">
        <f t="shared" si="181"/>
        <v/>
      </c>
      <c r="V2364" s="13" t="str">
        <f t="shared" si="182"/>
        <v/>
      </c>
      <c r="W2364" s="4" t="str">
        <f t="shared" si="183"/>
        <v/>
      </c>
      <c r="X2364" t="str">
        <f>IF(W2364="","",LOOKUP(_xlfn.CONCAT(P2364,", ",Q2364),'[1]T+S Costs'!$F$2:$F$3138,'[1]T+S Costs'!$N$2:$N$3138))</f>
        <v/>
      </c>
      <c r="Y2364" s="14" t="str">
        <f t="shared" si="184"/>
        <v/>
      </c>
      <c r="Z2364" s="4" t="str">
        <f t="shared" si="185"/>
        <v/>
      </c>
    </row>
    <row r="2365" spans="16:26" x14ac:dyDescent="0.25">
      <c r="P2365" s="10" t="str">
        <f>IF('[1]All Data '!AZ2370="","",'[1]All Data '!AZ2370)</f>
        <v/>
      </c>
      <c r="Q2365" s="10" t="str">
        <f>IF('[1]All Data '!BB2370="","",'[1]All Data '!BB2370)</f>
        <v/>
      </c>
      <c r="R2365" s="10" t="str">
        <f>IF('[1]All Data '!BD2370="","",'[1]All Data '!BD2370)</f>
        <v/>
      </c>
      <c r="S2365" s="11" t="str">
        <f>IF(R2365="","",'[1]All Data '!BE2370)</f>
        <v/>
      </c>
      <c r="T2365" s="12" t="str">
        <f>IF(S2365="","",[1]Inputs_Outputs!$B$8*(1-'LOCH Calc COE Calc'!S2365))</f>
        <v/>
      </c>
      <c r="U2365" s="13" t="str">
        <f t="shared" si="181"/>
        <v/>
      </c>
      <c r="V2365" s="13" t="str">
        <f t="shared" si="182"/>
        <v/>
      </c>
      <c r="W2365" s="4" t="str">
        <f t="shared" si="183"/>
        <v/>
      </c>
      <c r="X2365" t="str">
        <f>IF(W2365="","",LOOKUP(_xlfn.CONCAT(P2365,", ",Q2365),'[1]T+S Costs'!$F$2:$F$3138,'[1]T+S Costs'!$N$2:$N$3138))</f>
        <v/>
      </c>
      <c r="Y2365" s="14" t="str">
        <f t="shared" si="184"/>
        <v/>
      </c>
      <c r="Z2365" s="4" t="str">
        <f t="shared" si="185"/>
        <v/>
      </c>
    </row>
    <row r="2366" spans="16:26" x14ac:dyDescent="0.25">
      <c r="P2366" s="10" t="str">
        <f>IF('[1]All Data '!AZ2371="","",'[1]All Data '!AZ2371)</f>
        <v/>
      </c>
      <c r="Q2366" s="10" t="str">
        <f>IF('[1]All Data '!BB2371="","",'[1]All Data '!BB2371)</f>
        <v/>
      </c>
      <c r="R2366" s="10" t="str">
        <f>IF('[1]All Data '!BD2371="","",'[1]All Data '!BD2371)</f>
        <v/>
      </c>
      <c r="S2366" s="11" t="str">
        <f>IF(R2366="","",'[1]All Data '!BE2371)</f>
        <v/>
      </c>
      <c r="T2366" s="12" t="str">
        <f>IF(S2366="","",[1]Inputs_Outputs!$B$8*(1-'LOCH Calc COE Calc'!S2366))</f>
        <v/>
      </c>
      <c r="U2366" s="13" t="str">
        <f t="shared" si="181"/>
        <v/>
      </c>
      <c r="V2366" s="13" t="str">
        <f t="shared" si="182"/>
        <v/>
      </c>
      <c r="W2366" s="4" t="str">
        <f t="shared" si="183"/>
        <v/>
      </c>
      <c r="X2366" t="str">
        <f>IF(W2366="","",LOOKUP(_xlfn.CONCAT(P2366,", ",Q2366),'[1]T+S Costs'!$F$2:$F$3138,'[1]T+S Costs'!$N$2:$N$3138))</f>
        <v/>
      </c>
      <c r="Y2366" s="14" t="str">
        <f t="shared" si="184"/>
        <v/>
      </c>
      <c r="Z2366" s="4" t="str">
        <f t="shared" si="185"/>
        <v/>
      </c>
    </row>
    <row r="2367" spans="16:26" x14ac:dyDescent="0.25">
      <c r="P2367" s="10" t="str">
        <f>IF('[1]All Data '!AZ2372="","",'[1]All Data '!AZ2372)</f>
        <v/>
      </c>
      <c r="Q2367" s="10" t="str">
        <f>IF('[1]All Data '!BB2372="","",'[1]All Data '!BB2372)</f>
        <v/>
      </c>
      <c r="R2367" s="10" t="str">
        <f>IF('[1]All Data '!BD2372="","",'[1]All Data '!BD2372)</f>
        <v/>
      </c>
      <c r="S2367" s="11" t="str">
        <f>IF(R2367="","",'[1]All Data '!BE2372)</f>
        <v/>
      </c>
      <c r="T2367" s="12" t="str">
        <f>IF(S2367="","",[1]Inputs_Outputs!$B$8*(1-'LOCH Calc COE Calc'!S2367))</f>
        <v/>
      </c>
      <c r="U2367" s="13" t="str">
        <f t="shared" si="181"/>
        <v/>
      </c>
      <c r="V2367" s="13" t="str">
        <f t="shared" si="182"/>
        <v/>
      </c>
      <c r="W2367" s="4" t="str">
        <f t="shared" si="183"/>
        <v/>
      </c>
      <c r="X2367" t="str">
        <f>IF(W2367="","",LOOKUP(_xlfn.CONCAT(P2367,", ",Q2367),'[1]T+S Costs'!$F$2:$F$3138,'[1]T+S Costs'!$N$2:$N$3138))</f>
        <v/>
      </c>
      <c r="Y2367" s="14" t="str">
        <f t="shared" si="184"/>
        <v/>
      </c>
      <c r="Z2367" s="4" t="str">
        <f t="shared" si="185"/>
        <v/>
      </c>
    </row>
    <row r="2368" spans="16:26" x14ac:dyDescent="0.25">
      <c r="P2368" s="10" t="str">
        <f>IF('[1]All Data '!AZ2373="","",'[1]All Data '!AZ2373)</f>
        <v/>
      </c>
      <c r="Q2368" s="10" t="str">
        <f>IF('[1]All Data '!BB2373="","",'[1]All Data '!BB2373)</f>
        <v/>
      </c>
      <c r="R2368" s="10" t="str">
        <f>IF('[1]All Data '!BD2373="","",'[1]All Data '!BD2373)</f>
        <v/>
      </c>
      <c r="S2368" s="11" t="str">
        <f>IF(R2368="","",'[1]All Data '!BE2373)</f>
        <v/>
      </c>
      <c r="T2368" s="12" t="str">
        <f>IF(S2368="","",[1]Inputs_Outputs!$B$8*(1-'LOCH Calc COE Calc'!S2368))</f>
        <v/>
      </c>
      <c r="U2368" s="13" t="str">
        <f t="shared" si="181"/>
        <v/>
      </c>
      <c r="V2368" s="13" t="str">
        <f t="shared" si="182"/>
        <v/>
      </c>
      <c r="W2368" s="4" t="str">
        <f t="shared" si="183"/>
        <v/>
      </c>
      <c r="X2368" t="str">
        <f>IF(W2368="","",LOOKUP(_xlfn.CONCAT(P2368,", ",Q2368),'[1]T+S Costs'!$F$2:$F$3138,'[1]T+S Costs'!$N$2:$N$3138))</f>
        <v/>
      </c>
      <c r="Y2368" s="14" t="str">
        <f t="shared" si="184"/>
        <v/>
      </c>
      <c r="Z2368" s="4" t="str">
        <f t="shared" si="185"/>
        <v/>
      </c>
    </row>
    <row r="2369" spans="16:26" x14ac:dyDescent="0.25">
      <c r="P2369" s="10" t="str">
        <f>IF('[1]All Data '!AZ2374="","",'[1]All Data '!AZ2374)</f>
        <v/>
      </c>
      <c r="Q2369" s="10" t="str">
        <f>IF('[1]All Data '!BB2374="","",'[1]All Data '!BB2374)</f>
        <v/>
      </c>
      <c r="R2369" s="10" t="str">
        <f>IF('[1]All Data '!BD2374="","",'[1]All Data '!BD2374)</f>
        <v/>
      </c>
      <c r="S2369" s="11" t="str">
        <f>IF(R2369="","",'[1]All Data '!BE2374)</f>
        <v/>
      </c>
      <c r="T2369" s="12" t="str">
        <f>IF(S2369="","",[1]Inputs_Outputs!$B$8*(1-'LOCH Calc COE Calc'!S2369))</f>
        <v/>
      </c>
      <c r="U2369" s="13" t="str">
        <f t="shared" si="181"/>
        <v/>
      </c>
      <c r="V2369" s="13" t="str">
        <f t="shared" si="182"/>
        <v/>
      </c>
      <c r="W2369" s="4" t="str">
        <f t="shared" si="183"/>
        <v/>
      </c>
      <c r="X2369" t="str">
        <f>IF(W2369="","",LOOKUP(_xlfn.CONCAT(P2369,", ",Q2369),'[1]T+S Costs'!$F$2:$F$3138,'[1]T+S Costs'!$N$2:$N$3138))</f>
        <v/>
      </c>
      <c r="Y2369" s="14" t="str">
        <f t="shared" si="184"/>
        <v/>
      </c>
      <c r="Z2369" s="4" t="str">
        <f t="shared" si="185"/>
        <v/>
      </c>
    </row>
    <row r="2370" spans="16:26" x14ac:dyDescent="0.25">
      <c r="P2370" s="10" t="str">
        <f>IF('[1]All Data '!AZ2375="","",'[1]All Data '!AZ2375)</f>
        <v/>
      </c>
      <c r="Q2370" s="10" t="str">
        <f>IF('[1]All Data '!BB2375="","",'[1]All Data '!BB2375)</f>
        <v/>
      </c>
      <c r="R2370" s="10" t="str">
        <f>IF('[1]All Data '!BD2375="","",'[1]All Data '!BD2375)</f>
        <v/>
      </c>
      <c r="S2370" s="11" t="str">
        <f>IF(R2370="","",'[1]All Data '!BE2375)</f>
        <v/>
      </c>
      <c r="T2370" s="12" t="str">
        <f>IF(S2370="","",[1]Inputs_Outputs!$B$8*(1-'LOCH Calc COE Calc'!S2370))</f>
        <v/>
      </c>
      <c r="U2370" s="13" t="str">
        <f t="shared" si="181"/>
        <v/>
      </c>
      <c r="V2370" s="13" t="str">
        <f t="shared" si="182"/>
        <v/>
      </c>
      <c r="W2370" s="4" t="str">
        <f t="shared" si="183"/>
        <v/>
      </c>
      <c r="X2370" t="str">
        <f>IF(W2370="","",LOOKUP(_xlfn.CONCAT(P2370,", ",Q2370),'[1]T+S Costs'!$F$2:$F$3138,'[1]T+S Costs'!$N$2:$N$3138))</f>
        <v/>
      </c>
      <c r="Y2370" s="14" t="str">
        <f t="shared" si="184"/>
        <v/>
      </c>
      <c r="Z2370" s="4" t="str">
        <f t="shared" si="185"/>
        <v/>
      </c>
    </row>
    <row r="2371" spans="16:26" x14ac:dyDescent="0.25">
      <c r="P2371" s="10" t="str">
        <f>IF('[1]All Data '!AZ2376="","",'[1]All Data '!AZ2376)</f>
        <v/>
      </c>
      <c r="Q2371" s="10" t="str">
        <f>IF('[1]All Data '!BB2376="","",'[1]All Data '!BB2376)</f>
        <v/>
      </c>
      <c r="R2371" s="10" t="str">
        <f>IF('[1]All Data '!BD2376="","",'[1]All Data '!BD2376)</f>
        <v/>
      </c>
      <c r="S2371" s="11" t="str">
        <f>IF(R2371="","",'[1]All Data '!BE2376)</f>
        <v/>
      </c>
      <c r="T2371" s="12" t="str">
        <f>IF(S2371="","",[1]Inputs_Outputs!$B$8*(1-'LOCH Calc COE Calc'!S2371))</f>
        <v/>
      </c>
      <c r="U2371" s="13" t="str">
        <f t="shared" ref="U2371:U2434" si="186">IF(S2371="","",R2371*T2371*365*$B$19/100)</f>
        <v/>
      </c>
      <c r="V2371" s="13" t="str">
        <f t="shared" ref="V2371:V2434" si="187">IF(S2371="","",(U2371*$B$19)/(($B$28)*$B$19))</f>
        <v/>
      </c>
      <c r="W2371" s="4" t="str">
        <f t="shared" ref="W2371:W2434" si="188">IF(S2371="","",V2371+$C$49+$C$50+$C$51)</f>
        <v/>
      </c>
      <c r="X2371" t="str">
        <f>IF(W2371="","",LOOKUP(_xlfn.CONCAT(P2371,", ",Q2371),'[1]T+S Costs'!$F$2:$F$3138,'[1]T+S Costs'!$N$2:$N$3138))</f>
        <v/>
      </c>
      <c r="Y2371" s="14" t="str">
        <f t="shared" ref="Y2371:Y2434" si="189">IF(X2371="","",((X2371*$B$60/$B$59)*$C$44)/$C$28)</f>
        <v/>
      </c>
      <c r="Z2371" s="4" t="str">
        <f t="shared" ref="Z2371:Z2434" si="190">IF(Y2371="","",W2371+Y2371)</f>
        <v/>
      </c>
    </row>
    <row r="2372" spans="16:26" x14ac:dyDescent="0.25">
      <c r="P2372" s="10" t="str">
        <f>IF('[1]All Data '!AZ2377="","",'[1]All Data '!AZ2377)</f>
        <v/>
      </c>
      <c r="Q2372" s="10" t="str">
        <f>IF('[1]All Data '!BB2377="","",'[1]All Data '!BB2377)</f>
        <v/>
      </c>
      <c r="R2372" s="10" t="str">
        <f>IF('[1]All Data '!BD2377="","",'[1]All Data '!BD2377)</f>
        <v/>
      </c>
      <c r="S2372" s="11" t="str">
        <f>IF(R2372="","",'[1]All Data '!BE2377)</f>
        <v/>
      </c>
      <c r="T2372" s="12" t="str">
        <f>IF(S2372="","",[1]Inputs_Outputs!$B$8*(1-'LOCH Calc COE Calc'!S2372))</f>
        <v/>
      </c>
      <c r="U2372" s="13" t="str">
        <f t="shared" si="186"/>
        <v/>
      </c>
      <c r="V2372" s="13" t="str">
        <f t="shared" si="187"/>
        <v/>
      </c>
      <c r="W2372" s="4" t="str">
        <f t="shared" si="188"/>
        <v/>
      </c>
      <c r="X2372" t="str">
        <f>IF(W2372="","",LOOKUP(_xlfn.CONCAT(P2372,", ",Q2372),'[1]T+S Costs'!$F$2:$F$3138,'[1]T+S Costs'!$N$2:$N$3138))</f>
        <v/>
      </c>
      <c r="Y2372" s="14" t="str">
        <f t="shared" si="189"/>
        <v/>
      </c>
      <c r="Z2372" s="4" t="str">
        <f t="shared" si="190"/>
        <v/>
      </c>
    </row>
    <row r="2373" spans="16:26" x14ac:dyDescent="0.25">
      <c r="P2373" s="10" t="str">
        <f>IF('[1]All Data '!AZ2378="","",'[1]All Data '!AZ2378)</f>
        <v/>
      </c>
      <c r="Q2373" s="10" t="str">
        <f>IF('[1]All Data '!BB2378="","",'[1]All Data '!BB2378)</f>
        <v/>
      </c>
      <c r="R2373" s="10" t="str">
        <f>IF('[1]All Data '!BD2378="","",'[1]All Data '!BD2378)</f>
        <v/>
      </c>
      <c r="S2373" s="11" t="str">
        <f>IF(R2373="","",'[1]All Data '!BE2378)</f>
        <v/>
      </c>
      <c r="T2373" s="12" t="str">
        <f>IF(S2373="","",[1]Inputs_Outputs!$B$8*(1-'LOCH Calc COE Calc'!S2373))</f>
        <v/>
      </c>
      <c r="U2373" s="13" t="str">
        <f t="shared" si="186"/>
        <v/>
      </c>
      <c r="V2373" s="13" t="str">
        <f t="shared" si="187"/>
        <v/>
      </c>
      <c r="W2373" s="4" t="str">
        <f t="shared" si="188"/>
        <v/>
      </c>
      <c r="X2373" t="str">
        <f>IF(W2373="","",LOOKUP(_xlfn.CONCAT(P2373,", ",Q2373),'[1]T+S Costs'!$F$2:$F$3138,'[1]T+S Costs'!$N$2:$N$3138))</f>
        <v/>
      </c>
      <c r="Y2373" s="14" t="str">
        <f t="shared" si="189"/>
        <v/>
      </c>
      <c r="Z2373" s="4" t="str">
        <f t="shared" si="190"/>
        <v/>
      </c>
    </row>
    <row r="2374" spans="16:26" x14ac:dyDescent="0.25">
      <c r="P2374" s="10" t="str">
        <f>IF('[1]All Data '!AZ2379="","",'[1]All Data '!AZ2379)</f>
        <v/>
      </c>
      <c r="Q2374" s="10" t="str">
        <f>IF('[1]All Data '!BB2379="","",'[1]All Data '!BB2379)</f>
        <v/>
      </c>
      <c r="R2374" s="10" t="str">
        <f>IF('[1]All Data '!BD2379="","",'[1]All Data '!BD2379)</f>
        <v/>
      </c>
      <c r="S2374" s="11" t="str">
        <f>IF(R2374="","",'[1]All Data '!BE2379)</f>
        <v/>
      </c>
      <c r="T2374" s="12" t="str">
        <f>IF(S2374="","",[1]Inputs_Outputs!$B$8*(1-'LOCH Calc COE Calc'!S2374))</f>
        <v/>
      </c>
      <c r="U2374" s="13" t="str">
        <f t="shared" si="186"/>
        <v/>
      </c>
      <c r="V2374" s="13" t="str">
        <f t="shared" si="187"/>
        <v/>
      </c>
      <c r="W2374" s="4" t="str">
        <f t="shared" si="188"/>
        <v/>
      </c>
      <c r="X2374" t="str">
        <f>IF(W2374="","",LOOKUP(_xlfn.CONCAT(P2374,", ",Q2374),'[1]T+S Costs'!$F$2:$F$3138,'[1]T+S Costs'!$N$2:$N$3138))</f>
        <v/>
      </c>
      <c r="Y2374" s="14" t="str">
        <f t="shared" si="189"/>
        <v/>
      </c>
      <c r="Z2374" s="4" t="str">
        <f t="shared" si="190"/>
        <v/>
      </c>
    </row>
    <row r="2375" spans="16:26" x14ac:dyDescent="0.25">
      <c r="P2375" s="10" t="str">
        <f>IF('[1]All Data '!AZ2380="","",'[1]All Data '!AZ2380)</f>
        <v/>
      </c>
      <c r="Q2375" s="10" t="str">
        <f>IF('[1]All Data '!BB2380="","",'[1]All Data '!BB2380)</f>
        <v/>
      </c>
      <c r="R2375" s="10" t="str">
        <f>IF('[1]All Data '!BD2380="","",'[1]All Data '!BD2380)</f>
        <v/>
      </c>
      <c r="S2375" s="11" t="str">
        <f>IF(R2375="","",'[1]All Data '!BE2380)</f>
        <v/>
      </c>
      <c r="T2375" s="12" t="str">
        <f>IF(S2375="","",[1]Inputs_Outputs!$B$8*(1-'LOCH Calc COE Calc'!S2375))</f>
        <v/>
      </c>
      <c r="U2375" s="13" t="str">
        <f t="shared" si="186"/>
        <v/>
      </c>
      <c r="V2375" s="13" t="str">
        <f t="shared" si="187"/>
        <v/>
      </c>
      <c r="W2375" s="4" t="str">
        <f t="shared" si="188"/>
        <v/>
      </c>
      <c r="X2375" t="str">
        <f>IF(W2375="","",LOOKUP(_xlfn.CONCAT(P2375,", ",Q2375),'[1]T+S Costs'!$F$2:$F$3138,'[1]T+S Costs'!$N$2:$N$3138))</f>
        <v/>
      </c>
      <c r="Y2375" s="14" t="str">
        <f t="shared" si="189"/>
        <v/>
      </c>
      <c r="Z2375" s="4" t="str">
        <f t="shared" si="190"/>
        <v/>
      </c>
    </row>
    <row r="2376" spans="16:26" x14ac:dyDescent="0.25">
      <c r="P2376" s="10" t="str">
        <f>IF('[1]All Data '!AZ2381="","",'[1]All Data '!AZ2381)</f>
        <v/>
      </c>
      <c r="Q2376" s="10" t="str">
        <f>IF('[1]All Data '!BB2381="","",'[1]All Data '!BB2381)</f>
        <v/>
      </c>
      <c r="R2376" s="10" t="str">
        <f>IF('[1]All Data '!BD2381="","",'[1]All Data '!BD2381)</f>
        <v/>
      </c>
      <c r="S2376" s="11" t="str">
        <f>IF(R2376="","",'[1]All Data '!BE2381)</f>
        <v/>
      </c>
      <c r="T2376" s="12" t="str">
        <f>IF(S2376="","",[1]Inputs_Outputs!$B$8*(1-'LOCH Calc COE Calc'!S2376))</f>
        <v/>
      </c>
      <c r="U2376" s="13" t="str">
        <f t="shared" si="186"/>
        <v/>
      </c>
      <c r="V2376" s="13" t="str">
        <f t="shared" si="187"/>
        <v/>
      </c>
      <c r="W2376" s="4" t="str">
        <f t="shared" si="188"/>
        <v/>
      </c>
      <c r="X2376" t="str">
        <f>IF(W2376="","",LOOKUP(_xlfn.CONCAT(P2376,", ",Q2376),'[1]T+S Costs'!$F$2:$F$3138,'[1]T+S Costs'!$N$2:$N$3138))</f>
        <v/>
      </c>
      <c r="Y2376" s="14" t="str">
        <f t="shared" si="189"/>
        <v/>
      </c>
      <c r="Z2376" s="4" t="str">
        <f t="shared" si="190"/>
        <v/>
      </c>
    </row>
    <row r="2377" spans="16:26" x14ac:dyDescent="0.25">
      <c r="P2377" s="10" t="str">
        <f>IF('[1]All Data '!AZ2382="","",'[1]All Data '!AZ2382)</f>
        <v/>
      </c>
      <c r="Q2377" s="10" t="str">
        <f>IF('[1]All Data '!BB2382="","",'[1]All Data '!BB2382)</f>
        <v/>
      </c>
      <c r="R2377" s="10" t="str">
        <f>IF('[1]All Data '!BD2382="","",'[1]All Data '!BD2382)</f>
        <v/>
      </c>
      <c r="S2377" s="11" t="str">
        <f>IF(R2377="","",'[1]All Data '!BE2382)</f>
        <v/>
      </c>
      <c r="T2377" s="12" t="str">
        <f>IF(S2377="","",[1]Inputs_Outputs!$B$8*(1-'LOCH Calc COE Calc'!S2377))</f>
        <v/>
      </c>
      <c r="U2377" s="13" t="str">
        <f t="shared" si="186"/>
        <v/>
      </c>
      <c r="V2377" s="13" t="str">
        <f t="shared" si="187"/>
        <v/>
      </c>
      <c r="W2377" s="4" t="str">
        <f t="shared" si="188"/>
        <v/>
      </c>
      <c r="X2377" t="str">
        <f>IF(W2377="","",LOOKUP(_xlfn.CONCAT(P2377,", ",Q2377),'[1]T+S Costs'!$F$2:$F$3138,'[1]T+S Costs'!$N$2:$N$3138))</f>
        <v/>
      </c>
      <c r="Y2377" s="14" t="str">
        <f t="shared" si="189"/>
        <v/>
      </c>
      <c r="Z2377" s="4" t="str">
        <f t="shared" si="190"/>
        <v/>
      </c>
    </row>
    <row r="2378" spans="16:26" x14ac:dyDescent="0.25">
      <c r="P2378" s="10" t="str">
        <f>IF('[1]All Data '!AZ2383="","",'[1]All Data '!AZ2383)</f>
        <v/>
      </c>
      <c r="Q2378" s="10" t="str">
        <f>IF('[1]All Data '!BB2383="","",'[1]All Data '!BB2383)</f>
        <v/>
      </c>
      <c r="R2378" s="10" t="str">
        <f>IF('[1]All Data '!BD2383="","",'[1]All Data '!BD2383)</f>
        <v/>
      </c>
      <c r="S2378" s="11" t="str">
        <f>IF(R2378="","",'[1]All Data '!BE2383)</f>
        <v/>
      </c>
      <c r="T2378" s="12" t="str">
        <f>IF(S2378="","",[1]Inputs_Outputs!$B$8*(1-'LOCH Calc COE Calc'!S2378))</f>
        <v/>
      </c>
      <c r="U2378" s="13" t="str">
        <f t="shared" si="186"/>
        <v/>
      </c>
      <c r="V2378" s="13" t="str">
        <f t="shared" si="187"/>
        <v/>
      </c>
      <c r="W2378" s="4" t="str">
        <f t="shared" si="188"/>
        <v/>
      </c>
      <c r="X2378" t="str">
        <f>IF(W2378="","",LOOKUP(_xlfn.CONCAT(P2378,", ",Q2378),'[1]T+S Costs'!$F$2:$F$3138,'[1]T+S Costs'!$N$2:$N$3138))</f>
        <v/>
      </c>
      <c r="Y2378" s="14" t="str">
        <f t="shared" si="189"/>
        <v/>
      </c>
      <c r="Z2378" s="4" t="str">
        <f t="shared" si="190"/>
        <v/>
      </c>
    </row>
    <row r="2379" spans="16:26" x14ac:dyDescent="0.25">
      <c r="P2379" s="10" t="str">
        <f>IF('[1]All Data '!AZ2384="","",'[1]All Data '!AZ2384)</f>
        <v/>
      </c>
      <c r="Q2379" s="10" t="str">
        <f>IF('[1]All Data '!BB2384="","",'[1]All Data '!BB2384)</f>
        <v/>
      </c>
      <c r="R2379" s="10" t="str">
        <f>IF('[1]All Data '!BD2384="","",'[1]All Data '!BD2384)</f>
        <v/>
      </c>
      <c r="S2379" s="11" t="str">
        <f>IF(R2379="","",'[1]All Data '!BE2384)</f>
        <v/>
      </c>
      <c r="T2379" s="12" t="str">
        <f>IF(S2379="","",[1]Inputs_Outputs!$B$8*(1-'LOCH Calc COE Calc'!S2379))</f>
        <v/>
      </c>
      <c r="U2379" s="13" t="str">
        <f t="shared" si="186"/>
        <v/>
      </c>
      <c r="V2379" s="13" t="str">
        <f t="shared" si="187"/>
        <v/>
      </c>
      <c r="W2379" s="4" t="str">
        <f t="shared" si="188"/>
        <v/>
      </c>
      <c r="X2379" t="str">
        <f>IF(W2379="","",LOOKUP(_xlfn.CONCAT(P2379,", ",Q2379),'[1]T+S Costs'!$F$2:$F$3138,'[1]T+S Costs'!$N$2:$N$3138))</f>
        <v/>
      </c>
      <c r="Y2379" s="14" t="str">
        <f t="shared" si="189"/>
        <v/>
      </c>
      <c r="Z2379" s="4" t="str">
        <f t="shared" si="190"/>
        <v/>
      </c>
    </row>
    <row r="2380" spans="16:26" x14ac:dyDescent="0.25">
      <c r="P2380" s="10" t="str">
        <f>IF('[1]All Data '!AZ2385="","",'[1]All Data '!AZ2385)</f>
        <v/>
      </c>
      <c r="Q2380" s="10" t="str">
        <f>IF('[1]All Data '!BB2385="","",'[1]All Data '!BB2385)</f>
        <v/>
      </c>
      <c r="R2380" s="10" t="str">
        <f>IF('[1]All Data '!BD2385="","",'[1]All Data '!BD2385)</f>
        <v/>
      </c>
      <c r="S2380" s="11" t="str">
        <f>IF(R2380="","",'[1]All Data '!BE2385)</f>
        <v/>
      </c>
      <c r="T2380" s="12" t="str">
        <f>IF(S2380="","",[1]Inputs_Outputs!$B$8*(1-'LOCH Calc COE Calc'!S2380))</f>
        <v/>
      </c>
      <c r="U2380" s="13" t="str">
        <f t="shared" si="186"/>
        <v/>
      </c>
      <c r="V2380" s="13" t="str">
        <f t="shared" si="187"/>
        <v/>
      </c>
      <c r="W2380" s="4" t="str">
        <f t="shared" si="188"/>
        <v/>
      </c>
      <c r="X2380" t="str">
        <f>IF(W2380="","",LOOKUP(_xlfn.CONCAT(P2380,", ",Q2380),'[1]T+S Costs'!$F$2:$F$3138,'[1]T+S Costs'!$N$2:$N$3138))</f>
        <v/>
      </c>
      <c r="Y2380" s="14" t="str">
        <f t="shared" si="189"/>
        <v/>
      </c>
      <c r="Z2380" s="4" t="str">
        <f t="shared" si="190"/>
        <v/>
      </c>
    </row>
    <row r="2381" spans="16:26" x14ac:dyDescent="0.25">
      <c r="P2381" s="10" t="str">
        <f>IF('[1]All Data '!AZ2386="","",'[1]All Data '!AZ2386)</f>
        <v/>
      </c>
      <c r="Q2381" s="10" t="str">
        <f>IF('[1]All Data '!BB2386="","",'[1]All Data '!BB2386)</f>
        <v/>
      </c>
      <c r="R2381" s="10" t="str">
        <f>IF('[1]All Data '!BD2386="","",'[1]All Data '!BD2386)</f>
        <v/>
      </c>
      <c r="S2381" s="11" t="str">
        <f>IF(R2381="","",'[1]All Data '!BE2386)</f>
        <v/>
      </c>
      <c r="T2381" s="12" t="str">
        <f>IF(S2381="","",[1]Inputs_Outputs!$B$8*(1-'LOCH Calc COE Calc'!S2381))</f>
        <v/>
      </c>
      <c r="U2381" s="13" t="str">
        <f t="shared" si="186"/>
        <v/>
      </c>
      <c r="V2381" s="13" t="str">
        <f t="shared" si="187"/>
        <v/>
      </c>
      <c r="W2381" s="4" t="str">
        <f t="shared" si="188"/>
        <v/>
      </c>
      <c r="X2381" t="str">
        <f>IF(W2381="","",LOOKUP(_xlfn.CONCAT(P2381,", ",Q2381),'[1]T+S Costs'!$F$2:$F$3138,'[1]T+S Costs'!$N$2:$N$3138))</f>
        <v/>
      </c>
      <c r="Y2381" s="14" t="str">
        <f t="shared" si="189"/>
        <v/>
      </c>
      <c r="Z2381" s="4" t="str">
        <f t="shared" si="190"/>
        <v/>
      </c>
    </row>
    <row r="2382" spans="16:26" x14ac:dyDescent="0.25">
      <c r="P2382" s="10" t="str">
        <f>IF('[1]All Data '!AZ2387="","",'[1]All Data '!AZ2387)</f>
        <v/>
      </c>
      <c r="Q2382" s="10" t="str">
        <f>IF('[1]All Data '!BB2387="","",'[1]All Data '!BB2387)</f>
        <v/>
      </c>
      <c r="R2382" s="10" t="str">
        <f>IF('[1]All Data '!BD2387="","",'[1]All Data '!BD2387)</f>
        <v/>
      </c>
      <c r="S2382" s="11" t="str">
        <f>IF(R2382="","",'[1]All Data '!BE2387)</f>
        <v/>
      </c>
      <c r="T2382" s="12" t="str">
        <f>IF(S2382="","",[1]Inputs_Outputs!$B$8*(1-'LOCH Calc COE Calc'!S2382))</f>
        <v/>
      </c>
      <c r="U2382" s="13" t="str">
        <f t="shared" si="186"/>
        <v/>
      </c>
      <c r="V2382" s="13" t="str">
        <f t="shared" si="187"/>
        <v/>
      </c>
      <c r="W2382" s="4" t="str">
        <f t="shared" si="188"/>
        <v/>
      </c>
      <c r="X2382" t="str">
        <f>IF(W2382="","",LOOKUP(_xlfn.CONCAT(P2382,", ",Q2382),'[1]T+S Costs'!$F$2:$F$3138,'[1]T+S Costs'!$N$2:$N$3138))</f>
        <v/>
      </c>
      <c r="Y2382" s="14" t="str">
        <f t="shared" si="189"/>
        <v/>
      </c>
      <c r="Z2382" s="4" t="str">
        <f t="shared" si="190"/>
        <v/>
      </c>
    </row>
    <row r="2383" spans="16:26" x14ac:dyDescent="0.25">
      <c r="P2383" s="10" t="str">
        <f>IF('[1]All Data '!AZ2388="","",'[1]All Data '!AZ2388)</f>
        <v/>
      </c>
      <c r="Q2383" s="10" t="str">
        <f>IF('[1]All Data '!BB2388="","",'[1]All Data '!BB2388)</f>
        <v/>
      </c>
      <c r="R2383" s="10" t="str">
        <f>IF('[1]All Data '!BD2388="","",'[1]All Data '!BD2388)</f>
        <v/>
      </c>
      <c r="S2383" s="11" t="str">
        <f>IF(R2383="","",'[1]All Data '!BE2388)</f>
        <v/>
      </c>
      <c r="T2383" s="12" t="str">
        <f>IF(S2383="","",[1]Inputs_Outputs!$B$8*(1-'LOCH Calc COE Calc'!S2383))</f>
        <v/>
      </c>
      <c r="U2383" s="13" t="str">
        <f t="shared" si="186"/>
        <v/>
      </c>
      <c r="V2383" s="13" t="str">
        <f t="shared" si="187"/>
        <v/>
      </c>
      <c r="W2383" s="4" t="str">
        <f t="shared" si="188"/>
        <v/>
      </c>
      <c r="X2383" t="str">
        <f>IF(W2383="","",LOOKUP(_xlfn.CONCAT(P2383,", ",Q2383),'[1]T+S Costs'!$F$2:$F$3138,'[1]T+S Costs'!$N$2:$N$3138))</f>
        <v/>
      </c>
      <c r="Y2383" s="14" t="str">
        <f t="shared" si="189"/>
        <v/>
      </c>
      <c r="Z2383" s="4" t="str">
        <f t="shared" si="190"/>
        <v/>
      </c>
    </row>
    <row r="2384" spans="16:26" x14ac:dyDescent="0.25">
      <c r="P2384" s="10" t="str">
        <f>IF('[1]All Data '!AZ2389="","",'[1]All Data '!AZ2389)</f>
        <v/>
      </c>
      <c r="Q2384" s="10" t="str">
        <f>IF('[1]All Data '!BB2389="","",'[1]All Data '!BB2389)</f>
        <v/>
      </c>
      <c r="R2384" s="10" t="str">
        <f>IF('[1]All Data '!BD2389="","",'[1]All Data '!BD2389)</f>
        <v/>
      </c>
      <c r="S2384" s="11" t="str">
        <f>IF(R2384="","",'[1]All Data '!BE2389)</f>
        <v/>
      </c>
      <c r="T2384" s="12" t="str">
        <f>IF(S2384="","",[1]Inputs_Outputs!$B$8*(1-'LOCH Calc COE Calc'!S2384))</f>
        <v/>
      </c>
      <c r="U2384" s="13" t="str">
        <f t="shared" si="186"/>
        <v/>
      </c>
      <c r="V2384" s="13" t="str">
        <f t="shared" si="187"/>
        <v/>
      </c>
      <c r="W2384" s="4" t="str">
        <f t="shared" si="188"/>
        <v/>
      </c>
      <c r="X2384" t="str">
        <f>IF(W2384="","",LOOKUP(_xlfn.CONCAT(P2384,", ",Q2384),'[1]T+S Costs'!$F$2:$F$3138,'[1]T+S Costs'!$N$2:$N$3138))</f>
        <v/>
      </c>
      <c r="Y2384" s="14" t="str">
        <f t="shared" si="189"/>
        <v/>
      </c>
      <c r="Z2384" s="4" t="str">
        <f t="shared" si="190"/>
        <v/>
      </c>
    </row>
    <row r="2385" spans="16:26" x14ac:dyDescent="0.25">
      <c r="P2385" s="10" t="str">
        <f>IF('[1]All Data '!AZ2390="","",'[1]All Data '!AZ2390)</f>
        <v/>
      </c>
      <c r="Q2385" s="10" t="str">
        <f>IF('[1]All Data '!BB2390="","",'[1]All Data '!BB2390)</f>
        <v/>
      </c>
      <c r="R2385" s="10" t="str">
        <f>IF('[1]All Data '!BD2390="","",'[1]All Data '!BD2390)</f>
        <v/>
      </c>
      <c r="S2385" s="11" t="str">
        <f>IF(R2385="","",'[1]All Data '!BE2390)</f>
        <v/>
      </c>
      <c r="T2385" s="12" t="str">
        <f>IF(S2385="","",[1]Inputs_Outputs!$B$8*(1-'LOCH Calc COE Calc'!S2385))</f>
        <v/>
      </c>
      <c r="U2385" s="13" t="str">
        <f t="shared" si="186"/>
        <v/>
      </c>
      <c r="V2385" s="13" t="str">
        <f t="shared" si="187"/>
        <v/>
      </c>
      <c r="W2385" s="4" t="str">
        <f t="shared" si="188"/>
        <v/>
      </c>
      <c r="X2385" t="str">
        <f>IF(W2385="","",LOOKUP(_xlfn.CONCAT(P2385,", ",Q2385),'[1]T+S Costs'!$F$2:$F$3138,'[1]T+S Costs'!$N$2:$N$3138))</f>
        <v/>
      </c>
      <c r="Y2385" s="14" t="str">
        <f t="shared" si="189"/>
        <v/>
      </c>
      <c r="Z2385" s="4" t="str">
        <f t="shared" si="190"/>
        <v/>
      </c>
    </row>
    <row r="2386" spans="16:26" x14ac:dyDescent="0.25">
      <c r="P2386" s="10" t="str">
        <f>IF('[1]All Data '!AZ2391="","",'[1]All Data '!AZ2391)</f>
        <v/>
      </c>
      <c r="Q2386" s="10" t="str">
        <f>IF('[1]All Data '!BB2391="","",'[1]All Data '!BB2391)</f>
        <v/>
      </c>
      <c r="R2386" s="10" t="str">
        <f>IF('[1]All Data '!BD2391="","",'[1]All Data '!BD2391)</f>
        <v/>
      </c>
      <c r="S2386" s="11" t="str">
        <f>IF(R2386="","",'[1]All Data '!BE2391)</f>
        <v/>
      </c>
      <c r="T2386" s="12" t="str">
        <f>IF(S2386="","",[1]Inputs_Outputs!$B$8*(1-'LOCH Calc COE Calc'!S2386))</f>
        <v/>
      </c>
      <c r="U2386" s="13" t="str">
        <f t="shared" si="186"/>
        <v/>
      </c>
      <c r="V2386" s="13" t="str">
        <f t="shared" si="187"/>
        <v/>
      </c>
      <c r="W2386" s="4" t="str">
        <f t="shared" si="188"/>
        <v/>
      </c>
      <c r="X2386" t="str">
        <f>IF(W2386="","",LOOKUP(_xlfn.CONCAT(P2386,", ",Q2386),'[1]T+S Costs'!$F$2:$F$3138,'[1]T+S Costs'!$N$2:$N$3138))</f>
        <v/>
      </c>
      <c r="Y2386" s="14" t="str">
        <f t="shared" si="189"/>
        <v/>
      </c>
      <c r="Z2386" s="4" t="str">
        <f t="shared" si="190"/>
        <v/>
      </c>
    </row>
    <row r="2387" spans="16:26" x14ac:dyDescent="0.25">
      <c r="P2387" s="10" t="str">
        <f>IF('[1]All Data '!AZ2392="","",'[1]All Data '!AZ2392)</f>
        <v/>
      </c>
      <c r="Q2387" s="10" t="str">
        <f>IF('[1]All Data '!BB2392="","",'[1]All Data '!BB2392)</f>
        <v/>
      </c>
      <c r="R2387" s="10" t="str">
        <f>IF('[1]All Data '!BD2392="","",'[1]All Data '!BD2392)</f>
        <v/>
      </c>
      <c r="S2387" s="11" t="str">
        <f>IF(R2387="","",'[1]All Data '!BE2392)</f>
        <v/>
      </c>
      <c r="T2387" s="12" t="str">
        <f>IF(S2387="","",[1]Inputs_Outputs!$B$8*(1-'LOCH Calc COE Calc'!S2387))</f>
        <v/>
      </c>
      <c r="U2387" s="13" t="str">
        <f t="shared" si="186"/>
        <v/>
      </c>
      <c r="V2387" s="13" t="str">
        <f t="shared" si="187"/>
        <v/>
      </c>
      <c r="W2387" s="4" t="str">
        <f t="shared" si="188"/>
        <v/>
      </c>
      <c r="X2387" t="str">
        <f>IF(W2387="","",LOOKUP(_xlfn.CONCAT(P2387,", ",Q2387),'[1]T+S Costs'!$F$2:$F$3138,'[1]T+S Costs'!$N$2:$N$3138))</f>
        <v/>
      </c>
      <c r="Y2387" s="14" t="str">
        <f t="shared" si="189"/>
        <v/>
      </c>
      <c r="Z2387" s="4" t="str">
        <f t="shared" si="190"/>
        <v/>
      </c>
    </row>
    <row r="2388" spans="16:26" x14ac:dyDescent="0.25">
      <c r="P2388" s="10" t="str">
        <f>IF('[1]All Data '!AZ2393="","",'[1]All Data '!AZ2393)</f>
        <v/>
      </c>
      <c r="Q2388" s="10" t="str">
        <f>IF('[1]All Data '!BB2393="","",'[1]All Data '!BB2393)</f>
        <v/>
      </c>
      <c r="R2388" s="10" t="str">
        <f>IF('[1]All Data '!BD2393="","",'[1]All Data '!BD2393)</f>
        <v/>
      </c>
      <c r="S2388" s="11" t="str">
        <f>IF(R2388="","",'[1]All Data '!BE2393)</f>
        <v/>
      </c>
      <c r="T2388" s="12" t="str">
        <f>IF(S2388="","",[1]Inputs_Outputs!$B$8*(1-'LOCH Calc COE Calc'!S2388))</f>
        <v/>
      </c>
      <c r="U2388" s="13" t="str">
        <f t="shared" si="186"/>
        <v/>
      </c>
      <c r="V2388" s="13" t="str">
        <f t="shared" si="187"/>
        <v/>
      </c>
      <c r="W2388" s="4" t="str">
        <f t="shared" si="188"/>
        <v/>
      </c>
      <c r="X2388" t="str">
        <f>IF(W2388="","",LOOKUP(_xlfn.CONCAT(P2388,", ",Q2388),'[1]T+S Costs'!$F$2:$F$3138,'[1]T+S Costs'!$N$2:$N$3138))</f>
        <v/>
      </c>
      <c r="Y2388" s="14" t="str">
        <f t="shared" si="189"/>
        <v/>
      </c>
      <c r="Z2388" s="4" t="str">
        <f t="shared" si="190"/>
        <v/>
      </c>
    </row>
    <row r="2389" spans="16:26" x14ac:dyDescent="0.25">
      <c r="P2389" s="10" t="str">
        <f>IF('[1]All Data '!AZ2394="","",'[1]All Data '!AZ2394)</f>
        <v/>
      </c>
      <c r="Q2389" s="10" t="str">
        <f>IF('[1]All Data '!BB2394="","",'[1]All Data '!BB2394)</f>
        <v/>
      </c>
      <c r="R2389" s="10" t="str">
        <f>IF('[1]All Data '!BD2394="","",'[1]All Data '!BD2394)</f>
        <v/>
      </c>
      <c r="S2389" s="11" t="str">
        <f>IF(R2389="","",'[1]All Data '!BE2394)</f>
        <v/>
      </c>
      <c r="T2389" s="12" t="str">
        <f>IF(S2389="","",[1]Inputs_Outputs!$B$8*(1-'LOCH Calc COE Calc'!S2389))</f>
        <v/>
      </c>
      <c r="U2389" s="13" t="str">
        <f t="shared" si="186"/>
        <v/>
      </c>
      <c r="V2389" s="13" t="str">
        <f t="shared" si="187"/>
        <v/>
      </c>
      <c r="W2389" s="4" t="str">
        <f t="shared" si="188"/>
        <v/>
      </c>
      <c r="X2389" t="str">
        <f>IF(W2389="","",LOOKUP(_xlfn.CONCAT(P2389,", ",Q2389),'[1]T+S Costs'!$F$2:$F$3138,'[1]T+S Costs'!$N$2:$N$3138))</f>
        <v/>
      </c>
      <c r="Y2389" s="14" t="str">
        <f t="shared" si="189"/>
        <v/>
      </c>
      <c r="Z2389" s="4" t="str">
        <f t="shared" si="190"/>
        <v/>
      </c>
    </row>
    <row r="2390" spans="16:26" x14ac:dyDescent="0.25">
      <c r="P2390" s="10" t="str">
        <f>IF('[1]All Data '!AZ2395="","",'[1]All Data '!AZ2395)</f>
        <v/>
      </c>
      <c r="Q2390" s="10" t="str">
        <f>IF('[1]All Data '!BB2395="","",'[1]All Data '!BB2395)</f>
        <v/>
      </c>
      <c r="R2390" s="10" t="str">
        <f>IF('[1]All Data '!BD2395="","",'[1]All Data '!BD2395)</f>
        <v/>
      </c>
      <c r="S2390" s="11" t="str">
        <f>IF(R2390="","",'[1]All Data '!BE2395)</f>
        <v/>
      </c>
      <c r="T2390" s="12" t="str">
        <f>IF(S2390="","",[1]Inputs_Outputs!$B$8*(1-'LOCH Calc COE Calc'!S2390))</f>
        <v/>
      </c>
      <c r="U2390" s="13" t="str">
        <f t="shared" si="186"/>
        <v/>
      </c>
      <c r="V2390" s="13" t="str">
        <f t="shared" si="187"/>
        <v/>
      </c>
      <c r="W2390" s="4" t="str">
        <f t="shared" si="188"/>
        <v/>
      </c>
      <c r="X2390" t="str">
        <f>IF(W2390="","",LOOKUP(_xlfn.CONCAT(P2390,", ",Q2390),'[1]T+S Costs'!$F$2:$F$3138,'[1]T+S Costs'!$N$2:$N$3138))</f>
        <v/>
      </c>
      <c r="Y2390" s="14" t="str">
        <f t="shared" si="189"/>
        <v/>
      </c>
      <c r="Z2390" s="4" t="str">
        <f t="shared" si="190"/>
        <v/>
      </c>
    </row>
    <row r="2391" spans="16:26" x14ac:dyDescent="0.25">
      <c r="P2391" s="10" t="str">
        <f>IF('[1]All Data '!AZ2396="","",'[1]All Data '!AZ2396)</f>
        <v/>
      </c>
      <c r="Q2391" s="10" t="str">
        <f>IF('[1]All Data '!BB2396="","",'[1]All Data '!BB2396)</f>
        <v/>
      </c>
      <c r="R2391" s="10" t="str">
        <f>IF('[1]All Data '!BD2396="","",'[1]All Data '!BD2396)</f>
        <v/>
      </c>
      <c r="S2391" s="11" t="str">
        <f>IF(R2391="","",'[1]All Data '!BE2396)</f>
        <v/>
      </c>
      <c r="T2391" s="12" t="str">
        <f>IF(S2391="","",[1]Inputs_Outputs!$B$8*(1-'LOCH Calc COE Calc'!S2391))</f>
        <v/>
      </c>
      <c r="U2391" s="13" t="str">
        <f t="shared" si="186"/>
        <v/>
      </c>
      <c r="V2391" s="13" t="str">
        <f t="shared" si="187"/>
        <v/>
      </c>
      <c r="W2391" s="4" t="str">
        <f t="shared" si="188"/>
        <v/>
      </c>
      <c r="X2391" t="str">
        <f>IF(W2391="","",LOOKUP(_xlfn.CONCAT(P2391,", ",Q2391),'[1]T+S Costs'!$F$2:$F$3138,'[1]T+S Costs'!$N$2:$N$3138))</f>
        <v/>
      </c>
      <c r="Y2391" s="14" t="str">
        <f t="shared" si="189"/>
        <v/>
      </c>
      <c r="Z2391" s="4" t="str">
        <f t="shared" si="190"/>
        <v/>
      </c>
    </row>
    <row r="2392" spans="16:26" x14ac:dyDescent="0.25">
      <c r="P2392" s="10" t="str">
        <f>IF('[1]All Data '!AZ2397="","",'[1]All Data '!AZ2397)</f>
        <v/>
      </c>
      <c r="Q2392" s="10" t="str">
        <f>IF('[1]All Data '!BB2397="","",'[1]All Data '!BB2397)</f>
        <v/>
      </c>
      <c r="R2392" s="10" t="str">
        <f>IF('[1]All Data '!BD2397="","",'[1]All Data '!BD2397)</f>
        <v/>
      </c>
      <c r="S2392" s="11" t="str">
        <f>IF(R2392="","",'[1]All Data '!BE2397)</f>
        <v/>
      </c>
      <c r="T2392" s="12" t="str">
        <f>IF(S2392="","",[1]Inputs_Outputs!$B$8*(1-'LOCH Calc COE Calc'!S2392))</f>
        <v/>
      </c>
      <c r="U2392" s="13" t="str">
        <f t="shared" si="186"/>
        <v/>
      </c>
      <c r="V2392" s="13" t="str">
        <f t="shared" si="187"/>
        <v/>
      </c>
      <c r="W2392" s="4" t="str">
        <f t="shared" si="188"/>
        <v/>
      </c>
      <c r="X2392" t="str">
        <f>IF(W2392="","",LOOKUP(_xlfn.CONCAT(P2392,", ",Q2392),'[1]T+S Costs'!$F$2:$F$3138,'[1]T+S Costs'!$N$2:$N$3138))</f>
        <v/>
      </c>
      <c r="Y2392" s="14" t="str">
        <f t="shared" si="189"/>
        <v/>
      </c>
      <c r="Z2392" s="4" t="str">
        <f t="shared" si="190"/>
        <v/>
      </c>
    </row>
    <row r="2393" spans="16:26" x14ac:dyDescent="0.25">
      <c r="P2393" s="10" t="str">
        <f>IF('[1]All Data '!AZ2398="","",'[1]All Data '!AZ2398)</f>
        <v/>
      </c>
      <c r="Q2393" s="10" t="str">
        <f>IF('[1]All Data '!BB2398="","",'[1]All Data '!BB2398)</f>
        <v/>
      </c>
      <c r="R2393" s="10" t="str">
        <f>IF('[1]All Data '!BD2398="","",'[1]All Data '!BD2398)</f>
        <v/>
      </c>
      <c r="S2393" s="11" t="str">
        <f>IF(R2393="","",'[1]All Data '!BE2398)</f>
        <v/>
      </c>
      <c r="T2393" s="12" t="str">
        <f>IF(S2393="","",[1]Inputs_Outputs!$B$8*(1-'LOCH Calc COE Calc'!S2393))</f>
        <v/>
      </c>
      <c r="U2393" s="13" t="str">
        <f t="shared" si="186"/>
        <v/>
      </c>
      <c r="V2393" s="13" t="str">
        <f t="shared" si="187"/>
        <v/>
      </c>
      <c r="W2393" s="4" t="str">
        <f t="shared" si="188"/>
        <v/>
      </c>
      <c r="X2393" t="str">
        <f>IF(W2393="","",LOOKUP(_xlfn.CONCAT(P2393,", ",Q2393),'[1]T+S Costs'!$F$2:$F$3138,'[1]T+S Costs'!$N$2:$N$3138))</f>
        <v/>
      </c>
      <c r="Y2393" s="14" t="str">
        <f t="shared" si="189"/>
        <v/>
      </c>
      <c r="Z2393" s="4" t="str">
        <f t="shared" si="190"/>
        <v/>
      </c>
    </row>
    <row r="2394" spans="16:26" x14ac:dyDescent="0.25">
      <c r="P2394" s="10" t="str">
        <f>IF('[1]All Data '!AZ2399="","",'[1]All Data '!AZ2399)</f>
        <v/>
      </c>
      <c r="Q2394" s="10" t="str">
        <f>IF('[1]All Data '!BB2399="","",'[1]All Data '!BB2399)</f>
        <v/>
      </c>
      <c r="R2394" s="10" t="str">
        <f>IF('[1]All Data '!BD2399="","",'[1]All Data '!BD2399)</f>
        <v/>
      </c>
      <c r="S2394" s="11" t="str">
        <f>IF(R2394="","",'[1]All Data '!BE2399)</f>
        <v/>
      </c>
      <c r="T2394" s="12" t="str">
        <f>IF(S2394="","",[1]Inputs_Outputs!$B$8*(1-'LOCH Calc COE Calc'!S2394))</f>
        <v/>
      </c>
      <c r="U2394" s="13" t="str">
        <f t="shared" si="186"/>
        <v/>
      </c>
      <c r="V2394" s="13" t="str">
        <f t="shared" si="187"/>
        <v/>
      </c>
      <c r="W2394" s="4" t="str">
        <f t="shared" si="188"/>
        <v/>
      </c>
      <c r="X2394" t="str">
        <f>IF(W2394="","",LOOKUP(_xlfn.CONCAT(P2394,", ",Q2394),'[1]T+S Costs'!$F$2:$F$3138,'[1]T+S Costs'!$N$2:$N$3138))</f>
        <v/>
      </c>
      <c r="Y2394" s="14" t="str">
        <f t="shared" si="189"/>
        <v/>
      </c>
      <c r="Z2394" s="4" t="str">
        <f t="shared" si="190"/>
        <v/>
      </c>
    </row>
    <row r="2395" spans="16:26" x14ac:dyDescent="0.25">
      <c r="P2395" s="10" t="str">
        <f>IF('[1]All Data '!AZ2400="","",'[1]All Data '!AZ2400)</f>
        <v/>
      </c>
      <c r="Q2395" s="10" t="str">
        <f>IF('[1]All Data '!BB2400="","",'[1]All Data '!BB2400)</f>
        <v/>
      </c>
      <c r="R2395" s="10" t="str">
        <f>IF('[1]All Data '!BD2400="","",'[1]All Data '!BD2400)</f>
        <v/>
      </c>
      <c r="S2395" s="11" t="str">
        <f>IF(R2395="","",'[1]All Data '!BE2400)</f>
        <v/>
      </c>
      <c r="T2395" s="12" t="str">
        <f>IF(S2395="","",[1]Inputs_Outputs!$B$8*(1-'LOCH Calc COE Calc'!S2395))</f>
        <v/>
      </c>
      <c r="U2395" s="13" t="str">
        <f t="shared" si="186"/>
        <v/>
      </c>
      <c r="V2395" s="13" t="str">
        <f t="shared" si="187"/>
        <v/>
      </c>
      <c r="W2395" s="4" t="str">
        <f t="shared" si="188"/>
        <v/>
      </c>
      <c r="X2395" t="str">
        <f>IF(W2395="","",LOOKUP(_xlfn.CONCAT(P2395,", ",Q2395),'[1]T+S Costs'!$F$2:$F$3138,'[1]T+S Costs'!$N$2:$N$3138))</f>
        <v/>
      </c>
      <c r="Y2395" s="14" t="str">
        <f t="shared" si="189"/>
        <v/>
      </c>
      <c r="Z2395" s="4" t="str">
        <f t="shared" si="190"/>
        <v/>
      </c>
    </row>
    <row r="2396" spans="16:26" x14ac:dyDescent="0.25">
      <c r="P2396" s="10" t="str">
        <f>IF('[1]All Data '!AZ2401="","",'[1]All Data '!AZ2401)</f>
        <v/>
      </c>
      <c r="Q2396" s="10" t="str">
        <f>IF('[1]All Data '!BB2401="","",'[1]All Data '!BB2401)</f>
        <v/>
      </c>
      <c r="R2396" s="10" t="str">
        <f>IF('[1]All Data '!BD2401="","",'[1]All Data '!BD2401)</f>
        <v/>
      </c>
      <c r="S2396" s="11" t="str">
        <f>IF(R2396="","",'[1]All Data '!BE2401)</f>
        <v/>
      </c>
      <c r="T2396" s="12" t="str">
        <f>IF(S2396="","",[1]Inputs_Outputs!$B$8*(1-'LOCH Calc COE Calc'!S2396))</f>
        <v/>
      </c>
      <c r="U2396" s="13" t="str">
        <f t="shared" si="186"/>
        <v/>
      </c>
      <c r="V2396" s="13" t="str">
        <f t="shared" si="187"/>
        <v/>
      </c>
      <c r="W2396" s="4" t="str">
        <f t="shared" si="188"/>
        <v/>
      </c>
      <c r="X2396" t="str">
        <f>IF(W2396="","",LOOKUP(_xlfn.CONCAT(P2396,", ",Q2396),'[1]T+S Costs'!$F$2:$F$3138,'[1]T+S Costs'!$N$2:$N$3138))</f>
        <v/>
      </c>
      <c r="Y2396" s="14" t="str">
        <f t="shared" si="189"/>
        <v/>
      </c>
      <c r="Z2396" s="4" t="str">
        <f t="shared" si="190"/>
        <v/>
      </c>
    </row>
    <row r="2397" spans="16:26" x14ac:dyDescent="0.25">
      <c r="P2397" s="10" t="str">
        <f>IF('[1]All Data '!AZ2402="","",'[1]All Data '!AZ2402)</f>
        <v/>
      </c>
      <c r="Q2397" s="10" t="str">
        <f>IF('[1]All Data '!BB2402="","",'[1]All Data '!BB2402)</f>
        <v/>
      </c>
      <c r="R2397" s="10" t="str">
        <f>IF('[1]All Data '!BD2402="","",'[1]All Data '!BD2402)</f>
        <v/>
      </c>
      <c r="S2397" s="11" t="str">
        <f>IF(R2397="","",'[1]All Data '!BE2402)</f>
        <v/>
      </c>
      <c r="T2397" s="12" t="str">
        <f>IF(S2397="","",[1]Inputs_Outputs!$B$8*(1-'LOCH Calc COE Calc'!S2397))</f>
        <v/>
      </c>
      <c r="U2397" s="13" t="str">
        <f t="shared" si="186"/>
        <v/>
      </c>
      <c r="V2397" s="13" t="str">
        <f t="shared" si="187"/>
        <v/>
      </c>
      <c r="W2397" s="4" t="str">
        <f t="shared" si="188"/>
        <v/>
      </c>
      <c r="X2397" t="str">
        <f>IF(W2397="","",LOOKUP(_xlfn.CONCAT(P2397,", ",Q2397),'[1]T+S Costs'!$F$2:$F$3138,'[1]T+S Costs'!$N$2:$N$3138))</f>
        <v/>
      </c>
      <c r="Y2397" s="14" t="str">
        <f t="shared" si="189"/>
        <v/>
      </c>
      <c r="Z2397" s="4" t="str">
        <f t="shared" si="190"/>
        <v/>
      </c>
    </row>
    <row r="2398" spans="16:26" x14ac:dyDescent="0.25">
      <c r="P2398" s="10" t="str">
        <f>IF('[1]All Data '!AZ2403="","",'[1]All Data '!AZ2403)</f>
        <v/>
      </c>
      <c r="Q2398" s="10" t="str">
        <f>IF('[1]All Data '!BB2403="","",'[1]All Data '!BB2403)</f>
        <v/>
      </c>
      <c r="R2398" s="10" t="str">
        <f>IF('[1]All Data '!BD2403="","",'[1]All Data '!BD2403)</f>
        <v/>
      </c>
      <c r="S2398" s="11" t="str">
        <f>IF(R2398="","",'[1]All Data '!BE2403)</f>
        <v/>
      </c>
      <c r="T2398" s="12" t="str">
        <f>IF(S2398="","",[1]Inputs_Outputs!$B$8*(1-'LOCH Calc COE Calc'!S2398))</f>
        <v/>
      </c>
      <c r="U2398" s="13" t="str">
        <f t="shared" si="186"/>
        <v/>
      </c>
      <c r="V2398" s="13" t="str">
        <f t="shared" si="187"/>
        <v/>
      </c>
      <c r="W2398" s="4" t="str">
        <f t="shared" si="188"/>
        <v/>
      </c>
      <c r="X2398" t="str">
        <f>IF(W2398="","",LOOKUP(_xlfn.CONCAT(P2398,", ",Q2398),'[1]T+S Costs'!$F$2:$F$3138,'[1]T+S Costs'!$N$2:$N$3138))</f>
        <v/>
      </c>
      <c r="Y2398" s="14" t="str">
        <f t="shared" si="189"/>
        <v/>
      </c>
      <c r="Z2398" s="4" t="str">
        <f t="shared" si="190"/>
        <v/>
      </c>
    </row>
    <row r="2399" spans="16:26" x14ac:dyDescent="0.25">
      <c r="P2399" s="10" t="str">
        <f>IF('[1]All Data '!AZ2404="","",'[1]All Data '!AZ2404)</f>
        <v/>
      </c>
      <c r="Q2399" s="10" t="str">
        <f>IF('[1]All Data '!BB2404="","",'[1]All Data '!BB2404)</f>
        <v/>
      </c>
      <c r="R2399" s="10" t="str">
        <f>IF('[1]All Data '!BD2404="","",'[1]All Data '!BD2404)</f>
        <v/>
      </c>
      <c r="S2399" s="11" t="str">
        <f>IF(R2399="","",'[1]All Data '!BE2404)</f>
        <v/>
      </c>
      <c r="T2399" s="12" t="str">
        <f>IF(S2399="","",[1]Inputs_Outputs!$B$8*(1-'LOCH Calc COE Calc'!S2399))</f>
        <v/>
      </c>
      <c r="U2399" s="13" t="str">
        <f t="shared" si="186"/>
        <v/>
      </c>
      <c r="V2399" s="13" t="str">
        <f t="shared" si="187"/>
        <v/>
      </c>
      <c r="W2399" s="4" t="str">
        <f t="shared" si="188"/>
        <v/>
      </c>
      <c r="X2399" t="str">
        <f>IF(W2399="","",LOOKUP(_xlfn.CONCAT(P2399,", ",Q2399),'[1]T+S Costs'!$F$2:$F$3138,'[1]T+S Costs'!$N$2:$N$3138))</f>
        <v/>
      </c>
      <c r="Y2399" s="14" t="str">
        <f t="shared" si="189"/>
        <v/>
      </c>
      <c r="Z2399" s="4" t="str">
        <f t="shared" si="190"/>
        <v/>
      </c>
    </row>
    <row r="2400" spans="16:26" x14ac:dyDescent="0.25">
      <c r="P2400" s="10" t="str">
        <f>IF('[1]All Data '!AZ2405="","",'[1]All Data '!AZ2405)</f>
        <v/>
      </c>
      <c r="Q2400" s="10" t="str">
        <f>IF('[1]All Data '!BB2405="","",'[1]All Data '!BB2405)</f>
        <v/>
      </c>
      <c r="R2400" s="10" t="str">
        <f>IF('[1]All Data '!BD2405="","",'[1]All Data '!BD2405)</f>
        <v/>
      </c>
      <c r="S2400" s="11" t="str">
        <f>IF(R2400="","",'[1]All Data '!BE2405)</f>
        <v/>
      </c>
      <c r="T2400" s="12" t="str">
        <f>IF(S2400="","",[1]Inputs_Outputs!$B$8*(1-'LOCH Calc COE Calc'!S2400))</f>
        <v/>
      </c>
      <c r="U2400" s="13" t="str">
        <f t="shared" si="186"/>
        <v/>
      </c>
      <c r="V2400" s="13" t="str">
        <f t="shared" si="187"/>
        <v/>
      </c>
      <c r="W2400" s="4" t="str">
        <f t="shared" si="188"/>
        <v/>
      </c>
      <c r="X2400" t="str">
        <f>IF(W2400="","",LOOKUP(_xlfn.CONCAT(P2400,", ",Q2400),'[1]T+S Costs'!$F$2:$F$3138,'[1]T+S Costs'!$N$2:$N$3138))</f>
        <v/>
      </c>
      <c r="Y2400" s="14" t="str">
        <f t="shared" si="189"/>
        <v/>
      </c>
      <c r="Z2400" s="4" t="str">
        <f t="shared" si="190"/>
        <v/>
      </c>
    </row>
    <row r="2401" spans="16:26" x14ac:dyDescent="0.25">
      <c r="P2401" s="10" t="str">
        <f>IF('[1]All Data '!AZ2406="","",'[1]All Data '!AZ2406)</f>
        <v/>
      </c>
      <c r="Q2401" s="10" t="str">
        <f>IF('[1]All Data '!BB2406="","",'[1]All Data '!BB2406)</f>
        <v/>
      </c>
      <c r="R2401" s="10" t="str">
        <f>IF('[1]All Data '!BD2406="","",'[1]All Data '!BD2406)</f>
        <v/>
      </c>
      <c r="S2401" s="11" t="str">
        <f>IF(R2401="","",'[1]All Data '!BE2406)</f>
        <v/>
      </c>
      <c r="T2401" s="12" t="str">
        <f>IF(S2401="","",[1]Inputs_Outputs!$B$8*(1-'LOCH Calc COE Calc'!S2401))</f>
        <v/>
      </c>
      <c r="U2401" s="13" t="str">
        <f t="shared" si="186"/>
        <v/>
      </c>
      <c r="V2401" s="13" t="str">
        <f t="shared" si="187"/>
        <v/>
      </c>
      <c r="W2401" s="4" t="str">
        <f t="shared" si="188"/>
        <v/>
      </c>
      <c r="X2401" t="str">
        <f>IF(W2401="","",LOOKUP(_xlfn.CONCAT(P2401,", ",Q2401),'[1]T+S Costs'!$F$2:$F$3138,'[1]T+S Costs'!$N$2:$N$3138))</f>
        <v/>
      </c>
      <c r="Y2401" s="14" t="str">
        <f t="shared" si="189"/>
        <v/>
      </c>
      <c r="Z2401" s="4" t="str">
        <f t="shared" si="190"/>
        <v/>
      </c>
    </row>
    <row r="2402" spans="16:26" x14ac:dyDescent="0.25">
      <c r="P2402" s="10" t="str">
        <f>IF('[1]All Data '!AZ2407="","",'[1]All Data '!AZ2407)</f>
        <v/>
      </c>
      <c r="Q2402" s="10" t="str">
        <f>IF('[1]All Data '!BB2407="","",'[1]All Data '!BB2407)</f>
        <v/>
      </c>
      <c r="R2402" s="10" t="str">
        <f>IF('[1]All Data '!BD2407="","",'[1]All Data '!BD2407)</f>
        <v/>
      </c>
      <c r="S2402" s="11" t="str">
        <f>IF(R2402="","",'[1]All Data '!BE2407)</f>
        <v/>
      </c>
      <c r="T2402" s="12" t="str">
        <f>IF(S2402="","",[1]Inputs_Outputs!$B$8*(1-'LOCH Calc COE Calc'!S2402))</f>
        <v/>
      </c>
      <c r="U2402" s="13" t="str">
        <f t="shared" si="186"/>
        <v/>
      </c>
      <c r="V2402" s="13" t="str">
        <f t="shared" si="187"/>
        <v/>
      </c>
      <c r="W2402" s="4" t="str">
        <f t="shared" si="188"/>
        <v/>
      </c>
      <c r="X2402" t="str">
        <f>IF(W2402="","",LOOKUP(_xlfn.CONCAT(P2402,", ",Q2402),'[1]T+S Costs'!$F$2:$F$3138,'[1]T+S Costs'!$N$2:$N$3138))</f>
        <v/>
      </c>
      <c r="Y2402" s="14" t="str">
        <f t="shared" si="189"/>
        <v/>
      </c>
      <c r="Z2402" s="4" t="str">
        <f t="shared" si="190"/>
        <v/>
      </c>
    </row>
    <row r="2403" spans="16:26" x14ac:dyDescent="0.25">
      <c r="P2403" s="10" t="str">
        <f>IF('[1]All Data '!AZ2408="","",'[1]All Data '!AZ2408)</f>
        <v/>
      </c>
      <c r="Q2403" s="10" t="str">
        <f>IF('[1]All Data '!BB2408="","",'[1]All Data '!BB2408)</f>
        <v/>
      </c>
      <c r="R2403" s="10" t="str">
        <f>IF('[1]All Data '!BD2408="","",'[1]All Data '!BD2408)</f>
        <v/>
      </c>
      <c r="S2403" s="11" t="str">
        <f>IF(R2403="","",'[1]All Data '!BE2408)</f>
        <v/>
      </c>
      <c r="T2403" s="12" t="str">
        <f>IF(S2403="","",[1]Inputs_Outputs!$B$8*(1-'LOCH Calc COE Calc'!S2403))</f>
        <v/>
      </c>
      <c r="U2403" s="13" t="str">
        <f t="shared" si="186"/>
        <v/>
      </c>
      <c r="V2403" s="13" t="str">
        <f t="shared" si="187"/>
        <v/>
      </c>
      <c r="W2403" s="4" t="str">
        <f t="shared" si="188"/>
        <v/>
      </c>
      <c r="X2403" t="str">
        <f>IF(W2403="","",LOOKUP(_xlfn.CONCAT(P2403,", ",Q2403),'[1]T+S Costs'!$F$2:$F$3138,'[1]T+S Costs'!$N$2:$N$3138))</f>
        <v/>
      </c>
      <c r="Y2403" s="14" t="str">
        <f t="shared" si="189"/>
        <v/>
      </c>
      <c r="Z2403" s="4" t="str">
        <f t="shared" si="190"/>
        <v/>
      </c>
    </row>
    <row r="2404" spans="16:26" x14ac:dyDescent="0.25">
      <c r="P2404" s="10" t="str">
        <f>IF('[1]All Data '!AZ2409="","",'[1]All Data '!AZ2409)</f>
        <v/>
      </c>
      <c r="Q2404" s="10" t="str">
        <f>IF('[1]All Data '!BB2409="","",'[1]All Data '!BB2409)</f>
        <v/>
      </c>
      <c r="R2404" s="10" t="str">
        <f>IF('[1]All Data '!BD2409="","",'[1]All Data '!BD2409)</f>
        <v/>
      </c>
      <c r="S2404" s="11" t="str">
        <f>IF(R2404="","",'[1]All Data '!BE2409)</f>
        <v/>
      </c>
      <c r="T2404" s="12" t="str">
        <f>IF(S2404="","",[1]Inputs_Outputs!$B$8*(1-'LOCH Calc COE Calc'!S2404))</f>
        <v/>
      </c>
      <c r="U2404" s="13" t="str">
        <f t="shared" si="186"/>
        <v/>
      </c>
      <c r="V2404" s="13" t="str">
        <f t="shared" si="187"/>
        <v/>
      </c>
      <c r="W2404" s="4" t="str">
        <f t="shared" si="188"/>
        <v/>
      </c>
      <c r="X2404" t="str">
        <f>IF(W2404="","",LOOKUP(_xlfn.CONCAT(P2404,", ",Q2404),'[1]T+S Costs'!$F$2:$F$3138,'[1]T+S Costs'!$N$2:$N$3138))</f>
        <v/>
      </c>
      <c r="Y2404" s="14" t="str">
        <f t="shared" si="189"/>
        <v/>
      </c>
      <c r="Z2404" s="4" t="str">
        <f t="shared" si="190"/>
        <v/>
      </c>
    </row>
    <row r="2405" spans="16:26" x14ac:dyDescent="0.25">
      <c r="P2405" s="10" t="str">
        <f>IF('[1]All Data '!AZ2410="","",'[1]All Data '!AZ2410)</f>
        <v/>
      </c>
      <c r="Q2405" s="10" t="str">
        <f>IF('[1]All Data '!BB2410="","",'[1]All Data '!BB2410)</f>
        <v/>
      </c>
      <c r="R2405" s="10" t="str">
        <f>IF('[1]All Data '!BD2410="","",'[1]All Data '!BD2410)</f>
        <v/>
      </c>
      <c r="S2405" s="11" t="str">
        <f>IF(R2405="","",'[1]All Data '!BE2410)</f>
        <v/>
      </c>
      <c r="T2405" s="12" t="str">
        <f>IF(S2405="","",[1]Inputs_Outputs!$B$8*(1-'LOCH Calc COE Calc'!S2405))</f>
        <v/>
      </c>
      <c r="U2405" s="13" t="str">
        <f t="shared" si="186"/>
        <v/>
      </c>
      <c r="V2405" s="13" t="str">
        <f t="shared" si="187"/>
        <v/>
      </c>
      <c r="W2405" s="4" t="str">
        <f t="shared" si="188"/>
        <v/>
      </c>
      <c r="X2405" t="str">
        <f>IF(W2405="","",LOOKUP(_xlfn.CONCAT(P2405,", ",Q2405),'[1]T+S Costs'!$F$2:$F$3138,'[1]T+S Costs'!$N$2:$N$3138))</f>
        <v/>
      </c>
      <c r="Y2405" s="14" t="str">
        <f t="shared" si="189"/>
        <v/>
      </c>
      <c r="Z2405" s="4" t="str">
        <f t="shared" si="190"/>
        <v/>
      </c>
    </row>
    <row r="2406" spans="16:26" x14ac:dyDescent="0.25">
      <c r="P2406" s="10" t="str">
        <f>IF('[1]All Data '!AZ2411="","",'[1]All Data '!AZ2411)</f>
        <v/>
      </c>
      <c r="Q2406" s="10" t="str">
        <f>IF('[1]All Data '!BB2411="","",'[1]All Data '!BB2411)</f>
        <v/>
      </c>
      <c r="R2406" s="10" t="str">
        <f>IF('[1]All Data '!BD2411="","",'[1]All Data '!BD2411)</f>
        <v/>
      </c>
      <c r="S2406" s="11" t="str">
        <f>IF(R2406="","",'[1]All Data '!BE2411)</f>
        <v/>
      </c>
      <c r="T2406" s="12" t="str">
        <f>IF(S2406="","",[1]Inputs_Outputs!$B$8*(1-'LOCH Calc COE Calc'!S2406))</f>
        <v/>
      </c>
      <c r="U2406" s="13" t="str">
        <f t="shared" si="186"/>
        <v/>
      </c>
      <c r="V2406" s="13" t="str">
        <f t="shared" si="187"/>
        <v/>
      </c>
      <c r="W2406" s="4" t="str">
        <f t="shared" si="188"/>
        <v/>
      </c>
      <c r="X2406" t="str">
        <f>IF(W2406="","",LOOKUP(_xlfn.CONCAT(P2406,", ",Q2406),'[1]T+S Costs'!$F$2:$F$3138,'[1]T+S Costs'!$N$2:$N$3138))</f>
        <v/>
      </c>
      <c r="Y2406" s="14" t="str">
        <f t="shared" si="189"/>
        <v/>
      </c>
      <c r="Z2406" s="4" t="str">
        <f t="shared" si="190"/>
        <v/>
      </c>
    </row>
    <row r="2407" spans="16:26" x14ac:dyDescent="0.25">
      <c r="P2407" s="10" t="str">
        <f>IF('[1]All Data '!AZ2412="","",'[1]All Data '!AZ2412)</f>
        <v/>
      </c>
      <c r="Q2407" s="10" t="str">
        <f>IF('[1]All Data '!BB2412="","",'[1]All Data '!BB2412)</f>
        <v/>
      </c>
      <c r="R2407" s="10" t="str">
        <f>IF('[1]All Data '!BD2412="","",'[1]All Data '!BD2412)</f>
        <v/>
      </c>
      <c r="S2407" s="11" t="str">
        <f>IF(R2407="","",'[1]All Data '!BE2412)</f>
        <v/>
      </c>
      <c r="T2407" s="12" t="str">
        <f>IF(S2407="","",[1]Inputs_Outputs!$B$8*(1-'LOCH Calc COE Calc'!S2407))</f>
        <v/>
      </c>
      <c r="U2407" s="13" t="str">
        <f t="shared" si="186"/>
        <v/>
      </c>
      <c r="V2407" s="13" t="str">
        <f t="shared" si="187"/>
        <v/>
      </c>
      <c r="W2407" s="4" t="str">
        <f t="shared" si="188"/>
        <v/>
      </c>
      <c r="X2407" t="str">
        <f>IF(W2407="","",LOOKUP(_xlfn.CONCAT(P2407,", ",Q2407),'[1]T+S Costs'!$F$2:$F$3138,'[1]T+S Costs'!$N$2:$N$3138))</f>
        <v/>
      </c>
      <c r="Y2407" s="14" t="str">
        <f t="shared" si="189"/>
        <v/>
      </c>
      <c r="Z2407" s="4" t="str">
        <f t="shared" si="190"/>
        <v/>
      </c>
    </row>
    <row r="2408" spans="16:26" x14ac:dyDescent="0.25">
      <c r="P2408" s="10" t="str">
        <f>IF('[1]All Data '!AZ2413="","",'[1]All Data '!AZ2413)</f>
        <v/>
      </c>
      <c r="Q2408" s="10" t="str">
        <f>IF('[1]All Data '!BB2413="","",'[1]All Data '!BB2413)</f>
        <v/>
      </c>
      <c r="R2408" s="10" t="str">
        <f>IF('[1]All Data '!BD2413="","",'[1]All Data '!BD2413)</f>
        <v/>
      </c>
      <c r="S2408" s="11" t="str">
        <f>IF(R2408="","",'[1]All Data '!BE2413)</f>
        <v/>
      </c>
      <c r="T2408" s="12" t="str">
        <f>IF(S2408="","",[1]Inputs_Outputs!$B$8*(1-'LOCH Calc COE Calc'!S2408))</f>
        <v/>
      </c>
      <c r="U2408" s="13" t="str">
        <f t="shared" si="186"/>
        <v/>
      </c>
      <c r="V2408" s="13" t="str">
        <f t="shared" si="187"/>
        <v/>
      </c>
      <c r="W2408" s="4" t="str">
        <f t="shared" si="188"/>
        <v/>
      </c>
      <c r="X2408" t="str">
        <f>IF(W2408="","",LOOKUP(_xlfn.CONCAT(P2408,", ",Q2408),'[1]T+S Costs'!$F$2:$F$3138,'[1]T+S Costs'!$N$2:$N$3138))</f>
        <v/>
      </c>
      <c r="Y2408" s="14" t="str">
        <f t="shared" si="189"/>
        <v/>
      </c>
      <c r="Z2408" s="4" t="str">
        <f t="shared" si="190"/>
        <v/>
      </c>
    </row>
    <row r="2409" spans="16:26" x14ac:dyDescent="0.25">
      <c r="P2409" s="10" t="str">
        <f>IF('[1]All Data '!AZ2414="","",'[1]All Data '!AZ2414)</f>
        <v/>
      </c>
      <c r="Q2409" s="10" t="str">
        <f>IF('[1]All Data '!BB2414="","",'[1]All Data '!BB2414)</f>
        <v/>
      </c>
      <c r="R2409" s="10" t="str">
        <f>IF('[1]All Data '!BD2414="","",'[1]All Data '!BD2414)</f>
        <v/>
      </c>
      <c r="S2409" s="11" t="str">
        <f>IF(R2409="","",'[1]All Data '!BE2414)</f>
        <v/>
      </c>
      <c r="T2409" s="12" t="str">
        <f>IF(S2409="","",[1]Inputs_Outputs!$B$8*(1-'LOCH Calc COE Calc'!S2409))</f>
        <v/>
      </c>
      <c r="U2409" s="13" t="str">
        <f t="shared" si="186"/>
        <v/>
      </c>
      <c r="V2409" s="13" t="str">
        <f t="shared" si="187"/>
        <v/>
      </c>
      <c r="W2409" s="4" t="str">
        <f t="shared" si="188"/>
        <v/>
      </c>
      <c r="X2409" t="str">
        <f>IF(W2409="","",LOOKUP(_xlfn.CONCAT(P2409,", ",Q2409),'[1]T+S Costs'!$F$2:$F$3138,'[1]T+S Costs'!$N$2:$N$3138))</f>
        <v/>
      </c>
      <c r="Y2409" s="14" t="str">
        <f t="shared" si="189"/>
        <v/>
      </c>
      <c r="Z2409" s="4" t="str">
        <f t="shared" si="190"/>
        <v/>
      </c>
    </row>
    <row r="2410" spans="16:26" x14ac:dyDescent="0.25">
      <c r="P2410" s="10" t="str">
        <f>IF('[1]All Data '!AZ2415="","",'[1]All Data '!AZ2415)</f>
        <v/>
      </c>
      <c r="Q2410" s="10" t="str">
        <f>IF('[1]All Data '!BB2415="","",'[1]All Data '!BB2415)</f>
        <v/>
      </c>
      <c r="R2410" s="10" t="str">
        <f>IF('[1]All Data '!BD2415="","",'[1]All Data '!BD2415)</f>
        <v/>
      </c>
      <c r="S2410" s="11" t="str">
        <f>IF(R2410="","",'[1]All Data '!BE2415)</f>
        <v/>
      </c>
      <c r="T2410" s="12" t="str">
        <f>IF(S2410="","",[1]Inputs_Outputs!$B$8*(1-'LOCH Calc COE Calc'!S2410))</f>
        <v/>
      </c>
      <c r="U2410" s="13" t="str">
        <f t="shared" si="186"/>
        <v/>
      </c>
      <c r="V2410" s="13" t="str">
        <f t="shared" si="187"/>
        <v/>
      </c>
      <c r="W2410" s="4" t="str">
        <f t="shared" si="188"/>
        <v/>
      </c>
      <c r="X2410" t="str">
        <f>IF(W2410="","",LOOKUP(_xlfn.CONCAT(P2410,", ",Q2410),'[1]T+S Costs'!$F$2:$F$3138,'[1]T+S Costs'!$N$2:$N$3138))</f>
        <v/>
      </c>
      <c r="Y2410" s="14" t="str">
        <f t="shared" si="189"/>
        <v/>
      </c>
      <c r="Z2410" s="4" t="str">
        <f t="shared" si="190"/>
        <v/>
      </c>
    </row>
    <row r="2411" spans="16:26" x14ac:dyDescent="0.25">
      <c r="P2411" s="10" t="str">
        <f>IF('[1]All Data '!AZ2416="","",'[1]All Data '!AZ2416)</f>
        <v/>
      </c>
      <c r="Q2411" s="10" t="str">
        <f>IF('[1]All Data '!BB2416="","",'[1]All Data '!BB2416)</f>
        <v/>
      </c>
      <c r="R2411" s="10" t="str">
        <f>IF('[1]All Data '!BD2416="","",'[1]All Data '!BD2416)</f>
        <v/>
      </c>
      <c r="S2411" s="11" t="str">
        <f>IF(R2411="","",'[1]All Data '!BE2416)</f>
        <v/>
      </c>
      <c r="T2411" s="12" t="str">
        <f>IF(S2411="","",[1]Inputs_Outputs!$B$8*(1-'LOCH Calc COE Calc'!S2411))</f>
        <v/>
      </c>
      <c r="U2411" s="13" t="str">
        <f t="shared" si="186"/>
        <v/>
      </c>
      <c r="V2411" s="13" t="str">
        <f t="shared" si="187"/>
        <v/>
      </c>
      <c r="W2411" s="4" t="str">
        <f t="shared" si="188"/>
        <v/>
      </c>
      <c r="X2411" t="str">
        <f>IF(W2411="","",LOOKUP(_xlfn.CONCAT(P2411,", ",Q2411),'[1]T+S Costs'!$F$2:$F$3138,'[1]T+S Costs'!$N$2:$N$3138))</f>
        <v/>
      </c>
      <c r="Y2411" s="14" t="str">
        <f t="shared" si="189"/>
        <v/>
      </c>
      <c r="Z2411" s="4" t="str">
        <f t="shared" si="190"/>
        <v/>
      </c>
    </row>
    <row r="2412" spans="16:26" x14ac:dyDescent="0.25">
      <c r="P2412" s="10" t="str">
        <f>IF('[1]All Data '!AZ2417="","",'[1]All Data '!AZ2417)</f>
        <v/>
      </c>
      <c r="Q2412" s="10" t="str">
        <f>IF('[1]All Data '!BB2417="","",'[1]All Data '!BB2417)</f>
        <v/>
      </c>
      <c r="R2412" s="10" t="str">
        <f>IF('[1]All Data '!BD2417="","",'[1]All Data '!BD2417)</f>
        <v/>
      </c>
      <c r="S2412" s="11" t="str">
        <f>IF(R2412="","",'[1]All Data '!BE2417)</f>
        <v/>
      </c>
      <c r="T2412" s="12" t="str">
        <f>IF(S2412="","",[1]Inputs_Outputs!$B$8*(1-'LOCH Calc COE Calc'!S2412))</f>
        <v/>
      </c>
      <c r="U2412" s="13" t="str">
        <f t="shared" si="186"/>
        <v/>
      </c>
      <c r="V2412" s="13" t="str">
        <f t="shared" si="187"/>
        <v/>
      </c>
      <c r="W2412" s="4" t="str">
        <f t="shared" si="188"/>
        <v/>
      </c>
      <c r="X2412" t="str">
        <f>IF(W2412="","",LOOKUP(_xlfn.CONCAT(P2412,", ",Q2412),'[1]T+S Costs'!$F$2:$F$3138,'[1]T+S Costs'!$N$2:$N$3138))</f>
        <v/>
      </c>
      <c r="Y2412" s="14" t="str">
        <f t="shared" si="189"/>
        <v/>
      </c>
      <c r="Z2412" s="4" t="str">
        <f t="shared" si="190"/>
        <v/>
      </c>
    </row>
    <row r="2413" spans="16:26" x14ac:dyDescent="0.25">
      <c r="P2413" s="10" t="str">
        <f>IF('[1]All Data '!AZ2418="","",'[1]All Data '!AZ2418)</f>
        <v/>
      </c>
      <c r="Q2413" s="10" t="str">
        <f>IF('[1]All Data '!BB2418="","",'[1]All Data '!BB2418)</f>
        <v/>
      </c>
      <c r="R2413" s="10" t="str">
        <f>IF('[1]All Data '!BD2418="","",'[1]All Data '!BD2418)</f>
        <v/>
      </c>
      <c r="S2413" s="11" t="str">
        <f>IF(R2413="","",'[1]All Data '!BE2418)</f>
        <v/>
      </c>
      <c r="T2413" s="12" t="str">
        <f>IF(S2413="","",[1]Inputs_Outputs!$B$8*(1-'LOCH Calc COE Calc'!S2413))</f>
        <v/>
      </c>
      <c r="U2413" s="13" t="str">
        <f t="shared" si="186"/>
        <v/>
      </c>
      <c r="V2413" s="13" t="str">
        <f t="shared" si="187"/>
        <v/>
      </c>
      <c r="W2413" s="4" t="str">
        <f t="shared" si="188"/>
        <v/>
      </c>
      <c r="X2413" t="str">
        <f>IF(W2413="","",LOOKUP(_xlfn.CONCAT(P2413,", ",Q2413),'[1]T+S Costs'!$F$2:$F$3138,'[1]T+S Costs'!$N$2:$N$3138))</f>
        <v/>
      </c>
      <c r="Y2413" s="14" t="str">
        <f t="shared" si="189"/>
        <v/>
      </c>
      <c r="Z2413" s="4" t="str">
        <f t="shared" si="190"/>
        <v/>
      </c>
    </row>
    <row r="2414" spans="16:26" x14ac:dyDescent="0.25">
      <c r="P2414" s="10" t="str">
        <f>IF('[1]All Data '!AZ2419="","",'[1]All Data '!AZ2419)</f>
        <v/>
      </c>
      <c r="Q2414" s="10" t="str">
        <f>IF('[1]All Data '!BB2419="","",'[1]All Data '!BB2419)</f>
        <v/>
      </c>
      <c r="R2414" s="10" t="str">
        <f>IF('[1]All Data '!BD2419="","",'[1]All Data '!BD2419)</f>
        <v/>
      </c>
      <c r="S2414" s="11" t="str">
        <f>IF(R2414="","",'[1]All Data '!BE2419)</f>
        <v/>
      </c>
      <c r="T2414" s="12" t="str">
        <f>IF(S2414="","",[1]Inputs_Outputs!$B$8*(1-'LOCH Calc COE Calc'!S2414))</f>
        <v/>
      </c>
      <c r="U2414" s="13" t="str">
        <f t="shared" si="186"/>
        <v/>
      </c>
      <c r="V2414" s="13" t="str">
        <f t="shared" si="187"/>
        <v/>
      </c>
      <c r="W2414" s="4" t="str">
        <f t="shared" si="188"/>
        <v/>
      </c>
      <c r="X2414" t="str">
        <f>IF(W2414="","",LOOKUP(_xlfn.CONCAT(P2414,", ",Q2414),'[1]T+S Costs'!$F$2:$F$3138,'[1]T+S Costs'!$N$2:$N$3138))</f>
        <v/>
      </c>
      <c r="Y2414" s="14" t="str">
        <f t="shared" si="189"/>
        <v/>
      </c>
      <c r="Z2414" s="4" t="str">
        <f t="shared" si="190"/>
        <v/>
      </c>
    </row>
    <row r="2415" spans="16:26" x14ac:dyDescent="0.25">
      <c r="P2415" s="10" t="str">
        <f>IF('[1]All Data '!AZ2420="","",'[1]All Data '!AZ2420)</f>
        <v/>
      </c>
      <c r="Q2415" s="10" t="str">
        <f>IF('[1]All Data '!BB2420="","",'[1]All Data '!BB2420)</f>
        <v/>
      </c>
      <c r="R2415" s="10" t="str">
        <f>IF('[1]All Data '!BD2420="","",'[1]All Data '!BD2420)</f>
        <v/>
      </c>
      <c r="S2415" s="11" t="str">
        <f>IF(R2415="","",'[1]All Data '!BE2420)</f>
        <v/>
      </c>
      <c r="T2415" s="12" t="str">
        <f>IF(S2415="","",[1]Inputs_Outputs!$B$8*(1-'LOCH Calc COE Calc'!S2415))</f>
        <v/>
      </c>
      <c r="U2415" s="13" t="str">
        <f t="shared" si="186"/>
        <v/>
      </c>
      <c r="V2415" s="13" t="str">
        <f t="shared" si="187"/>
        <v/>
      </c>
      <c r="W2415" s="4" t="str">
        <f t="shared" si="188"/>
        <v/>
      </c>
      <c r="X2415" t="str">
        <f>IF(W2415="","",LOOKUP(_xlfn.CONCAT(P2415,", ",Q2415),'[1]T+S Costs'!$F$2:$F$3138,'[1]T+S Costs'!$N$2:$N$3138))</f>
        <v/>
      </c>
      <c r="Y2415" s="14" t="str">
        <f t="shared" si="189"/>
        <v/>
      </c>
      <c r="Z2415" s="4" t="str">
        <f t="shared" si="190"/>
        <v/>
      </c>
    </row>
    <row r="2416" spans="16:26" x14ac:dyDescent="0.25">
      <c r="P2416" s="10" t="str">
        <f>IF('[1]All Data '!AZ2421="","",'[1]All Data '!AZ2421)</f>
        <v/>
      </c>
      <c r="Q2416" s="10" t="str">
        <f>IF('[1]All Data '!BB2421="","",'[1]All Data '!BB2421)</f>
        <v/>
      </c>
      <c r="R2416" s="10" t="str">
        <f>IF('[1]All Data '!BD2421="","",'[1]All Data '!BD2421)</f>
        <v/>
      </c>
      <c r="S2416" s="11" t="str">
        <f>IF(R2416="","",'[1]All Data '!BE2421)</f>
        <v/>
      </c>
      <c r="T2416" s="12" t="str">
        <f>IF(S2416="","",[1]Inputs_Outputs!$B$8*(1-'LOCH Calc COE Calc'!S2416))</f>
        <v/>
      </c>
      <c r="U2416" s="13" t="str">
        <f t="shared" si="186"/>
        <v/>
      </c>
      <c r="V2416" s="13" t="str">
        <f t="shared" si="187"/>
        <v/>
      </c>
      <c r="W2416" s="4" t="str">
        <f t="shared" si="188"/>
        <v/>
      </c>
      <c r="X2416" t="str">
        <f>IF(W2416="","",LOOKUP(_xlfn.CONCAT(P2416,", ",Q2416),'[1]T+S Costs'!$F$2:$F$3138,'[1]T+S Costs'!$N$2:$N$3138))</f>
        <v/>
      </c>
      <c r="Y2416" s="14" t="str">
        <f t="shared" si="189"/>
        <v/>
      </c>
      <c r="Z2416" s="4" t="str">
        <f t="shared" si="190"/>
        <v/>
      </c>
    </row>
    <row r="2417" spans="16:26" x14ac:dyDescent="0.25">
      <c r="P2417" s="10" t="str">
        <f>IF('[1]All Data '!AZ2422="","",'[1]All Data '!AZ2422)</f>
        <v/>
      </c>
      <c r="Q2417" s="10" t="str">
        <f>IF('[1]All Data '!BB2422="","",'[1]All Data '!BB2422)</f>
        <v/>
      </c>
      <c r="R2417" s="10" t="str">
        <f>IF('[1]All Data '!BD2422="","",'[1]All Data '!BD2422)</f>
        <v/>
      </c>
      <c r="S2417" s="11" t="str">
        <f>IF(R2417="","",'[1]All Data '!BE2422)</f>
        <v/>
      </c>
      <c r="T2417" s="12" t="str">
        <f>IF(S2417="","",[1]Inputs_Outputs!$B$8*(1-'LOCH Calc COE Calc'!S2417))</f>
        <v/>
      </c>
      <c r="U2417" s="13" t="str">
        <f t="shared" si="186"/>
        <v/>
      </c>
      <c r="V2417" s="13" t="str">
        <f t="shared" si="187"/>
        <v/>
      </c>
      <c r="W2417" s="4" t="str">
        <f t="shared" si="188"/>
        <v/>
      </c>
      <c r="X2417" t="str">
        <f>IF(W2417="","",LOOKUP(_xlfn.CONCAT(P2417,", ",Q2417),'[1]T+S Costs'!$F$2:$F$3138,'[1]T+S Costs'!$N$2:$N$3138))</f>
        <v/>
      </c>
      <c r="Y2417" s="14" t="str">
        <f t="shared" si="189"/>
        <v/>
      </c>
      <c r="Z2417" s="4" t="str">
        <f t="shared" si="190"/>
        <v/>
      </c>
    </row>
    <row r="2418" spans="16:26" x14ac:dyDescent="0.25">
      <c r="P2418" s="10" t="str">
        <f>IF('[1]All Data '!AZ2423="","",'[1]All Data '!AZ2423)</f>
        <v/>
      </c>
      <c r="Q2418" s="10" t="str">
        <f>IF('[1]All Data '!BB2423="","",'[1]All Data '!BB2423)</f>
        <v/>
      </c>
      <c r="R2418" s="10" t="str">
        <f>IF('[1]All Data '!BD2423="","",'[1]All Data '!BD2423)</f>
        <v/>
      </c>
      <c r="S2418" s="11" t="str">
        <f>IF(R2418="","",'[1]All Data '!BE2423)</f>
        <v/>
      </c>
      <c r="T2418" s="12" t="str">
        <f>IF(S2418="","",[1]Inputs_Outputs!$B$8*(1-'LOCH Calc COE Calc'!S2418))</f>
        <v/>
      </c>
      <c r="U2418" s="13" t="str">
        <f t="shared" si="186"/>
        <v/>
      </c>
      <c r="V2418" s="13" t="str">
        <f t="shared" si="187"/>
        <v/>
      </c>
      <c r="W2418" s="4" t="str">
        <f t="shared" si="188"/>
        <v/>
      </c>
      <c r="X2418" t="str">
        <f>IF(W2418="","",LOOKUP(_xlfn.CONCAT(P2418,", ",Q2418),'[1]T+S Costs'!$F$2:$F$3138,'[1]T+S Costs'!$N$2:$N$3138))</f>
        <v/>
      </c>
      <c r="Y2418" s="14" t="str">
        <f t="shared" si="189"/>
        <v/>
      </c>
      <c r="Z2418" s="4" t="str">
        <f t="shared" si="190"/>
        <v/>
      </c>
    </row>
    <row r="2419" spans="16:26" x14ac:dyDescent="0.25">
      <c r="P2419" s="10" t="str">
        <f>IF('[1]All Data '!AZ2424="","",'[1]All Data '!AZ2424)</f>
        <v/>
      </c>
      <c r="Q2419" s="10" t="str">
        <f>IF('[1]All Data '!BB2424="","",'[1]All Data '!BB2424)</f>
        <v/>
      </c>
      <c r="R2419" s="10" t="str">
        <f>IF('[1]All Data '!BD2424="","",'[1]All Data '!BD2424)</f>
        <v/>
      </c>
      <c r="S2419" s="11" t="str">
        <f>IF(R2419="","",'[1]All Data '!BE2424)</f>
        <v/>
      </c>
      <c r="T2419" s="12" t="str">
        <f>IF(S2419="","",[1]Inputs_Outputs!$B$8*(1-'LOCH Calc COE Calc'!S2419))</f>
        <v/>
      </c>
      <c r="U2419" s="13" t="str">
        <f t="shared" si="186"/>
        <v/>
      </c>
      <c r="V2419" s="13" t="str">
        <f t="shared" si="187"/>
        <v/>
      </c>
      <c r="W2419" s="4" t="str">
        <f t="shared" si="188"/>
        <v/>
      </c>
      <c r="X2419" t="str">
        <f>IF(W2419="","",LOOKUP(_xlfn.CONCAT(P2419,", ",Q2419),'[1]T+S Costs'!$F$2:$F$3138,'[1]T+S Costs'!$N$2:$N$3138))</f>
        <v/>
      </c>
      <c r="Y2419" s="14" t="str">
        <f t="shared" si="189"/>
        <v/>
      </c>
      <c r="Z2419" s="4" t="str">
        <f t="shared" si="190"/>
        <v/>
      </c>
    </row>
    <row r="2420" spans="16:26" x14ac:dyDescent="0.25">
      <c r="P2420" s="10" t="str">
        <f>IF('[1]All Data '!AZ2425="","",'[1]All Data '!AZ2425)</f>
        <v/>
      </c>
      <c r="Q2420" s="10" t="str">
        <f>IF('[1]All Data '!BB2425="","",'[1]All Data '!BB2425)</f>
        <v/>
      </c>
      <c r="R2420" s="10" t="str">
        <f>IF('[1]All Data '!BD2425="","",'[1]All Data '!BD2425)</f>
        <v/>
      </c>
      <c r="S2420" s="11" t="str">
        <f>IF(R2420="","",'[1]All Data '!BE2425)</f>
        <v/>
      </c>
      <c r="T2420" s="12" t="str">
        <f>IF(S2420="","",[1]Inputs_Outputs!$B$8*(1-'LOCH Calc COE Calc'!S2420))</f>
        <v/>
      </c>
      <c r="U2420" s="13" t="str">
        <f t="shared" si="186"/>
        <v/>
      </c>
      <c r="V2420" s="13" t="str">
        <f t="shared" si="187"/>
        <v/>
      </c>
      <c r="W2420" s="4" t="str">
        <f t="shared" si="188"/>
        <v/>
      </c>
      <c r="X2420" t="str">
        <f>IF(W2420="","",LOOKUP(_xlfn.CONCAT(P2420,", ",Q2420),'[1]T+S Costs'!$F$2:$F$3138,'[1]T+S Costs'!$N$2:$N$3138))</f>
        <v/>
      </c>
      <c r="Y2420" s="14" t="str">
        <f t="shared" si="189"/>
        <v/>
      </c>
      <c r="Z2420" s="4" t="str">
        <f t="shared" si="190"/>
        <v/>
      </c>
    </row>
    <row r="2421" spans="16:26" x14ac:dyDescent="0.25">
      <c r="P2421" s="10" t="str">
        <f>IF('[1]All Data '!AZ2426="","",'[1]All Data '!AZ2426)</f>
        <v/>
      </c>
      <c r="Q2421" s="10" t="str">
        <f>IF('[1]All Data '!BB2426="","",'[1]All Data '!BB2426)</f>
        <v/>
      </c>
      <c r="R2421" s="10" t="str">
        <f>IF('[1]All Data '!BD2426="","",'[1]All Data '!BD2426)</f>
        <v/>
      </c>
      <c r="S2421" s="11" t="str">
        <f>IF(R2421="","",'[1]All Data '!BE2426)</f>
        <v/>
      </c>
      <c r="T2421" s="12" t="str">
        <f>IF(S2421="","",[1]Inputs_Outputs!$B$8*(1-'LOCH Calc COE Calc'!S2421))</f>
        <v/>
      </c>
      <c r="U2421" s="13" t="str">
        <f t="shared" si="186"/>
        <v/>
      </c>
      <c r="V2421" s="13" t="str">
        <f t="shared" si="187"/>
        <v/>
      </c>
      <c r="W2421" s="4" t="str">
        <f t="shared" si="188"/>
        <v/>
      </c>
      <c r="X2421" t="str">
        <f>IF(W2421="","",LOOKUP(_xlfn.CONCAT(P2421,", ",Q2421),'[1]T+S Costs'!$F$2:$F$3138,'[1]T+S Costs'!$N$2:$N$3138))</f>
        <v/>
      </c>
      <c r="Y2421" s="14" t="str">
        <f t="shared" si="189"/>
        <v/>
      </c>
      <c r="Z2421" s="4" t="str">
        <f t="shared" si="190"/>
        <v/>
      </c>
    </row>
    <row r="2422" spans="16:26" x14ac:dyDescent="0.25">
      <c r="P2422" s="10" t="str">
        <f>IF('[1]All Data '!AZ2427="","",'[1]All Data '!AZ2427)</f>
        <v/>
      </c>
      <c r="Q2422" s="10" t="str">
        <f>IF('[1]All Data '!BB2427="","",'[1]All Data '!BB2427)</f>
        <v/>
      </c>
      <c r="R2422" s="10" t="str">
        <f>IF('[1]All Data '!BD2427="","",'[1]All Data '!BD2427)</f>
        <v/>
      </c>
      <c r="S2422" s="11" t="str">
        <f>IF(R2422="","",'[1]All Data '!BE2427)</f>
        <v/>
      </c>
      <c r="T2422" s="12" t="str">
        <f>IF(S2422="","",[1]Inputs_Outputs!$B$8*(1-'LOCH Calc COE Calc'!S2422))</f>
        <v/>
      </c>
      <c r="U2422" s="13" t="str">
        <f t="shared" si="186"/>
        <v/>
      </c>
      <c r="V2422" s="13" t="str">
        <f t="shared" si="187"/>
        <v/>
      </c>
      <c r="W2422" s="4" t="str">
        <f t="shared" si="188"/>
        <v/>
      </c>
      <c r="X2422" t="str">
        <f>IF(W2422="","",LOOKUP(_xlfn.CONCAT(P2422,", ",Q2422),'[1]T+S Costs'!$F$2:$F$3138,'[1]T+S Costs'!$N$2:$N$3138))</f>
        <v/>
      </c>
      <c r="Y2422" s="14" t="str">
        <f t="shared" si="189"/>
        <v/>
      </c>
      <c r="Z2422" s="4" t="str">
        <f t="shared" si="190"/>
        <v/>
      </c>
    </row>
    <row r="2423" spans="16:26" x14ac:dyDescent="0.25">
      <c r="P2423" s="10" t="str">
        <f>IF('[1]All Data '!AZ2428="","",'[1]All Data '!AZ2428)</f>
        <v/>
      </c>
      <c r="Q2423" s="10" t="str">
        <f>IF('[1]All Data '!BB2428="","",'[1]All Data '!BB2428)</f>
        <v/>
      </c>
      <c r="R2423" s="10" t="str">
        <f>IF('[1]All Data '!BD2428="","",'[1]All Data '!BD2428)</f>
        <v/>
      </c>
      <c r="S2423" s="11" t="str">
        <f>IF(R2423="","",'[1]All Data '!BE2428)</f>
        <v/>
      </c>
      <c r="T2423" s="12" t="str">
        <f>IF(S2423="","",[1]Inputs_Outputs!$B$8*(1-'LOCH Calc COE Calc'!S2423))</f>
        <v/>
      </c>
      <c r="U2423" s="13" t="str">
        <f t="shared" si="186"/>
        <v/>
      </c>
      <c r="V2423" s="13" t="str">
        <f t="shared" si="187"/>
        <v/>
      </c>
      <c r="W2423" s="4" t="str">
        <f t="shared" si="188"/>
        <v/>
      </c>
      <c r="X2423" t="str">
        <f>IF(W2423="","",LOOKUP(_xlfn.CONCAT(P2423,", ",Q2423),'[1]T+S Costs'!$F$2:$F$3138,'[1]T+S Costs'!$N$2:$N$3138))</f>
        <v/>
      </c>
      <c r="Y2423" s="14" t="str">
        <f t="shared" si="189"/>
        <v/>
      </c>
      <c r="Z2423" s="4" t="str">
        <f t="shared" si="190"/>
        <v/>
      </c>
    </row>
    <row r="2424" spans="16:26" x14ac:dyDescent="0.25">
      <c r="P2424" s="10" t="str">
        <f>IF('[1]All Data '!AZ2429="","",'[1]All Data '!AZ2429)</f>
        <v/>
      </c>
      <c r="Q2424" s="10" t="str">
        <f>IF('[1]All Data '!BB2429="","",'[1]All Data '!BB2429)</f>
        <v/>
      </c>
      <c r="R2424" s="10" t="str">
        <f>IF('[1]All Data '!BD2429="","",'[1]All Data '!BD2429)</f>
        <v/>
      </c>
      <c r="S2424" s="11" t="str">
        <f>IF(R2424="","",'[1]All Data '!BE2429)</f>
        <v/>
      </c>
      <c r="T2424" s="12" t="str">
        <f>IF(S2424="","",[1]Inputs_Outputs!$B$8*(1-'LOCH Calc COE Calc'!S2424))</f>
        <v/>
      </c>
      <c r="U2424" s="13" t="str">
        <f t="shared" si="186"/>
        <v/>
      </c>
      <c r="V2424" s="13" t="str">
        <f t="shared" si="187"/>
        <v/>
      </c>
      <c r="W2424" s="4" t="str">
        <f t="shared" si="188"/>
        <v/>
      </c>
      <c r="X2424" t="str">
        <f>IF(W2424="","",LOOKUP(_xlfn.CONCAT(P2424,", ",Q2424),'[1]T+S Costs'!$F$2:$F$3138,'[1]T+S Costs'!$N$2:$N$3138))</f>
        <v/>
      </c>
      <c r="Y2424" s="14" t="str">
        <f t="shared" si="189"/>
        <v/>
      </c>
      <c r="Z2424" s="4" t="str">
        <f t="shared" si="190"/>
        <v/>
      </c>
    </row>
    <row r="2425" spans="16:26" x14ac:dyDescent="0.25">
      <c r="P2425" s="10" t="str">
        <f>IF('[1]All Data '!AZ2430="","",'[1]All Data '!AZ2430)</f>
        <v/>
      </c>
      <c r="Q2425" s="10" t="str">
        <f>IF('[1]All Data '!BB2430="","",'[1]All Data '!BB2430)</f>
        <v/>
      </c>
      <c r="R2425" s="10" t="str">
        <f>IF('[1]All Data '!BD2430="","",'[1]All Data '!BD2430)</f>
        <v/>
      </c>
      <c r="S2425" s="11" t="str">
        <f>IF(R2425="","",'[1]All Data '!BE2430)</f>
        <v/>
      </c>
      <c r="T2425" s="12" t="str">
        <f>IF(S2425="","",[1]Inputs_Outputs!$B$8*(1-'LOCH Calc COE Calc'!S2425))</f>
        <v/>
      </c>
      <c r="U2425" s="13" t="str">
        <f t="shared" si="186"/>
        <v/>
      </c>
      <c r="V2425" s="13" t="str">
        <f t="shared" si="187"/>
        <v/>
      </c>
      <c r="W2425" s="4" t="str">
        <f t="shared" si="188"/>
        <v/>
      </c>
      <c r="X2425" t="str">
        <f>IF(W2425="","",LOOKUP(_xlfn.CONCAT(P2425,", ",Q2425),'[1]T+S Costs'!$F$2:$F$3138,'[1]T+S Costs'!$N$2:$N$3138))</f>
        <v/>
      </c>
      <c r="Y2425" s="14" t="str">
        <f t="shared" si="189"/>
        <v/>
      </c>
      <c r="Z2425" s="4" t="str">
        <f t="shared" si="190"/>
        <v/>
      </c>
    </row>
    <row r="2426" spans="16:26" x14ac:dyDescent="0.25">
      <c r="P2426" s="10" t="str">
        <f>IF('[1]All Data '!AZ2431="","",'[1]All Data '!AZ2431)</f>
        <v/>
      </c>
      <c r="Q2426" s="10" t="str">
        <f>IF('[1]All Data '!BB2431="","",'[1]All Data '!BB2431)</f>
        <v/>
      </c>
      <c r="R2426" s="10" t="str">
        <f>IF('[1]All Data '!BD2431="","",'[1]All Data '!BD2431)</f>
        <v/>
      </c>
      <c r="S2426" s="11" t="str">
        <f>IF(R2426="","",'[1]All Data '!BE2431)</f>
        <v/>
      </c>
      <c r="T2426" s="12" t="str">
        <f>IF(S2426="","",[1]Inputs_Outputs!$B$8*(1-'LOCH Calc COE Calc'!S2426))</f>
        <v/>
      </c>
      <c r="U2426" s="13" t="str">
        <f t="shared" si="186"/>
        <v/>
      </c>
      <c r="V2426" s="13" t="str">
        <f t="shared" si="187"/>
        <v/>
      </c>
      <c r="W2426" s="4" t="str">
        <f t="shared" si="188"/>
        <v/>
      </c>
      <c r="X2426" t="str">
        <f>IF(W2426="","",LOOKUP(_xlfn.CONCAT(P2426,", ",Q2426),'[1]T+S Costs'!$F$2:$F$3138,'[1]T+S Costs'!$N$2:$N$3138))</f>
        <v/>
      </c>
      <c r="Y2426" s="14" t="str">
        <f t="shared" si="189"/>
        <v/>
      </c>
      <c r="Z2426" s="4" t="str">
        <f t="shared" si="190"/>
        <v/>
      </c>
    </row>
    <row r="2427" spans="16:26" x14ac:dyDescent="0.25">
      <c r="P2427" s="10" t="str">
        <f>IF('[1]All Data '!AZ2432="","",'[1]All Data '!AZ2432)</f>
        <v/>
      </c>
      <c r="Q2427" s="10" t="str">
        <f>IF('[1]All Data '!BB2432="","",'[1]All Data '!BB2432)</f>
        <v/>
      </c>
      <c r="R2427" s="10" t="str">
        <f>IF('[1]All Data '!BD2432="","",'[1]All Data '!BD2432)</f>
        <v/>
      </c>
      <c r="S2427" s="11" t="str">
        <f>IF(R2427="","",'[1]All Data '!BE2432)</f>
        <v/>
      </c>
      <c r="T2427" s="12" t="str">
        <f>IF(S2427="","",[1]Inputs_Outputs!$B$8*(1-'LOCH Calc COE Calc'!S2427))</f>
        <v/>
      </c>
      <c r="U2427" s="13" t="str">
        <f t="shared" si="186"/>
        <v/>
      </c>
      <c r="V2427" s="13" t="str">
        <f t="shared" si="187"/>
        <v/>
      </c>
      <c r="W2427" s="4" t="str">
        <f t="shared" si="188"/>
        <v/>
      </c>
      <c r="X2427" t="str">
        <f>IF(W2427="","",LOOKUP(_xlfn.CONCAT(P2427,", ",Q2427),'[1]T+S Costs'!$F$2:$F$3138,'[1]T+S Costs'!$N$2:$N$3138))</f>
        <v/>
      </c>
      <c r="Y2427" s="14" t="str">
        <f t="shared" si="189"/>
        <v/>
      </c>
      <c r="Z2427" s="4" t="str">
        <f t="shared" si="190"/>
        <v/>
      </c>
    </row>
    <row r="2428" spans="16:26" x14ac:dyDescent="0.25">
      <c r="P2428" s="10" t="str">
        <f>IF('[1]All Data '!AZ2433="","",'[1]All Data '!AZ2433)</f>
        <v/>
      </c>
      <c r="Q2428" s="10" t="str">
        <f>IF('[1]All Data '!BB2433="","",'[1]All Data '!BB2433)</f>
        <v/>
      </c>
      <c r="R2428" s="10" t="str">
        <f>IF('[1]All Data '!BD2433="","",'[1]All Data '!BD2433)</f>
        <v/>
      </c>
      <c r="S2428" s="11" t="str">
        <f>IF(R2428="","",'[1]All Data '!BE2433)</f>
        <v/>
      </c>
      <c r="T2428" s="12" t="str">
        <f>IF(S2428="","",[1]Inputs_Outputs!$B$8*(1-'LOCH Calc COE Calc'!S2428))</f>
        <v/>
      </c>
      <c r="U2428" s="13" t="str">
        <f t="shared" si="186"/>
        <v/>
      </c>
      <c r="V2428" s="13" t="str">
        <f t="shared" si="187"/>
        <v/>
      </c>
      <c r="W2428" s="4" t="str">
        <f t="shared" si="188"/>
        <v/>
      </c>
      <c r="X2428" t="str">
        <f>IF(W2428="","",LOOKUP(_xlfn.CONCAT(P2428,", ",Q2428),'[1]T+S Costs'!$F$2:$F$3138,'[1]T+S Costs'!$N$2:$N$3138))</f>
        <v/>
      </c>
      <c r="Y2428" s="14" t="str">
        <f t="shared" si="189"/>
        <v/>
      </c>
      <c r="Z2428" s="4" t="str">
        <f t="shared" si="190"/>
        <v/>
      </c>
    </row>
    <row r="2429" spans="16:26" x14ac:dyDescent="0.25">
      <c r="P2429" s="10" t="str">
        <f>IF('[1]All Data '!AZ2434="","",'[1]All Data '!AZ2434)</f>
        <v/>
      </c>
      <c r="Q2429" s="10" t="str">
        <f>IF('[1]All Data '!BB2434="","",'[1]All Data '!BB2434)</f>
        <v/>
      </c>
      <c r="R2429" s="10" t="str">
        <f>IF('[1]All Data '!BD2434="","",'[1]All Data '!BD2434)</f>
        <v/>
      </c>
      <c r="S2429" s="11" t="str">
        <f>IF(R2429="","",'[1]All Data '!BE2434)</f>
        <v/>
      </c>
      <c r="T2429" s="12" t="str">
        <f>IF(S2429="","",[1]Inputs_Outputs!$B$8*(1-'LOCH Calc COE Calc'!S2429))</f>
        <v/>
      </c>
      <c r="U2429" s="13" t="str">
        <f t="shared" si="186"/>
        <v/>
      </c>
      <c r="V2429" s="13" t="str">
        <f t="shared" si="187"/>
        <v/>
      </c>
      <c r="W2429" s="4" t="str">
        <f t="shared" si="188"/>
        <v/>
      </c>
      <c r="X2429" t="str">
        <f>IF(W2429="","",LOOKUP(_xlfn.CONCAT(P2429,", ",Q2429),'[1]T+S Costs'!$F$2:$F$3138,'[1]T+S Costs'!$N$2:$N$3138))</f>
        <v/>
      </c>
      <c r="Y2429" s="14" t="str">
        <f t="shared" si="189"/>
        <v/>
      </c>
      <c r="Z2429" s="4" t="str">
        <f t="shared" si="190"/>
        <v/>
      </c>
    </row>
    <row r="2430" spans="16:26" x14ac:dyDescent="0.25">
      <c r="P2430" s="10" t="str">
        <f>IF('[1]All Data '!AZ2435="","",'[1]All Data '!AZ2435)</f>
        <v/>
      </c>
      <c r="Q2430" s="10" t="str">
        <f>IF('[1]All Data '!BB2435="","",'[1]All Data '!BB2435)</f>
        <v/>
      </c>
      <c r="R2430" s="10" t="str">
        <f>IF('[1]All Data '!BD2435="","",'[1]All Data '!BD2435)</f>
        <v/>
      </c>
      <c r="S2430" s="11" t="str">
        <f>IF(R2430="","",'[1]All Data '!BE2435)</f>
        <v/>
      </c>
      <c r="T2430" s="12" t="str">
        <f>IF(S2430="","",[1]Inputs_Outputs!$B$8*(1-'LOCH Calc COE Calc'!S2430))</f>
        <v/>
      </c>
      <c r="U2430" s="13" t="str">
        <f t="shared" si="186"/>
        <v/>
      </c>
      <c r="V2430" s="13" t="str">
        <f t="shared" si="187"/>
        <v/>
      </c>
      <c r="W2430" s="4" t="str">
        <f t="shared" si="188"/>
        <v/>
      </c>
      <c r="X2430" t="str">
        <f>IF(W2430="","",LOOKUP(_xlfn.CONCAT(P2430,", ",Q2430),'[1]T+S Costs'!$F$2:$F$3138,'[1]T+S Costs'!$N$2:$N$3138))</f>
        <v/>
      </c>
      <c r="Y2430" s="14" t="str">
        <f t="shared" si="189"/>
        <v/>
      </c>
      <c r="Z2430" s="4" t="str">
        <f t="shared" si="190"/>
        <v/>
      </c>
    </row>
    <row r="2431" spans="16:26" x14ac:dyDescent="0.25">
      <c r="P2431" s="10" t="str">
        <f>IF('[1]All Data '!AZ2436="","",'[1]All Data '!AZ2436)</f>
        <v/>
      </c>
      <c r="Q2431" s="10" t="str">
        <f>IF('[1]All Data '!BB2436="","",'[1]All Data '!BB2436)</f>
        <v/>
      </c>
      <c r="R2431" s="10" t="str">
        <f>IF('[1]All Data '!BD2436="","",'[1]All Data '!BD2436)</f>
        <v/>
      </c>
      <c r="S2431" s="11" t="str">
        <f>IF(R2431="","",'[1]All Data '!BE2436)</f>
        <v/>
      </c>
      <c r="T2431" s="12" t="str">
        <f>IF(S2431="","",[1]Inputs_Outputs!$B$8*(1-'LOCH Calc COE Calc'!S2431))</f>
        <v/>
      </c>
      <c r="U2431" s="13" t="str">
        <f t="shared" si="186"/>
        <v/>
      </c>
      <c r="V2431" s="13" t="str">
        <f t="shared" si="187"/>
        <v/>
      </c>
      <c r="W2431" s="4" t="str">
        <f t="shared" si="188"/>
        <v/>
      </c>
      <c r="X2431" t="str">
        <f>IF(W2431="","",LOOKUP(_xlfn.CONCAT(P2431,", ",Q2431),'[1]T+S Costs'!$F$2:$F$3138,'[1]T+S Costs'!$N$2:$N$3138))</f>
        <v/>
      </c>
      <c r="Y2431" s="14" t="str">
        <f t="shared" si="189"/>
        <v/>
      </c>
      <c r="Z2431" s="4" t="str">
        <f t="shared" si="190"/>
        <v/>
      </c>
    </row>
    <row r="2432" spans="16:26" x14ac:dyDescent="0.25">
      <c r="P2432" s="10" t="str">
        <f>IF('[1]All Data '!AZ2437="","",'[1]All Data '!AZ2437)</f>
        <v/>
      </c>
      <c r="Q2432" s="10" t="str">
        <f>IF('[1]All Data '!BB2437="","",'[1]All Data '!BB2437)</f>
        <v/>
      </c>
      <c r="R2432" s="10" t="str">
        <f>IF('[1]All Data '!BD2437="","",'[1]All Data '!BD2437)</f>
        <v/>
      </c>
      <c r="S2432" s="11" t="str">
        <f>IF(R2432="","",'[1]All Data '!BE2437)</f>
        <v/>
      </c>
      <c r="T2432" s="12" t="str">
        <f>IF(S2432="","",[1]Inputs_Outputs!$B$8*(1-'LOCH Calc COE Calc'!S2432))</f>
        <v/>
      </c>
      <c r="U2432" s="13" t="str">
        <f t="shared" si="186"/>
        <v/>
      </c>
      <c r="V2432" s="13" t="str">
        <f t="shared" si="187"/>
        <v/>
      </c>
      <c r="W2432" s="4" t="str">
        <f t="shared" si="188"/>
        <v/>
      </c>
      <c r="X2432" t="str">
        <f>IF(W2432="","",LOOKUP(_xlfn.CONCAT(P2432,", ",Q2432),'[1]T+S Costs'!$F$2:$F$3138,'[1]T+S Costs'!$N$2:$N$3138))</f>
        <v/>
      </c>
      <c r="Y2432" s="14" t="str">
        <f t="shared" si="189"/>
        <v/>
      </c>
      <c r="Z2432" s="4" t="str">
        <f t="shared" si="190"/>
        <v/>
      </c>
    </row>
    <row r="2433" spans="16:26" x14ac:dyDescent="0.25">
      <c r="P2433" s="10" t="str">
        <f>IF('[1]All Data '!AZ2438="","",'[1]All Data '!AZ2438)</f>
        <v/>
      </c>
      <c r="Q2433" s="10" t="str">
        <f>IF('[1]All Data '!BB2438="","",'[1]All Data '!BB2438)</f>
        <v/>
      </c>
      <c r="R2433" s="10" t="str">
        <f>IF('[1]All Data '!BD2438="","",'[1]All Data '!BD2438)</f>
        <v/>
      </c>
      <c r="S2433" s="11" t="str">
        <f>IF(R2433="","",'[1]All Data '!BE2438)</f>
        <v/>
      </c>
      <c r="T2433" s="12" t="str">
        <f>IF(S2433="","",[1]Inputs_Outputs!$B$8*(1-'LOCH Calc COE Calc'!S2433))</f>
        <v/>
      </c>
      <c r="U2433" s="13" t="str">
        <f t="shared" si="186"/>
        <v/>
      </c>
      <c r="V2433" s="13" t="str">
        <f t="shared" si="187"/>
        <v/>
      </c>
      <c r="W2433" s="4" t="str">
        <f t="shared" si="188"/>
        <v/>
      </c>
      <c r="X2433" t="str">
        <f>IF(W2433="","",LOOKUP(_xlfn.CONCAT(P2433,", ",Q2433),'[1]T+S Costs'!$F$2:$F$3138,'[1]T+S Costs'!$N$2:$N$3138))</f>
        <v/>
      </c>
      <c r="Y2433" s="14" t="str">
        <f t="shared" si="189"/>
        <v/>
      </c>
      <c r="Z2433" s="4" t="str">
        <f t="shared" si="190"/>
        <v/>
      </c>
    </row>
    <row r="2434" spans="16:26" x14ac:dyDescent="0.25">
      <c r="P2434" s="10" t="str">
        <f>IF('[1]All Data '!AZ2439="","",'[1]All Data '!AZ2439)</f>
        <v/>
      </c>
      <c r="Q2434" s="10" t="str">
        <f>IF('[1]All Data '!BB2439="","",'[1]All Data '!BB2439)</f>
        <v/>
      </c>
      <c r="R2434" s="10" t="str">
        <f>IF('[1]All Data '!BD2439="","",'[1]All Data '!BD2439)</f>
        <v/>
      </c>
      <c r="S2434" s="11" t="str">
        <f>IF(R2434="","",'[1]All Data '!BE2439)</f>
        <v/>
      </c>
      <c r="T2434" s="12" t="str">
        <f>IF(S2434="","",[1]Inputs_Outputs!$B$8*(1-'LOCH Calc COE Calc'!S2434))</f>
        <v/>
      </c>
      <c r="U2434" s="13" t="str">
        <f t="shared" si="186"/>
        <v/>
      </c>
      <c r="V2434" s="13" t="str">
        <f t="shared" si="187"/>
        <v/>
      </c>
      <c r="W2434" s="4" t="str">
        <f t="shared" si="188"/>
        <v/>
      </c>
      <c r="X2434" t="str">
        <f>IF(W2434="","",LOOKUP(_xlfn.CONCAT(P2434,", ",Q2434),'[1]T+S Costs'!$F$2:$F$3138,'[1]T+S Costs'!$N$2:$N$3138))</f>
        <v/>
      </c>
      <c r="Y2434" s="14" t="str">
        <f t="shared" si="189"/>
        <v/>
      </c>
      <c r="Z2434" s="4" t="str">
        <f t="shared" si="190"/>
        <v/>
      </c>
    </row>
    <row r="2435" spans="16:26" x14ac:dyDescent="0.25">
      <c r="P2435" s="10" t="str">
        <f>IF('[1]All Data '!AZ2440="","",'[1]All Data '!AZ2440)</f>
        <v/>
      </c>
      <c r="Q2435" s="10" t="str">
        <f>IF('[1]All Data '!BB2440="","",'[1]All Data '!BB2440)</f>
        <v/>
      </c>
      <c r="R2435" s="10" t="str">
        <f>IF('[1]All Data '!BD2440="","",'[1]All Data '!BD2440)</f>
        <v/>
      </c>
      <c r="S2435" s="11" t="str">
        <f>IF(R2435="","",'[1]All Data '!BE2440)</f>
        <v/>
      </c>
      <c r="T2435" s="12" t="str">
        <f>IF(S2435="","",[1]Inputs_Outputs!$B$8*(1-'LOCH Calc COE Calc'!S2435))</f>
        <v/>
      </c>
      <c r="U2435" s="13" t="str">
        <f t="shared" ref="U2435:U2498" si="191">IF(S2435="","",R2435*T2435*365*$B$19/100)</f>
        <v/>
      </c>
      <c r="V2435" s="13" t="str">
        <f t="shared" ref="V2435:V2498" si="192">IF(S2435="","",(U2435*$B$19)/(($B$28)*$B$19))</f>
        <v/>
      </c>
      <c r="W2435" s="4" t="str">
        <f t="shared" ref="W2435:W2498" si="193">IF(S2435="","",V2435+$C$49+$C$50+$C$51)</f>
        <v/>
      </c>
      <c r="X2435" t="str">
        <f>IF(W2435="","",LOOKUP(_xlfn.CONCAT(P2435,", ",Q2435),'[1]T+S Costs'!$F$2:$F$3138,'[1]T+S Costs'!$N$2:$N$3138))</f>
        <v/>
      </c>
      <c r="Y2435" s="14" t="str">
        <f t="shared" ref="Y2435:Y2498" si="194">IF(X2435="","",((X2435*$B$60/$B$59)*$C$44)/$C$28)</f>
        <v/>
      </c>
      <c r="Z2435" s="4" t="str">
        <f t="shared" ref="Z2435:Z2498" si="195">IF(Y2435="","",W2435+Y2435)</f>
        <v/>
      </c>
    </row>
    <row r="2436" spans="16:26" x14ac:dyDescent="0.25">
      <c r="P2436" s="10" t="str">
        <f>IF('[1]All Data '!AZ2441="","",'[1]All Data '!AZ2441)</f>
        <v/>
      </c>
      <c r="Q2436" s="10" t="str">
        <f>IF('[1]All Data '!BB2441="","",'[1]All Data '!BB2441)</f>
        <v/>
      </c>
      <c r="R2436" s="10" t="str">
        <f>IF('[1]All Data '!BD2441="","",'[1]All Data '!BD2441)</f>
        <v/>
      </c>
      <c r="S2436" s="11" t="str">
        <f>IF(R2436="","",'[1]All Data '!BE2441)</f>
        <v/>
      </c>
      <c r="T2436" s="12" t="str">
        <f>IF(S2436="","",[1]Inputs_Outputs!$B$8*(1-'LOCH Calc COE Calc'!S2436))</f>
        <v/>
      </c>
      <c r="U2436" s="13" t="str">
        <f t="shared" si="191"/>
        <v/>
      </c>
      <c r="V2436" s="13" t="str">
        <f t="shared" si="192"/>
        <v/>
      </c>
      <c r="W2436" s="4" t="str">
        <f t="shared" si="193"/>
        <v/>
      </c>
      <c r="X2436" t="str">
        <f>IF(W2436="","",LOOKUP(_xlfn.CONCAT(P2436,", ",Q2436),'[1]T+S Costs'!$F$2:$F$3138,'[1]T+S Costs'!$N$2:$N$3138))</f>
        <v/>
      </c>
      <c r="Y2436" s="14" t="str">
        <f t="shared" si="194"/>
        <v/>
      </c>
      <c r="Z2436" s="4" t="str">
        <f t="shared" si="195"/>
        <v/>
      </c>
    </row>
    <row r="2437" spans="16:26" x14ac:dyDescent="0.25">
      <c r="P2437" s="10" t="str">
        <f>IF('[1]All Data '!AZ2442="","",'[1]All Data '!AZ2442)</f>
        <v/>
      </c>
      <c r="Q2437" s="10" t="str">
        <f>IF('[1]All Data '!BB2442="","",'[1]All Data '!BB2442)</f>
        <v/>
      </c>
      <c r="R2437" s="10" t="str">
        <f>IF('[1]All Data '!BD2442="","",'[1]All Data '!BD2442)</f>
        <v/>
      </c>
      <c r="S2437" s="11" t="str">
        <f>IF(R2437="","",'[1]All Data '!BE2442)</f>
        <v/>
      </c>
      <c r="T2437" s="12" t="str">
        <f>IF(S2437="","",[1]Inputs_Outputs!$B$8*(1-'LOCH Calc COE Calc'!S2437))</f>
        <v/>
      </c>
      <c r="U2437" s="13" t="str">
        <f t="shared" si="191"/>
        <v/>
      </c>
      <c r="V2437" s="13" t="str">
        <f t="shared" si="192"/>
        <v/>
      </c>
      <c r="W2437" s="4" t="str">
        <f t="shared" si="193"/>
        <v/>
      </c>
      <c r="X2437" t="str">
        <f>IF(W2437="","",LOOKUP(_xlfn.CONCAT(P2437,", ",Q2437),'[1]T+S Costs'!$F$2:$F$3138,'[1]T+S Costs'!$N$2:$N$3138))</f>
        <v/>
      </c>
      <c r="Y2437" s="14" t="str">
        <f t="shared" si="194"/>
        <v/>
      </c>
      <c r="Z2437" s="4" t="str">
        <f t="shared" si="195"/>
        <v/>
      </c>
    </row>
    <row r="2438" spans="16:26" x14ac:dyDescent="0.25">
      <c r="P2438" s="10" t="str">
        <f>IF('[1]All Data '!AZ2443="","",'[1]All Data '!AZ2443)</f>
        <v/>
      </c>
      <c r="Q2438" s="10" t="str">
        <f>IF('[1]All Data '!BB2443="","",'[1]All Data '!BB2443)</f>
        <v/>
      </c>
      <c r="R2438" s="10" t="str">
        <f>IF('[1]All Data '!BD2443="","",'[1]All Data '!BD2443)</f>
        <v/>
      </c>
      <c r="S2438" s="11" t="str">
        <f>IF(R2438="","",'[1]All Data '!BE2443)</f>
        <v/>
      </c>
      <c r="T2438" s="12" t="str">
        <f>IF(S2438="","",[1]Inputs_Outputs!$B$8*(1-'LOCH Calc COE Calc'!S2438))</f>
        <v/>
      </c>
      <c r="U2438" s="13" t="str">
        <f t="shared" si="191"/>
        <v/>
      </c>
      <c r="V2438" s="13" t="str">
        <f t="shared" si="192"/>
        <v/>
      </c>
      <c r="W2438" s="4" t="str">
        <f t="shared" si="193"/>
        <v/>
      </c>
      <c r="X2438" t="str">
        <f>IF(W2438="","",LOOKUP(_xlfn.CONCAT(P2438,", ",Q2438),'[1]T+S Costs'!$F$2:$F$3138,'[1]T+S Costs'!$N$2:$N$3138))</f>
        <v/>
      </c>
      <c r="Y2438" s="14" t="str">
        <f t="shared" si="194"/>
        <v/>
      </c>
      <c r="Z2438" s="4" t="str">
        <f t="shared" si="195"/>
        <v/>
      </c>
    </row>
    <row r="2439" spans="16:26" x14ac:dyDescent="0.25">
      <c r="P2439" s="10" t="str">
        <f>IF('[1]All Data '!AZ2444="","",'[1]All Data '!AZ2444)</f>
        <v/>
      </c>
      <c r="Q2439" s="10" t="str">
        <f>IF('[1]All Data '!BB2444="","",'[1]All Data '!BB2444)</f>
        <v/>
      </c>
      <c r="R2439" s="10" t="str">
        <f>IF('[1]All Data '!BD2444="","",'[1]All Data '!BD2444)</f>
        <v/>
      </c>
      <c r="S2439" s="11" t="str">
        <f>IF(R2439="","",'[1]All Data '!BE2444)</f>
        <v/>
      </c>
      <c r="T2439" s="12" t="str">
        <f>IF(S2439="","",[1]Inputs_Outputs!$B$8*(1-'LOCH Calc COE Calc'!S2439))</f>
        <v/>
      </c>
      <c r="U2439" s="13" t="str">
        <f t="shared" si="191"/>
        <v/>
      </c>
      <c r="V2439" s="13" t="str">
        <f t="shared" si="192"/>
        <v/>
      </c>
      <c r="W2439" s="4" t="str">
        <f t="shared" si="193"/>
        <v/>
      </c>
      <c r="X2439" t="str">
        <f>IF(W2439="","",LOOKUP(_xlfn.CONCAT(P2439,", ",Q2439),'[1]T+S Costs'!$F$2:$F$3138,'[1]T+S Costs'!$N$2:$N$3138))</f>
        <v/>
      </c>
      <c r="Y2439" s="14" t="str">
        <f t="shared" si="194"/>
        <v/>
      </c>
      <c r="Z2439" s="4" t="str">
        <f t="shared" si="195"/>
        <v/>
      </c>
    </row>
    <row r="2440" spans="16:26" x14ac:dyDescent="0.25">
      <c r="P2440" s="10" t="str">
        <f>IF('[1]All Data '!AZ2445="","",'[1]All Data '!AZ2445)</f>
        <v/>
      </c>
      <c r="Q2440" s="10" t="str">
        <f>IF('[1]All Data '!BB2445="","",'[1]All Data '!BB2445)</f>
        <v/>
      </c>
      <c r="R2440" s="10" t="str">
        <f>IF('[1]All Data '!BD2445="","",'[1]All Data '!BD2445)</f>
        <v/>
      </c>
      <c r="S2440" s="11" t="str">
        <f>IF(R2440="","",'[1]All Data '!BE2445)</f>
        <v/>
      </c>
      <c r="T2440" s="12" t="str">
        <f>IF(S2440="","",[1]Inputs_Outputs!$B$8*(1-'LOCH Calc COE Calc'!S2440))</f>
        <v/>
      </c>
      <c r="U2440" s="13" t="str">
        <f t="shared" si="191"/>
        <v/>
      </c>
      <c r="V2440" s="13" t="str">
        <f t="shared" si="192"/>
        <v/>
      </c>
      <c r="W2440" s="4" t="str">
        <f t="shared" si="193"/>
        <v/>
      </c>
      <c r="X2440" t="str">
        <f>IF(W2440="","",LOOKUP(_xlfn.CONCAT(P2440,", ",Q2440),'[1]T+S Costs'!$F$2:$F$3138,'[1]T+S Costs'!$N$2:$N$3138))</f>
        <v/>
      </c>
      <c r="Y2440" s="14" t="str">
        <f t="shared" si="194"/>
        <v/>
      </c>
      <c r="Z2440" s="4" t="str">
        <f t="shared" si="195"/>
        <v/>
      </c>
    </row>
    <row r="2441" spans="16:26" x14ac:dyDescent="0.25">
      <c r="P2441" s="10" t="str">
        <f>IF('[1]All Data '!AZ2446="","",'[1]All Data '!AZ2446)</f>
        <v/>
      </c>
      <c r="Q2441" s="10" t="str">
        <f>IF('[1]All Data '!BB2446="","",'[1]All Data '!BB2446)</f>
        <v/>
      </c>
      <c r="R2441" s="10" t="str">
        <f>IF('[1]All Data '!BD2446="","",'[1]All Data '!BD2446)</f>
        <v/>
      </c>
      <c r="S2441" s="11" t="str">
        <f>IF(R2441="","",'[1]All Data '!BE2446)</f>
        <v/>
      </c>
      <c r="T2441" s="12" t="str">
        <f>IF(S2441="","",[1]Inputs_Outputs!$B$8*(1-'LOCH Calc COE Calc'!S2441))</f>
        <v/>
      </c>
      <c r="U2441" s="13" t="str">
        <f t="shared" si="191"/>
        <v/>
      </c>
      <c r="V2441" s="13" t="str">
        <f t="shared" si="192"/>
        <v/>
      </c>
      <c r="W2441" s="4" t="str">
        <f t="shared" si="193"/>
        <v/>
      </c>
      <c r="X2441" t="str">
        <f>IF(W2441="","",LOOKUP(_xlfn.CONCAT(P2441,", ",Q2441),'[1]T+S Costs'!$F$2:$F$3138,'[1]T+S Costs'!$N$2:$N$3138))</f>
        <v/>
      </c>
      <c r="Y2441" s="14" t="str">
        <f t="shared" si="194"/>
        <v/>
      </c>
      <c r="Z2441" s="4" t="str">
        <f t="shared" si="195"/>
        <v/>
      </c>
    </row>
    <row r="2442" spans="16:26" x14ac:dyDescent="0.25">
      <c r="P2442" s="10" t="str">
        <f>IF('[1]All Data '!AZ2447="","",'[1]All Data '!AZ2447)</f>
        <v/>
      </c>
      <c r="Q2442" s="10" t="str">
        <f>IF('[1]All Data '!BB2447="","",'[1]All Data '!BB2447)</f>
        <v/>
      </c>
      <c r="R2442" s="10" t="str">
        <f>IF('[1]All Data '!BD2447="","",'[1]All Data '!BD2447)</f>
        <v/>
      </c>
      <c r="S2442" s="11" t="str">
        <f>IF(R2442="","",'[1]All Data '!BE2447)</f>
        <v/>
      </c>
      <c r="T2442" s="12" t="str">
        <f>IF(S2442="","",[1]Inputs_Outputs!$B$8*(1-'LOCH Calc COE Calc'!S2442))</f>
        <v/>
      </c>
      <c r="U2442" s="13" t="str">
        <f t="shared" si="191"/>
        <v/>
      </c>
      <c r="V2442" s="13" t="str">
        <f t="shared" si="192"/>
        <v/>
      </c>
      <c r="W2442" s="4" t="str">
        <f t="shared" si="193"/>
        <v/>
      </c>
      <c r="X2442" t="str">
        <f>IF(W2442="","",LOOKUP(_xlfn.CONCAT(P2442,", ",Q2442),'[1]T+S Costs'!$F$2:$F$3138,'[1]T+S Costs'!$N$2:$N$3138))</f>
        <v/>
      </c>
      <c r="Y2442" s="14" t="str">
        <f t="shared" si="194"/>
        <v/>
      </c>
      <c r="Z2442" s="4" t="str">
        <f t="shared" si="195"/>
        <v/>
      </c>
    </row>
    <row r="2443" spans="16:26" x14ac:dyDescent="0.25">
      <c r="P2443" s="10" t="str">
        <f>IF('[1]All Data '!AZ2448="","",'[1]All Data '!AZ2448)</f>
        <v/>
      </c>
      <c r="Q2443" s="10" t="str">
        <f>IF('[1]All Data '!BB2448="","",'[1]All Data '!BB2448)</f>
        <v/>
      </c>
      <c r="R2443" s="10" t="str">
        <f>IF('[1]All Data '!BD2448="","",'[1]All Data '!BD2448)</f>
        <v/>
      </c>
      <c r="S2443" s="11" t="str">
        <f>IF(R2443="","",'[1]All Data '!BE2448)</f>
        <v/>
      </c>
      <c r="T2443" s="12" t="str">
        <f>IF(S2443="","",[1]Inputs_Outputs!$B$8*(1-'LOCH Calc COE Calc'!S2443))</f>
        <v/>
      </c>
      <c r="U2443" s="13" t="str">
        <f t="shared" si="191"/>
        <v/>
      </c>
      <c r="V2443" s="13" t="str">
        <f t="shared" si="192"/>
        <v/>
      </c>
      <c r="W2443" s="4" t="str">
        <f t="shared" si="193"/>
        <v/>
      </c>
      <c r="X2443" t="str">
        <f>IF(W2443="","",LOOKUP(_xlfn.CONCAT(P2443,", ",Q2443),'[1]T+S Costs'!$F$2:$F$3138,'[1]T+S Costs'!$N$2:$N$3138))</f>
        <v/>
      </c>
      <c r="Y2443" s="14" t="str">
        <f t="shared" si="194"/>
        <v/>
      </c>
      <c r="Z2443" s="4" t="str">
        <f t="shared" si="195"/>
        <v/>
      </c>
    </row>
    <row r="2444" spans="16:26" x14ac:dyDescent="0.25">
      <c r="P2444" s="10" t="str">
        <f>IF('[1]All Data '!AZ2449="","",'[1]All Data '!AZ2449)</f>
        <v/>
      </c>
      <c r="Q2444" s="10" t="str">
        <f>IF('[1]All Data '!BB2449="","",'[1]All Data '!BB2449)</f>
        <v/>
      </c>
      <c r="R2444" s="10" t="str">
        <f>IF('[1]All Data '!BD2449="","",'[1]All Data '!BD2449)</f>
        <v/>
      </c>
      <c r="S2444" s="11" t="str">
        <f>IF(R2444="","",'[1]All Data '!BE2449)</f>
        <v/>
      </c>
      <c r="T2444" s="12" t="str">
        <f>IF(S2444="","",[1]Inputs_Outputs!$B$8*(1-'LOCH Calc COE Calc'!S2444))</f>
        <v/>
      </c>
      <c r="U2444" s="13" t="str">
        <f t="shared" si="191"/>
        <v/>
      </c>
      <c r="V2444" s="13" t="str">
        <f t="shared" si="192"/>
        <v/>
      </c>
      <c r="W2444" s="4" t="str">
        <f t="shared" si="193"/>
        <v/>
      </c>
      <c r="X2444" t="str">
        <f>IF(W2444="","",LOOKUP(_xlfn.CONCAT(P2444,", ",Q2444),'[1]T+S Costs'!$F$2:$F$3138,'[1]T+S Costs'!$N$2:$N$3138))</f>
        <v/>
      </c>
      <c r="Y2444" s="14" t="str">
        <f t="shared" si="194"/>
        <v/>
      </c>
      <c r="Z2444" s="4" t="str">
        <f t="shared" si="195"/>
        <v/>
      </c>
    </row>
    <row r="2445" spans="16:26" x14ac:dyDescent="0.25">
      <c r="P2445" s="10" t="str">
        <f>IF('[1]All Data '!AZ2450="","",'[1]All Data '!AZ2450)</f>
        <v/>
      </c>
      <c r="Q2445" s="10" t="str">
        <f>IF('[1]All Data '!BB2450="","",'[1]All Data '!BB2450)</f>
        <v/>
      </c>
      <c r="R2445" s="10" t="str">
        <f>IF('[1]All Data '!BD2450="","",'[1]All Data '!BD2450)</f>
        <v/>
      </c>
      <c r="S2445" s="11" t="str">
        <f>IF(R2445="","",'[1]All Data '!BE2450)</f>
        <v/>
      </c>
      <c r="T2445" s="12" t="str">
        <f>IF(S2445="","",[1]Inputs_Outputs!$B$8*(1-'LOCH Calc COE Calc'!S2445))</f>
        <v/>
      </c>
      <c r="U2445" s="13" t="str">
        <f t="shared" si="191"/>
        <v/>
      </c>
      <c r="V2445" s="13" t="str">
        <f t="shared" si="192"/>
        <v/>
      </c>
      <c r="W2445" s="4" t="str">
        <f t="shared" si="193"/>
        <v/>
      </c>
      <c r="X2445" t="str">
        <f>IF(W2445="","",LOOKUP(_xlfn.CONCAT(P2445,", ",Q2445),'[1]T+S Costs'!$F$2:$F$3138,'[1]T+S Costs'!$N$2:$N$3138))</f>
        <v/>
      </c>
      <c r="Y2445" s="14" t="str">
        <f t="shared" si="194"/>
        <v/>
      </c>
      <c r="Z2445" s="4" t="str">
        <f t="shared" si="195"/>
        <v/>
      </c>
    </row>
    <row r="2446" spans="16:26" x14ac:dyDescent="0.25">
      <c r="P2446" s="10" t="str">
        <f>IF('[1]All Data '!AZ2451="","",'[1]All Data '!AZ2451)</f>
        <v/>
      </c>
      <c r="Q2446" s="10" t="str">
        <f>IF('[1]All Data '!BB2451="","",'[1]All Data '!BB2451)</f>
        <v/>
      </c>
      <c r="R2446" s="10" t="str">
        <f>IF('[1]All Data '!BD2451="","",'[1]All Data '!BD2451)</f>
        <v/>
      </c>
      <c r="S2446" s="11" t="str">
        <f>IF(R2446="","",'[1]All Data '!BE2451)</f>
        <v/>
      </c>
      <c r="T2446" s="12" t="str">
        <f>IF(S2446="","",[1]Inputs_Outputs!$B$8*(1-'LOCH Calc COE Calc'!S2446))</f>
        <v/>
      </c>
      <c r="U2446" s="13" t="str">
        <f t="shared" si="191"/>
        <v/>
      </c>
      <c r="V2446" s="13" t="str">
        <f t="shared" si="192"/>
        <v/>
      </c>
      <c r="W2446" s="4" t="str">
        <f t="shared" si="193"/>
        <v/>
      </c>
      <c r="X2446" t="str">
        <f>IF(W2446="","",LOOKUP(_xlfn.CONCAT(P2446,", ",Q2446),'[1]T+S Costs'!$F$2:$F$3138,'[1]T+S Costs'!$N$2:$N$3138))</f>
        <v/>
      </c>
      <c r="Y2446" s="14" t="str">
        <f t="shared" si="194"/>
        <v/>
      </c>
      <c r="Z2446" s="4" t="str">
        <f t="shared" si="195"/>
        <v/>
      </c>
    </row>
    <row r="2447" spans="16:26" x14ac:dyDescent="0.25">
      <c r="P2447" s="10" t="str">
        <f>IF('[1]All Data '!AZ2452="","",'[1]All Data '!AZ2452)</f>
        <v/>
      </c>
      <c r="Q2447" s="10" t="str">
        <f>IF('[1]All Data '!BB2452="","",'[1]All Data '!BB2452)</f>
        <v/>
      </c>
      <c r="R2447" s="10" t="str">
        <f>IF('[1]All Data '!BD2452="","",'[1]All Data '!BD2452)</f>
        <v/>
      </c>
      <c r="S2447" s="11" t="str">
        <f>IF(R2447="","",'[1]All Data '!BE2452)</f>
        <v/>
      </c>
      <c r="T2447" s="12" t="str">
        <f>IF(S2447="","",[1]Inputs_Outputs!$B$8*(1-'LOCH Calc COE Calc'!S2447))</f>
        <v/>
      </c>
      <c r="U2447" s="13" t="str">
        <f t="shared" si="191"/>
        <v/>
      </c>
      <c r="V2447" s="13" t="str">
        <f t="shared" si="192"/>
        <v/>
      </c>
      <c r="W2447" s="4" t="str">
        <f t="shared" si="193"/>
        <v/>
      </c>
      <c r="X2447" t="str">
        <f>IF(W2447="","",LOOKUP(_xlfn.CONCAT(P2447,", ",Q2447),'[1]T+S Costs'!$F$2:$F$3138,'[1]T+S Costs'!$N$2:$N$3138))</f>
        <v/>
      </c>
      <c r="Y2447" s="14" t="str">
        <f t="shared" si="194"/>
        <v/>
      </c>
      <c r="Z2447" s="4" t="str">
        <f t="shared" si="195"/>
        <v/>
      </c>
    </row>
    <row r="2448" spans="16:26" x14ac:dyDescent="0.25">
      <c r="P2448" s="10" t="str">
        <f>IF('[1]All Data '!AZ2453="","",'[1]All Data '!AZ2453)</f>
        <v/>
      </c>
      <c r="Q2448" s="10" t="str">
        <f>IF('[1]All Data '!BB2453="","",'[1]All Data '!BB2453)</f>
        <v/>
      </c>
      <c r="R2448" s="10" t="str">
        <f>IF('[1]All Data '!BD2453="","",'[1]All Data '!BD2453)</f>
        <v/>
      </c>
      <c r="S2448" s="11" t="str">
        <f>IF(R2448="","",'[1]All Data '!BE2453)</f>
        <v/>
      </c>
      <c r="T2448" s="12" t="str">
        <f>IF(S2448="","",[1]Inputs_Outputs!$B$8*(1-'LOCH Calc COE Calc'!S2448))</f>
        <v/>
      </c>
      <c r="U2448" s="13" t="str">
        <f t="shared" si="191"/>
        <v/>
      </c>
      <c r="V2448" s="13" t="str">
        <f t="shared" si="192"/>
        <v/>
      </c>
      <c r="W2448" s="4" t="str">
        <f t="shared" si="193"/>
        <v/>
      </c>
      <c r="X2448" t="str">
        <f>IF(W2448="","",LOOKUP(_xlfn.CONCAT(P2448,", ",Q2448),'[1]T+S Costs'!$F$2:$F$3138,'[1]T+S Costs'!$N$2:$N$3138))</f>
        <v/>
      </c>
      <c r="Y2448" s="14" t="str">
        <f t="shared" si="194"/>
        <v/>
      </c>
      <c r="Z2448" s="4" t="str">
        <f t="shared" si="195"/>
        <v/>
      </c>
    </row>
    <row r="2449" spans="16:26" x14ac:dyDescent="0.25">
      <c r="P2449" s="10" t="str">
        <f>IF('[1]All Data '!AZ2454="","",'[1]All Data '!AZ2454)</f>
        <v/>
      </c>
      <c r="Q2449" s="10" t="str">
        <f>IF('[1]All Data '!BB2454="","",'[1]All Data '!BB2454)</f>
        <v/>
      </c>
      <c r="R2449" s="10" t="str">
        <f>IF('[1]All Data '!BD2454="","",'[1]All Data '!BD2454)</f>
        <v/>
      </c>
      <c r="S2449" s="11" t="str">
        <f>IF(R2449="","",'[1]All Data '!BE2454)</f>
        <v/>
      </c>
      <c r="T2449" s="12" t="str">
        <f>IF(S2449="","",[1]Inputs_Outputs!$B$8*(1-'LOCH Calc COE Calc'!S2449))</f>
        <v/>
      </c>
      <c r="U2449" s="13" t="str">
        <f t="shared" si="191"/>
        <v/>
      </c>
      <c r="V2449" s="13" t="str">
        <f t="shared" si="192"/>
        <v/>
      </c>
      <c r="W2449" s="4" t="str">
        <f t="shared" si="193"/>
        <v/>
      </c>
      <c r="X2449" t="str">
        <f>IF(W2449="","",LOOKUP(_xlfn.CONCAT(P2449,", ",Q2449),'[1]T+S Costs'!$F$2:$F$3138,'[1]T+S Costs'!$N$2:$N$3138))</f>
        <v/>
      </c>
      <c r="Y2449" s="14" t="str">
        <f t="shared" si="194"/>
        <v/>
      </c>
      <c r="Z2449" s="4" t="str">
        <f t="shared" si="195"/>
        <v/>
      </c>
    </row>
    <row r="2450" spans="16:26" x14ac:dyDescent="0.25">
      <c r="P2450" s="10" t="str">
        <f>IF('[1]All Data '!AZ2455="","",'[1]All Data '!AZ2455)</f>
        <v/>
      </c>
      <c r="Q2450" s="10" t="str">
        <f>IF('[1]All Data '!BB2455="","",'[1]All Data '!BB2455)</f>
        <v/>
      </c>
      <c r="R2450" s="10" t="str">
        <f>IF('[1]All Data '!BD2455="","",'[1]All Data '!BD2455)</f>
        <v/>
      </c>
      <c r="S2450" s="11" t="str">
        <f>IF(R2450="","",'[1]All Data '!BE2455)</f>
        <v/>
      </c>
      <c r="T2450" s="12" t="str">
        <f>IF(S2450="","",[1]Inputs_Outputs!$B$8*(1-'LOCH Calc COE Calc'!S2450))</f>
        <v/>
      </c>
      <c r="U2450" s="13" t="str">
        <f t="shared" si="191"/>
        <v/>
      </c>
      <c r="V2450" s="13" t="str">
        <f t="shared" si="192"/>
        <v/>
      </c>
      <c r="W2450" s="4" t="str">
        <f t="shared" si="193"/>
        <v/>
      </c>
      <c r="X2450" t="str">
        <f>IF(W2450="","",LOOKUP(_xlfn.CONCAT(P2450,", ",Q2450),'[1]T+S Costs'!$F$2:$F$3138,'[1]T+S Costs'!$N$2:$N$3138))</f>
        <v/>
      </c>
      <c r="Y2450" s="14" t="str">
        <f t="shared" si="194"/>
        <v/>
      </c>
      <c r="Z2450" s="4" t="str">
        <f t="shared" si="195"/>
        <v/>
      </c>
    </row>
    <row r="2451" spans="16:26" x14ac:dyDescent="0.25">
      <c r="P2451" s="10" t="str">
        <f>IF('[1]All Data '!AZ2456="","",'[1]All Data '!AZ2456)</f>
        <v/>
      </c>
      <c r="Q2451" s="10" t="str">
        <f>IF('[1]All Data '!BB2456="","",'[1]All Data '!BB2456)</f>
        <v/>
      </c>
      <c r="R2451" s="10" t="str">
        <f>IF('[1]All Data '!BD2456="","",'[1]All Data '!BD2456)</f>
        <v/>
      </c>
      <c r="S2451" s="11" t="str">
        <f>IF(R2451="","",'[1]All Data '!BE2456)</f>
        <v/>
      </c>
      <c r="T2451" s="12" t="str">
        <f>IF(S2451="","",[1]Inputs_Outputs!$B$8*(1-'LOCH Calc COE Calc'!S2451))</f>
        <v/>
      </c>
      <c r="U2451" s="13" t="str">
        <f t="shared" si="191"/>
        <v/>
      </c>
      <c r="V2451" s="13" t="str">
        <f t="shared" si="192"/>
        <v/>
      </c>
      <c r="W2451" s="4" t="str">
        <f t="shared" si="193"/>
        <v/>
      </c>
      <c r="X2451" t="str">
        <f>IF(W2451="","",LOOKUP(_xlfn.CONCAT(P2451,", ",Q2451),'[1]T+S Costs'!$F$2:$F$3138,'[1]T+S Costs'!$N$2:$N$3138))</f>
        <v/>
      </c>
      <c r="Y2451" s="14" t="str">
        <f t="shared" si="194"/>
        <v/>
      </c>
      <c r="Z2451" s="4" t="str">
        <f t="shared" si="195"/>
        <v/>
      </c>
    </row>
    <row r="2452" spans="16:26" x14ac:dyDescent="0.25">
      <c r="P2452" s="10" t="str">
        <f>IF('[1]All Data '!AZ2457="","",'[1]All Data '!AZ2457)</f>
        <v/>
      </c>
      <c r="Q2452" s="10" t="str">
        <f>IF('[1]All Data '!BB2457="","",'[1]All Data '!BB2457)</f>
        <v/>
      </c>
      <c r="R2452" s="10" t="str">
        <f>IF('[1]All Data '!BD2457="","",'[1]All Data '!BD2457)</f>
        <v/>
      </c>
      <c r="S2452" s="11" t="str">
        <f>IF(R2452="","",'[1]All Data '!BE2457)</f>
        <v/>
      </c>
      <c r="T2452" s="12" t="str">
        <f>IF(S2452="","",[1]Inputs_Outputs!$B$8*(1-'LOCH Calc COE Calc'!S2452))</f>
        <v/>
      </c>
      <c r="U2452" s="13" t="str">
        <f t="shared" si="191"/>
        <v/>
      </c>
      <c r="V2452" s="13" t="str">
        <f t="shared" si="192"/>
        <v/>
      </c>
      <c r="W2452" s="4" t="str">
        <f t="shared" si="193"/>
        <v/>
      </c>
      <c r="X2452" t="str">
        <f>IF(W2452="","",LOOKUP(_xlfn.CONCAT(P2452,", ",Q2452),'[1]T+S Costs'!$F$2:$F$3138,'[1]T+S Costs'!$N$2:$N$3138))</f>
        <v/>
      </c>
      <c r="Y2452" s="14" t="str">
        <f t="shared" si="194"/>
        <v/>
      </c>
      <c r="Z2452" s="4" t="str">
        <f t="shared" si="195"/>
        <v/>
      </c>
    </row>
    <row r="2453" spans="16:26" x14ac:dyDescent="0.25">
      <c r="P2453" s="10" t="str">
        <f>IF('[1]All Data '!AZ2458="","",'[1]All Data '!AZ2458)</f>
        <v/>
      </c>
      <c r="Q2453" s="10" t="str">
        <f>IF('[1]All Data '!BB2458="","",'[1]All Data '!BB2458)</f>
        <v/>
      </c>
      <c r="R2453" s="10" t="str">
        <f>IF('[1]All Data '!BD2458="","",'[1]All Data '!BD2458)</f>
        <v/>
      </c>
      <c r="S2453" s="11" t="str">
        <f>IF(R2453="","",'[1]All Data '!BE2458)</f>
        <v/>
      </c>
      <c r="T2453" s="12" t="str">
        <f>IF(S2453="","",[1]Inputs_Outputs!$B$8*(1-'LOCH Calc COE Calc'!S2453))</f>
        <v/>
      </c>
      <c r="U2453" s="13" t="str">
        <f t="shared" si="191"/>
        <v/>
      </c>
      <c r="V2453" s="13" t="str">
        <f t="shared" si="192"/>
        <v/>
      </c>
      <c r="W2453" s="4" t="str">
        <f t="shared" si="193"/>
        <v/>
      </c>
      <c r="X2453" t="str">
        <f>IF(W2453="","",LOOKUP(_xlfn.CONCAT(P2453,", ",Q2453),'[1]T+S Costs'!$F$2:$F$3138,'[1]T+S Costs'!$N$2:$N$3138))</f>
        <v/>
      </c>
      <c r="Y2453" s="14" t="str">
        <f t="shared" si="194"/>
        <v/>
      </c>
      <c r="Z2453" s="4" t="str">
        <f t="shared" si="195"/>
        <v/>
      </c>
    </row>
    <row r="2454" spans="16:26" x14ac:dyDescent="0.25">
      <c r="P2454" s="10" t="str">
        <f>IF('[1]All Data '!AZ2459="","",'[1]All Data '!AZ2459)</f>
        <v/>
      </c>
      <c r="Q2454" s="10" t="str">
        <f>IF('[1]All Data '!BB2459="","",'[1]All Data '!BB2459)</f>
        <v/>
      </c>
      <c r="R2454" s="10" t="str">
        <f>IF('[1]All Data '!BD2459="","",'[1]All Data '!BD2459)</f>
        <v/>
      </c>
      <c r="S2454" s="11" t="str">
        <f>IF(R2454="","",'[1]All Data '!BE2459)</f>
        <v/>
      </c>
      <c r="T2454" s="12" t="str">
        <f>IF(S2454="","",[1]Inputs_Outputs!$B$8*(1-'LOCH Calc COE Calc'!S2454))</f>
        <v/>
      </c>
      <c r="U2454" s="13" t="str">
        <f t="shared" si="191"/>
        <v/>
      </c>
      <c r="V2454" s="13" t="str">
        <f t="shared" si="192"/>
        <v/>
      </c>
      <c r="W2454" s="4" t="str">
        <f t="shared" si="193"/>
        <v/>
      </c>
      <c r="X2454" t="str">
        <f>IF(W2454="","",LOOKUP(_xlfn.CONCAT(P2454,", ",Q2454),'[1]T+S Costs'!$F$2:$F$3138,'[1]T+S Costs'!$N$2:$N$3138))</f>
        <v/>
      </c>
      <c r="Y2454" s="14" t="str">
        <f t="shared" si="194"/>
        <v/>
      </c>
      <c r="Z2454" s="4" t="str">
        <f t="shared" si="195"/>
        <v/>
      </c>
    </row>
    <row r="2455" spans="16:26" x14ac:dyDescent="0.25">
      <c r="P2455" s="10" t="str">
        <f>IF('[1]All Data '!AZ2460="","",'[1]All Data '!AZ2460)</f>
        <v/>
      </c>
      <c r="Q2455" s="10" t="str">
        <f>IF('[1]All Data '!BB2460="","",'[1]All Data '!BB2460)</f>
        <v/>
      </c>
      <c r="R2455" s="10" t="str">
        <f>IF('[1]All Data '!BD2460="","",'[1]All Data '!BD2460)</f>
        <v/>
      </c>
      <c r="S2455" s="11" t="str">
        <f>IF(R2455="","",'[1]All Data '!BE2460)</f>
        <v/>
      </c>
      <c r="T2455" s="12" t="str">
        <f>IF(S2455="","",[1]Inputs_Outputs!$B$8*(1-'LOCH Calc COE Calc'!S2455))</f>
        <v/>
      </c>
      <c r="U2455" s="13" t="str">
        <f t="shared" si="191"/>
        <v/>
      </c>
      <c r="V2455" s="13" t="str">
        <f t="shared" si="192"/>
        <v/>
      </c>
      <c r="W2455" s="4" t="str">
        <f t="shared" si="193"/>
        <v/>
      </c>
      <c r="X2455" t="str">
        <f>IF(W2455="","",LOOKUP(_xlfn.CONCAT(P2455,", ",Q2455),'[1]T+S Costs'!$F$2:$F$3138,'[1]T+S Costs'!$N$2:$N$3138))</f>
        <v/>
      </c>
      <c r="Y2455" s="14" t="str">
        <f t="shared" si="194"/>
        <v/>
      </c>
      <c r="Z2455" s="4" t="str">
        <f t="shared" si="195"/>
        <v/>
      </c>
    </row>
    <row r="2456" spans="16:26" x14ac:dyDescent="0.25">
      <c r="P2456" s="10" t="str">
        <f>IF('[1]All Data '!AZ2461="","",'[1]All Data '!AZ2461)</f>
        <v/>
      </c>
      <c r="Q2456" s="10" t="str">
        <f>IF('[1]All Data '!BB2461="","",'[1]All Data '!BB2461)</f>
        <v/>
      </c>
      <c r="R2456" s="10" t="str">
        <f>IF('[1]All Data '!BD2461="","",'[1]All Data '!BD2461)</f>
        <v/>
      </c>
      <c r="S2456" s="11" t="str">
        <f>IF(R2456="","",'[1]All Data '!BE2461)</f>
        <v/>
      </c>
      <c r="T2456" s="12" t="str">
        <f>IF(S2456="","",[1]Inputs_Outputs!$B$8*(1-'LOCH Calc COE Calc'!S2456))</f>
        <v/>
      </c>
      <c r="U2456" s="13" t="str">
        <f t="shared" si="191"/>
        <v/>
      </c>
      <c r="V2456" s="13" t="str">
        <f t="shared" si="192"/>
        <v/>
      </c>
      <c r="W2456" s="4" t="str">
        <f t="shared" si="193"/>
        <v/>
      </c>
      <c r="X2456" t="str">
        <f>IF(W2456="","",LOOKUP(_xlfn.CONCAT(P2456,", ",Q2456),'[1]T+S Costs'!$F$2:$F$3138,'[1]T+S Costs'!$N$2:$N$3138))</f>
        <v/>
      </c>
      <c r="Y2456" s="14" t="str">
        <f t="shared" si="194"/>
        <v/>
      </c>
      <c r="Z2456" s="4" t="str">
        <f t="shared" si="195"/>
        <v/>
      </c>
    </row>
    <row r="2457" spans="16:26" x14ac:dyDescent="0.25">
      <c r="P2457" s="10" t="str">
        <f>IF('[1]All Data '!AZ2462="","",'[1]All Data '!AZ2462)</f>
        <v/>
      </c>
      <c r="Q2457" s="10" t="str">
        <f>IF('[1]All Data '!BB2462="","",'[1]All Data '!BB2462)</f>
        <v/>
      </c>
      <c r="R2457" s="10" t="str">
        <f>IF('[1]All Data '!BD2462="","",'[1]All Data '!BD2462)</f>
        <v/>
      </c>
      <c r="S2457" s="11" t="str">
        <f>IF(R2457="","",'[1]All Data '!BE2462)</f>
        <v/>
      </c>
      <c r="T2457" s="12" t="str">
        <f>IF(S2457="","",[1]Inputs_Outputs!$B$8*(1-'LOCH Calc COE Calc'!S2457))</f>
        <v/>
      </c>
      <c r="U2457" s="13" t="str">
        <f t="shared" si="191"/>
        <v/>
      </c>
      <c r="V2457" s="13" t="str">
        <f t="shared" si="192"/>
        <v/>
      </c>
      <c r="W2457" s="4" t="str">
        <f t="shared" si="193"/>
        <v/>
      </c>
      <c r="X2457" t="str">
        <f>IF(W2457="","",LOOKUP(_xlfn.CONCAT(P2457,", ",Q2457),'[1]T+S Costs'!$F$2:$F$3138,'[1]T+S Costs'!$N$2:$N$3138))</f>
        <v/>
      </c>
      <c r="Y2457" s="14" t="str">
        <f t="shared" si="194"/>
        <v/>
      </c>
      <c r="Z2457" s="4" t="str">
        <f t="shared" si="195"/>
        <v/>
      </c>
    </row>
    <row r="2458" spans="16:26" x14ac:dyDescent="0.25">
      <c r="P2458" s="10" t="str">
        <f>IF('[1]All Data '!AZ2463="","",'[1]All Data '!AZ2463)</f>
        <v/>
      </c>
      <c r="Q2458" s="10" t="str">
        <f>IF('[1]All Data '!BB2463="","",'[1]All Data '!BB2463)</f>
        <v/>
      </c>
      <c r="R2458" s="10" t="str">
        <f>IF('[1]All Data '!BD2463="","",'[1]All Data '!BD2463)</f>
        <v/>
      </c>
      <c r="S2458" s="11" t="str">
        <f>IF(R2458="","",'[1]All Data '!BE2463)</f>
        <v/>
      </c>
      <c r="T2458" s="12" t="str">
        <f>IF(S2458="","",[1]Inputs_Outputs!$B$8*(1-'LOCH Calc COE Calc'!S2458))</f>
        <v/>
      </c>
      <c r="U2458" s="13" t="str">
        <f t="shared" si="191"/>
        <v/>
      </c>
      <c r="V2458" s="13" t="str">
        <f t="shared" si="192"/>
        <v/>
      </c>
      <c r="W2458" s="4" t="str">
        <f t="shared" si="193"/>
        <v/>
      </c>
      <c r="X2458" t="str">
        <f>IF(W2458="","",LOOKUP(_xlfn.CONCAT(P2458,", ",Q2458),'[1]T+S Costs'!$F$2:$F$3138,'[1]T+S Costs'!$N$2:$N$3138))</f>
        <v/>
      </c>
      <c r="Y2458" s="14" t="str">
        <f t="shared" si="194"/>
        <v/>
      </c>
      <c r="Z2458" s="4" t="str">
        <f t="shared" si="195"/>
        <v/>
      </c>
    </row>
    <row r="2459" spans="16:26" x14ac:dyDescent="0.25">
      <c r="P2459" s="10" t="str">
        <f>IF('[1]All Data '!AZ2464="","",'[1]All Data '!AZ2464)</f>
        <v/>
      </c>
      <c r="Q2459" s="10" t="str">
        <f>IF('[1]All Data '!BB2464="","",'[1]All Data '!BB2464)</f>
        <v/>
      </c>
      <c r="R2459" s="10" t="str">
        <f>IF('[1]All Data '!BD2464="","",'[1]All Data '!BD2464)</f>
        <v/>
      </c>
      <c r="S2459" s="11" t="str">
        <f>IF(R2459="","",'[1]All Data '!BE2464)</f>
        <v/>
      </c>
      <c r="T2459" s="12" t="str">
        <f>IF(S2459="","",[1]Inputs_Outputs!$B$8*(1-'LOCH Calc COE Calc'!S2459))</f>
        <v/>
      </c>
      <c r="U2459" s="13" t="str">
        <f t="shared" si="191"/>
        <v/>
      </c>
      <c r="V2459" s="13" t="str">
        <f t="shared" si="192"/>
        <v/>
      </c>
      <c r="W2459" s="4" t="str">
        <f t="shared" si="193"/>
        <v/>
      </c>
      <c r="X2459" t="str">
        <f>IF(W2459="","",LOOKUP(_xlfn.CONCAT(P2459,", ",Q2459),'[1]T+S Costs'!$F$2:$F$3138,'[1]T+S Costs'!$N$2:$N$3138))</f>
        <v/>
      </c>
      <c r="Y2459" s="14" t="str">
        <f t="shared" si="194"/>
        <v/>
      </c>
      <c r="Z2459" s="4" t="str">
        <f t="shared" si="195"/>
        <v/>
      </c>
    </row>
    <row r="2460" spans="16:26" x14ac:dyDescent="0.25">
      <c r="P2460" s="10" t="str">
        <f>IF('[1]All Data '!AZ2465="","",'[1]All Data '!AZ2465)</f>
        <v/>
      </c>
      <c r="Q2460" s="10" t="str">
        <f>IF('[1]All Data '!BB2465="","",'[1]All Data '!BB2465)</f>
        <v/>
      </c>
      <c r="R2460" s="10" t="str">
        <f>IF('[1]All Data '!BD2465="","",'[1]All Data '!BD2465)</f>
        <v/>
      </c>
      <c r="S2460" s="11" t="str">
        <f>IF(R2460="","",'[1]All Data '!BE2465)</f>
        <v/>
      </c>
      <c r="T2460" s="12" t="str">
        <f>IF(S2460="","",[1]Inputs_Outputs!$B$8*(1-'LOCH Calc COE Calc'!S2460))</f>
        <v/>
      </c>
      <c r="U2460" s="13" t="str">
        <f t="shared" si="191"/>
        <v/>
      </c>
      <c r="V2460" s="13" t="str">
        <f t="shared" si="192"/>
        <v/>
      </c>
      <c r="W2460" s="4" t="str">
        <f t="shared" si="193"/>
        <v/>
      </c>
      <c r="X2460" t="str">
        <f>IF(W2460="","",LOOKUP(_xlfn.CONCAT(P2460,", ",Q2460),'[1]T+S Costs'!$F$2:$F$3138,'[1]T+S Costs'!$N$2:$N$3138))</f>
        <v/>
      </c>
      <c r="Y2460" s="14" t="str">
        <f t="shared" si="194"/>
        <v/>
      </c>
      <c r="Z2460" s="4" t="str">
        <f t="shared" si="195"/>
        <v/>
      </c>
    </row>
    <row r="2461" spans="16:26" x14ac:dyDescent="0.25">
      <c r="P2461" s="10" t="str">
        <f>IF('[1]All Data '!AZ2466="","",'[1]All Data '!AZ2466)</f>
        <v/>
      </c>
      <c r="Q2461" s="10" t="str">
        <f>IF('[1]All Data '!BB2466="","",'[1]All Data '!BB2466)</f>
        <v/>
      </c>
      <c r="R2461" s="10" t="str">
        <f>IF('[1]All Data '!BD2466="","",'[1]All Data '!BD2466)</f>
        <v/>
      </c>
      <c r="S2461" s="11" t="str">
        <f>IF(R2461="","",'[1]All Data '!BE2466)</f>
        <v/>
      </c>
      <c r="T2461" s="12" t="str">
        <f>IF(S2461="","",[1]Inputs_Outputs!$B$8*(1-'LOCH Calc COE Calc'!S2461))</f>
        <v/>
      </c>
      <c r="U2461" s="13" t="str">
        <f t="shared" si="191"/>
        <v/>
      </c>
      <c r="V2461" s="13" t="str">
        <f t="shared" si="192"/>
        <v/>
      </c>
      <c r="W2461" s="4" t="str">
        <f t="shared" si="193"/>
        <v/>
      </c>
      <c r="X2461" t="str">
        <f>IF(W2461="","",LOOKUP(_xlfn.CONCAT(P2461,", ",Q2461),'[1]T+S Costs'!$F$2:$F$3138,'[1]T+S Costs'!$N$2:$N$3138))</f>
        <v/>
      </c>
      <c r="Y2461" s="14" t="str">
        <f t="shared" si="194"/>
        <v/>
      </c>
      <c r="Z2461" s="4" t="str">
        <f t="shared" si="195"/>
        <v/>
      </c>
    </row>
    <row r="2462" spans="16:26" x14ac:dyDescent="0.25">
      <c r="P2462" s="10" t="str">
        <f>IF('[1]All Data '!AZ2467="","",'[1]All Data '!AZ2467)</f>
        <v/>
      </c>
      <c r="Q2462" s="10" t="str">
        <f>IF('[1]All Data '!BB2467="","",'[1]All Data '!BB2467)</f>
        <v/>
      </c>
      <c r="R2462" s="10" t="str">
        <f>IF('[1]All Data '!BD2467="","",'[1]All Data '!BD2467)</f>
        <v/>
      </c>
      <c r="S2462" s="11" t="str">
        <f>IF(R2462="","",'[1]All Data '!BE2467)</f>
        <v/>
      </c>
      <c r="T2462" s="12" t="str">
        <f>IF(S2462="","",[1]Inputs_Outputs!$B$8*(1-'LOCH Calc COE Calc'!S2462))</f>
        <v/>
      </c>
      <c r="U2462" s="13" t="str">
        <f t="shared" si="191"/>
        <v/>
      </c>
      <c r="V2462" s="13" t="str">
        <f t="shared" si="192"/>
        <v/>
      </c>
      <c r="W2462" s="4" t="str">
        <f t="shared" si="193"/>
        <v/>
      </c>
      <c r="X2462" t="str">
        <f>IF(W2462="","",LOOKUP(_xlfn.CONCAT(P2462,", ",Q2462),'[1]T+S Costs'!$F$2:$F$3138,'[1]T+S Costs'!$N$2:$N$3138))</f>
        <v/>
      </c>
      <c r="Y2462" s="14" t="str">
        <f t="shared" si="194"/>
        <v/>
      </c>
      <c r="Z2462" s="4" t="str">
        <f t="shared" si="195"/>
        <v/>
      </c>
    </row>
    <row r="2463" spans="16:26" x14ac:dyDescent="0.25">
      <c r="P2463" s="10" t="str">
        <f>IF('[1]All Data '!AZ2468="","",'[1]All Data '!AZ2468)</f>
        <v/>
      </c>
      <c r="Q2463" s="10" t="str">
        <f>IF('[1]All Data '!BB2468="","",'[1]All Data '!BB2468)</f>
        <v/>
      </c>
      <c r="R2463" s="10" t="str">
        <f>IF('[1]All Data '!BD2468="","",'[1]All Data '!BD2468)</f>
        <v/>
      </c>
      <c r="S2463" s="11" t="str">
        <f>IF(R2463="","",'[1]All Data '!BE2468)</f>
        <v/>
      </c>
      <c r="T2463" s="12" t="str">
        <f>IF(S2463="","",[1]Inputs_Outputs!$B$8*(1-'LOCH Calc COE Calc'!S2463))</f>
        <v/>
      </c>
      <c r="U2463" s="13" t="str">
        <f t="shared" si="191"/>
        <v/>
      </c>
      <c r="V2463" s="13" t="str">
        <f t="shared" si="192"/>
        <v/>
      </c>
      <c r="W2463" s="4" t="str">
        <f t="shared" si="193"/>
        <v/>
      </c>
      <c r="X2463" t="str">
        <f>IF(W2463="","",LOOKUP(_xlfn.CONCAT(P2463,", ",Q2463),'[1]T+S Costs'!$F$2:$F$3138,'[1]T+S Costs'!$N$2:$N$3138))</f>
        <v/>
      </c>
      <c r="Y2463" s="14" t="str">
        <f t="shared" si="194"/>
        <v/>
      </c>
      <c r="Z2463" s="4" t="str">
        <f t="shared" si="195"/>
        <v/>
      </c>
    </row>
    <row r="2464" spans="16:26" x14ac:dyDescent="0.25">
      <c r="P2464" s="10" t="str">
        <f>IF('[1]All Data '!AZ2469="","",'[1]All Data '!AZ2469)</f>
        <v/>
      </c>
      <c r="Q2464" s="10" t="str">
        <f>IF('[1]All Data '!BB2469="","",'[1]All Data '!BB2469)</f>
        <v/>
      </c>
      <c r="R2464" s="10" t="str">
        <f>IF('[1]All Data '!BD2469="","",'[1]All Data '!BD2469)</f>
        <v/>
      </c>
      <c r="S2464" s="11" t="str">
        <f>IF(R2464="","",'[1]All Data '!BE2469)</f>
        <v/>
      </c>
      <c r="T2464" s="12" t="str">
        <f>IF(S2464="","",[1]Inputs_Outputs!$B$8*(1-'LOCH Calc COE Calc'!S2464))</f>
        <v/>
      </c>
      <c r="U2464" s="13" t="str">
        <f t="shared" si="191"/>
        <v/>
      </c>
      <c r="V2464" s="13" t="str">
        <f t="shared" si="192"/>
        <v/>
      </c>
      <c r="W2464" s="4" t="str">
        <f t="shared" si="193"/>
        <v/>
      </c>
      <c r="X2464" t="str">
        <f>IF(W2464="","",LOOKUP(_xlfn.CONCAT(P2464,", ",Q2464),'[1]T+S Costs'!$F$2:$F$3138,'[1]T+S Costs'!$N$2:$N$3138))</f>
        <v/>
      </c>
      <c r="Y2464" s="14" t="str">
        <f t="shared" si="194"/>
        <v/>
      </c>
      <c r="Z2464" s="4" t="str">
        <f t="shared" si="195"/>
        <v/>
      </c>
    </row>
    <row r="2465" spans="16:26" x14ac:dyDescent="0.25">
      <c r="P2465" s="10" t="str">
        <f>IF('[1]All Data '!AZ2470="","",'[1]All Data '!AZ2470)</f>
        <v/>
      </c>
      <c r="Q2465" s="10" t="str">
        <f>IF('[1]All Data '!BB2470="","",'[1]All Data '!BB2470)</f>
        <v/>
      </c>
      <c r="R2465" s="10" t="str">
        <f>IF('[1]All Data '!BD2470="","",'[1]All Data '!BD2470)</f>
        <v/>
      </c>
      <c r="S2465" s="11" t="str">
        <f>IF(R2465="","",'[1]All Data '!BE2470)</f>
        <v/>
      </c>
      <c r="T2465" s="12" t="str">
        <f>IF(S2465="","",[1]Inputs_Outputs!$B$8*(1-'LOCH Calc COE Calc'!S2465))</f>
        <v/>
      </c>
      <c r="U2465" s="13" t="str">
        <f t="shared" si="191"/>
        <v/>
      </c>
      <c r="V2465" s="13" t="str">
        <f t="shared" si="192"/>
        <v/>
      </c>
      <c r="W2465" s="4" t="str">
        <f t="shared" si="193"/>
        <v/>
      </c>
      <c r="X2465" t="str">
        <f>IF(W2465="","",LOOKUP(_xlfn.CONCAT(P2465,", ",Q2465),'[1]T+S Costs'!$F$2:$F$3138,'[1]T+S Costs'!$N$2:$N$3138))</f>
        <v/>
      </c>
      <c r="Y2465" s="14" t="str">
        <f t="shared" si="194"/>
        <v/>
      </c>
      <c r="Z2465" s="4" t="str">
        <f t="shared" si="195"/>
        <v/>
      </c>
    </row>
    <row r="2466" spans="16:26" x14ac:dyDescent="0.25">
      <c r="P2466" s="10" t="str">
        <f>IF('[1]All Data '!AZ2471="","",'[1]All Data '!AZ2471)</f>
        <v/>
      </c>
      <c r="Q2466" s="10" t="str">
        <f>IF('[1]All Data '!BB2471="","",'[1]All Data '!BB2471)</f>
        <v/>
      </c>
      <c r="R2466" s="10" t="str">
        <f>IF('[1]All Data '!BD2471="","",'[1]All Data '!BD2471)</f>
        <v/>
      </c>
      <c r="S2466" s="11" t="str">
        <f>IF(R2466="","",'[1]All Data '!BE2471)</f>
        <v/>
      </c>
      <c r="T2466" s="12" t="str">
        <f>IF(S2466="","",[1]Inputs_Outputs!$B$8*(1-'LOCH Calc COE Calc'!S2466))</f>
        <v/>
      </c>
      <c r="U2466" s="13" t="str">
        <f t="shared" si="191"/>
        <v/>
      </c>
      <c r="V2466" s="13" t="str">
        <f t="shared" si="192"/>
        <v/>
      </c>
      <c r="W2466" s="4" t="str">
        <f t="shared" si="193"/>
        <v/>
      </c>
      <c r="X2466" t="str">
        <f>IF(W2466="","",LOOKUP(_xlfn.CONCAT(P2466,", ",Q2466),'[1]T+S Costs'!$F$2:$F$3138,'[1]T+S Costs'!$N$2:$N$3138))</f>
        <v/>
      </c>
      <c r="Y2466" s="14" t="str">
        <f t="shared" si="194"/>
        <v/>
      </c>
      <c r="Z2466" s="4" t="str">
        <f t="shared" si="195"/>
        <v/>
      </c>
    </row>
    <row r="2467" spans="16:26" x14ac:dyDescent="0.25">
      <c r="P2467" s="10" t="str">
        <f>IF('[1]All Data '!AZ2472="","",'[1]All Data '!AZ2472)</f>
        <v/>
      </c>
      <c r="Q2467" s="10" t="str">
        <f>IF('[1]All Data '!BB2472="","",'[1]All Data '!BB2472)</f>
        <v/>
      </c>
      <c r="R2467" s="10" t="str">
        <f>IF('[1]All Data '!BD2472="","",'[1]All Data '!BD2472)</f>
        <v/>
      </c>
      <c r="S2467" s="11" t="str">
        <f>IF(R2467="","",'[1]All Data '!BE2472)</f>
        <v/>
      </c>
      <c r="T2467" s="12" t="str">
        <f>IF(S2467="","",[1]Inputs_Outputs!$B$8*(1-'LOCH Calc COE Calc'!S2467))</f>
        <v/>
      </c>
      <c r="U2467" s="13" t="str">
        <f t="shared" si="191"/>
        <v/>
      </c>
      <c r="V2467" s="13" t="str">
        <f t="shared" si="192"/>
        <v/>
      </c>
      <c r="W2467" s="4" t="str">
        <f t="shared" si="193"/>
        <v/>
      </c>
      <c r="X2467" t="str">
        <f>IF(W2467="","",LOOKUP(_xlfn.CONCAT(P2467,", ",Q2467),'[1]T+S Costs'!$F$2:$F$3138,'[1]T+S Costs'!$N$2:$N$3138))</f>
        <v/>
      </c>
      <c r="Y2467" s="14" t="str">
        <f t="shared" si="194"/>
        <v/>
      </c>
      <c r="Z2467" s="4" t="str">
        <f t="shared" si="195"/>
        <v/>
      </c>
    </row>
    <row r="2468" spans="16:26" x14ac:dyDescent="0.25">
      <c r="P2468" s="10" t="str">
        <f>IF('[1]All Data '!AZ2473="","",'[1]All Data '!AZ2473)</f>
        <v/>
      </c>
      <c r="Q2468" s="10" t="str">
        <f>IF('[1]All Data '!BB2473="","",'[1]All Data '!BB2473)</f>
        <v/>
      </c>
      <c r="R2468" s="10" t="str">
        <f>IF('[1]All Data '!BD2473="","",'[1]All Data '!BD2473)</f>
        <v/>
      </c>
      <c r="S2468" s="11" t="str">
        <f>IF(R2468="","",'[1]All Data '!BE2473)</f>
        <v/>
      </c>
      <c r="T2468" s="12" t="str">
        <f>IF(S2468="","",[1]Inputs_Outputs!$B$8*(1-'LOCH Calc COE Calc'!S2468))</f>
        <v/>
      </c>
      <c r="U2468" s="13" t="str">
        <f t="shared" si="191"/>
        <v/>
      </c>
      <c r="V2468" s="13" t="str">
        <f t="shared" si="192"/>
        <v/>
      </c>
      <c r="W2468" s="4" t="str">
        <f t="shared" si="193"/>
        <v/>
      </c>
      <c r="X2468" t="str">
        <f>IF(W2468="","",LOOKUP(_xlfn.CONCAT(P2468,", ",Q2468),'[1]T+S Costs'!$F$2:$F$3138,'[1]T+S Costs'!$N$2:$N$3138))</f>
        <v/>
      </c>
      <c r="Y2468" s="14" t="str">
        <f t="shared" si="194"/>
        <v/>
      </c>
      <c r="Z2468" s="4" t="str">
        <f t="shared" si="195"/>
        <v/>
      </c>
    </row>
    <row r="2469" spans="16:26" x14ac:dyDescent="0.25">
      <c r="P2469" s="10" t="str">
        <f>IF('[1]All Data '!AZ2474="","",'[1]All Data '!AZ2474)</f>
        <v/>
      </c>
      <c r="Q2469" s="10" t="str">
        <f>IF('[1]All Data '!BB2474="","",'[1]All Data '!BB2474)</f>
        <v/>
      </c>
      <c r="R2469" s="10" t="str">
        <f>IF('[1]All Data '!BD2474="","",'[1]All Data '!BD2474)</f>
        <v/>
      </c>
      <c r="S2469" s="11" t="str">
        <f>IF(R2469="","",'[1]All Data '!BE2474)</f>
        <v/>
      </c>
      <c r="T2469" s="12" t="str">
        <f>IF(S2469="","",[1]Inputs_Outputs!$B$8*(1-'LOCH Calc COE Calc'!S2469))</f>
        <v/>
      </c>
      <c r="U2469" s="13" t="str">
        <f t="shared" si="191"/>
        <v/>
      </c>
      <c r="V2469" s="13" t="str">
        <f t="shared" si="192"/>
        <v/>
      </c>
      <c r="W2469" s="4" t="str">
        <f t="shared" si="193"/>
        <v/>
      </c>
      <c r="X2469" t="str">
        <f>IF(W2469="","",LOOKUP(_xlfn.CONCAT(P2469,", ",Q2469),'[1]T+S Costs'!$F$2:$F$3138,'[1]T+S Costs'!$N$2:$N$3138))</f>
        <v/>
      </c>
      <c r="Y2469" s="14" t="str">
        <f t="shared" si="194"/>
        <v/>
      </c>
      <c r="Z2469" s="4" t="str">
        <f t="shared" si="195"/>
        <v/>
      </c>
    </row>
    <row r="2470" spans="16:26" x14ac:dyDescent="0.25">
      <c r="P2470" s="10" t="str">
        <f>IF('[1]All Data '!AZ2475="","",'[1]All Data '!AZ2475)</f>
        <v/>
      </c>
      <c r="Q2470" s="10" t="str">
        <f>IF('[1]All Data '!BB2475="","",'[1]All Data '!BB2475)</f>
        <v/>
      </c>
      <c r="R2470" s="10" t="str">
        <f>IF('[1]All Data '!BD2475="","",'[1]All Data '!BD2475)</f>
        <v/>
      </c>
      <c r="S2470" s="11" t="str">
        <f>IF(R2470="","",'[1]All Data '!BE2475)</f>
        <v/>
      </c>
      <c r="T2470" s="12" t="str">
        <f>IF(S2470="","",[1]Inputs_Outputs!$B$8*(1-'LOCH Calc COE Calc'!S2470))</f>
        <v/>
      </c>
      <c r="U2470" s="13" t="str">
        <f t="shared" si="191"/>
        <v/>
      </c>
      <c r="V2470" s="13" t="str">
        <f t="shared" si="192"/>
        <v/>
      </c>
      <c r="W2470" s="4" t="str">
        <f t="shared" si="193"/>
        <v/>
      </c>
      <c r="X2470" t="str">
        <f>IF(W2470="","",LOOKUP(_xlfn.CONCAT(P2470,", ",Q2470),'[1]T+S Costs'!$F$2:$F$3138,'[1]T+S Costs'!$N$2:$N$3138))</f>
        <v/>
      </c>
      <c r="Y2470" s="14" t="str">
        <f t="shared" si="194"/>
        <v/>
      </c>
      <c r="Z2470" s="4" t="str">
        <f t="shared" si="195"/>
        <v/>
      </c>
    </row>
    <row r="2471" spans="16:26" x14ac:dyDescent="0.25">
      <c r="P2471" s="10" t="str">
        <f>IF('[1]All Data '!AZ2476="","",'[1]All Data '!AZ2476)</f>
        <v/>
      </c>
      <c r="Q2471" s="10" t="str">
        <f>IF('[1]All Data '!BB2476="","",'[1]All Data '!BB2476)</f>
        <v/>
      </c>
      <c r="R2471" s="10" t="str">
        <f>IF('[1]All Data '!BD2476="","",'[1]All Data '!BD2476)</f>
        <v/>
      </c>
      <c r="S2471" s="11" t="str">
        <f>IF(R2471="","",'[1]All Data '!BE2476)</f>
        <v/>
      </c>
      <c r="T2471" s="12" t="str">
        <f>IF(S2471="","",[1]Inputs_Outputs!$B$8*(1-'LOCH Calc COE Calc'!S2471))</f>
        <v/>
      </c>
      <c r="U2471" s="13" t="str">
        <f t="shared" si="191"/>
        <v/>
      </c>
      <c r="V2471" s="13" t="str">
        <f t="shared" si="192"/>
        <v/>
      </c>
      <c r="W2471" s="4" t="str">
        <f t="shared" si="193"/>
        <v/>
      </c>
      <c r="X2471" t="str">
        <f>IF(W2471="","",LOOKUP(_xlfn.CONCAT(P2471,", ",Q2471),'[1]T+S Costs'!$F$2:$F$3138,'[1]T+S Costs'!$N$2:$N$3138))</f>
        <v/>
      </c>
      <c r="Y2471" s="14" t="str">
        <f t="shared" si="194"/>
        <v/>
      </c>
      <c r="Z2471" s="4" t="str">
        <f t="shared" si="195"/>
        <v/>
      </c>
    </row>
    <row r="2472" spans="16:26" x14ac:dyDescent="0.25">
      <c r="P2472" s="10" t="str">
        <f>IF('[1]All Data '!AZ2477="","",'[1]All Data '!AZ2477)</f>
        <v/>
      </c>
      <c r="Q2472" s="10" t="str">
        <f>IF('[1]All Data '!BB2477="","",'[1]All Data '!BB2477)</f>
        <v/>
      </c>
      <c r="R2472" s="10" t="str">
        <f>IF('[1]All Data '!BD2477="","",'[1]All Data '!BD2477)</f>
        <v/>
      </c>
      <c r="S2472" s="11" t="str">
        <f>IF(R2472="","",'[1]All Data '!BE2477)</f>
        <v/>
      </c>
      <c r="T2472" s="12" t="str">
        <f>IF(S2472="","",[1]Inputs_Outputs!$B$8*(1-'LOCH Calc COE Calc'!S2472))</f>
        <v/>
      </c>
      <c r="U2472" s="13" t="str">
        <f t="shared" si="191"/>
        <v/>
      </c>
      <c r="V2472" s="13" t="str">
        <f t="shared" si="192"/>
        <v/>
      </c>
      <c r="W2472" s="4" t="str">
        <f t="shared" si="193"/>
        <v/>
      </c>
      <c r="X2472" t="str">
        <f>IF(W2472="","",LOOKUP(_xlfn.CONCAT(P2472,", ",Q2472),'[1]T+S Costs'!$F$2:$F$3138,'[1]T+S Costs'!$N$2:$N$3138))</f>
        <v/>
      </c>
      <c r="Y2472" s="14" t="str">
        <f t="shared" si="194"/>
        <v/>
      </c>
      <c r="Z2472" s="4" t="str">
        <f t="shared" si="195"/>
        <v/>
      </c>
    </row>
    <row r="2473" spans="16:26" x14ac:dyDescent="0.25">
      <c r="P2473" s="10" t="str">
        <f>IF('[1]All Data '!AZ2478="","",'[1]All Data '!AZ2478)</f>
        <v/>
      </c>
      <c r="Q2473" s="10" t="str">
        <f>IF('[1]All Data '!BB2478="","",'[1]All Data '!BB2478)</f>
        <v/>
      </c>
      <c r="R2473" s="10" t="str">
        <f>IF('[1]All Data '!BD2478="","",'[1]All Data '!BD2478)</f>
        <v/>
      </c>
      <c r="S2473" s="11" t="str">
        <f>IF(R2473="","",'[1]All Data '!BE2478)</f>
        <v/>
      </c>
      <c r="T2473" s="12" t="str">
        <f>IF(S2473="","",[1]Inputs_Outputs!$B$8*(1-'LOCH Calc COE Calc'!S2473))</f>
        <v/>
      </c>
      <c r="U2473" s="13" t="str">
        <f t="shared" si="191"/>
        <v/>
      </c>
      <c r="V2473" s="13" t="str">
        <f t="shared" si="192"/>
        <v/>
      </c>
      <c r="W2473" s="4" t="str">
        <f t="shared" si="193"/>
        <v/>
      </c>
      <c r="X2473" t="str">
        <f>IF(W2473="","",LOOKUP(_xlfn.CONCAT(P2473,", ",Q2473),'[1]T+S Costs'!$F$2:$F$3138,'[1]T+S Costs'!$N$2:$N$3138))</f>
        <v/>
      </c>
      <c r="Y2473" s="14" t="str">
        <f t="shared" si="194"/>
        <v/>
      </c>
      <c r="Z2473" s="4" t="str">
        <f t="shared" si="195"/>
        <v/>
      </c>
    </row>
    <row r="2474" spans="16:26" x14ac:dyDescent="0.25">
      <c r="P2474" s="10" t="str">
        <f>IF('[1]All Data '!AZ2479="","",'[1]All Data '!AZ2479)</f>
        <v/>
      </c>
      <c r="Q2474" s="10" t="str">
        <f>IF('[1]All Data '!BB2479="","",'[1]All Data '!BB2479)</f>
        <v/>
      </c>
      <c r="R2474" s="10" t="str">
        <f>IF('[1]All Data '!BD2479="","",'[1]All Data '!BD2479)</f>
        <v/>
      </c>
      <c r="S2474" s="11" t="str">
        <f>IF(R2474="","",'[1]All Data '!BE2479)</f>
        <v/>
      </c>
      <c r="T2474" s="12" t="str">
        <f>IF(S2474="","",[1]Inputs_Outputs!$B$8*(1-'LOCH Calc COE Calc'!S2474))</f>
        <v/>
      </c>
      <c r="U2474" s="13" t="str">
        <f t="shared" si="191"/>
        <v/>
      </c>
      <c r="V2474" s="13" t="str">
        <f t="shared" si="192"/>
        <v/>
      </c>
      <c r="W2474" s="4" t="str">
        <f t="shared" si="193"/>
        <v/>
      </c>
      <c r="X2474" t="str">
        <f>IF(W2474="","",LOOKUP(_xlfn.CONCAT(P2474,", ",Q2474),'[1]T+S Costs'!$F$2:$F$3138,'[1]T+S Costs'!$N$2:$N$3138))</f>
        <v/>
      </c>
      <c r="Y2474" s="14" t="str">
        <f t="shared" si="194"/>
        <v/>
      </c>
      <c r="Z2474" s="4" t="str">
        <f t="shared" si="195"/>
        <v/>
      </c>
    </row>
    <row r="2475" spans="16:26" x14ac:dyDescent="0.25">
      <c r="P2475" s="10" t="str">
        <f>IF('[1]All Data '!AZ2480="","",'[1]All Data '!AZ2480)</f>
        <v/>
      </c>
      <c r="Q2475" s="10" t="str">
        <f>IF('[1]All Data '!BB2480="","",'[1]All Data '!BB2480)</f>
        <v/>
      </c>
      <c r="R2475" s="10" t="str">
        <f>IF('[1]All Data '!BD2480="","",'[1]All Data '!BD2480)</f>
        <v/>
      </c>
      <c r="S2475" s="11" t="str">
        <f>IF(R2475="","",'[1]All Data '!BE2480)</f>
        <v/>
      </c>
      <c r="T2475" s="12" t="str">
        <f>IF(S2475="","",[1]Inputs_Outputs!$B$8*(1-'LOCH Calc COE Calc'!S2475))</f>
        <v/>
      </c>
      <c r="U2475" s="13" t="str">
        <f t="shared" si="191"/>
        <v/>
      </c>
      <c r="V2475" s="13" t="str">
        <f t="shared" si="192"/>
        <v/>
      </c>
      <c r="W2475" s="4" t="str">
        <f t="shared" si="193"/>
        <v/>
      </c>
      <c r="X2475" t="str">
        <f>IF(W2475="","",LOOKUP(_xlfn.CONCAT(P2475,", ",Q2475),'[1]T+S Costs'!$F$2:$F$3138,'[1]T+S Costs'!$N$2:$N$3138))</f>
        <v/>
      </c>
      <c r="Y2475" s="14" t="str">
        <f t="shared" si="194"/>
        <v/>
      </c>
      <c r="Z2475" s="4" t="str">
        <f t="shared" si="195"/>
        <v/>
      </c>
    </row>
    <row r="2476" spans="16:26" x14ac:dyDescent="0.25">
      <c r="P2476" s="10" t="str">
        <f>IF('[1]All Data '!AZ2481="","",'[1]All Data '!AZ2481)</f>
        <v/>
      </c>
      <c r="Q2476" s="10" t="str">
        <f>IF('[1]All Data '!BB2481="","",'[1]All Data '!BB2481)</f>
        <v/>
      </c>
      <c r="R2476" s="10" t="str">
        <f>IF('[1]All Data '!BD2481="","",'[1]All Data '!BD2481)</f>
        <v/>
      </c>
      <c r="S2476" s="11" t="str">
        <f>IF(R2476="","",'[1]All Data '!BE2481)</f>
        <v/>
      </c>
      <c r="T2476" s="12" t="str">
        <f>IF(S2476="","",[1]Inputs_Outputs!$B$8*(1-'LOCH Calc COE Calc'!S2476))</f>
        <v/>
      </c>
      <c r="U2476" s="13" t="str">
        <f t="shared" si="191"/>
        <v/>
      </c>
      <c r="V2476" s="13" t="str">
        <f t="shared" si="192"/>
        <v/>
      </c>
      <c r="W2476" s="4" t="str">
        <f t="shared" si="193"/>
        <v/>
      </c>
      <c r="X2476" t="str">
        <f>IF(W2476="","",LOOKUP(_xlfn.CONCAT(P2476,", ",Q2476),'[1]T+S Costs'!$F$2:$F$3138,'[1]T+S Costs'!$N$2:$N$3138))</f>
        <v/>
      </c>
      <c r="Y2476" s="14" t="str">
        <f t="shared" si="194"/>
        <v/>
      </c>
      <c r="Z2476" s="4" t="str">
        <f t="shared" si="195"/>
        <v/>
      </c>
    </row>
    <row r="2477" spans="16:26" x14ac:dyDescent="0.25">
      <c r="P2477" s="10" t="str">
        <f>IF('[1]All Data '!AZ2482="","",'[1]All Data '!AZ2482)</f>
        <v/>
      </c>
      <c r="Q2477" s="10" t="str">
        <f>IF('[1]All Data '!BB2482="","",'[1]All Data '!BB2482)</f>
        <v/>
      </c>
      <c r="R2477" s="10" t="str">
        <f>IF('[1]All Data '!BD2482="","",'[1]All Data '!BD2482)</f>
        <v/>
      </c>
      <c r="S2477" s="11" t="str">
        <f>IF(R2477="","",'[1]All Data '!BE2482)</f>
        <v/>
      </c>
      <c r="T2477" s="12" t="str">
        <f>IF(S2477="","",[1]Inputs_Outputs!$B$8*(1-'LOCH Calc COE Calc'!S2477))</f>
        <v/>
      </c>
      <c r="U2477" s="13" t="str">
        <f t="shared" si="191"/>
        <v/>
      </c>
      <c r="V2477" s="13" t="str">
        <f t="shared" si="192"/>
        <v/>
      </c>
      <c r="W2477" s="4" t="str">
        <f t="shared" si="193"/>
        <v/>
      </c>
      <c r="X2477" t="str">
        <f>IF(W2477="","",LOOKUP(_xlfn.CONCAT(P2477,", ",Q2477),'[1]T+S Costs'!$F$2:$F$3138,'[1]T+S Costs'!$N$2:$N$3138))</f>
        <v/>
      </c>
      <c r="Y2477" s="14" t="str">
        <f t="shared" si="194"/>
        <v/>
      </c>
      <c r="Z2477" s="4" t="str">
        <f t="shared" si="195"/>
        <v/>
      </c>
    </row>
    <row r="2478" spans="16:26" x14ac:dyDescent="0.25">
      <c r="P2478" s="10" t="str">
        <f>IF('[1]All Data '!AZ2483="","",'[1]All Data '!AZ2483)</f>
        <v/>
      </c>
      <c r="Q2478" s="10" t="str">
        <f>IF('[1]All Data '!BB2483="","",'[1]All Data '!BB2483)</f>
        <v/>
      </c>
      <c r="R2478" s="10" t="str">
        <f>IF('[1]All Data '!BD2483="","",'[1]All Data '!BD2483)</f>
        <v/>
      </c>
      <c r="S2478" s="11" t="str">
        <f>IF(R2478="","",'[1]All Data '!BE2483)</f>
        <v/>
      </c>
      <c r="T2478" s="12" t="str">
        <f>IF(S2478="","",[1]Inputs_Outputs!$B$8*(1-'LOCH Calc COE Calc'!S2478))</f>
        <v/>
      </c>
      <c r="U2478" s="13" t="str">
        <f t="shared" si="191"/>
        <v/>
      </c>
      <c r="V2478" s="13" t="str">
        <f t="shared" si="192"/>
        <v/>
      </c>
      <c r="W2478" s="4" t="str">
        <f t="shared" si="193"/>
        <v/>
      </c>
      <c r="X2478" t="str">
        <f>IF(W2478="","",LOOKUP(_xlfn.CONCAT(P2478,", ",Q2478),'[1]T+S Costs'!$F$2:$F$3138,'[1]T+S Costs'!$N$2:$N$3138))</f>
        <v/>
      </c>
      <c r="Y2478" s="14" t="str">
        <f t="shared" si="194"/>
        <v/>
      </c>
      <c r="Z2478" s="4" t="str">
        <f t="shared" si="195"/>
        <v/>
      </c>
    </row>
    <row r="2479" spans="16:26" x14ac:dyDescent="0.25">
      <c r="P2479" s="10" t="str">
        <f>IF('[1]All Data '!AZ2484="","",'[1]All Data '!AZ2484)</f>
        <v/>
      </c>
      <c r="Q2479" s="10" t="str">
        <f>IF('[1]All Data '!BB2484="","",'[1]All Data '!BB2484)</f>
        <v/>
      </c>
      <c r="R2479" s="10" t="str">
        <f>IF('[1]All Data '!BD2484="","",'[1]All Data '!BD2484)</f>
        <v/>
      </c>
      <c r="S2479" s="11" t="str">
        <f>IF(R2479="","",'[1]All Data '!BE2484)</f>
        <v/>
      </c>
      <c r="T2479" s="12" t="str">
        <f>IF(S2479="","",[1]Inputs_Outputs!$B$8*(1-'LOCH Calc COE Calc'!S2479))</f>
        <v/>
      </c>
      <c r="U2479" s="13" t="str">
        <f t="shared" si="191"/>
        <v/>
      </c>
      <c r="V2479" s="13" t="str">
        <f t="shared" si="192"/>
        <v/>
      </c>
      <c r="W2479" s="4" t="str">
        <f t="shared" si="193"/>
        <v/>
      </c>
      <c r="X2479" t="str">
        <f>IF(W2479="","",LOOKUP(_xlfn.CONCAT(P2479,", ",Q2479),'[1]T+S Costs'!$F$2:$F$3138,'[1]T+S Costs'!$N$2:$N$3138))</f>
        <v/>
      </c>
      <c r="Y2479" s="14" t="str">
        <f t="shared" si="194"/>
        <v/>
      </c>
      <c r="Z2479" s="4" t="str">
        <f t="shared" si="195"/>
        <v/>
      </c>
    </row>
    <row r="2480" spans="16:26" x14ac:dyDescent="0.25">
      <c r="P2480" s="10" t="str">
        <f>IF('[1]All Data '!AZ2485="","",'[1]All Data '!AZ2485)</f>
        <v/>
      </c>
      <c r="Q2480" s="10" t="str">
        <f>IF('[1]All Data '!BB2485="","",'[1]All Data '!BB2485)</f>
        <v/>
      </c>
      <c r="R2480" s="10" t="str">
        <f>IF('[1]All Data '!BD2485="","",'[1]All Data '!BD2485)</f>
        <v/>
      </c>
      <c r="S2480" s="11" t="str">
        <f>IF(R2480="","",'[1]All Data '!BE2485)</f>
        <v/>
      </c>
      <c r="T2480" s="12" t="str">
        <f>IF(S2480="","",[1]Inputs_Outputs!$B$8*(1-'LOCH Calc COE Calc'!S2480))</f>
        <v/>
      </c>
      <c r="U2480" s="13" t="str">
        <f t="shared" si="191"/>
        <v/>
      </c>
      <c r="V2480" s="13" t="str">
        <f t="shared" si="192"/>
        <v/>
      </c>
      <c r="W2480" s="4" t="str">
        <f t="shared" si="193"/>
        <v/>
      </c>
      <c r="X2480" t="str">
        <f>IF(W2480="","",LOOKUP(_xlfn.CONCAT(P2480,", ",Q2480),'[1]T+S Costs'!$F$2:$F$3138,'[1]T+S Costs'!$N$2:$N$3138))</f>
        <v/>
      </c>
      <c r="Y2480" s="14" t="str">
        <f t="shared" si="194"/>
        <v/>
      </c>
      <c r="Z2480" s="4" t="str">
        <f t="shared" si="195"/>
        <v/>
      </c>
    </row>
    <row r="2481" spans="16:26" x14ac:dyDescent="0.25">
      <c r="P2481" s="10" t="str">
        <f>IF('[1]All Data '!AZ2486="","",'[1]All Data '!AZ2486)</f>
        <v/>
      </c>
      <c r="Q2481" s="10" t="str">
        <f>IF('[1]All Data '!BB2486="","",'[1]All Data '!BB2486)</f>
        <v/>
      </c>
      <c r="R2481" s="10" t="str">
        <f>IF('[1]All Data '!BD2486="","",'[1]All Data '!BD2486)</f>
        <v/>
      </c>
      <c r="S2481" s="11" t="str">
        <f>IF(R2481="","",'[1]All Data '!BE2486)</f>
        <v/>
      </c>
      <c r="T2481" s="12" t="str">
        <f>IF(S2481="","",[1]Inputs_Outputs!$B$8*(1-'LOCH Calc COE Calc'!S2481))</f>
        <v/>
      </c>
      <c r="U2481" s="13" t="str">
        <f t="shared" si="191"/>
        <v/>
      </c>
      <c r="V2481" s="13" t="str">
        <f t="shared" si="192"/>
        <v/>
      </c>
      <c r="W2481" s="4" t="str">
        <f t="shared" si="193"/>
        <v/>
      </c>
      <c r="X2481" t="str">
        <f>IF(W2481="","",LOOKUP(_xlfn.CONCAT(P2481,", ",Q2481),'[1]T+S Costs'!$F$2:$F$3138,'[1]T+S Costs'!$N$2:$N$3138))</f>
        <v/>
      </c>
      <c r="Y2481" s="14" t="str">
        <f t="shared" si="194"/>
        <v/>
      </c>
      <c r="Z2481" s="4" t="str">
        <f t="shared" si="195"/>
        <v/>
      </c>
    </row>
    <row r="2482" spans="16:26" x14ac:dyDescent="0.25">
      <c r="P2482" s="10" t="str">
        <f>IF('[1]All Data '!AZ2487="","",'[1]All Data '!AZ2487)</f>
        <v/>
      </c>
      <c r="Q2482" s="10" t="str">
        <f>IF('[1]All Data '!BB2487="","",'[1]All Data '!BB2487)</f>
        <v/>
      </c>
      <c r="R2482" s="10" t="str">
        <f>IF('[1]All Data '!BD2487="","",'[1]All Data '!BD2487)</f>
        <v/>
      </c>
      <c r="S2482" s="11" t="str">
        <f>IF(R2482="","",'[1]All Data '!BE2487)</f>
        <v/>
      </c>
      <c r="T2482" s="12" t="str">
        <f>IF(S2482="","",[1]Inputs_Outputs!$B$8*(1-'LOCH Calc COE Calc'!S2482))</f>
        <v/>
      </c>
      <c r="U2482" s="13" t="str">
        <f t="shared" si="191"/>
        <v/>
      </c>
      <c r="V2482" s="13" t="str">
        <f t="shared" si="192"/>
        <v/>
      </c>
      <c r="W2482" s="4" t="str">
        <f t="shared" si="193"/>
        <v/>
      </c>
      <c r="X2482" t="str">
        <f>IF(W2482="","",LOOKUP(_xlfn.CONCAT(P2482,", ",Q2482),'[1]T+S Costs'!$F$2:$F$3138,'[1]T+S Costs'!$N$2:$N$3138))</f>
        <v/>
      </c>
      <c r="Y2482" s="14" t="str">
        <f t="shared" si="194"/>
        <v/>
      </c>
      <c r="Z2482" s="4" t="str">
        <f t="shared" si="195"/>
        <v/>
      </c>
    </row>
    <row r="2483" spans="16:26" x14ac:dyDescent="0.25">
      <c r="P2483" s="10" t="str">
        <f>IF('[1]All Data '!AZ2488="","",'[1]All Data '!AZ2488)</f>
        <v/>
      </c>
      <c r="Q2483" s="10" t="str">
        <f>IF('[1]All Data '!BB2488="","",'[1]All Data '!BB2488)</f>
        <v/>
      </c>
      <c r="R2483" s="10" t="str">
        <f>IF('[1]All Data '!BD2488="","",'[1]All Data '!BD2488)</f>
        <v/>
      </c>
      <c r="S2483" s="11" t="str">
        <f>IF(R2483="","",'[1]All Data '!BE2488)</f>
        <v/>
      </c>
      <c r="T2483" s="12" t="str">
        <f>IF(S2483="","",[1]Inputs_Outputs!$B$8*(1-'LOCH Calc COE Calc'!S2483))</f>
        <v/>
      </c>
      <c r="U2483" s="13" t="str">
        <f t="shared" si="191"/>
        <v/>
      </c>
      <c r="V2483" s="13" t="str">
        <f t="shared" si="192"/>
        <v/>
      </c>
      <c r="W2483" s="4" t="str">
        <f t="shared" si="193"/>
        <v/>
      </c>
      <c r="X2483" t="str">
        <f>IF(W2483="","",LOOKUP(_xlfn.CONCAT(P2483,", ",Q2483),'[1]T+S Costs'!$F$2:$F$3138,'[1]T+S Costs'!$N$2:$N$3138))</f>
        <v/>
      </c>
      <c r="Y2483" s="14" t="str">
        <f t="shared" si="194"/>
        <v/>
      </c>
      <c r="Z2483" s="4" t="str">
        <f t="shared" si="195"/>
        <v/>
      </c>
    </row>
    <row r="2484" spans="16:26" x14ac:dyDescent="0.25">
      <c r="P2484" s="10" t="str">
        <f>IF('[1]All Data '!AZ2489="","",'[1]All Data '!AZ2489)</f>
        <v/>
      </c>
      <c r="Q2484" s="10" t="str">
        <f>IF('[1]All Data '!BB2489="","",'[1]All Data '!BB2489)</f>
        <v/>
      </c>
      <c r="R2484" s="10" t="str">
        <f>IF('[1]All Data '!BD2489="","",'[1]All Data '!BD2489)</f>
        <v/>
      </c>
      <c r="S2484" s="11" t="str">
        <f>IF(R2484="","",'[1]All Data '!BE2489)</f>
        <v/>
      </c>
      <c r="T2484" s="12" t="str">
        <f>IF(S2484="","",[1]Inputs_Outputs!$B$8*(1-'LOCH Calc COE Calc'!S2484))</f>
        <v/>
      </c>
      <c r="U2484" s="13" t="str">
        <f t="shared" si="191"/>
        <v/>
      </c>
      <c r="V2484" s="13" t="str">
        <f t="shared" si="192"/>
        <v/>
      </c>
      <c r="W2484" s="4" t="str">
        <f t="shared" si="193"/>
        <v/>
      </c>
      <c r="X2484" t="str">
        <f>IF(W2484="","",LOOKUP(_xlfn.CONCAT(P2484,", ",Q2484),'[1]T+S Costs'!$F$2:$F$3138,'[1]T+S Costs'!$N$2:$N$3138))</f>
        <v/>
      </c>
      <c r="Y2484" s="14" t="str">
        <f t="shared" si="194"/>
        <v/>
      </c>
      <c r="Z2484" s="4" t="str">
        <f t="shared" si="195"/>
        <v/>
      </c>
    </row>
    <row r="2485" spans="16:26" x14ac:dyDescent="0.25">
      <c r="P2485" s="10" t="str">
        <f>IF('[1]All Data '!AZ2490="","",'[1]All Data '!AZ2490)</f>
        <v/>
      </c>
      <c r="Q2485" s="10" t="str">
        <f>IF('[1]All Data '!BB2490="","",'[1]All Data '!BB2490)</f>
        <v/>
      </c>
      <c r="R2485" s="10" t="str">
        <f>IF('[1]All Data '!BD2490="","",'[1]All Data '!BD2490)</f>
        <v/>
      </c>
      <c r="S2485" s="11" t="str">
        <f>IF(R2485="","",'[1]All Data '!BE2490)</f>
        <v/>
      </c>
      <c r="T2485" s="12" t="str">
        <f>IF(S2485="","",[1]Inputs_Outputs!$B$8*(1-'LOCH Calc COE Calc'!S2485))</f>
        <v/>
      </c>
      <c r="U2485" s="13" t="str">
        <f t="shared" si="191"/>
        <v/>
      </c>
      <c r="V2485" s="13" t="str">
        <f t="shared" si="192"/>
        <v/>
      </c>
      <c r="W2485" s="4" t="str">
        <f t="shared" si="193"/>
        <v/>
      </c>
      <c r="X2485" t="str">
        <f>IF(W2485="","",LOOKUP(_xlfn.CONCAT(P2485,", ",Q2485),'[1]T+S Costs'!$F$2:$F$3138,'[1]T+S Costs'!$N$2:$N$3138))</f>
        <v/>
      </c>
      <c r="Y2485" s="14" t="str">
        <f t="shared" si="194"/>
        <v/>
      </c>
      <c r="Z2485" s="4" t="str">
        <f t="shared" si="195"/>
        <v/>
      </c>
    </row>
    <row r="2486" spans="16:26" x14ac:dyDescent="0.25">
      <c r="P2486" s="10" t="str">
        <f>IF('[1]All Data '!AZ2491="","",'[1]All Data '!AZ2491)</f>
        <v/>
      </c>
      <c r="Q2486" s="10" t="str">
        <f>IF('[1]All Data '!BB2491="","",'[1]All Data '!BB2491)</f>
        <v/>
      </c>
      <c r="R2486" s="10" t="str">
        <f>IF('[1]All Data '!BD2491="","",'[1]All Data '!BD2491)</f>
        <v/>
      </c>
      <c r="S2486" s="11" t="str">
        <f>IF(R2486="","",'[1]All Data '!BE2491)</f>
        <v/>
      </c>
      <c r="T2486" s="12" t="str">
        <f>IF(S2486="","",[1]Inputs_Outputs!$B$8*(1-'LOCH Calc COE Calc'!S2486))</f>
        <v/>
      </c>
      <c r="U2486" s="13" t="str">
        <f t="shared" si="191"/>
        <v/>
      </c>
      <c r="V2486" s="13" t="str">
        <f t="shared" si="192"/>
        <v/>
      </c>
      <c r="W2486" s="4" t="str">
        <f t="shared" si="193"/>
        <v/>
      </c>
      <c r="X2486" t="str">
        <f>IF(W2486="","",LOOKUP(_xlfn.CONCAT(P2486,", ",Q2486),'[1]T+S Costs'!$F$2:$F$3138,'[1]T+S Costs'!$N$2:$N$3138))</f>
        <v/>
      </c>
      <c r="Y2486" s="14" t="str">
        <f t="shared" si="194"/>
        <v/>
      </c>
      <c r="Z2486" s="4" t="str">
        <f t="shared" si="195"/>
        <v/>
      </c>
    </row>
    <row r="2487" spans="16:26" x14ac:dyDescent="0.25">
      <c r="P2487" s="10" t="str">
        <f>IF('[1]All Data '!AZ2492="","",'[1]All Data '!AZ2492)</f>
        <v/>
      </c>
      <c r="Q2487" s="10" t="str">
        <f>IF('[1]All Data '!BB2492="","",'[1]All Data '!BB2492)</f>
        <v/>
      </c>
      <c r="R2487" s="10" t="str">
        <f>IF('[1]All Data '!BD2492="","",'[1]All Data '!BD2492)</f>
        <v/>
      </c>
      <c r="S2487" s="11" t="str">
        <f>IF(R2487="","",'[1]All Data '!BE2492)</f>
        <v/>
      </c>
      <c r="T2487" s="12" t="str">
        <f>IF(S2487="","",[1]Inputs_Outputs!$B$8*(1-'LOCH Calc COE Calc'!S2487))</f>
        <v/>
      </c>
      <c r="U2487" s="13" t="str">
        <f t="shared" si="191"/>
        <v/>
      </c>
      <c r="V2487" s="13" t="str">
        <f t="shared" si="192"/>
        <v/>
      </c>
      <c r="W2487" s="4" t="str">
        <f t="shared" si="193"/>
        <v/>
      </c>
      <c r="X2487" t="str">
        <f>IF(W2487="","",LOOKUP(_xlfn.CONCAT(P2487,", ",Q2487),'[1]T+S Costs'!$F$2:$F$3138,'[1]T+S Costs'!$N$2:$N$3138))</f>
        <v/>
      </c>
      <c r="Y2487" s="14" t="str">
        <f t="shared" si="194"/>
        <v/>
      </c>
      <c r="Z2487" s="4" t="str">
        <f t="shared" si="195"/>
        <v/>
      </c>
    </row>
    <row r="2488" spans="16:26" x14ac:dyDescent="0.25">
      <c r="P2488" s="10" t="str">
        <f>IF('[1]All Data '!AZ2493="","",'[1]All Data '!AZ2493)</f>
        <v/>
      </c>
      <c r="Q2488" s="10" t="str">
        <f>IF('[1]All Data '!BB2493="","",'[1]All Data '!BB2493)</f>
        <v/>
      </c>
      <c r="R2488" s="10" t="str">
        <f>IF('[1]All Data '!BD2493="","",'[1]All Data '!BD2493)</f>
        <v/>
      </c>
      <c r="S2488" s="11" t="str">
        <f>IF(R2488="","",'[1]All Data '!BE2493)</f>
        <v/>
      </c>
      <c r="T2488" s="12" t="str">
        <f>IF(S2488="","",[1]Inputs_Outputs!$B$8*(1-'LOCH Calc COE Calc'!S2488))</f>
        <v/>
      </c>
      <c r="U2488" s="13" t="str">
        <f t="shared" si="191"/>
        <v/>
      </c>
      <c r="V2488" s="13" t="str">
        <f t="shared" si="192"/>
        <v/>
      </c>
      <c r="W2488" s="4" t="str">
        <f t="shared" si="193"/>
        <v/>
      </c>
      <c r="X2488" t="str">
        <f>IF(W2488="","",LOOKUP(_xlfn.CONCAT(P2488,", ",Q2488),'[1]T+S Costs'!$F$2:$F$3138,'[1]T+S Costs'!$N$2:$N$3138))</f>
        <v/>
      </c>
      <c r="Y2488" s="14" t="str">
        <f t="shared" si="194"/>
        <v/>
      </c>
      <c r="Z2488" s="4" t="str">
        <f t="shared" si="195"/>
        <v/>
      </c>
    </row>
    <row r="2489" spans="16:26" x14ac:dyDescent="0.25">
      <c r="P2489" s="10" t="str">
        <f>IF('[1]All Data '!AZ2494="","",'[1]All Data '!AZ2494)</f>
        <v/>
      </c>
      <c r="Q2489" s="10" t="str">
        <f>IF('[1]All Data '!BB2494="","",'[1]All Data '!BB2494)</f>
        <v/>
      </c>
      <c r="R2489" s="10" t="str">
        <f>IF('[1]All Data '!BD2494="","",'[1]All Data '!BD2494)</f>
        <v/>
      </c>
      <c r="S2489" s="11" t="str">
        <f>IF(R2489="","",'[1]All Data '!BE2494)</f>
        <v/>
      </c>
      <c r="T2489" s="12" t="str">
        <f>IF(S2489="","",[1]Inputs_Outputs!$B$8*(1-'LOCH Calc COE Calc'!S2489))</f>
        <v/>
      </c>
      <c r="U2489" s="13" t="str">
        <f t="shared" si="191"/>
        <v/>
      </c>
      <c r="V2489" s="13" t="str">
        <f t="shared" si="192"/>
        <v/>
      </c>
      <c r="W2489" s="4" t="str">
        <f t="shared" si="193"/>
        <v/>
      </c>
      <c r="X2489" t="str">
        <f>IF(W2489="","",LOOKUP(_xlfn.CONCAT(P2489,", ",Q2489),'[1]T+S Costs'!$F$2:$F$3138,'[1]T+S Costs'!$N$2:$N$3138))</f>
        <v/>
      </c>
      <c r="Y2489" s="14" t="str">
        <f t="shared" si="194"/>
        <v/>
      </c>
      <c r="Z2489" s="4" t="str">
        <f t="shared" si="195"/>
        <v/>
      </c>
    </row>
    <row r="2490" spans="16:26" x14ac:dyDescent="0.25">
      <c r="P2490" s="10" t="str">
        <f>IF('[1]All Data '!AZ2495="","",'[1]All Data '!AZ2495)</f>
        <v/>
      </c>
      <c r="Q2490" s="10" t="str">
        <f>IF('[1]All Data '!BB2495="","",'[1]All Data '!BB2495)</f>
        <v/>
      </c>
      <c r="R2490" s="10" t="str">
        <f>IF('[1]All Data '!BD2495="","",'[1]All Data '!BD2495)</f>
        <v/>
      </c>
      <c r="S2490" s="11" t="str">
        <f>IF(R2490="","",'[1]All Data '!BE2495)</f>
        <v/>
      </c>
      <c r="T2490" s="12" t="str">
        <f>IF(S2490="","",[1]Inputs_Outputs!$B$8*(1-'LOCH Calc COE Calc'!S2490))</f>
        <v/>
      </c>
      <c r="U2490" s="13" t="str">
        <f t="shared" si="191"/>
        <v/>
      </c>
      <c r="V2490" s="13" t="str">
        <f t="shared" si="192"/>
        <v/>
      </c>
      <c r="W2490" s="4" t="str">
        <f t="shared" si="193"/>
        <v/>
      </c>
      <c r="X2490" t="str">
        <f>IF(W2490="","",LOOKUP(_xlfn.CONCAT(P2490,", ",Q2490),'[1]T+S Costs'!$F$2:$F$3138,'[1]T+S Costs'!$N$2:$N$3138))</f>
        <v/>
      </c>
      <c r="Y2490" s="14" t="str">
        <f t="shared" si="194"/>
        <v/>
      </c>
      <c r="Z2490" s="4" t="str">
        <f t="shared" si="195"/>
        <v/>
      </c>
    </row>
    <row r="2491" spans="16:26" x14ac:dyDescent="0.25">
      <c r="P2491" s="10" t="str">
        <f>IF('[1]All Data '!AZ2496="","",'[1]All Data '!AZ2496)</f>
        <v/>
      </c>
      <c r="Q2491" s="10" t="str">
        <f>IF('[1]All Data '!BB2496="","",'[1]All Data '!BB2496)</f>
        <v/>
      </c>
      <c r="R2491" s="10" t="str">
        <f>IF('[1]All Data '!BD2496="","",'[1]All Data '!BD2496)</f>
        <v/>
      </c>
      <c r="S2491" s="11" t="str">
        <f>IF(R2491="","",'[1]All Data '!BE2496)</f>
        <v/>
      </c>
      <c r="T2491" s="12" t="str">
        <f>IF(S2491="","",[1]Inputs_Outputs!$B$8*(1-'LOCH Calc COE Calc'!S2491))</f>
        <v/>
      </c>
      <c r="U2491" s="13" t="str">
        <f t="shared" si="191"/>
        <v/>
      </c>
      <c r="V2491" s="13" t="str">
        <f t="shared" si="192"/>
        <v/>
      </c>
      <c r="W2491" s="4" t="str">
        <f t="shared" si="193"/>
        <v/>
      </c>
      <c r="X2491" t="str">
        <f>IF(W2491="","",LOOKUP(_xlfn.CONCAT(P2491,", ",Q2491),'[1]T+S Costs'!$F$2:$F$3138,'[1]T+S Costs'!$N$2:$N$3138))</f>
        <v/>
      </c>
      <c r="Y2491" s="14" t="str">
        <f t="shared" si="194"/>
        <v/>
      </c>
      <c r="Z2491" s="4" t="str">
        <f t="shared" si="195"/>
        <v/>
      </c>
    </row>
    <row r="2492" spans="16:26" x14ac:dyDescent="0.25">
      <c r="P2492" s="10" t="str">
        <f>IF('[1]All Data '!AZ2497="","",'[1]All Data '!AZ2497)</f>
        <v/>
      </c>
      <c r="Q2492" s="10" t="str">
        <f>IF('[1]All Data '!BB2497="","",'[1]All Data '!BB2497)</f>
        <v/>
      </c>
      <c r="R2492" s="10" t="str">
        <f>IF('[1]All Data '!BD2497="","",'[1]All Data '!BD2497)</f>
        <v/>
      </c>
      <c r="S2492" s="11" t="str">
        <f>IF(R2492="","",'[1]All Data '!BE2497)</f>
        <v/>
      </c>
      <c r="T2492" s="12" t="str">
        <f>IF(S2492="","",[1]Inputs_Outputs!$B$8*(1-'LOCH Calc COE Calc'!S2492))</f>
        <v/>
      </c>
      <c r="U2492" s="13" t="str">
        <f t="shared" si="191"/>
        <v/>
      </c>
      <c r="V2492" s="13" t="str">
        <f t="shared" si="192"/>
        <v/>
      </c>
      <c r="W2492" s="4" t="str">
        <f t="shared" si="193"/>
        <v/>
      </c>
      <c r="X2492" t="str">
        <f>IF(W2492="","",LOOKUP(_xlfn.CONCAT(P2492,", ",Q2492),'[1]T+S Costs'!$F$2:$F$3138,'[1]T+S Costs'!$N$2:$N$3138))</f>
        <v/>
      </c>
      <c r="Y2492" s="14" t="str">
        <f t="shared" si="194"/>
        <v/>
      </c>
      <c r="Z2492" s="4" t="str">
        <f t="shared" si="195"/>
        <v/>
      </c>
    </row>
    <row r="2493" spans="16:26" x14ac:dyDescent="0.25">
      <c r="P2493" s="10" t="str">
        <f>IF('[1]All Data '!AZ2498="","",'[1]All Data '!AZ2498)</f>
        <v/>
      </c>
      <c r="Q2493" s="10" t="str">
        <f>IF('[1]All Data '!BB2498="","",'[1]All Data '!BB2498)</f>
        <v/>
      </c>
      <c r="R2493" s="10" t="str">
        <f>IF('[1]All Data '!BD2498="","",'[1]All Data '!BD2498)</f>
        <v/>
      </c>
      <c r="S2493" s="11" t="str">
        <f>IF(R2493="","",'[1]All Data '!BE2498)</f>
        <v/>
      </c>
      <c r="T2493" s="12" t="str">
        <f>IF(S2493="","",[1]Inputs_Outputs!$B$8*(1-'LOCH Calc COE Calc'!S2493))</f>
        <v/>
      </c>
      <c r="U2493" s="13" t="str">
        <f t="shared" si="191"/>
        <v/>
      </c>
      <c r="V2493" s="13" t="str">
        <f t="shared" si="192"/>
        <v/>
      </c>
      <c r="W2493" s="4" t="str">
        <f t="shared" si="193"/>
        <v/>
      </c>
      <c r="X2493" t="str">
        <f>IF(W2493="","",LOOKUP(_xlfn.CONCAT(P2493,", ",Q2493),'[1]T+S Costs'!$F$2:$F$3138,'[1]T+S Costs'!$N$2:$N$3138))</f>
        <v/>
      </c>
      <c r="Y2493" s="14" t="str">
        <f t="shared" si="194"/>
        <v/>
      </c>
      <c r="Z2493" s="4" t="str">
        <f t="shared" si="195"/>
        <v/>
      </c>
    </row>
    <row r="2494" spans="16:26" x14ac:dyDescent="0.25">
      <c r="P2494" s="10" t="str">
        <f>IF('[1]All Data '!AZ2499="","",'[1]All Data '!AZ2499)</f>
        <v/>
      </c>
      <c r="Q2494" s="10" t="str">
        <f>IF('[1]All Data '!BB2499="","",'[1]All Data '!BB2499)</f>
        <v/>
      </c>
      <c r="R2494" s="10" t="str">
        <f>IF('[1]All Data '!BD2499="","",'[1]All Data '!BD2499)</f>
        <v/>
      </c>
      <c r="S2494" s="11" t="str">
        <f>IF(R2494="","",'[1]All Data '!BE2499)</f>
        <v/>
      </c>
      <c r="T2494" s="12" t="str">
        <f>IF(S2494="","",[1]Inputs_Outputs!$B$8*(1-'LOCH Calc COE Calc'!S2494))</f>
        <v/>
      </c>
      <c r="U2494" s="13" t="str">
        <f t="shared" si="191"/>
        <v/>
      </c>
      <c r="V2494" s="13" t="str">
        <f t="shared" si="192"/>
        <v/>
      </c>
      <c r="W2494" s="4" t="str">
        <f t="shared" si="193"/>
        <v/>
      </c>
      <c r="X2494" t="str">
        <f>IF(W2494="","",LOOKUP(_xlfn.CONCAT(P2494,", ",Q2494),'[1]T+S Costs'!$F$2:$F$3138,'[1]T+S Costs'!$N$2:$N$3138))</f>
        <v/>
      </c>
      <c r="Y2494" s="14" t="str">
        <f t="shared" si="194"/>
        <v/>
      </c>
      <c r="Z2494" s="4" t="str">
        <f t="shared" si="195"/>
        <v/>
      </c>
    </row>
    <row r="2495" spans="16:26" x14ac:dyDescent="0.25">
      <c r="P2495" s="10" t="str">
        <f>IF('[1]All Data '!AZ2500="","",'[1]All Data '!AZ2500)</f>
        <v/>
      </c>
      <c r="Q2495" s="10" t="str">
        <f>IF('[1]All Data '!BB2500="","",'[1]All Data '!BB2500)</f>
        <v/>
      </c>
      <c r="R2495" s="10" t="str">
        <f>IF('[1]All Data '!BD2500="","",'[1]All Data '!BD2500)</f>
        <v/>
      </c>
      <c r="S2495" s="11" t="str">
        <f>IF(R2495="","",'[1]All Data '!BE2500)</f>
        <v/>
      </c>
      <c r="T2495" s="12" t="str">
        <f>IF(S2495="","",[1]Inputs_Outputs!$B$8*(1-'LOCH Calc COE Calc'!S2495))</f>
        <v/>
      </c>
      <c r="U2495" s="13" t="str">
        <f t="shared" si="191"/>
        <v/>
      </c>
      <c r="V2495" s="13" t="str">
        <f t="shared" si="192"/>
        <v/>
      </c>
      <c r="W2495" s="4" t="str">
        <f t="shared" si="193"/>
        <v/>
      </c>
      <c r="X2495" t="str">
        <f>IF(W2495="","",LOOKUP(_xlfn.CONCAT(P2495,", ",Q2495),'[1]T+S Costs'!$F$2:$F$3138,'[1]T+S Costs'!$N$2:$N$3138))</f>
        <v/>
      </c>
      <c r="Y2495" s="14" t="str">
        <f t="shared" si="194"/>
        <v/>
      </c>
      <c r="Z2495" s="4" t="str">
        <f t="shared" si="195"/>
        <v/>
      </c>
    </row>
    <row r="2496" spans="16:26" x14ac:dyDescent="0.25">
      <c r="P2496" s="10" t="str">
        <f>IF('[1]All Data '!AZ2501="","",'[1]All Data '!AZ2501)</f>
        <v/>
      </c>
      <c r="Q2496" s="10" t="str">
        <f>IF('[1]All Data '!BB2501="","",'[1]All Data '!BB2501)</f>
        <v/>
      </c>
      <c r="R2496" s="10" t="str">
        <f>IF('[1]All Data '!BD2501="","",'[1]All Data '!BD2501)</f>
        <v/>
      </c>
      <c r="S2496" s="11" t="str">
        <f>IF(R2496="","",'[1]All Data '!BE2501)</f>
        <v/>
      </c>
      <c r="T2496" s="12" t="str">
        <f>IF(S2496="","",[1]Inputs_Outputs!$B$8*(1-'LOCH Calc COE Calc'!S2496))</f>
        <v/>
      </c>
      <c r="U2496" s="13" t="str">
        <f t="shared" si="191"/>
        <v/>
      </c>
      <c r="V2496" s="13" t="str">
        <f t="shared" si="192"/>
        <v/>
      </c>
      <c r="W2496" s="4" t="str">
        <f t="shared" si="193"/>
        <v/>
      </c>
      <c r="X2496" t="str">
        <f>IF(W2496="","",LOOKUP(_xlfn.CONCAT(P2496,", ",Q2496),'[1]T+S Costs'!$F$2:$F$3138,'[1]T+S Costs'!$N$2:$N$3138))</f>
        <v/>
      </c>
      <c r="Y2496" s="14" t="str">
        <f t="shared" si="194"/>
        <v/>
      </c>
      <c r="Z2496" s="4" t="str">
        <f t="shared" si="195"/>
        <v/>
      </c>
    </row>
    <row r="2497" spans="16:26" x14ac:dyDescent="0.25">
      <c r="P2497" s="10" t="str">
        <f>IF('[1]All Data '!AZ2502="","",'[1]All Data '!AZ2502)</f>
        <v/>
      </c>
      <c r="Q2497" s="10" t="str">
        <f>IF('[1]All Data '!BB2502="","",'[1]All Data '!BB2502)</f>
        <v/>
      </c>
      <c r="R2497" s="10" t="str">
        <f>IF('[1]All Data '!BD2502="","",'[1]All Data '!BD2502)</f>
        <v/>
      </c>
      <c r="S2497" s="11" t="str">
        <f>IF(R2497="","",'[1]All Data '!BE2502)</f>
        <v/>
      </c>
      <c r="T2497" s="12" t="str">
        <f>IF(S2497="","",[1]Inputs_Outputs!$B$8*(1-'LOCH Calc COE Calc'!S2497))</f>
        <v/>
      </c>
      <c r="U2497" s="13" t="str">
        <f t="shared" si="191"/>
        <v/>
      </c>
      <c r="V2497" s="13" t="str">
        <f t="shared" si="192"/>
        <v/>
      </c>
      <c r="W2497" s="4" t="str">
        <f t="shared" si="193"/>
        <v/>
      </c>
      <c r="X2497" t="str">
        <f>IF(W2497="","",LOOKUP(_xlfn.CONCAT(P2497,", ",Q2497),'[1]T+S Costs'!$F$2:$F$3138,'[1]T+S Costs'!$N$2:$N$3138))</f>
        <v/>
      </c>
      <c r="Y2497" s="14" t="str">
        <f t="shared" si="194"/>
        <v/>
      </c>
      <c r="Z2497" s="4" t="str">
        <f t="shared" si="195"/>
        <v/>
      </c>
    </row>
    <row r="2498" spans="16:26" x14ac:dyDescent="0.25">
      <c r="P2498" s="10" t="str">
        <f>IF('[1]All Data '!AZ2503="","",'[1]All Data '!AZ2503)</f>
        <v/>
      </c>
      <c r="Q2498" s="10" t="str">
        <f>IF('[1]All Data '!BB2503="","",'[1]All Data '!BB2503)</f>
        <v/>
      </c>
      <c r="R2498" s="10" t="str">
        <f>IF('[1]All Data '!BD2503="","",'[1]All Data '!BD2503)</f>
        <v/>
      </c>
      <c r="S2498" s="11" t="str">
        <f>IF(R2498="","",'[1]All Data '!BE2503)</f>
        <v/>
      </c>
      <c r="T2498" s="12" t="str">
        <f>IF(S2498="","",[1]Inputs_Outputs!$B$8*(1-'LOCH Calc COE Calc'!S2498))</f>
        <v/>
      </c>
      <c r="U2498" s="13" t="str">
        <f t="shared" si="191"/>
        <v/>
      </c>
      <c r="V2498" s="13" t="str">
        <f t="shared" si="192"/>
        <v/>
      </c>
      <c r="W2498" s="4" t="str">
        <f t="shared" si="193"/>
        <v/>
      </c>
      <c r="X2498" t="str">
        <f>IF(W2498="","",LOOKUP(_xlfn.CONCAT(P2498,", ",Q2498),'[1]T+S Costs'!$F$2:$F$3138,'[1]T+S Costs'!$N$2:$N$3138))</f>
        <v/>
      </c>
      <c r="Y2498" s="14" t="str">
        <f t="shared" si="194"/>
        <v/>
      </c>
      <c r="Z2498" s="4" t="str">
        <f t="shared" si="195"/>
        <v/>
      </c>
    </row>
    <row r="2499" spans="16:26" x14ac:dyDescent="0.25">
      <c r="P2499" s="10" t="str">
        <f>IF('[1]All Data '!AZ2504="","",'[1]All Data '!AZ2504)</f>
        <v/>
      </c>
      <c r="Q2499" s="10" t="str">
        <f>IF('[1]All Data '!BB2504="","",'[1]All Data '!BB2504)</f>
        <v/>
      </c>
      <c r="R2499" s="10" t="str">
        <f>IF('[1]All Data '!BD2504="","",'[1]All Data '!BD2504)</f>
        <v/>
      </c>
      <c r="S2499" s="11" t="str">
        <f>IF(R2499="","",'[1]All Data '!BE2504)</f>
        <v/>
      </c>
      <c r="T2499" s="12" t="str">
        <f>IF(S2499="","",[1]Inputs_Outputs!$B$8*(1-'LOCH Calc COE Calc'!S2499))</f>
        <v/>
      </c>
      <c r="U2499" s="13" t="str">
        <f t="shared" ref="U2499:U2562" si="196">IF(S2499="","",R2499*T2499*365*$B$19/100)</f>
        <v/>
      </c>
      <c r="V2499" s="13" t="str">
        <f t="shared" ref="V2499:V2562" si="197">IF(S2499="","",(U2499*$B$19)/(($B$28)*$B$19))</f>
        <v/>
      </c>
      <c r="W2499" s="4" t="str">
        <f t="shared" ref="W2499:W2562" si="198">IF(S2499="","",V2499+$C$49+$C$50+$C$51)</f>
        <v/>
      </c>
      <c r="X2499" t="str">
        <f>IF(W2499="","",LOOKUP(_xlfn.CONCAT(P2499,", ",Q2499),'[1]T+S Costs'!$F$2:$F$3138,'[1]T+S Costs'!$N$2:$N$3138))</f>
        <v/>
      </c>
      <c r="Y2499" s="14" t="str">
        <f t="shared" ref="Y2499:Y2562" si="199">IF(X2499="","",((X2499*$B$60/$B$59)*$C$44)/$C$28)</f>
        <v/>
      </c>
      <c r="Z2499" s="4" t="str">
        <f t="shared" ref="Z2499:Z2562" si="200">IF(Y2499="","",W2499+Y2499)</f>
        <v/>
      </c>
    </row>
    <row r="2500" spans="16:26" x14ac:dyDescent="0.25">
      <c r="P2500" s="10" t="str">
        <f>IF('[1]All Data '!AZ2505="","",'[1]All Data '!AZ2505)</f>
        <v/>
      </c>
      <c r="Q2500" s="10" t="str">
        <f>IF('[1]All Data '!BB2505="","",'[1]All Data '!BB2505)</f>
        <v/>
      </c>
      <c r="R2500" s="10" t="str">
        <f>IF('[1]All Data '!BD2505="","",'[1]All Data '!BD2505)</f>
        <v/>
      </c>
      <c r="S2500" s="11" t="str">
        <f>IF(R2500="","",'[1]All Data '!BE2505)</f>
        <v/>
      </c>
      <c r="T2500" s="12" t="str">
        <f>IF(S2500="","",[1]Inputs_Outputs!$B$8*(1-'LOCH Calc COE Calc'!S2500))</f>
        <v/>
      </c>
      <c r="U2500" s="13" t="str">
        <f t="shared" si="196"/>
        <v/>
      </c>
      <c r="V2500" s="13" t="str">
        <f t="shared" si="197"/>
        <v/>
      </c>
      <c r="W2500" s="4" t="str">
        <f t="shared" si="198"/>
        <v/>
      </c>
      <c r="X2500" t="str">
        <f>IF(W2500="","",LOOKUP(_xlfn.CONCAT(P2500,", ",Q2500),'[1]T+S Costs'!$F$2:$F$3138,'[1]T+S Costs'!$N$2:$N$3138))</f>
        <v/>
      </c>
      <c r="Y2500" s="14" t="str">
        <f t="shared" si="199"/>
        <v/>
      </c>
      <c r="Z2500" s="4" t="str">
        <f t="shared" si="200"/>
        <v/>
      </c>
    </row>
    <row r="2501" spans="16:26" x14ac:dyDescent="0.25">
      <c r="P2501" s="10" t="str">
        <f>IF('[1]All Data '!AZ2506="","",'[1]All Data '!AZ2506)</f>
        <v/>
      </c>
      <c r="Q2501" s="10" t="str">
        <f>IF('[1]All Data '!BB2506="","",'[1]All Data '!BB2506)</f>
        <v/>
      </c>
      <c r="R2501" s="10" t="str">
        <f>IF('[1]All Data '!BD2506="","",'[1]All Data '!BD2506)</f>
        <v/>
      </c>
      <c r="S2501" s="11" t="str">
        <f>IF(R2501="","",'[1]All Data '!BE2506)</f>
        <v/>
      </c>
      <c r="T2501" s="12" t="str">
        <f>IF(S2501="","",[1]Inputs_Outputs!$B$8*(1-'LOCH Calc COE Calc'!S2501))</f>
        <v/>
      </c>
      <c r="U2501" s="13" t="str">
        <f t="shared" si="196"/>
        <v/>
      </c>
      <c r="V2501" s="13" t="str">
        <f t="shared" si="197"/>
        <v/>
      </c>
      <c r="W2501" s="4" t="str">
        <f t="shared" si="198"/>
        <v/>
      </c>
      <c r="X2501" t="str">
        <f>IF(W2501="","",LOOKUP(_xlfn.CONCAT(P2501,", ",Q2501),'[1]T+S Costs'!$F$2:$F$3138,'[1]T+S Costs'!$N$2:$N$3138))</f>
        <v/>
      </c>
      <c r="Y2501" s="14" t="str">
        <f t="shared" si="199"/>
        <v/>
      </c>
      <c r="Z2501" s="4" t="str">
        <f t="shared" si="200"/>
        <v/>
      </c>
    </row>
    <row r="2502" spans="16:26" x14ac:dyDescent="0.25">
      <c r="P2502" s="10" t="str">
        <f>IF('[1]All Data '!AZ2507="","",'[1]All Data '!AZ2507)</f>
        <v/>
      </c>
      <c r="Q2502" s="10" t="str">
        <f>IF('[1]All Data '!BB2507="","",'[1]All Data '!BB2507)</f>
        <v/>
      </c>
      <c r="R2502" s="10" t="str">
        <f>IF('[1]All Data '!BD2507="","",'[1]All Data '!BD2507)</f>
        <v/>
      </c>
      <c r="S2502" s="11" t="str">
        <f>IF(R2502="","",'[1]All Data '!BE2507)</f>
        <v/>
      </c>
      <c r="T2502" s="12" t="str">
        <f>IF(S2502="","",[1]Inputs_Outputs!$B$8*(1-'LOCH Calc COE Calc'!S2502))</f>
        <v/>
      </c>
      <c r="U2502" s="13" t="str">
        <f t="shared" si="196"/>
        <v/>
      </c>
      <c r="V2502" s="13" t="str">
        <f t="shared" si="197"/>
        <v/>
      </c>
      <c r="W2502" s="4" t="str">
        <f t="shared" si="198"/>
        <v/>
      </c>
      <c r="X2502" t="str">
        <f>IF(W2502="","",LOOKUP(_xlfn.CONCAT(P2502,", ",Q2502),'[1]T+S Costs'!$F$2:$F$3138,'[1]T+S Costs'!$N$2:$N$3138))</f>
        <v/>
      </c>
      <c r="Y2502" s="14" t="str">
        <f t="shared" si="199"/>
        <v/>
      </c>
      <c r="Z2502" s="4" t="str">
        <f t="shared" si="200"/>
        <v/>
      </c>
    </row>
    <row r="2503" spans="16:26" x14ac:dyDescent="0.25">
      <c r="P2503" s="10" t="str">
        <f>IF('[1]All Data '!AZ2508="","",'[1]All Data '!AZ2508)</f>
        <v/>
      </c>
      <c r="Q2503" s="10" t="str">
        <f>IF('[1]All Data '!BB2508="","",'[1]All Data '!BB2508)</f>
        <v/>
      </c>
      <c r="R2503" s="10" t="str">
        <f>IF('[1]All Data '!BD2508="","",'[1]All Data '!BD2508)</f>
        <v/>
      </c>
      <c r="S2503" s="11" t="str">
        <f>IF(R2503="","",'[1]All Data '!BE2508)</f>
        <v/>
      </c>
      <c r="T2503" s="12" t="str">
        <f>IF(S2503="","",[1]Inputs_Outputs!$B$8*(1-'LOCH Calc COE Calc'!S2503))</f>
        <v/>
      </c>
      <c r="U2503" s="13" t="str">
        <f t="shared" si="196"/>
        <v/>
      </c>
      <c r="V2503" s="13" t="str">
        <f t="shared" si="197"/>
        <v/>
      </c>
      <c r="W2503" s="4" t="str">
        <f t="shared" si="198"/>
        <v/>
      </c>
      <c r="X2503" t="str">
        <f>IF(W2503="","",LOOKUP(_xlfn.CONCAT(P2503,", ",Q2503),'[1]T+S Costs'!$F$2:$F$3138,'[1]T+S Costs'!$N$2:$N$3138))</f>
        <v/>
      </c>
      <c r="Y2503" s="14" t="str">
        <f t="shared" si="199"/>
        <v/>
      </c>
      <c r="Z2503" s="4" t="str">
        <f t="shared" si="200"/>
        <v/>
      </c>
    </row>
    <row r="2504" spans="16:26" x14ac:dyDescent="0.25">
      <c r="P2504" s="10" t="str">
        <f>IF('[1]All Data '!AZ2509="","",'[1]All Data '!AZ2509)</f>
        <v/>
      </c>
      <c r="Q2504" s="10" t="str">
        <f>IF('[1]All Data '!BB2509="","",'[1]All Data '!BB2509)</f>
        <v/>
      </c>
      <c r="R2504" s="10" t="str">
        <f>IF('[1]All Data '!BD2509="","",'[1]All Data '!BD2509)</f>
        <v/>
      </c>
      <c r="S2504" s="11" t="str">
        <f>IF(R2504="","",'[1]All Data '!BE2509)</f>
        <v/>
      </c>
      <c r="T2504" s="12" t="str">
        <f>IF(S2504="","",[1]Inputs_Outputs!$B$8*(1-'LOCH Calc COE Calc'!S2504))</f>
        <v/>
      </c>
      <c r="U2504" s="13" t="str">
        <f t="shared" si="196"/>
        <v/>
      </c>
      <c r="V2504" s="13" t="str">
        <f t="shared" si="197"/>
        <v/>
      </c>
      <c r="W2504" s="4" t="str">
        <f t="shared" si="198"/>
        <v/>
      </c>
      <c r="X2504" t="str">
        <f>IF(W2504="","",LOOKUP(_xlfn.CONCAT(P2504,", ",Q2504),'[1]T+S Costs'!$F$2:$F$3138,'[1]T+S Costs'!$N$2:$N$3138))</f>
        <v/>
      </c>
      <c r="Y2504" s="14" t="str">
        <f t="shared" si="199"/>
        <v/>
      </c>
      <c r="Z2504" s="4" t="str">
        <f t="shared" si="200"/>
        <v/>
      </c>
    </row>
    <row r="2505" spans="16:26" x14ac:dyDescent="0.25">
      <c r="P2505" s="10" t="str">
        <f>IF('[1]All Data '!AZ2510="","",'[1]All Data '!AZ2510)</f>
        <v/>
      </c>
      <c r="Q2505" s="10" t="str">
        <f>IF('[1]All Data '!BB2510="","",'[1]All Data '!BB2510)</f>
        <v/>
      </c>
      <c r="R2505" s="10" t="str">
        <f>IF('[1]All Data '!BD2510="","",'[1]All Data '!BD2510)</f>
        <v/>
      </c>
      <c r="S2505" s="11" t="str">
        <f>IF(R2505="","",'[1]All Data '!BE2510)</f>
        <v/>
      </c>
      <c r="T2505" s="12" t="str">
        <f>IF(S2505="","",[1]Inputs_Outputs!$B$8*(1-'LOCH Calc COE Calc'!S2505))</f>
        <v/>
      </c>
      <c r="U2505" s="13" t="str">
        <f t="shared" si="196"/>
        <v/>
      </c>
      <c r="V2505" s="13" t="str">
        <f t="shared" si="197"/>
        <v/>
      </c>
      <c r="W2505" s="4" t="str">
        <f t="shared" si="198"/>
        <v/>
      </c>
      <c r="X2505" t="str">
        <f>IF(W2505="","",LOOKUP(_xlfn.CONCAT(P2505,", ",Q2505),'[1]T+S Costs'!$F$2:$F$3138,'[1]T+S Costs'!$N$2:$N$3138))</f>
        <v/>
      </c>
      <c r="Y2505" s="14" t="str">
        <f t="shared" si="199"/>
        <v/>
      </c>
      <c r="Z2505" s="4" t="str">
        <f t="shared" si="200"/>
        <v/>
      </c>
    </row>
    <row r="2506" spans="16:26" x14ac:dyDescent="0.25">
      <c r="P2506" s="10" t="str">
        <f>IF('[1]All Data '!AZ2511="","",'[1]All Data '!AZ2511)</f>
        <v/>
      </c>
      <c r="Q2506" s="10" t="str">
        <f>IF('[1]All Data '!BB2511="","",'[1]All Data '!BB2511)</f>
        <v/>
      </c>
      <c r="R2506" s="10" t="str">
        <f>IF('[1]All Data '!BD2511="","",'[1]All Data '!BD2511)</f>
        <v/>
      </c>
      <c r="S2506" s="11" t="str">
        <f>IF(R2506="","",'[1]All Data '!BE2511)</f>
        <v/>
      </c>
      <c r="T2506" s="12" t="str">
        <f>IF(S2506="","",[1]Inputs_Outputs!$B$8*(1-'LOCH Calc COE Calc'!S2506))</f>
        <v/>
      </c>
      <c r="U2506" s="13" t="str">
        <f t="shared" si="196"/>
        <v/>
      </c>
      <c r="V2506" s="13" t="str">
        <f t="shared" si="197"/>
        <v/>
      </c>
      <c r="W2506" s="4" t="str">
        <f t="shared" si="198"/>
        <v/>
      </c>
      <c r="X2506" t="str">
        <f>IF(W2506="","",LOOKUP(_xlfn.CONCAT(P2506,", ",Q2506),'[1]T+S Costs'!$F$2:$F$3138,'[1]T+S Costs'!$N$2:$N$3138))</f>
        <v/>
      </c>
      <c r="Y2506" s="14" t="str">
        <f t="shared" si="199"/>
        <v/>
      </c>
      <c r="Z2506" s="4" t="str">
        <f t="shared" si="200"/>
        <v/>
      </c>
    </row>
    <row r="2507" spans="16:26" x14ac:dyDescent="0.25">
      <c r="P2507" s="10" t="str">
        <f>IF('[1]All Data '!AZ2512="","",'[1]All Data '!AZ2512)</f>
        <v/>
      </c>
      <c r="Q2507" s="10" t="str">
        <f>IF('[1]All Data '!BB2512="","",'[1]All Data '!BB2512)</f>
        <v/>
      </c>
      <c r="R2507" s="10" t="str">
        <f>IF('[1]All Data '!BD2512="","",'[1]All Data '!BD2512)</f>
        <v/>
      </c>
      <c r="S2507" s="11" t="str">
        <f>IF(R2507="","",'[1]All Data '!BE2512)</f>
        <v/>
      </c>
      <c r="T2507" s="12" t="str">
        <f>IF(S2507="","",[1]Inputs_Outputs!$B$8*(1-'LOCH Calc COE Calc'!S2507))</f>
        <v/>
      </c>
      <c r="U2507" s="13" t="str">
        <f t="shared" si="196"/>
        <v/>
      </c>
      <c r="V2507" s="13" t="str">
        <f t="shared" si="197"/>
        <v/>
      </c>
      <c r="W2507" s="4" t="str">
        <f t="shared" si="198"/>
        <v/>
      </c>
      <c r="X2507" t="str">
        <f>IF(W2507="","",LOOKUP(_xlfn.CONCAT(P2507,", ",Q2507),'[1]T+S Costs'!$F$2:$F$3138,'[1]T+S Costs'!$N$2:$N$3138))</f>
        <v/>
      </c>
      <c r="Y2507" s="14" t="str">
        <f t="shared" si="199"/>
        <v/>
      </c>
      <c r="Z2507" s="4" t="str">
        <f t="shared" si="200"/>
        <v/>
      </c>
    </row>
    <row r="2508" spans="16:26" x14ac:dyDescent="0.25">
      <c r="P2508" s="10" t="str">
        <f>IF('[1]All Data '!AZ2513="","",'[1]All Data '!AZ2513)</f>
        <v/>
      </c>
      <c r="Q2508" s="10" t="str">
        <f>IF('[1]All Data '!BB2513="","",'[1]All Data '!BB2513)</f>
        <v/>
      </c>
      <c r="R2508" s="10" t="str">
        <f>IF('[1]All Data '!BD2513="","",'[1]All Data '!BD2513)</f>
        <v/>
      </c>
      <c r="S2508" s="11" t="str">
        <f>IF(R2508="","",'[1]All Data '!BE2513)</f>
        <v/>
      </c>
      <c r="T2508" s="12" t="str">
        <f>IF(S2508="","",[1]Inputs_Outputs!$B$8*(1-'LOCH Calc COE Calc'!S2508))</f>
        <v/>
      </c>
      <c r="U2508" s="13" t="str">
        <f t="shared" si="196"/>
        <v/>
      </c>
      <c r="V2508" s="13" t="str">
        <f t="shared" si="197"/>
        <v/>
      </c>
      <c r="W2508" s="4" t="str">
        <f t="shared" si="198"/>
        <v/>
      </c>
      <c r="X2508" t="str">
        <f>IF(W2508="","",LOOKUP(_xlfn.CONCAT(P2508,", ",Q2508),'[1]T+S Costs'!$F$2:$F$3138,'[1]T+S Costs'!$N$2:$N$3138))</f>
        <v/>
      </c>
      <c r="Y2508" s="14" t="str">
        <f t="shared" si="199"/>
        <v/>
      </c>
      <c r="Z2508" s="4" t="str">
        <f t="shared" si="200"/>
        <v/>
      </c>
    </row>
    <row r="2509" spans="16:26" x14ac:dyDescent="0.25">
      <c r="P2509" s="10" t="str">
        <f>IF('[1]All Data '!AZ2514="","",'[1]All Data '!AZ2514)</f>
        <v/>
      </c>
      <c r="Q2509" s="10" t="str">
        <f>IF('[1]All Data '!BB2514="","",'[1]All Data '!BB2514)</f>
        <v/>
      </c>
      <c r="R2509" s="10" t="str">
        <f>IF('[1]All Data '!BD2514="","",'[1]All Data '!BD2514)</f>
        <v/>
      </c>
      <c r="S2509" s="11" t="str">
        <f>IF(R2509="","",'[1]All Data '!BE2514)</f>
        <v/>
      </c>
      <c r="T2509" s="12" t="str">
        <f>IF(S2509="","",[1]Inputs_Outputs!$B$8*(1-'LOCH Calc COE Calc'!S2509))</f>
        <v/>
      </c>
      <c r="U2509" s="13" t="str">
        <f t="shared" si="196"/>
        <v/>
      </c>
      <c r="V2509" s="13" t="str">
        <f t="shared" si="197"/>
        <v/>
      </c>
      <c r="W2509" s="4" t="str">
        <f t="shared" si="198"/>
        <v/>
      </c>
      <c r="X2509" t="str">
        <f>IF(W2509="","",LOOKUP(_xlfn.CONCAT(P2509,", ",Q2509),'[1]T+S Costs'!$F$2:$F$3138,'[1]T+S Costs'!$N$2:$N$3138))</f>
        <v/>
      </c>
      <c r="Y2509" s="14" t="str">
        <f t="shared" si="199"/>
        <v/>
      </c>
      <c r="Z2509" s="4" t="str">
        <f t="shared" si="200"/>
        <v/>
      </c>
    </row>
    <row r="2510" spans="16:26" x14ac:dyDescent="0.25">
      <c r="P2510" s="10" t="str">
        <f>IF('[1]All Data '!AZ2515="","",'[1]All Data '!AZ2515)</f>
        <v/>
      </c>
      <c r="Q2510" s="10" t="str">
        <f>IF('[1]All Data '!BB2515="","",'[1]All Data '!BB2515)</f>
        <v/>
      </c>
      <c r="R2510" s="10" t="str">
        <f>IF('[1]All Data '!BD2515="","",'[1]All Data '!BD2515)</f>
        <v/>
      </c>
      <c r="S2510" s="11" t="str">
        <f>IF(R2510="","",'[1]All Data '!BE2515)</f>
        <v/>
      </c>
      <c r="T2510" s="12" t="str">
        <f>IF(S2510="","",[1]Inputs_Outputs!$B$8*(1-'LOCH Calc COE Calc'!S2510))</f>
        <v/>
      </c>
      <c r="U2510" s="13" t="str">
        <f t="shared" si="196"/>
        <v/>
      </c>
      <c r="V2510" s="13" t="str">
        <f t="shared" si="197"/>
        <v/>
      </c>
      <c r="W2510" s="4" t="str">
        <f t="shared" si="198"/>
        <v/>
      </c>
      <c r="X2510" t="str">
        <f>IF(W2510="","",LOOKUP(_xlfn.CONCAT(P2510,", ",Q2510),'[1]T+S Costs'!$F$2:$F$3138,'[1]T+S Costs'!$N$2:$N$3138))</f>
        <v/>
      </c>
      <c r="Y2510" s="14" t="str">
        <f t="shared" si="199"/>
        <v/>
      </c>
      <c r="Z2510" s="4" t="str">
        <f t="shared" si="200"/>
        <v/>
      </c>
    </row>
    <row r="2511" spans="16:26" x14ac:dyDescent="0.25">
      <c r="P2511" s="10" t="str">
        <f>IF('[1]All Data '!AZ2516="","",'[1]All Data '!AZ2516)</f>
        <v/>
      </c>
      <c r="Q2511" s="10" t="str">
        <f>IF('[1]All Data '!BB2516="","",'[1]All Data '!BB2516)</f>
        <v/>
      </c>
      <c r="R2511" s="10" t="str">
        <f>IF('[1]All Data '!BD2516="","",'[1]All Data '!BD2516)</f>
        <v/>
      </c>
      <c r="S2511" s="11" t="str">
        <f>IF(R2511="","",'[1]All Data '!BE2516)</f>
        <v/>
      </c>
      <c r="T2511" s="12" t="str">
        <f>IF(S2511="","",[1]Inputs_Outputs!$B$8*(1-'LOCH Calc COE Calc'!S2511))</f>
        <v/>
      </c>
      <c r="U2511" s="13" t="str">
        <f t="shared" si="196"/>
        <v/>
      </c>
      <c r="V2511" s="13" t="str">
        <f t="shared" si="197"/>
        <v/>
      </c>
      <c r="W2511" s="4" t="str">
        <f t="shared" si="198"/>
        <v/>
      </c>
      <c r="X2511" t="str">
        <f>IF(W2511="","",LOOKUP(_xlfn.CONCAT(P2511,", ",Q2511),'[1]T+S Costs'!$F$2:$F$3138,'[1]T+S Costs'!$N$2:$N$3138))</f>
        <v/>
      </c>
      <c r="Y2511" s="14" t="str">
        <f t="shared" si="199"/>
        <v/>
      </c>
      <c r="Z2511" s="4" t="str">
        <f t="shared" si="200"/>
        <v/>
      </c>
    </row>
    <row r="2512" spans="16:26" x14ac:dyDescent="0.25">
      <c r="P2512" s="10" t="str">
        <f>IF('[1]All Data '!AZ2517="","",'[1]All Data '!AZ2517)</f>
        <v/>
      </c>
      <c r="Q2512" s="10" t="str">
        <f>IF('[1]All Data '!BB2517="","",'[1]All Data '!BB2517)</f>
        <v/>
      </c>
      <c r="R2512" s="10" t="str">
        <f>IF('[1]All Data '!BD2517="","",'[1]All Data '!BD2517)</f>
        <v/>
      </c>
      <c r="S2512" s="11" t="str">
        <f>IF(R2512="","",'[1]All Data '!BE2517)</f>
        <v/>
      </c>
      <c r="T2512" s="12" t="str">
        <f>IF(S2512="","",[1]Inputs_Outputs!$B$8*(1-'LOCH Calc COE Calc'!S2512))</f>
        <v/>
      </c>
      <c r="U2512" s="13" t="str">
        <f t="shared" si="196"/>
        <v/>
      </c>
      <c r="V2512" s="13" t="str">
        <f t="shared" si="197"/>
        <v/>
      </c>
      <c r="W2512" s="4" t="str">
        <f t="shared" si="198"/>
        <v/>
      </c>
      <c r="X2512" t="str">
        <f>IF(W2512="","",LOOKUP(_xlfn.CONCAT(P2512,", ",Q2512),'[1]T+S Costs'!$F$2:$F$3138,'[1]T+S Costs'!$N$2:$N$3138))</f>
        <v/>
      </c>
      <c r="Y2512" s="14" t="str">
        <f t="shared" si="199"/>
        <v/>
      </c>
      <c r="Z2512" s="4" t="str">
        <f t="shared" si="200"/>
        <v/>
      </c>
    </row>
    <row r="2513" spans="16:26" x14ac:dyDescent="0.25">
      <c r="P2513" s="10" t="str">
        <f>IF('[1]All Data '!AZ2518="","",'[1]All Data '!AZ2518)</f>
        <v/>
      </c>
      <c r="Q2513" s="10" t="str">
        <f>IF('[1]All Data '!BB2518="","",'[1]All Data '!BB2518)</f>
        <v/>
      </c>
      <c r="R2513" s="10" t="str">
        <f>IF('[1]All Data '!BD2518="","",'[1]All Data '!BD2518)</f>
        <v/>
      </c>
      <c r="S2513" s="11" t="str">
        <f>IF(R2513="","",'[1]All Data '!BE2518)</f>
        <v/>
      </c>
      <c r="T2513" s="12" t="str">
        <f>IF(S2513="","",[1]Inputs_Outputs!$B$8*(1-'LOCH Calc COE Calc'!S2513))</f>
        <v/>
      </c>
      <c r="U2513" s="13" t="str">
        <f t="shared" si="196"/>
        <v/>
      </c>
      <c r="V2513" s="13" t="str">
        <f t="shared" si="197"/>
        <v/>
      </c>
      <c r="W2513" s="4" t="str">
        <f t="shared" si="198"/>
        <v/>
      </c>
      <c r="X2513" t="str">
        <f>IF(W2513="","",LOOKUP(_xlfn.CONCAT(P2513,", ",Q2513),'[1]T+S Costs'!$F$2:$F$3138,'[1]T+S Costs'!$N$2:$N$3138))</f>
        <v/>
      </c>
      <c r="Y2513" s="14" t="str">
        <f t="shared" si="199"/>
        <v/>
      </c>
      <c r="Z2513" s="4" t="str">
        <f t="shared" si="200"/>
        <v/>
      </c>
    </row>
    <row r="2514" spans="16:26" x14ac:dyDescent="0.25">
      <c r="P2514" s="10" t="str">
        <f>IF('[1]All Data '!AZ2519="","",'[1]All Data '!AZ2519)</f>
        <v/>
      </c>
      <c r="Q2514" s="10" t="str">
        <f>IF('[1]All Data '!BB2519="","",'[1]All Data '!BB2519)</f>
        <v/>
      </c>
      <c r="R2514" s="10" t="str">
        <f>IF('[1]All Data '!BD2519="","",'[1]All Data '!BD2519)</f>
        <v/>
      </c>
      <c r="S2514" s="11" t="str">
        <f>IF(R2514="","",'[1]All Data '!BE2519)</f>
        <v/>
      </c>
      <c r="T2514" s="12" t="str">
        <f>IF(S2514="","",[1]Inputs_Outputs!$B$8*(1-'LOCH Calc COE Calc'!S2514))</f>
        <v/>
      </c>
      <c r="U2514" s="13" t="str">
        <f t="shared" si="196"/>
        <v/>
      </c>
      <c r="V2514" s="13" t="str">
        <f t="shared" si="197"/>
        <v/>
      </c>
      <c r="W2514" s="4" t="str">
        <f t="shared" si="198"/>
        <v/>
      </c>
      <c r="X2514" t="str">
        <f>IF(W2514="","",LOOKUP(_xlfn.CONCAT(P2514,", ",Q2514),'[1]T+S Costs'!$F$2:$F$3138,'[1]T+S Costs'!$N$2:$N$3138))</f>
        <v/>
      </c>
      <c r="Y2514" s="14" t="str">
        <f t="shared" si="199"/>
        <v/>
      </c>
      <c r="Z2514" s="4" t="str">
        <f t="shared" si="200"/>
        <v/>
      </c>
    </row>
    <row r="2515" spans="16:26" x14ac:dyDescent="0.25">
      <c r="P2515" s="10" t="str">
        <f>IF('[1]All Data '!AZ2520="","",'[1]All Data '!AZ2520)</f>
        <v/>
      </c>
      <c r="Q2515" s="10" t="str">
        <f>IF('[1]All Data '!BB2520="","",'[1]All Data '!BB2520)</f>
        <v/>
      </c>
      <c r="R2515" s="10" t="str">
        <f>IF('[1]All Data '!BD2520="","",'[1]All Data '!BD2520)</f>
        <v/>
      </c>
      <c r="S2515" s="11" t="str">
        <f>IF(R2515="","",'[1]All Data '!BE2520)</f>
        <v/>
      </c>
      <c r="T2515" s="12" t="str">
        <f>IF(S2515="","",[1]Inputs_Outputs!$B$8*(1-'LOCH Calc COE Calc'!S2515))</f>
        <v/>
      </c>
      <c r="U2515" s="13" t="str">
        <f t="shared" si="196"/>
        <v/>
      </c>
      <c r="V2515" s="13" t="str">
        <f t="shared" si="197"/>
        <v/>
      </c>
      <c r="W2515" s="4" t="str">
        <f t="shared" si="198"/>
        <v/>
      </c>
      <c r="X2515" t="str">
        <f>IF(W2515="","",LOOKUP(_xlfn.CONCAT(P2515,", ",Q2515),'[1]T+S Costs'!$F$2:$F$3138,'[1]T+S Costs'!$N$2:$N$3138))</f>
        <v/>
      </c>
      <c r="Y2515" s="14" t="str">
        <f t="shared" si="199"/>
        <v/>
      </c>
      <c r="Z2515" s="4" t="str">
        <f t="shared" si="200"/>
        <v/>
      </c>
    </row>
    <row r="2516" spans="16:26" x14ac:dyDescent="0.25">
      <c r="P2516" s="10" t="str">
        <f>IF('[1]All Data '!AZ2521="","",'[1]All Data '!AZ2521)</f>
        <v/>
      </c>
      <c r="Q2516" s="10" t="str">
        <f>IF('[1]All Data '!BB2521="","",'[1]All Data '!BB2521)</f>
        <v/>
      </c>
      <c r="R2516" s="10" t="str">
        <f>IF('[1]All Data '!BD2521="","",'[1]All Data '!BD2521)</f>
        <v/>
      </c>
      <c r="S2516" s="11" t="str">
        <f>IF(R2516="","",'[1]All Data '!BE2521)</f>
        <v/>
      </c>
      <c r="T2516" s="12" t="str">
        <f>IF(S2516="","",[1]Inputs_Outputs!$B$8*(1-'LOCH Calc COE Calc'!S2516))</f>
        <v/>
      </c>
      <c r="U2516" s="13" t="str">
        <f t="shared" si="196"/>
        <v/>
      </c>
      <c r="V2516" s="13" t="str">
        <f t="shared" si="197"/>
        <v/>
      </c>
      <c r="W2516" s="4" t="str">
        <f t="shared" si="198"/>
        <v/>
      </c>
      <c r="X2516" t="str">
        <f>IF(W2516="","",LOOKUP(_xlfn.CONCAT(P2516,", ",Q2516),'[1]T+S Costs'!$F$2:$F$3138,'[1]T+S Costs'!$N$2:$N$3138))</f>
        <v/>
      </c>
      <c r="Y2516" s="14" t="str">
        <f t="shared" si="199"/>
        <v/>
      </c>
      <c r="Z2516" s="4" t="str">
        <f t="shared" si="200"/>
        <v/>
      </c>
    </row>
    <row r="2517" spans="16:26" x14ac:dyDescent="0.25">
      <c r="P2517" s="10" t="str">
        <f>IF('[1]All Data '!AZ2522="","",'[1]All Data '!AZ2522)</f>
        <v/>
      </c>
      <c r="Q2517" s="10" t="str">
        <f>IF('[1]All Data '!BB2522="","",'[1]All Data '!BB2522)</f>
        <v/>
      </c>
      <c r="R2517" s="10" t="str">
        <f>IF('[1]All Data '!BD2522="","",'[1]All Data '!BD2522)</f>
        <v/>
      </c>
      <c r="S2517" s="11" t="str">
        <f>IF(R2517="","",'[1]All Data '!BE2522)</f>
        <v/>
      </c>
      <c r="T2517" s="12" t="str">
        <f>IF(S2517="","",[1]Inputs_Outputs!$B$8*(1-'LOCH Calc COE Calc'!S2517))</f>
        <v/>
      </c>
      <c r="U2517" s="13" t="str">
        <f t="shared" si="196"/>
        <v/>
      </c>
      <c r="V2517" s="13" t="str">
        <f t="shared" si="197"/>
        <v/>
      </c>
      <c r="W2517" s="4" t="str">
        <f t="shared" si="198"/>
        <v/>
      </c>
      <c r="X2517" t="str">
        <f>IF(W2517="","",LOOKUP(_xlfn.CONCAT(P2517,", ",Q2517),'[1]T+S Costs'!$F$2:$F$3138,'[1]T+S Costs'!$N$2:$N$3138))</f>
        <v/>
      </c>
      <c r="Y2517" s="14" t="str">
        <f t="shared" si="199"/>
        <v/>
      </c>
      <c r="Z2517" s="4" t="str">
        <f t="shared" si="200"/>
        <v/>
      </c>
    </row>
    <row r="2518" spans="16:26" x14ac:dyDescent="0.25">
      <c r="P2518" s="10" t="str">
        <f>IF('[1]All Data '!AZ2523="","",'[1]All Data '!AZ2523)</f>
        <v/>
      </c>
      <c r="Q2518" s="10" t="str">
        <f>IF('[1]All Data '!BB2523="","",'[1]All Data '!BB2523)</f>
        <v/>
      </c>
      <c r="R2518" s="10" t="str">
        <f>IF('[1]All Data '!BD2523="","",'[1]All Data '!BD2523)</f>
        <v/>
      </c>
      <c r="S2518" s="11" t="str">
        <f>IF(R2518="","",'[1]All Data '!BE2523)</f>
        <v/>
      </c>
      <c r="T2518" s="12" t="str">
        <f>IF(S2518="","",[1]Inputs_Outputs!$B$8*(1-'LOCH Calc COE Calc'!S2518))</f>
        <v/>
      </c>
      <c r="U2518" s="13" t="str">
        <f t="shared" si="196"/>
        <v/>
      </c>
      <c r="V2518" s="13" t="str">
        <f t="shared" si="197"/>
        <v/>
      </c>
      <c r="W2518" s="4" t="str">
        <f t="shared" si="198"/>
        <v/>
      </c>
      <c r="X2518" t="str">
        <f>IF(W2518="","",LOOKUP(_xlfn.CONCAT(P2518,", ",Q2518),'[1]T+S Costs'!$F$2:$F$3138,'[1]T+S Costs'!$N$2:$N$3138))</f>
        <v/>
      </c>
      <c r="Y2518" s="14" t="str">
        <f t="shared" si="199"/>
        <v/>
      </c>
      <c r="Z2518" s="4" t="str">
        <f t="shared" si="200"/>
        <v/>
      </c>
    </row>
    <row r="2519" spans="16:26" x14ac:dyDescent="0.25">
      <c r="P2519" s="10" t="str">
        <f>IF('[1]All Data '!AZ2524="","",'[1]All Data '!AZ2524)</f>
        <v/>
      </c>
      <c r="Q2519" s="10" t="str">
        <f>IF('[1]All Data '!BB2524="","",'[1]All Data '!BB2524)</f>
        <v/>
      </c>
      <c r="R2519" s="10" t="str">
        <f>IF('[1]All Data '!BD2524="","",'[1]All Data '!BD2524)</f>
        <v/>
      </c>
      <c r="S2519" s="11" t="str">
        <f>IF(R2519="","",'[1]All Data '!BE2524)</f>
        <v/>
      </c>
      <c r="T2519" s="12" t="str">
        <f>IF(S2519="","",[1]Inputs_Outputs!$B$8*(1-'LOCH Calc COE Calc'!S2519))</f>
        <v/>
      </c>
      <c r="U2519" s="13" t="str">
        <f t="shared" si="196"/>
        <v/>
      </c>
      <c r="V2519" s="13" t="str">
        <f t="shared" si="197"/>
        <v/>
      </c>
      <c r="W2519" s="4" t="str">
        <f t="shared" si="198"/>
        <v/>
      </c>
      <c r="X2519" t="str">
        <f>IF(W2519="","",LOOKUP(_xlfn.CONCAT(P2519,", ",Q2519),'[1]T+S Costs'!$F$2:$F$3138,'[1]T+S Costs'!$N$2:$N$3138))</f>
        <v/>
      </c>
      <c r="Y2519" s="14" t="str">
        <f t="shared" si="199"/>
        <v/>
      </c>
      <c r="Z2519" s="4" t="str">
        <f t="shared" si="200"/>
        <v/>
      </c>
    </row>
    <row r="2520" spans="16:26" x14ac:dyDescent="0.25">
      <c r="P2520" s="10" t="str">
        <f>IF('[1]All Data '!AZ2525="","",'[1]All Data '!AZ2525)</f>
        <v/>
      </c>
      <c r="Q2520" s="10" t="str">
        <f>IF('[1]All Data '!BB2525="","",'[1]All Data '!BB2525)</f>
        <v/>
      </c>
      <c r="R2520" s="10" t="str">
        <f>IF('[1]All Data '!BD2525="","",'[1]All Data '!BD2525)</f>
        <v/>
      </c>
      <c r="S2520" s="11" t="str">
        <f>IF(R2520="","",'[1]All Data '!BE2525)</f>
        <v/>
      </c>
      <c r="T2520" s="12" t="str">
        <f>IF(S2520="","",[1]Inputs_Outputs!$B$8*(1-'LOCH Calc COE Calc'!S2520))</f>
        <v/>
      </c>
      <c r="U2520" s="13" t="str">
        <f t="shared" si="196"/>
        <v/>
      </c>
      <c r="V2520" s="13" t="str">
        <f t="shared" si="197"/>
        <v/>
      </c>
      <c r="W2520" s="4" t="str">
        <f t="shared" si="198"/>
        <v/>
      </c>
      <c r="X2520" t="str">
        <f>IF(W2520="","",LOOKUP(_xlfn.CONCAT(P2520,", ",Q2520),'[1]T+S Costs'!$F$2:$F$3138,'[1]T+S Costs'!$N$2:$N$3138))</f>
        <v/>
      </c>
      <c r="Y2520" s="14" t="str">
        <f t="shared" si="199"/>
        <v/>
      </c>
      <c r="Z2520" s="4" t="str">
        <f t="shared" si="200"/>
        <v/>
      </c>
    </row>
    <row r="2521" spans="16:26" x14ac:dyDescent="0.25">
      <c r="P2521" s="10" t="str">
        <f>IF('[1]All Data '!AZ2526="","",'[1]All Data '!AZ2526)</f>
        <v/>
      </c>
      <c r="Q2521" s="10" t="str">
        <f>IF('[1]All Data '!BB2526="","",'[1]All Data '!BB2526)</f>
        <v/>
      </c>
      <c r="R2521" s="10" t="str">
        <f>IF('[1]All Data '!BD2526="","",'[1]All Data '!BD2526)</f>
        <v/>
      </c>
      <c r="S2521" s="11" t="str">
        <f>IF(R2521="","",'[1]All Data '!BE2526)</f>
        <v/>
      </c>
      <c r="T2521" s="12" t="str">
        <f>IF(S2521="","",[1]Inputs_Outputs!$B$8*(1-'LOCH Calc COE Calc'!S2521))</f>
        <v/>
      </c>
      <c r="U2521" s="13" t="str">
        <f t="shared" si="196"/>
        <v/>
      </c>
      <c r="V2521" s="13" t="str">
        <f t="shared" si="197"/>
        <v/>
      </c>
      <c r="W2521" s="4" t="str">
        <f t="shared" si="198"/>
        <v/>
      </c>
      <c r="X2521" t="str">
        <f>IF(W2521="","",LOOKUP(_xlfn.CONCAT(P2521,", ",Q2521),'[1]T+S Costs'!$F$2:$F$3138,'[1]T+S Costs'!$N$2:$N$3138))</f>
        <v/>
      </c>
      <c r="Y2521" s="14" t="str">
        <f t="shared" si="199"/>
        <v/>
      </c>
      <c r="Z2521" s="4" t="str">
        <f t="shared" si="200"/>
        <v/>
      </c>
    </row>
    <row r="2522" spans="16:26" x14ac:dyDescent="0.25">
      <c r="P2522" s="10" t="str">
        <f>IF('[1]All Data '!AZ2527="","",'[1]All Data '!AZ2527)</f>
        <v/>
      </c>
      <c r="Q2522" s="10" t="str">
        <f>IF('[1]All Data '!BB2527="","",'[1]All Data '!BB2527)</f>
        <v/>
      </c>
      <c r="R2522" s="10" t="str">
        <f>IF('[1]All Data '!BD2527="","",'[1]All Data '!BD2527)</f>
        <v/>
      </c>
      <c r="S2522" s="11" t="str">
        <f>IF(R2522="","",'[1]All Data '!BE2527)</f>
        <v/>
      </c>
      <c r="T2522" s="12" t="str">
        <f>IF(S2522="","",[1]Inputs_Outputs!$B$8*(1-'LOCH Calc COE Calc'!S2522))</f>
        <v/>
      </c>
      <c r="U2522" s="13" t="str">
        <f t="shared" si="196"/>
        <v/>
      </c>
      <c r="V2522" s="13" t="str">
        <f t="shared" si="197"/>
        <v/>
      </c>
      <c r="W2522" s="4" t="str">
        <f t="shared" si="198"/>
        <v/>
      </c>
      <c r="X2522" t="str">
        <f>IF(W2522="","",LOOKUP(_xlfn.CONCAT(P2522,", ",Q2522),'[1]T+S Costs'!$F$2:$F$3138,'[1]T+S Costs'!$N$2:$N$3138))</f>
        <v/>
      </c>
      <c r="Y2522" s="14" t="str">
        <f t="shared" si="199"/>
        <v/>
      </c>
      <c r="Z2522" s="4" t="str">
        <f t="shared" si="200"/>
        <v/>
      </c>
    </row>
    <row r="2523" spans="16:26" x14ac:dyDescent="0.25">
      <c r="P2523" s="10" t="str">
        <f>IF('[1]All Data '!AZ2528="","",'[1]All Data '!AZ2528)</f>
        <v/>
      </c>
      <c r="Q2523" s="10" t="str">
        <f>IF('[1]All Data '!BB2528="","",'[1]All Data '!BB2528)</f>
        <v/>
      </c>
      <c r="R2523" s="10" t="str">
        <f>IF('[1]All Data '!BD2528="","",'[1]All Data '!BD2528)</f>
        <v/>
      </c>
      <c r="S2523" s="11" t="str">
        <f>IF(R2523="","",'[1]All Data '!BE2528)</f>
        <v/>
      </c>
      <c r="T2523" s="12" t="str">
        <f>IF(S2523="","",[1]Inputs_Outputs!$B$8*(1-'LOCH Calc COE Calc'!S2523))</f>
        <v/>
      </c>
      <c r="U2523" s="13" t="str">
        <f t="shared" si="196"/>
        <v/>
      </c>
      <c r="V2523" s="13" t="str">
        <f t="shared" si="197"/>
        <v/>
      </c>
      <c r="W2523" s="4" t="str">
        <f t="shared" si="198"/>
        <v/>
      </c>
      <c r="X2523" t="str">
        <f>IF(W2523="","",LOOKUP(_xlfn.CONCAT(P2523,", ",Q2523),'[1]T+S Costs'!$F$2:$F$3138,'[1]T+S Costs'!$N$2:$N$3138))</f>
        <v/>
      </c>
      <c r="Y2523" s="14" t="str">
        <f t="shared" si="199"/>
        <v/>
      </c>
      <c r="Z2523" s="4" t="str">
        <f t="shared" si="200"/>
        <v/>
      </c>
    </row>
    <row r="2524" spans="16:26" x14ac:dyDescent="0.25">
      <c r="P2524" s="10" t="str">
        <f>IF('[1]All Data '!AZ2529="","",'[1]All Data '!AZ2529)</f>
        <v/>
      </c>
      <c r="Q2524" s="10" t="str">
        <f>IF('[1]All Data '!BB2529="","",'[1]All Data '!BB2529)</f>
        <v/>
      </c>
      <c r="R2524" s="10" t="str">
        <f>IF('[1]All Data '!BD2529="","",'[1]All Data '!BD2529)</f>
        <v/>
      </c>
      <c r="S2524" s="11" t="str">
        <f>IF(R2524="","",'[1]All Data '!BE2529)</f>
        <v/>
      </c>
      <c r="T2524" s="12" t="str">
        <f>IF(S2524="","",[1]Inputs_Outputs!$B$8*(1-'LOCH Calc COE Calc'!S2524))</f>
        <v/>
      </c>
      <c r="U2524" s="13" t="str">
        <f t="shared" si="196"/>
        <v/>
      </c>
      <c r="V2524" s="13" t="str">
        <f t="shared" si="197"/>
        <v/>
      </c>
      <c r="W2524" s="4" t="str">
        <f t="shared" si="198"/>
        <v/>
      </c>
      <c r="X2524" t="str">
        <f>IF(W2524="","",LOOKUP(_xlfn.CONCAT(P2524,", ",Q2524),'[1]T+S Costs'!$F$2:$F$3138,'[1]T+S Costs'!$N$2:$N$3138))</f>
        <v/>
      </c>
      <c r="Y2524" s="14" t="str">
        <f t="shared" si="199"/>
        <v/>
      </c>
      <c r="Z2524" s="4" t="str">
        <f t="shared" si="200"/>
        <v/>
      </c>
    </row>
    <row r="2525" spans="16:26" x14ac:dyDescent="0.25">
      <c r="P2525" s="10" t="str">
        <f>IF('[1]All Data '!AZ2530="","",'[1]All Data '!AZ2530)</f>
        <v/>
      </c>
      <c r="Q2525" s="10" t="str">
        <f>IF('[1]All Data '!BB2530="","",'[1]All Data '!BB2530)</f>
        <v/>
      </c>
      <c r="R2525" s="10" t="str">
        <f>IF('[1]All Data '!BD2530="","",'[1]All Data '!BD2530)</f>
        <v/>
      </c>
      <c r="S2525" s="11" t="str">
        <f>IF(R2525="","",'[1]All Data '!BE2530)</f>
        <v/>
      </c>
      <c r="T2525" s="12" t="str">
        <f>IF(S2525="","",[1]Inputs_Outputs!$B$8*(1-'LOCH Calc COE Calc'!S2525))</f>
        <v/>
      </c>
      <c r="U2525" s="13" t="str">
        <f t="shared" si="196"/>
        <v/>
      </c>
      <c r="V2525" s="13" t="str">
        <f t="shared" si="197"/>
        <v/>
      </c>
      <c r="W2525" s="4" t="str">
        <f t="shared" si="198"/>
        <v/>
      </c>
      <c r="X2525" t="str">
        <f>IF(W2525="","",LOOKUP(_xlfn.CONCAT(P2525,", ",Q2525),'[1]T+S Costs'!$F$2:$F$3138,'[1]T+S Costs'!$N$2:$N$3138))</f>
        <v/>
      </c>
      <c r="Y2525" s="14" t="str">
        <f t="shared" si="199"/>
        <v/>
      </c>
      <c r="Z2525" s="4" t="str">
        <f t="shared" si="200"/>
        <v/>
      </c>
    </row>
    <row r="2526" spans="16:26" x14ac:dyDescent="0.25">
      <c r="P2526" s="10" t="str">
        <f>IF('[1]All Data '!AZ2531="","",'[1]All Data '!AZ2531)</f>
        <v/>
      </c>
      <c r="Q2526" s="10" t="str">
        <f>IF('[1]All Data '!BB2531="","",'[1]All Data '!BB2531)</f>
        <v/>
      </c>
      <c r="R2526" s="10" t="str">
        <f>IF('[1]All Data '!BD2531="","",'[1]All Data '!BD2531)</f>
        <v/>
      </c>
      <c r="S2526" s="11" t="str">
        <f>IF(R2526="","",'[1]All Data '!BE2531)</f>
        <v/>
      </c>
      <c r="T2526" s="12" t="str">
        <f>IF(S2526="","",[1]Inputs_Outputs!$B$8*(1-'LOCH Calc COE Calc'!S2526))</f>
        <v/>
      </c>
      <c r="U2526" s="13" t="str">
        <f t="shared" si="196"/>
        <v/>
      </c>
      <c r="V2526" s="13" t="str">
        <f t="shared" si="197"/>
        <v/>
      </c>
      <c r="W2526" s="4" t="str">
        <f t="shared" si="198"/>
        <v/>
      </c>
      <c r="X2526" t="str">
        <f>IF(W2526="","",LOOKUP(_xlfn.CONCAT(P2526,", ",Q2526),'[1]T+S Costs'!$F$2:$F$3138,'[1]T+S Costs'!$N$2:$N$3138))</f>
        <v/>
      </c>
      <c r="Y2526" s="14" t="str">
        <f t="shared" si="199"/>
        <v/>
      </c>
      <c r="Z2526" s="4" t="str">
        <f t="shared" si="200"/>
        <v/>
      </c>
    </row>
    <row r="2527" spans="16:26" x14ac:dyDescent="0.25">
      <c r="P2527" s="10" t="str">
        <f>IF('[1]All Data '!AZ2532="","",'[1]All Data '!AZ2532)</f>
        <v/>
      </c>
      <c r="Q2527" s="10" t="str">
        <f>IF('[1]All Data '!BB2532="","",'[1]All Data '!BB2532)</f>
        <v/>
      </c>
      <c r="R2527" s="10" t="str">
        <f>IF('[1]All Data '!BD2532="","",'[1]All Data '!BD2532)</f>
        <v/>
      </c>
      <c r="S2527" s="11" t="str">
        <f>IF(R2527="","",'[1]All Data '!BE2532)</f>
        <v/>
      </c>
      <c r="T2527" s="12" t="str">
        <f>IF(S2527="","",[1]Inputs_Outputs!$B$8*(1-'LOCH Calc COE Calc'!S2527))</f>
        <v/>
      </c>
      <c r="U2527" s="13" t="str">
        <f t="shared" si="196"/>
        <v/>
      </c>
      <c r="V2527" s="13" t="str">
        <f t="shared" si="197"/>
        <v/>
      </c>
      <c r="W2527" s="4" t="str">
        <f t="shared" si="198"/>
        <v/>
      </c>
      <c r="X2527" t="str">
        <f>IF(W2527="","",LOOKUP(_xlfn.CONCAT(P2527,", ",Q2527),'[1]T+S Costs'!$F$2:$F$3138,'[1]T+S Costs'!$N$2:$N$3138))</f>
        <v/>
      </c>
      <c r="Y2527" s="14" t="str">
        <f t="shared" si="199"/>
        <v/>
      </c>
      <c r="Z2527" s="4" t="str">
        <f t="shared" si="200"/>
        <v/>
      </c>
    </row>
    <row r="2528" spans="16:26" x14ac:dyDescent="0.25">
      <c r="P2528" s="10" t="str">
        <f>IF('[1]All Data '!AZ2533="","",'[1]All Data '!AZ2533)</f>
        <v/>
      </c>
      <c r="Q2528" s="10" t="str">
        <f>IF('[1]All Data '!BB2533="","",'[1]All Data '!BB2533)</f>
        <v/>
      </c>
      <c r="R2528" s="10" t="str">
        <f>IF('[1]All Data '!BD2533="","",'[1]All Data '!BD2533)</f>
        <v/>
      </c>
      <c r="S2528" s="11" t="str">
        <f>IF(R2528="","",'[1]All Data '!BE2533)</f>
        <v/>
      </c>
      <c r="T2528" s="12" t="str">
        <f>IF(S2528="","",[1]Inputs_Outputs!$B$8*(1-'LOCH Calc COE Calc'!S2528))</f>
        <v/>
      </c>
      <c r="U2528" s="13" t="str">
        <f t="shared" si="196"/>
        <v/>
      </c>
      <c r="V2528" s="13" t="str">
        <f t="shared" si="197"/>
        <v/>
      </c>
      <c r="W2528" s="4" t="str">
        <f t="shared" si="198"/>
        <v/>
      </c>
      <c r="X2528" t="str">
        <f>IF(W2528="","",LOOKUP(_xlfn.CONCAT(P2528,", ",Q2528),'[1]T+S Costs'!$F$2:$F$3138,'[1]T+S Costs'!$N$2:$N$3138))</f>
        <v/>
      </c>
      <c r="Y2528" s="14" t="str">
        <f t="shared" si="199"/>
        <v/>
      </c>
      <c r="Z2528" s="4" t="str">
        <f t="shared" si="200"/>
        <v/>
      </c>
    </row>
    <row r="2529" spans="16:26" x14ac:dyDescent="0.25">
      <c r="P2529" s="10" t="str">
        <f>IF('[1]All Data '!AZ2534="","",'[1]All Data '!AZ2534)</f>
        <v/>
      </c>
      <c r="Q2529" s="10" t="str">
        <f>IF('[1]All Data '!BB2534="","",'[1]All Data '!BB2534)</f>
        <v/>
      </c>
      <c r="R2529" s="10" t="str">
        <f>IF('[1]All Data '!BD2534="","",'[1]All Data '!BD2534)</f>
        <v/>
      </c>
      <c r="S2529" s="11" t="str">
        <f>IF(R2529="","",'[1]All Data '!BE2534)</f>
        <v/>
      </c>
      <c r="T2529" s="12" t="str">
        <f>IF(S2529="","",[1]Inputs_Outputs!$B$8*(1-'LOCH Calc COE Calc'!S2529))</f>
        <v/>
      </c>
      <c r="U2529" s="13" t="str">
        <f t="shared" si="196"/>
        <v/>
      </c>
      <c r="V2529" s="13" t="str">
        <f t="shared" si="197"/>
        <v/>
      </c>
      <c r="W2529" s="4" t="str">
        <f t="shared" si="198"/>
        <v/>
      </c>
      <c r="X2529" t="str">
        <f>IF(W2529="","",LOOKUP(_xlfn.CONCAT(P2529,", ",Q2529),'[1]T+S Costs'!$F$2:$F$3138,'[1]T+S Costs'!$N$2:$N$3138))</f>
        <v/>
      </c>
      <c r="Y2529" s="14" t="str">
        <f t="shared" si="199"/>
        <v/>
      </c>
      <c r="Z2529" s="4" t="str">
        <f t="shared" si="200"/>
        <v/>
      </c>
    </row>
    <row r="2530" spans="16:26" x14ac:dyDescent="0.25">
      <c r="P2530" s="10" t="str">
        <f>IF('[1]All Data '!AZ2535="","",'[1]All Data '!AZ2535)</f>
        <v/>
      </c>
      <c r="Q2530" s="10" t="str">
        <f>IF('[1]All Data '!BB2535="","",'[1]All Data '!BB2535)</f>
        <v/>
      </c>
      <c r="R2530" s="10" t="str">
        <f>IF('[1]All Data '!BD2535="","",'[1]All Data '!BD2535)</f>
        <v/>
      </c>
      <c r="S2530" s="11" t="str">
        <f>IF(R2530="","",'[1]All Data '!BE2535)</f>
        <v/>
      </c>
      <c r="T2530" s="12" t="str">
        <f>IF(S2530="","",[1]Inputs_Outputs!$B$8*(1-'LOCH Calc COE Calc'!S2530))</f>
        <v/>
      </c>
      <c r="U2530" s="13" t="str">
        <f t="shared" si="196"/>
        <v/>
      </c>
      <c r="V2530" s="13" t="str">
        <f t="shared" si="197"/>
        <v/>
      </c>
      <c r="W2530" s="4" t="str">
        <f t="shared" si="198"/>
        <v/>
      </c>
      <c r="X2530" t="str">
        <f>IF(W2530="","",LOOKUP(_xlfn.CONCAT(P2530,", ",Q2530),'[1]T+S Costs'!$F$2:$F$3138,'[1]T+S Costs'!$N$2:$N$3138))</f>
        <v/>
      </c>
      <c r="Y2530" s="14" t="str">
        <f t="shared" si="199"/>
        <v/>
      </c>
      <c r="Z2530" s="4" t="str">
        <f t="shared" si="200"/>
        <v/>
      </c>
    </row>
    <row r="2531" spans="16:26" x14ac:dyDescent="0.25">
      <c r="P2531" s="10" t="str">
        <f>IF('[1]All Data '!AZ2536="","",'[1]All Data '!AZ2536)</f>
        <v/>
      </c>
      <c r="Q2531" s="10" t="str">
        <f>IF('[1]All Data '!BB2536="","",'[1]All Data '!BB2536)</f>
        <v/>
      </c>
      <c r="R2531" s="10" t="str">
        <f>IF('[1]All Data '!BD2536="","",'[1]All Data '!BD2536)</f>
        <v/>
      </c>
      <c r="S2531" s="11" t="str">
        <f>IF(R2531="","",'[1]All Data '!BE2536)</f>
        <v/>
      </c>
      <c r="T2531" s="12" t="str">
        <f>IF(S2531="","",[1]Inputs_Outputs!$B$8*(1-'LOCH Calc COE Calc'!S2531))</f>
        <v/>
      </c>
      <c r="U2531" s="13" t="str">
        <f t="shared" si="196"/>
        <v/>
      </c>
      <c r="V2531" s="13" t="str">
        <f t="shared" si="197"/>
        <v/>
      </c>
      <c r="W2531" s="4" t="str">
        <f t="shared" si="198"/>
        <v/>
      </c>
      <c r="X2531" t="str">
        <f>IF(W2531="","",LOOKUP(_xlfn.CONCAT(P2531,", ",Q2531),'[1]T+S Costs'!$F$2:$F$3138,'[1]T+S Costs'!$N$2:$N$3138))</f>
        <v/>
      </c>
      <c r="Y2531" s="14" t="str">
        <f t="shared" si="199"/>
        <v/>
      </c>
      <c r="Z2531" s="4" t="str">
        <f t="shared" si="200"/>
        <v/>
      </c>
    </row>
    <row r="2532" spans="16:26" x14ac:dyDescent="0.25">
      <c r="P2532" s="10" t="str">
        <f>IF('[1]All Data '!AZ2537="","",'[1]All Data '!AZ2537)</f>
        <v/>
      </c>
      <c r="Q2532" s="10" t="str">
        <f>IF('[1]All Data '!BB2537="","",'[1]All Data '!BB2537)</f>
        <v/>
      </c>
      <c r="R2532" s="10" t="str">
        <f>IF('[1]All Data '!BD2537="","",'[1]All Data '!BD2537)</f>
        <v/>
      </c>
      <c r="S2532" s="11" t="str">
        <f>IF(R2532="","",'[1]All Data '!BE2537)</f>
        <v/>
      </c>
      <c r="T2532" s="12" t="str">
        <f>IF(S2532="","",[1]Inputs_Outputs!$B$8*(1-'LOCH Calc COE Calc'!S2532))</f>
        <v/>
      </c>
      <c r="U2532" s="13" t="str">
        <f t="shared" si="196"/>
        <v/>
      </c>
      <c r="V2532" s="13" t="str">
        <f t="shared" si="197"/>
        <v/>
      </c>
      <c r="W2532" s="4" t="str">
        <f t="shared" si="198"/>
        <v/>
      </c>
      <c r="X2532" t="str">
        <f>IF(W2532="","",LOOKUP(_xlfn.CONCAT(P2532,", ",Q2532),'[1]T+S Costs'!$F$2:$F$3138,'[1]T+S Costs'!$N$2:$N$3138))</f>
        <v/>
      </c>
      <c r="Y2532" s="14" t="str">
        <f t="shared" si="199"/>
        <v/>
      </c>
      <c r="Z2532" s="4" t="str">
        <f t="shared" si="200"/>
        <v/>
      </c>
    </row>
    <row r="2533" spans="16:26" x14ac:dyDescent="0.25">
      <c r="P2533" s="10" t="str">
        <f>IF('[1]All Data '!AZ2538="","",'[1]All Data '!AZ2538)</f>
        <v/>
      </c>
      <c r="Q2533" s="10" t="str">
        <f>IF('[1]All Data '!BB2538="","",'[1]All Data '!BB2538)</f>
        <v/>
      </c>
      <c r="R2533" s="10" t="str">
        <f>IF('[1]All Data '!BD2538="","",'[1]All Data '!BD2538)</f>
        <v/>
      </c>
      <c r="S2533" s="11" t="str">
        <f>IF(R2533="","",'[1]All Data '!BE2538)</f>
        <v/>
      </c>
      <c r="T2533" s="12" t="str">
        <f>IF(S2533="","",[1]Inputs_Outputs!$B$8*(1-'LOCH Calc COE Calc'!S2533))</f>
        <v/>
      </c>
      <c r="U2533" s="13" t="str">
        <f t="shared" si="196"/>
        <v/>
      </c>
      <c r="V2533" s="13" t="str">
        <f t="shared" si="197"/>
        <v/>
      </c>
      <c r="W2533" s="4" t="str">
        <f t="shared" si="198"/>
        <v/>
      </c>
      <c r="X2533" t="str">
        <f>IF(W2533="","",LOOKUP(_xlfn.CONCAT(P2533,", ",Q2533),'[1]T+S Costs'!$F$2:$F$3138,'[1]T+S Costs'!$N$2:$N$3138))</f>
        <v/>
      </c>
      <c r="Y2533" s="14" t="str">
        <f t="shared" si="199"/>
        <v/>
      </c>
      <c r="Z2533" s="4" t="str">
        <f t="shared" si="200"/>
        <v/>
      </c>
    </row>
    <row r="2534" spans="16:26" x14ac:dyDescent="0.25">
      <c r="P2534" s="10" t="str">
        <f>IF('[1]All Data '!AZ2539="","",'[1]All Data '!AZ2539)</f>
        <v/>
      </c>
      <c r="Q2534" s="10" t="str">
        <f>IF('[1]All Data '!BB2539="","",'[1]All Data '!BB2539)</f>
        <v/>
      </c>
      <c r="R2534" s="10" t="str">
        <f>IF('[1]All Data '!BD2539="","",'[1]All Data '!BD2539)</f>
        <v/>
      </c>
      <c r="S2534" s="11" t="str">
        <f>IF(R2534="","",'[1]All Data '!BE2539)</f>
        <v/>
      </c>
      <c r="T2534" s="12" t="str">
        <f>IF(S2534="","",[1]Inputs_Outputs!$B$8*(1-'LOCH Calc COE Calc'!S2534))</f>
        <v/>
      </c>
      <c r="U2534" s="13" t="str">
        <f t="shared" si="196"/>
        <v/>
      </c>
      <c r="V2534" s="13" t="str">
        <f t="shared" si="197"/>
        <v/>
      </c>
      <c r="W2534" s="4" t="str">
        <f t="shared" si="198"/>
        <v/>
      </c>
      <c r="X2534" t="str">
        <f>IF(W2534="","",LOOKUP(_xlfn.CONCAT(P2534,", ",Q2534),'[1]T+S Costs'!$F$2:$F$3138,'[1]T+S Costs'!$N$2:$N$3138))</f>
        <v/>
      </c>
      <c r="Y2534" s="14" t="str">
        <f t="shared" si="199"/>
        <v/>
      </c>
      <c r="Z2534" s="4" t="str">
        <f t="shared" si="200"/>
        <v/>
      </c>
    </row>
    <row r="2535" spans="16:26" x14ac:dyDescent="0.25">
      <c r="P2535" s="10" t="str">
        <f>IF('[1]All Data '!AZ2540="","",'[1]All Data '!AZ2540)</f>
        <v/>
      </c>
      <c r="Q2535" s="10" t="str">
        <f>IF('[1]All Data '!BB2540="","",'[1]All Data '!BB2540)</f>
        <v/>
      </c>
      <c r="R2535" s="10" t="str">
        <f>IF('[1]All Data '!BD2540="","",'[1]All Data '!BD2540)</f>
        <v/>
      </c>
      <c r="S2535" s="11" t="str">
        <f>IF(R2535="","",'[1]All Data '!BE2540)</f>
        <v/>
      </c>
      <c r="T2535" s="12" t="str">
        <f>IF(S2535="","",[1]Inputs_Outputs!$B$8*(1-'LOCH Calc COE Calc'!S2535))</f>
        <v/>
      </c>
      <c r="U2535" s="13" t="str">
        <f t="shared" si="196"/>
        <v/>
      </c>
      <c r="V2535" s="13" t="str">
        <f t="shared" si="197"/>
        <v/>
      </c>
      <c r="W2535" s="4" t="str">
        <f t="shared" si="198"/>
        <v/>
      </c>
      <c r="X2535" t="str">
        <f>IF(W2535="","",LOOKUP(_xlfn.CONCAT(P2535,", ",Q2535),'[1]T+S Costs'!$F$2:$F$3138,'[1]T+S Costs'!$N$2:$N$3138))</f>
        <v/>
      </c>
      <c r="Y2535" s="14" t="str">
        <f t="shared" si="199"/>
        <v/>
      </c>
      <c r="Z2535" s="4" t="str">
        <f t="shared" si="200"/>
        <v/>
      </c>
    </row>
    <row r="2536" spans="16:26" x14ac:dyDescent="0.25">
      <c r="P2536" s="10" t="str">
        <f>IF('[1]All Data '!AZ2541="","",'[1]All Data '!AZ2541)</f>
        <v/>
      </c>
      <c r="Q2536" s="10" t="str">
        <f>IF('[1]All Data '!BB2541="","",'[1]All Data '!BB2541)</f>
        <v/>
      </c>
      <c r="R2536" s="10" t="str">
        <f>IF('[1]All Data '!BD2541="","",'[1]All Data '!BD2541)</f>
        <v/>
      </c>
      <c r="S2536" s="11" t="str">
        <f>IF(R2536="","",'[1]All Data '!BE2541)</f>
        <v/>
      </c>
      <c r="T2536" s="12" t="str">
        <f>IF(S2536="","",[1]Inputs_Outputs!$B$8*(1-'LOCH Calc COE Calc'!S2536))</f>
        <v/>
      </c>
      <c r="U2536" s="13" t="str">
        <f t="shared" si="196"/>
        <v/>
      </c>
      <c r="V2536" s="13" t="str">
        <f t="shared" si="197"/>
        <v/>
      </c>
      <c r="W2536" s="4" t="str">
        <f t="shared" si="198"/>
        <v/>
      </c>
      <c r="X2536" t="str">
        <f>IF(W2536="","",LOOKUP(_xlfn.CONCAT(P2536,", ",Q2536),'[1]T+S Costs'!$F$2:$F$3138,'[1]T+S Costs'!$N$2:$N$3138))</f>
        <v/>
      </c>
      <c r="Y2536" s="14" t="str">
        <f t="shared" si="199"/>
        <v/>
      </c>
      <c r="Z2536" s="4" t="str">
        <f t="shared" si="200"/>
        <v/>
      </c>
    </row>
    <row r="2537" spans="16:26" x14ac:dyDescent="0.25">
      <c r="P2537" s="10" t="str">
        <f>IF('[1]All Data '!AZ2542="","",'[1]All Data '!AZ2542)</f>
        <v/>
      </c>
      <c r="Q2537" s="10" t="str">
        <f>IF('[1]All Data '!BB2542="","",'[1]All Data '!BB2542)</f>
        <v/>
      </c>
      <c r="R2537" s="10" t="str">
        <f>IF('[1]All Data '!BD2542="","",'[1]All Data '!BD2542)</f>
        <v/>
      </c>
      <c r="S2537" s="11" t="str">
        <f>IF(R2537="","",'[1]All Data '!BE2542)</f>
        <v/>
      </c>
      <c r="T2537" s="12" t="str">
        <f>IF(S2537="","",[1]Inputs_Outputs!$B$8*(1-'LOCH Calc COE Calc'!S2537))</f>
        <v/>
      </c>
      <c r="U2537" s="13" t="str">
        <f t="shared" si="196"/>
        <v/>
      </c>
      <c r="V2537" s="13" t="str">
        <f t="shared" si="197"/>
        <v/>
      </c>
      <c r="W2537" s="4" t="str">
        <f t="shared" si="198"/>
        <v/>
      </c>
      <c r="X2537" t="str">
        <f>IF(W2537="","",LOOKUP(_xlfn.CONCAT(P2537,", ",Q2537),'[1]T+S Costs'!$F$2:$F$3138,'[1]T+S Costs'!$N$2:$N$3138))</f>
        <v/>
      </c>
      <c r="Y2537" s="14" t="str">
        <f t="shared" si="199"/>
        <v/>
      </c>
      <c r="Z2537" s="4" t="str">
        <f t="shared" si="200"/>
        <v/>
      </c>
    </row>
    <row r="2538" spans="16:26" x14ac:dyDescent="0.25">
      <c r="P2538" s="10" t="str">
        <f>IF('[1]All Data '!AZ2543="","",'[1]All Data '!AZ2543)</f>
        <v/>
      </c>
      <c r="Q2538" s="10" t="str">
        <f>IF('[1]All Data '!BB2543="","",'[1]All Data '!BB2543)</f>
        <v/>
      </c>
      <c r="R2538" s="10" t="str">
        <f>IF('[1]All Data '!BD2543="","",'[1]All Data '!BD2543)</f>
        <v/>
      </c>
      <c r="S2538" s="11" t="str">
        <f>IF(R2538="","",'[1]All Data '!BE2543)</f>
        <v/>
      </c>
      <c r="T2538" s="12" t="str">
        <f>IF(S2538="","",[1]Inputs_Outputs!$B$8*(1-'LOCH Calc COE Calc'!S2538))</f>
        <v/>
      </c>
      <c r="U2538" s="13" t="str">
        <f t="shared" si="196"/>
        <v/>
      </c>
      <c r="V2538" s="13" t="str">
        <f t="shared" si="197"/>
        <v/>
      </c>
      <c r="W2538" s="4" t="str">
        <f t="shared" si="198"/>
        <v/>
      </c>
      <c r="X2538" t="str">
        <f>IF(W2538="","",LOOKUP(_xlfn.CONCAT(P2538,", ",Q2538),'[1]T+S Costs'!$F$2:$F$3138,'[1]T+S Costs'!$N$2:$N$3138))</f>
        <v/>
      </c>
      <c r="Y2538" s="14" t="str">
        <f t="shared" si="199"/>
        <v/>
      </c>
      <c r="Z2538" s="4" t="str">
        <f t="shared" si="200"/>
        <v/>
      </c>
    </row>
    <row r="2539" spans="16:26" x14ac:dyDescent="0.25">
      <c r="P2539" s="10" t="str">
        <f>IF('[1]All Data '!AZ2544="","",'[1]All Data '!AZ2544)</f>
        <v/>
      </c>
      <c r="Q2539" s="10" t="str">
        <f>IF('[1]All Data '!BB2544="","",'[1]All Data '!BB2544)</f>
        <v/>
      </c>
      <c r="R2539" s="10" t="str">
        <f>IF('[1]All Data '!BD2544="","",'[1]All Data '!BD2544)</f>
        <v/>
      </c>
      <c r="S2539" s="11" t="str">
        <f>IF(R2539="","",'[1]All Data '!BE2544)</f>
        <v/>
      </c>
      <c r="T2539" s="12" t="str">
        <f>IF(S2539="","",[1]Inputs_Outputs!$B$8*(1-'LOCH Calc COE Calc'!S2539))</f>
        <v/>
      </c>
      <c r="U2539" s="13" t="str">
        <f t="shared" si="196"/>
        <v/>
      </c>
      <c r="V2539" s="13" t="str">
        <f t="shared" si="197"/>
        <v/>
      </c>
      <c r="W2539" s="4" t="str">
        <f t="shared" si="198"/>
        <v/>
      </c>
      <c r="X2539" t="str">
        <f>IF(W2539="","",LOOKUP(_xlfn.CONCAT(P2539,", ",Q2539),'[1]T+S Costs'!$F$2:$F$3138,'[1]T+S Costs'!$N$2:$N$3138))</f>
        <v/>
      </c>
      <c r="Y2539" s="14" t="str">
        <f t="shared" si="199"/>
        <v/>
      </c>
      <c r="Z2539" s="4" t="str">
        <f t="shared" si="200"/>
        <v/>
      </c>
    </row>
    <row r="2540" spans="16:26" x14ac:dyDescent="0.25">
      <c r="P2540" s="10" t="str">
        <f>IF('[1]All Data '!AZ2545="","",'[1]All Data '!AZ2545)</f>
        <v/>
      </c>
      <c r="Q2540" s="10" t="str">
        <f>IF('[1]All Data '!BB2545="","",'[1]All Data '!BB2545)</f>
        <v/>
      </c>
      <c r="R2540" s="10" t="str">
        <f>IF('[1]All Data '!BD2545="","",'[1]All Data '!BD2545)</f>
        <v/>
      </c>
      <c r="S2540" s="11" t="str">
        <f>IF(R2540="","",'[1]All Data '!BE2545)</f>
        <v/>
      </c>
      <c r="T2540" s="12" t="str">
        <f>IF(S2540="","",[1]Inputs_Outputs!$B$8*(1-'LOCH Calc COE Calc'!S2540))</f>
        <v/>
      </c>
      <c r="U2540" s="13" t="str">
        <f t="shared" si="196"/>
        <v/>
      </c>
      <c r="V2540" s="13" t="str">
        <f t="shared" si="197"/>
        <v/>
      </c>
      <c r="W2540" s="4" t="str">
        <f t="shared" si="198"/>
        <v/>
      </c>
      <c r="X2540" t="str">
        <f>IF(W2540="","",LOOKUP(_xlfn.CONCAT(P2540,", ",Q2540),'[1]T+S Costs'!$F$2:$F$3138,'[1]T+S Costs'!$N$2:$N$3138))</f>
        <v/>
      </c>
      <c r="Y2540" s="14" t="str">
        <f t="shared" si="199"/>
        <v/>
      </c>
      <c r="Z2540" s="4" t="str">
        <f t="shared" si="200"/>
        <v/>
      </c>
    </row>
    <row r="2541" spans="16:26" x14ac:dyDescent="0.25">
      <c r="P2541" s="10" t="str">
        <f>IF('[1]All Data '!AZ2546="","",'[1]All Data '!AZ2546)</f>
        <v/>
      </c>
      <c r="Q2541" s="10" t="str">
        <f>IF('[1]All Data '!BB2546="","",'[1]All Data '!BB2546)</f>
        <v/>
      </c>
      <c r="R2541" s="10" t="str">
        <f>IF('[1]All Data '!BD2546="","",'[1]All Data '!BD2546)</f>
        <v/>
      </c>
      <c r="S2541" s="11" t="str">
        <f>IF(R2541="","",'[1]All Data '!BE2546)</f>
        <v/>
      </c>
      <c r="T2541" s="12" t="str">
        <f>IF(S2541="","",[1]Inputs_Outputs!$B$8*(1-'LOCH Calc COE Calc'!S2541))</f>
        <v/>
      </c>
      <c r="U2541" s="13" t="str">
        <f t="shared" si="196"/>
        <v/>
      </c>
      <c r="V2541" s="13" t="str">
        <f t="shared" si="197"/>
        <v/>
      </c>
      <c r="W2541" s="4" t="str">
        <f t="shared" si="198"/>
        <v/>
      </c>
      <c r="X2541" t="str">
        <f>IF(W2541="","",LOOKUP(_xlfn.CONCAT(P2541,", ",Q2541),'[1]T+S Costs'!$F$2:$F$3138,'[1]T+S Costs'!$N$2:$N$3138))</f>
        <v/>
      </c>
      <c r="Y2541" s="14" t="str">
        <f t="shared" si="199"/>
        <v/>
      </c>
      <c r="Z2541" s="4" t="str">
        <f t="shared" si="200"/>
        <v/>
      </c>
    </row>
    <row r="2542" spans="16:26" x14ac:dyDescent="0.25">
      <c r="P2542" s="10" t="str">
        <f>IF('[1]All Data '!AZ2547="","",'[1]All Data '!AZ2547)</f>
        <v/>
      </c>
      <c r="Q2542" s="10" t="str">
        <f>IF('[1]All Data '!BB2547="","",'[1]All Data '!BB2547)</f>
        <v/>
      </c>
      <c r="R2542" s="10" t="str">
        <f>IF('[1]All Data '!BD2547="","",'[1]All Data '!BD2547)</f>
        <v/>
      </c>
      <c r="S2542" s="11" t="str">
        <f>IF(R2542="","",'[1]All Data '!BE2547)</f>
        <v/>
      </c>
      <c r="T2542" s="12" t="str">
        <f>IF(S2542="","",[1]Inputs_Outputs!$B$8*(1-'LOCH Calc COE Calc'!S2542))</f>
        <v/>
      </c>
      <c r="U2542" s="13" t="str">
        <f t="shared" si="196"/>
        <v/>
      </c>
      <c r="V2542" s="13" t="str">
        <f t="shared" si="197"/>
        <v/>
      </c>
      <c r="W2542" s="4" t="str">
        <f t="shared" si="198"/>
        <v/>
      </c>
      <c r="X2542" t="str">
        <f>IF(W2542="","",LOOKUP(_xlfn.CONCAT(P2542,", ",Q2542),'[1]T+S Costs'!$F$2:$F$3138,'[1]T+S Costs'!$N$2:$N$3138))</f>
        <v/>
      </c>
      <c r="Y2542" s="14" t="str">
        <f t="shared" si="199"/>
        <v/>
      </c>
      <c r="Z2542" s="4" t="str">
        <f t="shared" si="200"/>
        <v/>
      </c>
    </row>
    <row r="2543" spans="16:26" x14ac:dyDescent="0.25">
      <c r="P2543" s="10" t="str">
        <f>IF('[1]All Data '!AZ2548="","",'[1]All Data '!AZ2548)</f>
        <v/>
      </c>
      <c r="Q2543" s="10" t="str">
        <f>IF('[1]All Data '!BB2548="","",'[1]All Data '!BB2548)</f>
        <v/>
      </c>
      <c r="R2543" s="10" t="str">
        <f>IF('[1]All Data '!BD2548="","",'[1]All Data '!BD2548)</f>
        <v/>
      </c>
      <c r="S2543" s="11" t="str">
        <f>IF(R2543="","",'[1]All Data '!BE2548)</f>
        <v/>
      </c>
      <c r="T2543" s="12" t="str">
        <f>IF(S2543="","",[1]Inputs_Outputs!$B$8*(1-'LOCH Calc COE Calc'!S2543))</f>
        <v/>
      </c>
      <c r="U2543" s="13" t="str">
        <f t="shared" si="196"/>
        <v/>
      </c>
      <c r="V2543" s="13" t="str">
        <f t="shared" si="197"/>
        <v/>
      </c>
      <c r="W2543" s="4" t="str">
        <f t="shared" si="198"/>
        <v/>
      </c>
      <c r="X2543" t="str">
        <f>IF(W2543="","",LOOKUP(_xlfn.CONCAT(P2543,", ",Q2543),'[1]T+S Costs'!$F$2:$F$3138,'[1]T+S Costs'!$N$2:$N$3138))</f>
        <v/>
      </c>
      <c r="Y2543" s="14" t="str">
        <f t="shared" si="199"/>
        <v/>
      </c>
      <c r="Z2543" s="4" t="str">
        <f t="shared" si="200"/>
        <v/>
      </c>
    </row>
    <row r="2544" spans="16:26" x14ac:dyDescent="0.25">
      <c r="P2544" s="10" t="str">
        <f>IF('[1]All Data '!AZ2549="","",'[1]All Data '!AZ2549)</f>
        <v/>
      </c>
      <c r="Q2544" s="10" t="str">
        <f>IF('[1]All Data '!BB2549="","",'[1]All Data '!BB2549)</f>
        <v/>
      </c>
      <c r="R2544" s="10" t="str">
        <f>IF('[1]All Data '!BD2549="","",'[1]All Data '!BD2549)</f>
        <v/>
      </c>
      <c r="S2544" s="11" t="str">
        <f>IF(R2544="","",'[1]All Data '!BE2549)</f>
        <v/>
      </c>
      <c r="T2544" s="12" t="str">
        <f>IF(S2544="","",[1]Inputs_Outputs!$B$8*(1-'LOCH Calc COE Calc'!S2544))</f>
        <v/>
      </c>
      <c r="U2544" s="13" t="str">
        <f t="shared" si="196"/>
        <v/>
      </c>
      <c r="V2544" s="13" t="str">
        <f t="shared" si="197"/>
        <v/>
      </c>
      <c r="W2544" s="4" t="str">
        <f t="shared" si="198"/>
        <v/>
      </c>
      <c r="X2544" t="str">
        <f>IF(W2544="","",LOOKUP(_xlfn.CONCAT(P2544,", ",Q2544),'[1]T+S Costs'!$F$2:$F$3138,'[1]T+S Costs'!$N$2:$N$3138))</f>
        <v/>
      </c>
      <c r="Y2544" s="14" t="str">
        <f t="shared" si="199"/>
        <v/>
      </c>
      <c r="Z2544" s="4" t="str">
        <f t="shared" si="200"/>
        <v/>
      </c>
    </row>
    <row r="2545" spans="16:26" x14ac:dyDescent="0.25">
      <c r="P2545" s="10" t="str">
        <f>IF('[1]All Data '!AZ2550="","",'[1]All Data '!AZ2550)</f>
        <v/>
      </c>
      <c r="Q2545" s="10" t="str">
        <f>IF('[1]All Data '!BB2550="","",'[1]All Data '!BB2550)</f>
        <v/>
      </c>
      <c r="R2545" s="10" t="str">
        <f>IF('[1]All Data '!BD2550="","",'[1]All Data '!BD2550)</f>
        <v/>
      </c>
      <c r="S2545" s="11" t="str">
        <f>IF(R2545="","",'[1]All Data '!BE2550)</f>
        <v/>
      </c>
      <c r="T2545" s="12" t="str">
        <f>IF(S2545="","",[1]Inputs_Outputs!$B$8*(1-'LOCH Calc COE Calc'!S2545))</f>
        <v/>
      </c>
      <c r="U2545" s="13" t="str">
        <f t="shared" si="196"/>
        <v/>
      </c>
      <c r="V2545" s="13" t="str">
        <f t="shared" si="197"/>
        <v/>
      </c>
      <c r="W2545" s="4" t="str">
        <f t="shared" si="198"/>
        <v/>
      </c>
      <c r="X2545" t="str">
        <f>IF(W2545="","",LOOKUP(_xlfn.CONCAT(P2545,", ",Q2545),'[1]T+S Costs'!$F$2:$F$3138,'[1]T+S Costs'!$N$2:$N$3138))</f>
        <v/>
      </c>
      <c r="Y2545" s="14" t="str">
        <f t="shared" si="199"/>
        <v/>
      </c>
      <c r="Z2545" s="4" t="str">
        <f t="shared" si="200"/>
        <v/>
      </c>
    </row>
    <row r="2546" spans="16:26" x14ac:dyDescent="0.25">
      <c r="P2546" s="10" t="str">
        <f>IF('[1]All Data '!AZ2551="","",'[1]All Data '!AZ2551)</f>
        <v/>
      </c>
      <c r="Q2546" s="10" t="str">
        <f>IF('[1]All Data '!BB2551="","",'[1]All Data '!BB2551)</f>
        <v/>
      </c>
      <c r="R2546" s="10" t="str">
        <f>IF('[1]All Data '!BD2551="","",'[1]All Data '!BD2551)</f>
        <v/>
      </c>
      <c r="S2546" s="11" t="str">
        <f>IF(R2546="","",'[1]All Data '!BE2551)</f>
        <v/>
      </c>
      <c r="T2546" s="12" t="str">
        <f>IF(S2546="","",[1]Inputs_Outputs!$B$8*(1-'LOCH Calc COE Calc'!S2546))</f>
        <v/>
      </c>
      <c r="U2546" s="13" t="str">
        <f t="shared" si="196"/>
        <v/>
      </c>
      <c r="V2546" s="13" t="str">
        <f t="shared" si="197"/>
        <v/>
      </c>
      <c r="W2546" s="4" t="str">
        <f t="shared" si="198"/>
        <v/>
      </c>
      <c r="X2546" t="str">
        <f>IF(W2546="","",LOOKUP(_xlfn.CONCAT(P2546,", ",Q2546),'[1]T+S Costs'!$F$2:$F$3138,'[1]T+S Costs'!$N$2:$N$3138))</f>
        <v/>
      </c>
      <c r="Y2546" s="14" t="str">
        <f t="shared" si="199"/>
        <v/>
      </c>
      <c r="Z2546" s="4" t="str">
        <f t="shared" si="200"/>
        <v/>
      </c>
    </row>
    <row r="2547" spans="16:26" x14ac:dyDescent="0.25">
      <c r="P2547" s="10" t="str">
        <f>IF('[1]All Data '!AZ2552="","",'[1]All Data '!AZ2552)</f>
        <v/>
      </c>
      <c r="Q2547" s="10" t="str">
        <f>IF('[1]All Data '!BB2552="","",'[1]All Data '!BB2552)</f>
        <v/>
      </c>
      <c r="R2547" s="10" t="str">
        <f>IF('[1]All Data '!BD2552="","",'[1]All Data '!BD2552)</f>
        <v/>
      </c>
      <c r="S2547" s="11" t="str">
        <f>IF(R2547="","",'[1]All Data '!BE2552)</f>
        <v/>
      </c>
      <c r="T2547" s="12" t="str">
        <f>IF(S2547="","",[1]Inputs_Outputs!$B$8*(1-'LOCH Calc COE Calc'!S2547))</f>
        <v/>
      </c>
      <c r="U2547" s="13" t="str">
        <f t="shared" si="196"/>
        <v/>
      </c>
      <c r="V2547" s="13" t="str">
        <f t="shared" si="197"/>
        <v/>
      </c>
      <c r="W2547" s="4" t="str">
        <f t="shared" si="198"/>
        <v/>
      </c>
      <c r="X2547" t="str">
        <f>IF(W2547="","",LOOKUP(_xlfn.CONCAT(P2547,", ",Q2547),'[1]T+S Costs'!$F$2:$F$3138,'[1]T+S Costs'!$N$2:$N$3138))</f>
        <v/>
      </c>
      <c r="Y2547" s="14" t="str">
        <f t="shared" si="199"/>
        <v/>
      </c>
      <c r="Z2547" s="4" t="str">
        <f t="shared" si="200"/>
        <v/>
      </c>
    </row>
    <row r="2548" spans="16:26" x14ac:dyDescent="0.25">
      <c r="P2548" s="10" t="str">
        <f>IF('[1]All Data '!AZ2553="","",'[1]All Data '!AZ2553)</f>
        <v/>
      </c>
      <c r="Q2548" s="10" t="str">
        <f>IF('[1]All Data '!BB2553="","",'[1]All Data '!BB2553)</f>
        <v/>
      </c>
      <c r="R2548" s="10" t="str">
        <f>IF('[1]All Data '!BD2553="","",'[1]All Data '!BD2553)</f>
        <v/>
      </c>
      <c r="S2548" s="11" t="str">
        <f>IF(R2548="","",'[1]All Data '!BE2553)</f>
        <v/>
      </c>
      <c r="T2548" s="12" t="str">
        <f>IF(S2548="","",[1]Inputs_Outputs!$B$8*(1-'LOCH Calc COE Calc'!S2548))</f>
        <v/>
      </c>
      <c r="U2548" s="13" t="str">
        <f t="shared" si="196"/>
        <v/>
      </c>
      <c r="V2548" s="13" t="str">
        <f t="shared" si="197"/>
        <v/>
      </c>
      <c r="W2548" s="4" t="str">
        <f t="shared" si="198"/>
        <v/>
      </c>
      <c r="X2548" t="str">
        <f>IF(W2548="","",LOOKUP(_xlfn.CONCAT(P2548,", ",Q2548),'[1]T+S Costs'!$F$2:$F$3138,'[1]T+S Costs'!$N$2:$N$3138))</f>
        <v/>
      </c>
      <c r="Y2548" s="14" t="str">
        <f t="shared" si="199"/>
        <v/>
      </c>
      <c r="Z2548" s="4" t="str">
        <f t="shared" si="200"/>
        <v/>
      </c>
    </row>
    <row r="2549" spans="16:26" x14ac:dyDescent="0.25">
      <c r="P2549" s="10" t="str">
        <f>IF('[1]All Data '!AZ2554="","",'[1]All Data '!AZ2554)</f>
        <v/>
      </c>
      <c r="Q2549" s="10" t="str">
        <f>IF('[1]All Data '!BB2554="","",'[1]All Data '!BB2554)</f>
        <v/>
      </c>
      <c r="R2549" s="10" t="str">
        <f>IF('[1]All Data '!BD2554="","",'[1]All Data '!BD2554)</f>
        <v/>
      </c>
      <c r="S2549" s="11" t="str">
        <f>IF(R2549="","",'[1]All Data '!BE2554)</f>
        <v/>
      </c>
      <c r="T2549" s="12" t="str">
        <f>IF(S2549="","",[1]Inputs_Outputs!$B$8*(1-'LOCH Calc COE Calc'!S2549))</f>
        <v/>
      </c>
      <c r="U2549" s="13" t="str">
        <f t="shared" si="196"/>
        <v/>
      </c>
      <c r="V2549" s="13" t="str">
        <f t="shared" si="197"/>
        <v/>
      </c>
      <c r="W2549" s="4" t="str">
        <f t="shared" si="198"/>
        <v/>
      </c>
      <c r="X2549" t="str">
        <f>IF(W2549="","",LOOKUP(_xlfn.CONCAT(P2549,", ",Q2549),'[1]T+S Costs'!$F$2:$F$3138,'[1]T+S Costs'!$N$2:$N$3138))</f>
        <v/>
      </c>
      <c r="Y2549" s="14" t="str">
        <f t="shared" si="199"/>
        <v/>
      </c>
      <c r="Z2549" s="4" t="str">
        <f t="shared" si="200"/>
        <v/>
      </c>
    </row>
    <row r="2550" spans="16:26" x14ac:dyDescent="0.25">
      <c r="P2550" s="10" t="str">
        <f>IF('[1]All Data '!AZ2555="","",'[1]All Data '!AZ2555)</f>
        <v/>
      </c>
      <c r="Q2550" s="10" t="str">
        <f>IF('[1]All Data '!BB2555="","",'[1]All Data '!BB2555)</f>
        <v/>
      </c>
      <c r="R2550" s="10" t="str">
        <f>IF('[1]All Data '!BD2555="","",'[1]All Data '!BD2555)</f>
        <v/>
      </c>
      <c r="S2550" s="11" t="str">
        <f>IF(R2550="","",'[1]All Data '!BE2555)</f>
        <v/>
      </c>
      <c r="T2550" s="12" t="str">
        <f>IF(S2550="","",[1]Inputs_Outputs!$B$8*(1-'LOCH Calc COE Calc'!S2550))</f>
        <v/>
      </c>
      <c r="U2550" s="13" t="str">
        <f t="shared" si="196"/>
        <v/>
      </c>
      <c r="V2550" s="13" t="str">
        <f t="shared" si="197"/>
        <v/>
      </c>
      <c r="W2550" s="4" t="str">
        <f t="shared" si="198"/>
        <v/>
      </c>
      <c r="X2550" t="str">
        <f>IF(W2550="","",LOOKUP(_xlfn.CONCAT(P2550,", ",Q2550),'[1]T+S Costs'!$F$2:$F$3138,'[1]T+S Costs'!$N$2:$N$3138))</f>
        <v/>
      </c>
      <c r="Y2550" s="14" t="str">
        <f t="shared" si="199"/>
        <v/>
      </c>
      <c r="Z2550" s="4" t="str">
        <f t="shared" si="200"/>
        <v/>
      </c>
    </row>
    <row r="2551" spans="16:26" x14ac:dyDescent="0.25">
      <c r="P2551" s="10" t="str">
        <f>IF('[1]All Data '!AZ2556="","",'[1]All Data '!AZ2556)</f>
        <v/>
      </c>
      <c r="Q2551" s="10" t="str">
        <f>IF('[1]All Data '!BB2556="","",'[1]All Data '!BB2556)</f>
        <v/>
      </c>
      <c r="R2551" s="10" t="str">
        <f>IF('[1]All Data '!BD2556="","",'[1]All Data '!BD2556)</f>
        <v/>
      </c>
      <c r="S2551" s="11" t="str">
        <f>IF(R2551="","",'[1]All Data '!BE2556)</f>
        <v/>
      </c>
      <c r="T2551" s="12" t="str">
        <f>IF(S2551="","",[1]Inputs_Outputs!$B$8*(1-'LOCH Calc COE Calc'!S2551))</f>
        <v/>
      </c>
      <c r="U2551" s="13" t="str">
        <f t="shared" si="196"/>
        <v/>
      </c>
      <c r="V2551" s="13" t="str">
        <f t="shared" si="197"/>
        <v/>
      </c>
      <c r="W2551" s="4" t="str">
        <f t="shared" si="198"/>
        <v/>
      </c>
      <c r="X2551" t="str">
        <f>IF(W2551="","",LOOKUP(_xlfn.CONCAT(P2551,", ",Q2551),'[1]T+S Costs'!$F$2:$F$3138,'[1]T+S Costs'!$N$2:$N$3138))</f>
        <v/>
      </c>
      <c r="Y2551" s="14" t="str">
        <f t="shared" si="199"/>
        <v/>
      </c>
      <c r="Z2551" s="4" t="str">
        <f t="shared" si="200"/>
        <v/>
      </c>
    </row>
    <row r="2552" spans="16:26" x14ac:dyDescent="0.25">
      <c r="P2552" s="10" t="str">
        <f>IF('[1]All Data '!AZ2557="","",'[1]All Data '!AZ2557)</f>
        <v/>
      </c>
      <c r="Q2552" s="10" t="str">
        <f>IF('[1]All Data '!BB2557="","",'[1]All Data '!BB2557)</f>
        <v/>
      </c>
      <c r="R2552" s="10" t="str">
        <f>IF('[1]All Data '!BD2557="","",'[1]All Data '!BD2557)</f>
        <v/>
      </c>
      <c r="S2552" s="11" t="str">
        <f>IF(R2552="","",'[1]All Data '!BE2557)</f>
        <v/>
      </c>
      <c r="T2552" s="12" t="str">
        <f>IF(S2552="","",[1]Inputs_Outputs!$B$8*(1-'LOCH Calc COE Calc'!S2552))</f>
        <v/>
      </c>
      <c r="U2552" s="13" t="str">
        <f t="shared" si="196"/>
        <v/>
      </c>
      <c r="V2552" s="13" t="str">
        <f t="shared" si="197"/>
        <v/>
      </c>
      <c r="W2552" s="4" t="str">
        <f t="shared" si="198"/>
        <v/>
      </c>
      <c r="X2552" t="str">
        <f>IF(W2552="","",LOOKUP(_xlfn.CONCAT(P2552,", ",Q2552),'[1]T+S Costs'!$F$2:$F$3138,'[1]T+S Costs'!$N$2:$N$3138))</f>
        <v/>
      </c>
      <c r="Y2552" s="14" t="str">
        <f t="shared" si="199"/>
        <v/>
      </c>
      <c r="Z2552" s="4" t="str">
        <f t="shared" si="200"/>
        <v/>
      </c>
    </row>
    <row r="2553" spans="16:26" x14ac:dyDescent="0.25">
      <c r="P2553" s="10" t="str">
        <f>IF('[1]All Data '!AZ2558="","",'[1]All Data '!AZ2558)</f>
        <v/>
      </c>
      <c r="Q2553" s="10" t="str">
        <f>IF('[1]All Data '!BB2558="","",'[1]All Data '!BB2558)</f>
        <v/>
      </c>
      <c r="R2553" s="10" t="str">
        <f>IF('[1]All Data '!BD2558="","",'[1]All Data '!BD2558)</f>
        <v/>
      </c>
      <c r="S2553" s="11" t="str">
        <f>IF(R2553="","",'[1]All Data '!BE2558)</f>
        <v/>
      </c>
      <c r="T2553" s="12" t="str">
        <f>IF(S2553="","",[1]Inputs_Outputs!$B$8*(1-'LOCH Calc COE Calc'!S2553))</f>
        <v/>
      </c>
      <c r="U2553" s="13" t="str">
        <f t="shared" si="196"/>
        <v/>
      </c>
      <c r="V2553" s="13" t="str">
        <f t="shared" si="197"/>
        <v/>
      </c>
      <c r="W2553" s="4" t="str">
        <f t="shared" si="198"/>
        <v/>
      </c>
      <c r="X2553" t="str">
        <f>IF(W2553="","",LOOKUP(_xlfn.CONCAT(P2553,", ",Q2553),'[1]T+S Costs'!$F$2:$F$3138,'[1]T+S Costs'!$N$2:$N$3138))</f>
        <v/>
      </c>
      <c r="Y2553" s="14" t="str">
        <f t="shared" si="199"/>
        <v/>
      </c>
      <c r="Z2553" s="4" t="str">
        <f t="shared" si="200"/>
        <v/>
      </c>
    </row>
    <row r="2554" spans="16:26" x14ac:dyDescent="0.25">
      <c r="P2554" s="10" t="str">
        <f>IF('[1]All Data '!AZ2559="","",'[1]All Data '!AZ2559)</f>
        <v/>
      </c>
      <c r="Q2554" s="10" t="str">
        <f>IF('[1]All Data '!BB2559="","",'[1]All Data '!BB2559)</f>
        <v/>
      </c>
      <c r="R2554" s="10" t="str">
        <f>IF('[1]All Data '!BD2559="","",'[1]All Data '!BD2559)</f>
        <v/>
      </c>
      <c r="S2554" s="11" t="str">
        <f>IF(R2554="","",'[1]All Data '!BE2559)</f>
        <v/>
      </c>
      <c r="T2554" s="12" t="str">
        <f>IF(S2554="","",[1]Inputs_Outputs!$B$8*(1-'LOCH Calc COE Calc'!S2554))</f>
        <v/>
      </c>
      <c r="U2554" s="13" t="str">
        <f t="shared" si="196"/>
        <v/>
      </c>
      <c r="V2554" s="13" t="str">
        <f t="shared" si="197"/>
        <v/>
      </c>
      <c r="W2554" s="4" t="str">
        <f t="shared" si="198"/>
        <v/>
      </c>
      <c r="X2554" t="str">
        <f>IF(W2554="","",LOOKUP(_xlfn.CONCAT(P2554,", ",Q2554),'[1]T+S Costs'!$F$2:$F$3138,'[1]T+S Costs'!$N$2:$N$3138))</f>
        <v/>
      </c>
      <c r="Y2554" s="14" t="str">
        <f t="shared" si="199"/>
        <v/>
      </c>
      <c r="Z2554" s="4" t="str">
        <f t="shared" si="200"/>
        <v/>
      </c>
    </row>
    <row r="2555" spans="16:26" x14ac:dyDescent="0.25">
      <c r="P2555" s="10" t="str">
        <f>IF('[1]All Data '!AZ2560="","",'[1]All Data '!AZ2560)</f>
        <v/>
      </c>
      <c r="Q2555" s="10" t="str">
        <f>IF('[1]All Data '!BB2560="","",'[1]All Data '!BB2560)</f>
        <v/>
      </c>
      <c r="R2555" s="10" t="str">
        <f>IF('[1]All Data '!BD2560="","",'[1]All Data '!BD2560)</f>
        <v/>
      </c>
      <c r="S2555" s="11" t="str">
        <f>IF(R2555="","",'[1]All Data '!BE2560)</f>
        <v/>
      </c>
      <c r="T2555" s="12" t="str">
        <f>IF(S2555="","",[1]Inputs_Outputs!$B$8*(1-'LOCH Calc COE Calc'!S2555))</f>
        <v/>
      </c>
      <c r="U2555" s="13" t="str">
        <f t="shared" si="196"/>
        <v/>
      </c>
      <c r="V2555" s="13" t="str">
        <f t="shared" si="197"/>
        <v/>
      </c>
      <c r="W2555" s="4" t="str">
        <f t="shared" si="198"/>
        <v/>
      </c>
      <c r="X2555" t="str">
        <f>IF(W2555="","",LOOKUP(_xlfn.CONCAT(P2555,", ",Q2555),'[1]T+S Costs'!$F$2:$F$3138,'[1]T+S Costs'!$N$2:$N$3138))</f>
        <v/>
      </c>
      <c r="Y2555" s="14" t="str">
        <f t="shared" si="199"/>
        <v/>
      </c>
      <c r="Z2555" s="4" t="str">
        <f t="shared" si="200"/>
        <v/>
      </c>
    </row>
    <row r="2556" spans="16:26" x14ac:dyDescent="0.25">
      <c r="P2556" s="10" t="str">
        <f>IF('[1]All Data '!AZ2561="","",'[1]All Data '!AZ2561)</f>
        <v/>
      </c>
      <c r="Q2556" s="10" t="str">
        <f>IF('[1]All Data '!BB2561="","",'[1]All Data '!BB2561)</f>
        <v/>
      </c>
      <c r="R2556" s="10" t="str">
        <f>IF('[1]All Data '!BD2561="","",'[1]All Data '!BD2561)</f>
        <v/>
      </c>
      <c r="S2556" s="11" t="str">
        <f>IF(R2556="","",'[1]All Data '!BE2561)</f>
        <v/>
      </c>
      <c r="T2556" s="12" t="str">
        <f>IF(S2556="","",[1]Inputs_Outputs!$B$8*(1-'LOCH Calc COE Calc'!S2556))</f>
        <v/>
      </c>
      <c r="U2556" s="13" t="str">
        <f t="shared" si="196"/>
        <v/>
      </c>
      <c r="V2556" s="13" t="str">
        <f t="shared" si="197"/>
        <v/>
      </c>
      <c r="W2556" s="4" t="str">
        <f t="shared" si="198"/>
        <v/>
      </c>
      <c r="X2556" t="str">
        <f>IF(W2556="","",LOOKUP(_xlfn.CONCAT(P2556,", ",Q2556),'[1]T+S Costs'!$F$2:$F$3138,'[1]T+S Costs'!$N$2:$N$3138))</f>
        <v/>
      </c>
      <c r="Y2556" s="14" t="str">
        <f t="shared" si="199"/>
        <v/>
      </c>
      <c r="Z2556" s="4" t="str">
        <f t="shared" si="200"/>
        <v/>
      </c>
    </row>
    <row r="2557" spans="16:26" x14ac:dyDescent="0.25">
      <c r="P2557" s="10" t="str">
        <f>IF('[1]All Data '!AZ2562="","",'[1]All Data '!AZ2562)</f>
        <v/>
      </c>
      <c r="Q2557" s="10" t="str">
        <f>IF('[1]All Data '!BB2562="","",'[1]All Data '!BB2562)</f>
        <v/>
      </c>
      <c r="R2557" s="10" t="str">
        <f>IF('[1]All Data '!BD2562="","",'[1]All Data '!BD2562)</f>
        <v/>
      </c>
      <c r="S2557" s="11" t="str">
        <f>IF(R2557="","",'[1]All Data '!BE2562)</f>
        <v/>
      </c>
      <c r="T2557" s="12" t="str">
        <f>IF(S2557="","",[1]Inputs_Outputs!$B$8*(1-'LOCH Calc COE Calc'!S2557))</f>
        <v/>
      </c>
      <c r="U2557" s="13" t="str">
        <f t="shared" si="196"/>
        <v/>
      </c>
      <c r="V2557" s="13" t="str">
        <f t="shared" si="197"/>
        <v/>
      </c>
      <c r="W2557" s="4" t="str">
        <f t="shared" si="198"/>
        <v/>
      </c>
      <c r="X2557" t="str">
        <f>IF(W2557="","",LOOKUP(_xlfn.CONCAT(P2557,", ",Q2557),'[1]T+S Costs'!$F$2:$F$3138,'[1]T+S Costs'!$N$2:$N$3138))</f>
        <v/>
      </c>
      <c r="Y2557" s="14" t="str">
        <f t="shared" si="199"/>
        <v/>
      </c>
      <c r="Z2557" s="4" t="str">
        <f t="shared" si="200"/>
        <v/>
      </c>
    </row>
    <row r="2558" spans="16:26" x14ac:dyDescent="0.25">
      <c r="P2558" s="10" t="str">
        <f>IF('[1]All Data '!AZ2563="","",'[1]All Data '!AZ2563)</f>
        <v/>
      </c>
      <c r="Q2558" s="10" t="str">
        <f>IF('[1]All Data '!BB2563="","",'[1]All Data '!BB2563)</f>
        <v/>
      </c>
      <c r="R2558" s="10" t="str">
        <f>IF('[1]All Data '!BD2563="","",'[1]All Data '!BD2563)</f>
        <v/>
      </c>
      <c r="S2558" s="11" t="str">
        <f>IF(R2558="","",'[1]All Data '!BE2563)</f>
        <v/>
      </c>
      <c r="T2558" s="12" t="str">
        <f>IF(S2558="","",[1]Inputs_Outputs!$B$8*(1-'LOCH Calc COE Calc'!S2558))</f>
        <v/>
      </c>
      <c r="U2558" s="13" t="str">
        <f t="shared" si="196"/>
        <v/>
      </c>
      <c r="V2558" s="13" t="str">
        <f t="shared" si="197"/>
        <v/>
      </c>
      <c r="W2558" s="4" t="str">
        <f t="shared" si="198"/>
        <v/>
      </c>
      <c r="X2558" t="str">
        <f>IF(W2558="","",LOOKUP(_xlfn.CONCAT(P2558,", ",Q2558),'[1]T+S Costs'!$F$2:$F$3138,'[1]T+S Costs'!$N$2:$N$3138))</f>
        <v/>
      </c>
      <c r="Y2558" s="14" t="str">
        <f t="shared" si="199"/>
        <v/>
      </c>
      <c r="Z2558" s="4" t="str">
        <f t="shared" si="200"/>
        <v/>
      </c>
    </row>
    <row r="2559" spans="16:26" x14ac:dyDescent="0.25">
      <c r="P2559" s="10" t="str">
        <f>IF('[1]All Data '!AZ2564="","",'[1]All Data '!AZ2564)</f>
        <v/>
      </c>
      <c r="Q2559" s="10" t="str">
        <f>IF('[1]All Data '!BB2564="","",'[1]All Data '!BB2564)</f>
        <v/>
      </c>
      <c r="R2559" s="10" t="str">
        <f>IF('[1]All Data '!BD2564="","",'[1]All Data '!BD2564)</f>
        <v/>
      </c>
      <c r="S2559" s="11" t="str">
        <f>IF(R2559="","",'[1]All Data '!BE2564)</f>
        <v/>
      </c>
      <c r="T2559" s="12" t="str">
        <f>IF(S2559="","",[1]Inputs_Outputs!$B$8*(1-'LOCH Calc COE Calc'!S2559))</f>
        <v/>
      </c>
      <c r="U2559" s="13" t="str">
        <f t="shared" si="196"/>
        <v/>
      </c>
      <c r="V2559" s="13" t="str">
        <f t="shared" si="197"/>
        <v/>
      </c>
      <c r="W2559" s="4" t="str">
        <f t="shared" si="198"/>
        <v/>
      </c>
      <c r="X2559" t="str">
        <f>IF(W2559="","",LOOKUP(_xlfn.CONCAT(P2559,", ",Q2559),'[1]T+S Costs'!$F$2:$F$3138,'[1]T+S Costs'!$N$2:$N$3138))</f>
        <v/>
      </c>
      <c r="Y2559" s="14" t="str">
        <f t="shared" si="199"/>
        <v/>
      </c>
      <c r="Z2559" s="4" t="str">
        <f t="shared" si="200"/>
        <v/>
      </c>
    </row>
    <row r="2560" spans="16:26" x14ac:dyDescent="0.25">
      <c r="P2560" s="10" t="str">
        <f>IF('[1]All Data '!AZ2565="","",'[1]All Data '!AZ2565)</f>
        <v/>
      </c>
      <c r="Q2560" s="10" t="str">
        <f>IF('[1]All Data '!BB2565="","",'[1]All Data '!BB2565)</f>
        <v/>
      </c>
      <c r="R2560" s="10" t="str">
        <f>IF('[1]All Data '!BD2565="","",'[1]All Data '!BD2565)</f>
        <v/>
      </c>
      <c r="S2560" s="11" t="str">
        <f>IF(R2560="","",'[1]All Data '!BE2565)</f>
        <v/>
      </c>
      <c r="T2560" s="12" t="str">
        <f>IF(S2560="","",[1]Inputs_Outputs!$B$8*(1-'LOCH Calc COE Calc'!S2560))</f>
        <v/>
      </c>
      <c r="U2560" s="13" t="str">
        <f t="shared" si="196"/>
        <v/>
      </c>
      <c r="V2560" s="13" t="str">
        <f t="shared" si="197"/>
        <v/>
      </c>
      <c r="W2560" s="4" t="str">
        <f t="shared" si="198"/>
        <v/>
      </c>
      <c r="X2560" t="str">
        <f>IF(W2560="","",LOOKUP(_xlfn.CONCAT(P2560,", ",Q2560),'[1]T+S Costs'!$F$2:$F$3138,'[1]T+S Costs'!$N$2:$N$3138))</f>
        <v/>
      </c>
      <c r="Y2560" s="14" t="str">
        <f t="shared" si="199"/>
        <v/>
      </c>
      <c r="Z2560" s="4" t="str">
        <f t="shared" si="200"/>
        <v/>
      </c>
    </row>
    <row r="2561" spans="16:26" x14ac:dyDescent="0.25">
      <c r="P2561" s="10" t="str">
        <f>IF('[1]All Data '!AZ2566="","",'[1]All Data '!AZ2566)</f>
        <v/>
      </c>
      <c r="Q2561" s="10" t="str">
        <f>IF('[1]All Data '!BB2566="","",'[1]All Data '!BB2566)</f>
        <v/>
      </c>
      <c r="R2561" s="10" t="str">
        <f>IF('[1]All Data '!BD2566="","",'[1]All Data '!BD2566)</f>
        <v/>
      </c>
      <c r="S2561" s="11" t="str">
        <f>IF(R2561="","",'[1]All Data '!BE2566)</f>
        <v/>
      </c>
      <c r="T2561" s="12" t="str">
        <f>IF(S2561="","",[1]Inputs_Outputs!$B$8*(1-'LOCH Calc COE Calc'!S2561))</f>
        <v/>
      </c>
      <c r="U2561" s="13" t="str">
        <f t="shared" si="196"/>
        <v/>
      </c>
      <c r="V2561" s="13" t="str">
        <f t="shared" si="197"/>
        <v/>
      </c>
      <c r="W2561" s="4" t="str">
        <f t="shared" si="198"/>
        <v/>
      </c>
      <c r="X2561" t="str">
        <f>IF(W2561="","",LOOKUP(_xlfn.CONCAT(P2561,", ",Q2561),'[1]T+S Costs'!$F$2:$F$3138,'[1]T+S Costs'!$N$2:$N$3138))</f>
        <v/>
      </c>
      <c r="Y2561" s="14" t="str">
        <f t="shared" si="199"/>
        <v/>
      </c>
      <c r="Z2561" s="4" t="str">
        <f t="shared" si="200"/>
        <v/>
      </c>
    </row>
    <row r="2562" spans="16:26" x14ac:dyDescent="0.25">
      <c r="P2562" s="10" t="str">
        <f>IF('[1]All Data '!AZ2567="","",'[1]All Data '!AZ2567)</f>
        <v/>
      </c>
      <c r="Q2562" s="10" t="str">
        <f>IF('[1]All Data '!BB2567="","",'[1]All Data '!BB2567)</f>
        <v/>
      </c>
      <c r="R2562" s="10" t="str">
        <f>IF('[1]All Data '!BD2567="","",'[1]All Data '!BD2567)</f>
        <v/>
      </c>
      <c r="S2562" s="11" t="str">
        <f>IF(R2562="","",'[1]All Data '!BE2567)</f>
        <v/>
      </c>
      <c r="T2562" s="12" t="str">
        <f>IF(S2562="","",[1]Inputs_Outputs!$B$8*(1-'LOCH Calc COE Calc'!S2562))</f>
        <v/>
      </c>
      <c r="U2562" s="13" t="str">
        <f t="shared" si="196"/>
        <v/>
      </c>
      <c r="V2562" s="13" t="str">
        <f t="shared" si="197"/>
        <v/>
      </c>
      <c r="W2562" s="4" t="str">
        <f t="shared" si="198"/>
        <v/>
      </c>
      <c r="X2562" t="str">
        <f>IF(W2562="","",LOOKUP(_xlfn.CONCAT(P2562,", ",Q2562),'[1]T+S Costs'!$F$2:$F$3138,'[1]T+S Costs'!$N$2:$N$3138))</f>
        <v/>
      </c>
      <c r="Y2562" s="14" t="str">
        <f t="shared" si="199"/>
        <v/>
      </c>
      <c r="Z2562" s="4" t="str">
        <f t="shared" si="200"/>
        <v/>
      </c>
    </row>
    <row r="2563" spans="16:26" x14ac:dyDescent="0.25">
      <c r="P2563" s="10" t="str">
        <f>IF('[1]All Data '!AZ2568="","",'[1]All Data '!AZ2568)</f>
        <v/>
      </c>
      <c r="Q2563" s="10" t="str">
        <f>IF('[1]All Data '!BB2568="","",'[1]All Data '!BB2568)</f>
        <v/>
      </c>
      <c r="R2563" s="10" t="str">
        <f>IF('[1]All Data '!BD2568="","",'[1]All Data '!BD2568)</f>
        <v/>
      </c>
      <c r="S2563" s="11" t="str">
        <f>IF(R2563="","",'[1]All Data '!BE2568)</f>
        <v/>
      </c>
      <c r="T2563" s="12" t="str">
        <f>IF(S2563="","",[1]Inputs_Outputs!$B$8*(1-'LOCH Calc COE Calc'!S2563))</f>
        <v/>
      </c>
      <c r="U2563" s="13" t="str">
        <f t="shared" ref="U2563:U2626" si="201">IF(S2563="","",R2563*T2563*365*$B$19/100)</f>
        <v/>
      </c>
      <c r="V2563" s="13" t="str">
        <f t="shared" ref="V2563:V2626" si="202">IF(S2563="","",(U2563*$B$19)/(($B$28)*$B$19))</f>
        <v/>
      </c>
      <c r="W2563" s="4" t="str">
        <f t="shared" ref="W2563:W2626" si="203">IF(S2563="","",V2563+$C$49+$C$50+$C$51)</f>
        <v/>
      </c>
      <c r="X2563" t="str">
        <f>IF(W2563="","",LOOKUP(_xlfn.CONCAT(P2563,", ",Q2563),'[1]T+S Costs'!$F$2:$F$3138,'[1]T+S Costs'!$N$2:$N$3138))</f>
        <v/>
      </c>
      <c r="Y2563" s="14" t="str">
        <f t="shared" ref="Y2563:Y2626" si="204">IF(X2563="","",((X2563*$B$60/$B$59)*$C$44)/$C$28)</f>
        <v/>
      </c>
      <c r="Z2563" s="4" t="str">
        <f t="shared" ref="Z2563:Z2626" si="205">IF(Y2563="","",W2563+Y2563)</f>
        <v/>
      </c>
    </row>
    <row r="2564" spans="16:26" x14ac:dyDescent="0.25">
      <c r="P2564" s="10" t="str">
        <f>IF('[1]All Data '!AZ2569="","",'[1]All Data '!AZ2569)</f>
        <v/>
      </c>
      <c r="Q2564" s="10" t="str">
        <f>IF('[1]All Data '!BB2569="","",'[1]All Data '!BB2569)</f>
        <v/>
      </c>
      <c r="R2564" s="10" t="str">
        <f>IF('[1]All Data '!BD2569="","",'[1]All Data '!BD2569)</f>
        <v/>
      </c>
      <c r="S2564" s="11" t="str">
        <f>IF(R2564="","",'[1]All Data '!BE2569)</f>
        <v/>
      </c>
      <c r="T2564" s="12" t="str">
        <f>IF(S2564="","",[1]Inputs_Outputs!$B$8*(1-'LOCH Calc COE Calc'!S2564))</f>
        <v/>
      </c>
      <c r="U2564" s="13" t="str">
        <f t="shared" si="201"/>
        <v/>
      </c>
      <c r="V2564" s="13" t="str">
        <f t="shared" si="202"/>
        <v/>
      </c>
      <c r="W2564" s="4" t="str">
        <f t="shared" si="203"/>
        <v/>
      </c>
      <c r="X2564" t="str">
        <f>IF(W2564="","",LOOKUP(_xlfn.CONCAT(P2564,", ",Q2564),'[1]T+S Costs'!$F$2:$F$3138,'[1]T+S Costs'!$N$2:$N$3138))</f>
        <v/>
      </c>
      <c r="Y2564" s="14" t="str">
        <f t="shared" si="204"/>
        <v/>
      </c>
      <c r="Z2564" s="4" t="str">
        <f t="shared" si="205"/>
        <v/>
      </c>
    </row>
    <row r="2565" spans="16:26" x14ac:dyDescent="0.25">
      <c r="P2565" s="10" t="str">
        <f>IF('[1]All Data '!AZ2570="","",'[1]All Data '!AZ2570)</f>
        <v/>
      </c>
      <c r="Q2565" s="10" t="str">
        <f>IF('[1]All Data '!BB2570="","",'[1]All Data '!BB2570)</f>
        <v/>
      </c>
      <c r="R2565" s="10" t="str">
        <f>IF('[1]All Data '!BD2570="","",'[1]All Data '!BD2570)</f>
        <v/>
      </c>
      <c r="S2565" s="11" t="str">
        <f>IF(R2565="","",'[1]All Data '!BE2570)</f>
        <v/>
      </c>
      <c r="T2565" s="12" t="str">
        <f>IF(S2565="","",[1]Inputs_Outputs!$B$8*(1-'LOCH Calc COE Calc'!S2565))</f>
        <v/>
      </c>
      <c r="U2565" s="13" t="str">
        <f t="shared" si="201"/>
        <v/>
      </c>
      <c r="V2565" s="13" t="str">
        <f t="shared" si="202"/>
        <v/>
      </c>
      <c r="W2565" s="4" t="str">
        <f t="shared" si="203"/>
        <v/>
      </c>
      <c r="X2565" t="str">
        <f>IF(W2565="","",LOOKUP(_xlfn.CONCAT(P2565,", ",Q2565),'[1]T+S Costs'!$F$2:$F$3138,'[1]T+S Costs'!$N$2:$N$3138))</f>
        <v/>
      </c>
      <c r="Y2565" s="14" t="str">
        <f t="shared" si="204"/>
        <v/>
      </c>
      <c r="Z2565" s="4" t="str">
        <f t="shared" si="205"/>
        <v/>
      </c>
    </row>
    <row r="2566" spans="16:26" x14ac:dyDescent="0.25">
      <c r="P2566" s="10" t="str">
        <f>IF('[1]All Data '!AZ2571="","",'[1]All Data '!AZ2571)</f>
        <v/>
      </c>
      <c r="Q2566" s="10" t="str">
        <f>IF('[1]All Data '!BB2571="","",'[1]All Data '!BB2571)</f>
        <v/>
      </c>
      <c r="R2566" s="10" t="str">
        <f>IF('[1]All Data '!BD2571="","",'[1]All Data '!BD2571)</f>
        <v/>
      </c>
      <c r="S2566" s="11" t="str">
        <f>IF(R2566="","",'[1]All Data '!BE2571)</f>
        <v/>
      </c>
      <c r="T2566" s="12" t="str">
        <f>IF(S2566="","",[1]Inputs_Outputs!$B$8*(1-'LOCH Calc COE Calc'!S2566))</f>
        <v/>
      </c>
      <c r="U2566" s="13" t="str">
        <f t="shared" si="201"/>
        <v/>
      </c>
      <c r="V2566" s="13" t="str">
        <f t="shared" si="202"/>
        <v/>
      </c>
      <c r="W2566" s="4" t="str">
        <f t="shared" si="203"/>
        <v/>
      </c>
      <c r="X2566" t="str">
        <f>IF(W2566="","",LOOKUP(_xlfn.CONCAT(P2566,", ",Q2566),'[1]T+S Costs'!$F$2:$F$3138,'[1]T+S Costs'!$N$2:$N$3138))</f>
        <v/>
      </c>
      <c r="Y2566" s="14" t="str">
        <f t="shared" si="204"/>
        <v/>
      </c>
      <c r="Z2566" s="4" t="str">
        <f t="shared" si="205"/>
        <v/>
      </c>
    </row>
    <row r="2567" spans="16:26" x14ac:dyDescent="0.25">
      <c r="P2567" s="10" t="str">
        <f>IF('[1]All Data '!AZ2572="","",'[1]All Data '!AZ2572)</f>
        <v/>
      </c>
      <c r="Q2567" s="10" t="str">
        <f>IF('[1]All Data '!BB2572="","",'[1]All Data '!BB2572)</f>
        <v/>
      </c>
      <c r="R2567" s="10" t="str">
        <f>IF('[1]All Data '!BD2572="","",'[1]All Data '!BD2572)</f>
        <v/>
      </c>
      <c r="S2567" s="11" t="str">
        <f>IF(R2567="","",'[1]All Data '!BE2572)</f>
        <v/>
      </c>
      <c r="T2567" s="12" t="str">
        <f>IF(S2567="","",[1]Inputs_Outputs!$B$8*(1-'LOCH Calc COE Calc'!S2567))</f>
        <v/>
      </c>
      <c r="U2567" s="13" t="str">
        <f t="shared" si="201"/>
        <v/>
      </c>
      <c r="V2567" s="13" t="str">
        <f t="shared" si="202"/>
        <v/>
      </c>
      <c r="W2567" s="4" t="str">
        <f t="shared" si="203"/>
        <v/>
      </c>
      <c r="X2567" t="str">
        <f>IF(W2567="","",LOOKUP(_xlfn.CONCAT(P2567,", ",Q2567),'[1]T+S Costs'!$F$2:$F$3138,'[1]T+S Costs'!$N$2:$N$3138))</f>
        <v/>
      </c>
      <c r="Y2567" s="14" t="str">
        <f t="shared" si="204"/>
        <v/>
      </c>
      <c r="Z2567" s="4" t="str">
        <f t="shared" si="205"/>
        <v/>
      </c>
    </row>
    <row r="2568" spans="16:26" x14ac:dyDescent="0.25">
      <c r="P2568" s="10" t="str">
        <f>IF('[1]All Data '!AZ2573="","",'[1]All Data '!AZ2573)</f>
        <v/>
      </c>
      <c r="Q2568" s="10" t="str">
        <f>IF('[1]All Data '!BB2573="","",'[1]All Data '!BB2573)</f>
        <v/>
      </c>
      <c r="R2568" s="10" t="str">
        <f>IF('[1]All Data '!BD2573="","",'[1]All Data '!BD2573)</f>
        <v/>
      </c>
      <c r="S2568" s="11" t="str">
        <f>IF(R2568="","",'[1]All Data '!BE2573)</f>
        <v/>
      </c>
      <c r="T2568" s="12" t="str">
        <f>IF(S2568="","",[1]Inputs_Outputs!$B$8*(1-'LOCH Calc COE Calc'!S2568))</f>
        <v/>
      </c>
      <c r="U2568" s="13" t="str">
        <f t="shared" si="201"/>
        <v/>
      </c>
      <c r="V2568" s="13" t="str">
        <f t="shared" si="202"/>
        <v/>
      </c>
      <c r="W2568" s="4" t="str">
        <f t="shared" si="203"/>
        <v/>
      </c>
      <c r="X2568" t="str">
        <f>IF(W2568="","",LOOKUP(_xlfn.CONCAT(P2568,", ",Q2568),'[1]T+S Costs'!$F$2:$F$3138,'[1]T+S Costs'!$N$2:$N$3138))</f>
        <v/>
      </c>
      <c r="Y2568" s="14" t="str">
        <f t="shared" si="204"/>
        <v/>
      </c>
      <c r="Z2568" s="4" t="str">
        <f t="shared" si="205"/>
        <v/>
      </c>
    </row>
    <row r="2569" spans="16:26" x14ac:dyDescent="0.25">
      <c r="P2569" s="10" t="str">
        <f>IF('[1]All Data '!AZ2574="","",'[1]All Data '!AZ2574)</f>
        <v/>
      </c>
      <c r="Q2569" s="10" t="str">
        <f>IF('[1]All Data '!BB2574="","",'[1]All Data '!BB2574)</f>
        <v/>
      </c>
      <c r="R2569" s="10" t="str">
        <f>IF('[1]All Data '!BD2574="","",'[1]All Data '!BD2574)</f>
        <v/>
      </c>
      <c r="S2569" s="11" t="str">
        <f>IF(R2569="","",'[1]All Data '!BE2574)</f>
        <v/>
      </c>
      <c r="T2569" s="12" t="str">
        <f>IF(S2569="","",[1]Inputs_Outputs!$B$8*(1-'LOCH Calc COE Calc'!S2569))</f>
        <v/>
      </c>
      <c r="U2569" s="13" t="str">
        <f t="shared" si="201"/>
        <v/>
      </c>
      <c r="V2569" s="13" t="str">
        <f t="shared" si="202"/>
        <v/>
      </c>
      <c r="W2569" s="4" t="str">
        <f t="shared" si="203"/>
        <v/>
      </c>
      <c r="X2569" t="str">
        <f>IF(W2569="","",LOOKUP(_xlfn.CONCAT(P2569,", ",Q2569),'[1]T+S Costs'!$F$2:$F$3138,'[1]T+S Costs'!$N$2:$N$3138))</f>
        <v/>
      </c>
      <c r="Y2569" s="14" t="str">
        <f t="shared" si="204"/>
        <v/>
      </c>
      <c r="Z2569" s="4" t="str">
        <f t="shared" si="205"/>
        <v/>
      </c>
    </row>
    <row r="2570" spans="16:26" x14ac:dyDescent="0.25">
      <c r="P2570" s="10" t="str">
        <f>IF('[1]All Data '!AZ2575="","",'[1]All Data '!AZ2575)</f>
        <v/>
      </c>
      <c r="Q2570" s="10" t="str">
        <f>IF('[1]All Data '!BB2575="","",'[1]All Data '!BB2575)</f>
        <v/>
      </c>
      <c r="R2570" s="10" t="str">
        <f>IF('[1]All Data '!BD2575="","",'[1]All Data '!BD2575)</f>
        <v/>
      </c>
      <c r="S2570" s="11" t="str">
        <f>IF(R2570="","",'[1]All Data '!BE2575)</f>
        <v/>
      </c>
      <c r="T2570" s="12" t="str">
        <f>IF(S2570="","",[1]Inputs_Outputs!$B$8*(1-'LOCH Calc COE Calc'!S2570))</f>
        <v/>
      </c>
      <c r="U2570" s="13" t="str">
        <f t="shared" si="201"/>
        <v/>
      </c>
      <c r="V2570" s="13" t="str">
        <f t="shared" si="202"/>
        <v/>
      </c>
      <c r="W2570" s="4" t="str">
        <f t="shared" si="203"/>
        <v/>
      </c>
      <c r="X2570" t="str">
        <f>IF(W2570="","",LOOKUP(_xlfn.CONCAT(P2570,", ",Q2570),'[1]T+S Costs'!$F$2:$F$3138,'[1]T+S Costs'!$N$2:$N$3138))</f>
        <v/>
      </c>
      <c r="Y2570" s="14" t="str">
        <f t="shared" si="204"/>
        <v/>
      </c>
      <c r="Z2570" s="4" t="str">
        <f t="shared" si="205"/>
        <v/>
      </c>
    </row>
    <row r="2571" spans="16:26" x14ac:dyDescent="0.25">
      <c r="P2571" s="10" t="str">
        <f>IF('[1]All Data '!AZ2576="","",'[1]All Data '!AZ2576)</f>
        <v/>
      </c>
      <c r="Q2571" s="10" t="str">
        <f>IF('[1]All Data '!BB2576="","",'[1]All Data '!BB2576)</f>
        <v/>
      </c>
      <c r="R2571" s="10" t="str">
        <f>IF('[1]All Data '!BD2576="","",'[1]All Data '!BD2576)</f>
        <v/>
      </c>
      <c r="S2571" s="11" t="str">
        <f>IF(R2571="","",'[1]All Data '!BE2576)</f>
        <v/>
      </c>
      <c r="T2571" s="12" t="str">
        <f>IF(S2571="","",[1]Inputs_Outputs!$B$8*(1-'LOCH Calc COE Calc'!S2571))</f>
        <v/>
      </c>
      <c r="U2571" s="13" t="str">
        <f t="shared" si="201"/>
        <v/>
      </c>
      <c r="V2571" s="13" t="str">
        <f t="shared" si="202"/>
        <v/>
      </c>
      <c r="W2571" s="4" t="str">
        <f t="shared" si="203"/>
        <v/>
      </c>
      <c r="X2571" t="str">
        <f>IF(W2571="","",LOOKUP(_xlfn.CONCAT(P2571,", ",Q2571),'[1]T+S Costs'!$F$2:$F$3138,'[1]T+S Costs'!$N$2:$N$3138))</f>
        <v/>
      </c>
      <c r="Y2571" s="14" t="str">
        <f t="shared" si="204"/>
        <v/>
      </c>
      <c r="Z2571" s="4" t="str">
        <f t="shared" si="205"/>
        <v/>
      </c>
    </row>
    <row r="2572" spans="16:26" x14ac:dyDescent="0.25">
      <c r="P2572" s="10" t="str">
        <f>IF('[1]All Data '!AZ2577="","",'[1]All Data '!AZ2577)</f>
        <v/>
      </c>
      <c r="Q2572" s="10" t="str">
        <f>IF('[1]All Data '!BB2577="","",'[1]All Data '!BB2577)</f>
        <v/>
      </c>
      <c r="R2572" s="10" t="str">
        <f>IF('[1]All Data '!BD2577="","",'[1]All Data '!BD2577)</f>
        <v/>
      </c>
      <c r="S2572" s="11" t="str">
        <f>IF(R2572="","",'[1]All Data '!BE2577)</f>
        <v/>
      </c>
      <c r="T2572" s="12" t="str">
        <f>IF(S2572="","",[1]Inputs_Outputs!$B$8*(1-'LOCH Calc COE Calc'!S2572))</f>
        <v/>
      </c>
      <c r="U2572" s="13" t="str">
        <f t="shared" si="201"/>
        <v/>
      </c>
      <c r="V2572" s="13" t="str">
        <f t="shared" si="202"/>
        <v/>
      </c>
      <c r="W2572" s="4" t="str">
        <f t="shared" si="203"/>
        <v/>
      </c>
      <c r="X2572" t="str">
        <f>IF(W2572="","",LOOKUP(_xlfn.CONCAT(P2572,", ",Q2572),'[1]T+S Costs'!$F$2:$F$3138,'[1]T+S Costs'!$N$2:$N$3138))</f>
        <v/>
      </c>
      <c r="Y2572" s="14" t="str">
        <f t="shared" si="204"/>
        <v/>
      </c>
      <c r="Z2572" s="4" t="str">
        <f t="shared" si="205"/>
        <v/>
      </c>
    </row>
    <row r="2573" spans="16:26" x14ac:dyDescent="0.25">
      <c r="P2573" s="10" t="str">
        <f>IF('[1]All Data '!AZ2578="","",'[1]All Data '!AZ2578)</f>
        <v/>
      </c>
      <c r="Q2573" s="10" t="str">
        <f>IF('[1]All Data '!BB2578="","",'[1]All Data '!BB2578)</f>
        <v/>
      </c>
      <c r="R2573" s="10" t="str">
        <f>IF('[1]All Data '!BD2578="","",'[1]All Data '!BD2578)</f>
        <v/>
      </c>
      <c r="S2573" s="11" t="str">
        <f>IF(R2573="","",'[1]All Data '!BE2578)</f>
        <v/>
      </c>
      <c r="T2573" s="12" t="str">
        <f>IF(S2573="","",[1]Inputs_Outputs!$B$8*(1-'LOCH Calc COE Calc'!S2573))</f>
        <v/>
      </c>
      <c r="U2573" s="13" t="str">
        <f t="shared" si="201"/>
        <v/>
      </c>
      <c r="V2573" s="13" t="str">
        <f t="shared" si="202"/>
        <v/>
      </c>
      <c r="W2573" s="4" t="str">
        <f t="shared" si="203"/>
        <v/>
      </c>
      <c r="X2573" t="str">
        <f>IF(W2573="","",LOOKUP(_xlfn.CONCAT(P2573,", ",Q2573),'[1]T+S Costs'!$F$2:$F$3138,'[1]T+S Costs'!$N$2:$N$3138))</f>
        <v/>
      </c>
      <c r="Y2573" s="14" t="str">
        <f t="shared" si="204"/>
        <v/>
      </c>
      <c r="Z2573" s="4" t="str">
        <f t="shared" si="205"/>
        <v/>
      </c>
    </row>
    <row r="2574" spans="16:26" x14ac:dyDescent="0.25">
      <c r="P2574" s="10" t="str">
        <f>IF('[1]All Data '!AZ2579="","",'[1]All Data '!AZ2579)</f>
        <v/>
      </c>
      <c r="Q2574" s="10" t="str">
        <f>IF('[1]All Data '!BB2579="","",'[1]All Data '!BB2579)</f>
        <v/>
      </c>
      <c r="R2574" s="10" t="str">
        <f>IF('[1]All Data '!BD2579="","",'[1]All Data '!BD2579)</f>
        <v/>
      </c>
      <c r="S2574" s="11" t="str">
        <f>IF(R2574="","",'[1]All Data '!BE2579)</f>
        <v/>
      </c>
      <c r="T2574" s="12" t="str">
        <f>IF(S2574="","",[1]Inputs_Outputs!$B$8*(1-'LOCH Calc COE Calc'!S2574))</f>
        <v/>
      </c>
      <c r="U2574" s="13" t="str">
        <f t="shared" si="201"/>
        <v/>
      </c>
      <c r="V2574" s="13" t="str">
        <f t="shared" si="202"/>
        <v/>
      </c>
      <c r="W2574" s="4" t="str">
        <f t="shared" si="203"/>
        <v/>
      </c>
      <c r="X2574" t="str">
        <f>IF(W2574="","",LOOKUP(_xlfn.CONCAT(P2574,", ",Q2574),'[1]T+S Costs'!$F$2:$F$3138,'[1]T+S Costs'!$N$2:$N$3138))</f>
        <v/>
      </c>
      <c r="Y2574" s="14" t="str">
        <f t="shared" si="204"/>
        <v/>
      </c>
      <c r="Z2574" s="4" t="str">
        <f t="shared" si="205"/>
        <v/>
      </c>
    </row>
    <row r="2575" spans="16:26" x14ac:dyDescent="0.25">
      <c r="P2575" s="10" t="str">
        <f>IF('[1]All Data '!AZ2580="","",'[1]All Data '!AZ2580)</f>
        <v/>
      </c>
      <c r="Q2575" s="10" t="str">
        <f>IF('[1]All Data '!BB2580="","",'[1]All Data '!BB2580)</f>
        <v/>
      </c>
      <c r="R2575" s="10" t="str">
        <f>IF('[1]All Data '!BD2580="","",'[1]All Data '!BD2580)</f>
        <v/>
      </c>
      <c r="S2575" s="11" t="str">
        <f>IF(R2575="","",'[1]All Data '!BE2580)</f>
        <v/>
      </c>
      <c r="T2575" s="12" t="str">
        <f>IF(S2575="","",[1]Inputs_Outputs!$B$8*(1-'LOCH Calc COE Calc'!S2575))</f>
        <v/>
      </c>
      <c r="U2575" s="13" t="str">
        <f t="shared" si="201"/>
        <v/>
      </c>
      <c r="V2575" s="13" t="str">
        <f t="shared" si="202"/>
        <v/>
      </c>
      <c r="W2575" s="4" t="str">
        <f t="shared" si="203"/>
        <v/>
      </c>
      <c r="X2575" t="str">
        <f>IF(W2575="","",LOOKUP(_xlfn.CONCAT(P2575,", ",Q2575),'[1]T+S Costs'!$F$2:$F$3138,'[1]T+S Costs'!$N$2:$N$3138))</f>
        <v/>
      </c>
      <c r="Y2575" s="14" t="str">
        <f t="shared" si="204"/>
        <v/>
      </c>
      <c r="Z2575" s="4" t="str">
        <f t="shared" si="205"/>
        <v/>
      </c>
    </row>
    <row r="2576" spans="16:26" x14ac:dyDescent="0.25">
      <c r="P2576" s="10" t="str">
        <f>IF('[1]All Data '!AZ2581="","",'[1]All Data '!AZ2581)</f>
        <v/>
      </c>
      <c r="Q2576" s="10" t="str">
        <f>IF('[1]All Data '!BB2581="","",'[1]All Data '!BB2581)</f>
        <v/>
      </c>
      <c r="R2576" s="10" t="str">
        <f>IF('[1]All Data '!BD2581="","",'[1]All Data '!BD2581)</f>
        <v/>
      </c>
      <c r="S2576" s="11" t="str">
        <f>IF(R2576="","",'[1]All Data '!BE2581)</f>
        <v/>
      </c>
      <c r="T2576" s="12" t="str">
        <f>IF(S2576="","",[1]Inputs_Outputs!$B$8*(1-'LOCH Calc COE Calc'!S2576))</f>
        <v/>
      </c>
      <c r="U2576" s="13" t="str">
        <f t="shared" si="201"/>
        <v/>
      </c>
      <c r="V2576" s="13" t="str">
        <f t="shared" si="202"/>
        <v/>
      </c>
      <c r="W2576" s="4" t="str">
        <f t="shared" si="203"/>
        <v/>
      </c>
      <c r="X2576" t="str">
        <f>IF(W2576="","",LOOKUP(_xlfn.CONCAT(P2576,", ",Q2576),'[1]T+S Costs'!$F$2:$F$3138,'[1]T+S Costs'!$N$2:$N$3138))</f>
        <v/>
      </c>
      <c r="Y2576" s="14" t="str">
        <f t="shared" si="204"/>
        <v/>
      </c>
      <c r="Z2576" s="4" t="str">
        <f t="shared" si="205"/>
        <v/>
      </c>
    </row>
    <row r="2577" spans="16:26" x14ac:dyDescent="0.25">
      <c r="P2577" s="10" t="str">
        <f>IF('[1]All Data '!AZ2582="","",'[1]All Data '!AZ2582)</f>
        <v/>
      </c>
      <c r="Q2577" s="10" t="str">
        <f>IF('[1]All Data '!BB2582="","",'[1]All Data '!BB2582)</f>
        <v/>
      </c>
      <c r="R2577" s="10" t="str">
        <f>IF('[1]All Data '!BD2582="","",'[1]All Data '!BD2582)</f>
        <v/>
      </c>
      <c r="S2577" s="11" t="str">
        <f>IF(R2577="","",'[1]All Data '!BE2582)</f>
        <v/>
      </c>
      <c r="T2577" s="12" t="str">
        <f>IF(S2577="","",[1]Inputs_Outputs!$B$8*(1-'LOCH Calc COE Calc'!S2577))</f>
        <v/>
      </c>
      <c r="U2577" s="13" t="str">
        <f t="shared" si="201"/>
        <v/>
      </c>
      <c r="V2577" s="13" t="str">
        <f t="shared" si="202"/>
        <v/>
      </c>
      <c r="W2577" s="4" t="str">
        <f t="shared" si="203"/>
        <v/>
      </c>
      <c r="X2577" t="str">
        <f>IF(W2577="","",LOOKUP(_xlfn.CONCAT(P2577,", ",Q2577),'[1]T+S Costs'!$F$2:$F$3138,'[1]T+S Costs'!$N$2:$N$3138))</f>
        <v/>
      </c>
      <c r="Y2577" s="14" t="str">
        <f t="shared" si="204"/>
        <v/>
      </c>
      <c r="Z2577" s="4" t="str">
        <f t="shared" si="205"/>
        <v/>
      </c>
    </row>
    <row r="2578" spans="16:26" x14ac:dyDescent="0.25">
      <c r="P2578" s="10" t="str">
        <f>IF('[1]All Data '!AZ2583="","",'[1]All Data '!AZ2583)</f>
        <v/>
      </c>
      <c r="Q2578" s="10" t="str">
        <f>IF('[1]All Data '!BB2583="","",'[1]All Data '!BB2583)</f>
        <v/>
      </c>
      <c r="R2578" s="10" t="str">
        <f>IF('[1]All Data '!BD2583="","",'[1]All Data '!BD2583)</f>
        <v/>
      </c>
      <c r="S2578" s="11" t="str">
        <f>IF(R2578="","",'[1]All Data '!BE2583)</f>
        <v/>
      </c>
      <c r="T2578" s="12" t="str">
        <f>IF(S2578="","",[1]Inputs_Outputs!$B$8*(1-'LOCH Calc COE Calc'!S2578))</f>
        <v/>
      </c>
      <c r="U2578" s="13" t="str">
        <f t="shared" si="201"/>
        <v/>
      </c>
      <c r="V2578" s="13" t="str">
        <f t="shared" si="202"/>
        <v/>
      </c>
      <c r="W2578" s="4" t="str">
        <f t="shared" si="203"/>
        <v/>
      </c>
      <c r="X2578" t="str">
        <f>IF(W2578="","",LOOKUP(_xlfn.CONCAT(P2578,", ",Q2578),'[1]T+S Costs'!$F$2:$F$3138,'[1]T+S Costs'!$N$2:$N$3138))</f>
        <v/>
      </c>
      <c r="Y2578" s="14" t="str">
        <f t="shared" si="204"/>
        <v/>
      </c>
      <c r="Z2578" s="4" t="str">
        <f t="shared" si="205"/>
        <v/>
      </c>
    </row>
    <row r="2579" spans="16:26" x14ac:dyDescent="0.25">
      <c r="P2579" s="10" t="str">
        <f>IF('[1]All Data '!AZ2584="","",'[1]All Data '!AZ2584)</f>
        <v/>
      </c>
      <c r="Q2579" s="10" t="str">
        <f>IF('[1]All Data '!BB2584="","",'[1]All Data '!BB2584)</f>
        <v/>
      </c>
      <c r="R2579" s="10" t="str">
        <f>IF('[1]All Data '!BD2584="","",'[1]All Data '!BD2584)</f>
        <v/>
      </c>
      <c r="S2579" s="11" t="str">
        <f>IF(R2579="","",'[1]All Data '!BE2584)</f>
        <v/>
      </c>
      <c r="T2579" s="12" t="str">
        <f>IF(S2579="","",[1]Inputs_Outputs!$B$8*(1-'LOCH Calc COE Calc'!S2579))</f>
        <v/>
      </c>
      <c r="U2579" s="13" t="str">
        <f t="shared" si="201"/>
        <v/>
      </c>
      <c r="V2579" s="13" t="str">
        <f t="shared" si="202"/>
        <v/>
      </c>
      <c r="W2579" s="4" t="str">
        <f t="shared" si="203"/>
        <v/>
      </c>
      <c r="X2579" t="str">
        <f>IF(W2579="","",LOOKUP(_xlfn.CONCAT(P2579,", ",Q2579),'[1]T+S Costs'!$F$2:$F$3138,'[1]T+S Costs'!$N$2:$N$3138))</f>
        <v/>
      </c>
      <c r="Y2579" s="14" t="str">
        <f t="shared" si="204"/>
        <v/>
      </c>
      <c r="Z2579" s="4" t="str">
        <f t="shared" si="205"/>
        <v/>
      </c>
    </row>
    <row r="2580" spans="16:26" x14ac:dyDescent="0.25">
      <c r="P2580" s="10" t="str">
        <f>IF('[1]All Data '!AZ2585="","",'[1]All Data '!AZ2585)</f>
        <v/>
      </c>
      <c r="Q2580" s="10" t="str">
        <f>IF('[1]All Data '!BB2585="","",'[1]All Data '!BB2585)</f>
        <v/>
      </c>
      <c r="R2580" s="10" t="str">
        <f>IF('[1]All Data '!BD2585="","",'[1]All Data '!BD2585)</f>
        <v/>
      </c>
      <c r="S2580" s="11" t="str">
        <f>IF(R2580="","",'[1]All Data '!BE2585)</f>
        <v/>
      </c>
      <c r="T2580" s="12" t="str">
        <f>IF(S2580="","",[1]Inputs_Outputs!$B$8*(1-'LOCH Calc COE Calc'!S2580))</f>
        <v/>
      </c>
      <c r="U2580" s="13" t="str">
        <f t="shared" si="201"/>
        <v/>
      </c>
      <c r="V2580" s="13" t="str">
        <f t="shared" si="202"/>
        <v/>
      </c>
      <c r="W2580" s="4" t="str">
        <f t="shared" si="203"/>
        <v/>
      </c>
      <c r="X2580" t="str">
        <f>IF(W2580="","",LOOKUP(_xlfn.CONCAT(P2580,", ",Q2580),'[1]T+S Costs'!$F$2:$F$3138,'[1]T+S Costs'!$N$2:$N$3138))</f>
        <v/>
      </c>
      <c r="Y2580" s="14" t="str">
        <f t="shared" si="204"/>
        <v/>
      </c>
      <c r="Z2580" s="4" t="str">
        <f t="shared" si="205"/>
        <v/>
      </c>
    </row>
    <row r="2581" spans="16:26" x14ac:dyDescent="0.25">
      <c r="P2581" s="10" t="str">
        <f>IF('[1]All Data '!AZ2586="","",'[1]All Data '!AZ2586)</f>
        <v/>
      </c>
      <c r="Q2581" s="10" t="str">
        <f>IF('[1]All Data '!BB2586="","",'[1]All Data '!BB2586)</f>
        <v/>
      </c>
      <c r="R2581" s="10" t="str">
        <f>IF('[1]All Data '!BD2586="","",'[1]All Data '!BD2586)</f>
        <v/>
      </c>
      <c r="S2581" s="11" t="str">
        <f>IF(R2581="","",'[1]All Data '!BE2586)</f>
        <v/>
      </c>
      <c r="T2581" s="12" t="str">
        <f>IF(S2581="","",[1]Inputs_Outputs!$B$8*(1-'LOCH Calc COE Calc'!S2581))</f>
        <v/>
      </c>
      <c r="U2581" s="13" t="str">
        <f t="shared" si="201"/>
        <v/>
      </c>
      <c r="V2581" s="13" t="str">
        <f t="shared" si="202"/>
        <v/>
      </c>
      <c r="W2581" s="4" t="str">
        <f t="shared" si="203"/>
        <v/>
      </c>
      <c r="X2581" t="str">
        <f>IF(W2581="","",LOOKUP(_xlfn.CONCAT(P2581,", ",Q2581),'[1]T+S Costs'!$F$2:$F$3138,'[1]T+S Costs'!$N$2:$N$3138))</f>
        <v/>
      </c>
      <c r="Y2581" s="14" t="str">
        <f t="shared" si="204"/>
        <v/>
      </c>
      <c r="Z2581" s="4" t="str">
        <f t="shared" si="205"/>
        <v/>
      </c>
    </row>
    <row r="2582" spans="16:26" x14ac:dyDescent="0.25">
      <c r="P2582" s="10" t="str">
        <f>IF('[1]All Data '!AZ2587="","",'[1]All Data '!AZ2587)</f>
        <v/>
      </c>
      <c r="Q2582" s="10" t="str">
        <f>IF('[1]All Data '!BB2587="","",'[1]All Data '!BB2587)</f>
        <v/>
      </c>
      <c r="R2582" s="10" t="str">
        <f>IF('[1]All Data '!BD2587="","",'[1]All Data '!BD2587)</f>
        <v/>
      </c>
      <c r="S2582" s="11" t="str">
        <f>IF(R2582="","",'[1]All Data '!BE2587)</f>
        <v/>
      </c>
      <c r="T2582" s="12" t="str">
        <f>IF(S2582="","",[1]Inputs_Outputs!$B$8*(1-'LOCH Calc COE Calc'!S2582))</f>
        <v/>
      </c>
      <c r="U2582" s="13" t="str">
        <f t="shared" si="201"/>
        <v/>
      </c>
      <c r="V2582" s="13" t="str">
        <f t="shared" si="202"/>
        <v/>
      </c>
      <c r="W2582" s="4" t="str">
        <f t="shared" si="203"/>
        <v/>
      </c>
      <c r="X2582" t="str">
        <f>IF(W2582="","",LOOKUP(_xlfn.CONCAT(P2582,", ",Q2582),'[1]T+S Costs'!$F$2:$F$3138,'[1]T+S Costs'!$N$2:$N$3138))</f>
        <v/>
      </c>
      <c r="Y2582" s="14" t="str">
        <f t="shared" si="204"/>
        <v/>
      </c>
      <c r="Z2582" s="4" t="str">
        <f t="shared" si="205"/>
        <v/>
      </c>
    </row>
    <row r="2583" spans="16:26" x14ac:dyDescent="0.25">
      <c r="P2583" s="10" t="str">
        <f>IF('[1]All Data '!AZ2588="","",'[1]All Data '!AZ2588)</f>
        <v/>
      </c>
      <c r="Q2583" s="10" t="str">
        <f>IF('[1]All Data '!BB2588="","",'[1]All Data '!BB2588)</f>
        <v/>
      </c>
      <c r="R2583" s="10" t="str">
        <f>IF('[1]All Data '!BD2588="","",'[1]All Data '!BD2588)</f>
        <v/>
      </c>
      <c r="S2583" s="11" t="str">
        <f>IF(R2583="","",'[1]All Data '!BE2588)</f>
        <v/>
      </c>
      <c r="T2583" s="12" t="str">
        <f>IF(S2583="","",[1]Inputs_Outputs!$B$8*(1-'LOCH Calc COE Calc'!S2583))</f>
        <v/>
      </c>
      <c r="U2583" s="13" t="str">
        <f t="shared" si="201"/>
        <v/>
      </c>
      <c r="V2583" s="13" t="str">
        <f t="shared" si="202"/>
        <v/>
      </c>
      <c r="W2583" s="4" t="str">
        <f t="shared" si="203"/>
        <v/>
      </c>
      <c r="X2583" t="str">
        <f>IF(W2583="","",LOOKUP(_xlfn.CONCAT(P2583,", ",Q2583),'[1]T+S Costs'!$F$2:$F$3138,'[1]T+S Costs'!$N$2:$N$3138))</f>
        <v/>
      </c>
      <c r="Y2583" s="14" t="str">
        <f t="shared" si="204"/>
        <v/>
      </c>
      <c r="Z2583" s="4" t="str">
        <f t="shared" si="205"/>
        <v/>
      </c>
    </row>
    <row r="2584" spans="16:26" x14ac:dyDescent="0.25">
      <c r="P2584" s="10" t="str">
        <f>IF('[1]All Data '!AZ2589="","",'[1]All Data '!AZ2589)</f>
        <v/>
      </c>
      <c r="Q2584" s="10" t="str">
        <f>IF('[1]All Data '!BB2589="","",'[1]All Data '!BB2589)</f>
        <v/>
      </c>
      <c r="R2584" s="10" t="str">
        <f>IF('[1]All Data '!BD2589="","",'[1]All Data '!BD2589)</f>
        <v/>
      </c>
      <c r="S2584" s="11" t="str">
        <f>IF(R2584="","",'[1]All Data '!BE2589)</f>
        <v/>
      </c>
      <c r="T2584" s="12" t="str">
        <f>IF(S2584="","",[1]Inputs_Outputs!$B$8*(1-'LOCH Calc COE Calc'!S2584))</f>
        <v/>
      </c>
      <c r="U2584" s="13" t="str">
        <f t="shared" si="201"/>
        <v/>
      </c>
      <c r="V2584" s="13" t="str">
        <f t="shared" si="202"/>
        <v/>
      </c>
      <c r="W2584" s="4" t="str">
        <f t="shared" si="203"/>
        <v/>
      </c>
      <c r="X2584" t="str">
        <f>IF(W2584="","",LOOKUP(_xlfn.CONCAT(P2584,", ",Q2584),'[1]T+S Costs'!$F$2:$F$3138,'[1]T+S Costs'!$N$2:$N$3138))</f>
        <v/>
      </c>
      <c r="Y2584" s="14" t="str">
        <f t="shared" si="204"/>
        <v/>
      </c>
      <c r="Z2584" s="4" t="str">
        <f t="shared" si="205"/>
        <v/>
      </c>
    </row>
    <row r="2585" spans="16:26" x14ac:dyDescent="0.25">
      <c r="P2585" s="10" t="str">
        <f>IF('[1]All Data '!AZ2590="","",'[1]All Data '!AZ2590)</f>
        <v/>
      </c>
      <c r="Q2585" s="10" t="str">
        <f>IF('[1]All Data '!BB2590="","",'[1]All Data '!BB2590)</f>
        <v/>
      </c>
      <c r="R2585" s="10" t="str">
        <f>IF('[1]All Data '!BD2590="","",'[1]All Data '!BD2590)</f>
        <v/>
      </c>
      <c r="S2585" s="11" t="str">
        <f>IF(R2585="","",'[1]All Data '!BE2590)</f>
        <v/>
      </c>
      <c r="T2585" s="12" t="str">
        <f>IF(S2585="","",[1]Inputs_Outputs!$B$8*(1-'LOCH Calc COE Calc'!S2585))</f>
        <v/>
      </c>
      <c r="U2585" s="13" t="str">
        <f t="shared" si="201"/>
        <v/>
      </c>
      <c r="V2585" s="13" t="str">
        <f t="shared" si="202"/>
        <v/>
      </c>
      <c r="W2585" s="4" t="str">
        <f t="shared" si="203"/>
        <v/>
      </c>
      <c r="X2585" t="str">
        <f>IF(W2585="","",LOOKUP(_xlfn.CONCAT(P2585,", ",Q2585),'[1]T+S Costs'!$F$2:$F$3138,'[1]T+S Costs'!$N$2:$N$3138))</f>
        <v/>
      </c>
      <c r="Y2585" s="14" t="str">
        <f t="shared" si="204"/>
        <v/>
      </c>
      <c r="Z2585" s="4" t="str">
        <f t="shared" si="205"/>
        <v/>
      </c>
    </row>
    <row r="2586" spans="16:26" x14ac:dyDescent="0.25">
      <c r="P2586" s="10" t="str">
        <f>IF('[1]All Data '!AZ2591="","",'[1]All Data '!AZ2591)</f>
        <v/>
      </c>
      <c r="Q2586" s="10" t="str">
        <f>IF('[1]All Data '!BB2591="","",'[1]All Data '!BB2591)</f>
        <v/>
      </c>
      <c r="R2586" s="10" t="str">
        <f>IF('[1]All Data '!BD2591="","",'[1]All Data '!BD2591)</f>
        <v/>
      </c>
      <c r="S2586" s="11" t="str">
        <f>IF(R2586="","",'[1]All Data '!BE2591)</f>
        <v/>
      </c>
      <c r="T2586" s="12" t="str">
        <f>IF(S2586="","",[1]Inputs_Outputs!$B$8*(1-'LOCH Calc COE Calc'!S2586))</f>
        <v/>
      </c>
      <c r="U2586" s="13" t="str">
        <f t="shared" si="201"/>
        <v/>
      </c>
      <c r="V2586" s="13" t="str">
        <f t="shared" si="202"/>
        <v/>
      </c>
      <c r="W2586" s="4" t="str">
        <f t="shared" si="203"/>
        <v/>
      </c>
      <c r="X2586" t="str">
        <f>IF(W2586="","",LOOKUP(_xlfn.CONCAT(P2586,", ",Q2586),'[1]T+S Costs'!$F$2:$F$3138,'[1]T+S Costs'!$N$2:$N$3138))</f>
        <v/>
      </c>
      <c r="Y2586" s="14" t="str">
        <f t="shared" si="204"/>
        <v/>
      </c>
      <c r="Z2586" s="4" t="str">
        <f t="shared" si="205"/>
        <v/>
      </c>
    </row>
    <row r="2587" spans="16:26" x14ac:dyDescent="0.25">
      <c r="P2587" s="10" t="str">
        <f>IF('[1]All Data '!AZ2592="","",'[1]All Data '!AZ2592)</f>
        <v/>
      </c>
      <c r="Q2587" s="10" t="str">
        <f>IF('[1]All Data '!BB2592="","",'[1]All Data '!BB2592)</f>
        <v/>
      </c>
      <c r="R2587" s="10" t="str">
        <f>IF('[1]All Data '!BD2592="","",'[1]All Data '!BD2592)</f>
        <v/>
      </c>
      <c r="S2587" s="11" t="str">
        <f>IF(R2587="","",'[1]All Data '!BE2592)</f>
        <v/>
      </c>
      <c r="T2587" s="12" t="str">
        <f>IF(S2587="","",[1]Inputs_Outputs!$B$8*(1-'LOCH Calc COE Calc'!S2587))</f>
        <v/>
      </c>
      <c r="U2587" s="13" t="str">
        <f t="shared" si="201"/>
        <v/>
      </c>
      <c r="V2587" s="13" t="str">
        <f t="shared" si="202"/>
        <v/>
      </c>
      <c r="W2587" s="4" t="str">
        <f t="shared" si="203"/>
        <v/>
      </c>
      <c r="X2587" t="str">
        <f>IF(W2587="","",LOOKUP(_xlfn.CONCAT(P2587,", ",Q2587),'[1]T+S Costs'!$F$2:$F$3138,'[1]T+S Costs'!$N$2:$N$3138))</f>
        <v/>
      </c>
      <c r="Y2587" s="14" t="str">
        <f t="shared" si="204"/>
        <v/>
      </c>
      <c r="Z2587" s="4" t="str">
        <f t="shared" si="205"/>
        <v/>
      </c>
    </row>
    <row r="2588" spans="16:26" x14ac:dyDescent="0.25">
      <c r="P2588" s="10" t="str">
        <f>IF('[1]All Data '!AZ2593="","",'[1]All Data '!AZ2593)</f>
        <v/>
      </c>
      <c r="Q2588" s="10" t="str">
        <f>IF('[1]All Data '!BB2593="","",'[1]All Data '!BB2593)</f>
        <v/>
      </c>
      <c r="R2588" s="10" t="str">
        <f>IF('[1]All Data '!BD2593="","",'[1]All Data '!BD2593)</f>
        <v/>
      </c>
      <c r="S2588" s="11" t="str">
        <f>IF(R2588="","",'[1]All Data '!BE2593)</f>
        <v/>
      </c>
      <c r="T2588" s="12" t="str">
        <f>IF(S2588="","",[1]Inputs_Outputs!$B$8*(1-'LOCH Calc COE Calc'!S2588))</f>
        <v/>
      </c>
      <c r="U2588" s="13" t="str">
        <f t="shared" si="201"/>
        <v/>
      </c>
      <c r="V2588" s="13" t="str">
        <f t="shared" si="202"/>
        <v/>
      </c>
      <c r="W2588" s="4" t="str">
        <f t="shared" si="203"/>
        <v/>
      </c>
      <c r="X2588" t="str">
        <f>IF(W2588="","",LOOKUP(_xlfn.CONCAT(P2588,", ",Q2588),'[1]T+S Costs'!$F$2:$F$3138,'[1]T+S Costs'!$N$2:$N$3138))</f>
        <v/>
      </c>
      <c r="Y2588" s="14" t="str">
        <f t="shared" si="204"/>
        <v/>
      </c>
      <c r="Z2588" s="4" t="str">
        <f t="shared" si="205"/>
        <v/>
      </c>
    </row>
    <row r="2589" spans="16:26" x14ac:dyDescent="0.25">
      <c r="P2589" s="10" t="str">
        <f>IF('[1]All Data '!AZ2594="","",'[1]All Data '!AZ2594)</f>
        <v/>
      </c>
      <c r="Q2589" s="10" t="str">
        <f>IF('[1]All Data '!BB2594="","",'[1]All Data '!BB2594)</f>
        <v/>
      </c>
      <c r="R2589" s="10" t="str">
        <f>IF('[1]All Data '!BD2594="","",'[1]All Data '!BD2594)</f>
        <v/>
      </c>
      <c r="S2589" s="11" t="str">
        <f>IF(R2589="","",'[1]All Data '!BE2594)</f>
        <v/>
      </c>
      <c r="T2589" s="12" t="str">
        <f>IF(S2589="","",[1]Inputs_Outputs!$B$8*(1-'LOCH Calc COE Calc'!S2589))</f>
        <v/>
      </c>
      <c r="U2589" s="13" t="str">
        <f t="shared" si="201"/>
        <v/>
      </c>
      <c r="V2589" s="13" t="str">
        <f t="shared" si="202"/>
        <v/>
      </c>
      <c r="W2589" s="4" t="str">
        <f t="shared" si="203"/>
        <v/>
      </c>
      <c r="X2589" t="str">
        <f>IF(W2589="","",LOOKUP(_xlfn.CONCAT(P2589,", ",Q2589),'[1]T+S Costs'!$F$2:$F$3138,'[1]T+S Costs'!$N$2:$N$3138))</f>
        <v/>
      </c>
      <c r="Y2589" s="14" t="str">
        <f t="shared" si="204"/>
        <v/>
      </c>
      <c r="Z2589" s="4" t="str">
        <f t="shared" si="205"/>
        <v/>
      </c>
    </row>
    <row r="2590" spans="16:26" x14ac:dyDescent="0.25">
      <c r="P2590" s="10" t="str">
        <f>IF('[1]All Data '!AZ2595="","",'[1]All Data '!AZ2595)</f>
        <v/>
      </c>
      <c r="Q2590" s="10" t="str">
        <f>IF('[1]All Data '!BB2595="","",'[1]All Data '!BB2595)</f>
        <v/>
      </c>
      <c r="R2590" s="10" t="str">
        <f>IF('[1]All Data '!BD2595="","",'[1]All Data '!BD2595)</f>
        <v/>
      </c>
      <c r="S2590" s="11" t="str">
        <f>IF(R2590="","",'[1]All Data '!BE2595)</f>
        <v/>
      </c>
      <c r="T2590" s="12" t="str">
        <f>IF(S2590="","",[1]Inputs_Outputs!$B$8*(1-'LOCH Calc COE Calc'!S2590))</f>
        <v/>
      </c>
      <c r="U2590" s="13" t="str">
        <f t="shared" si="201"/>
        <v/>
      </c>
      <c r="V2590" s="13" t="str">
        <f t="shared" si="202"/>
        <v/>
      </c>
      <c r="W2590" s="4" t="str">
        <f t="shared" si="203"/>
        <v/>
      </c>
      <c r="X2590" t="str">
        <f>IF(W2590="","",LOOKUP(_xlfn.CONCAT(P2590,", ",Q2590),'[1]T+S Costs'!$F$2:$F$3138,'[1]T+S Costs'!$N$2:$N$3138))</f>
        <v/>
      </c>
      <c r="Y2590" s="14" t="str">
        <f t="shared" si="204"/>
        <v/>
      </c>
      <c r="Z2590" s="4" t="str">
        <f t="shared" si="205"/>
        <v/>
      </c>
    </row>
    <row r="2591" spans="16:26" x14ac:dyDescent="0.25">
      <c r="P2591" s="10" t="str">
        <f>IF('[1]All Data '!AZ2596="","",'[1]All Data '!AZ2596)</f>
        <v/>
      </c>
      <c r="Q2591" s="10" t="str">
        <f>IF('[1]All Data '!BB2596="","",'[1]All Data '!BB2596)</f>
        <v/>
      </c>
      <c r="R2591" s="10" t="str">
        <f>IF('[1]All Data '!BD2596="","",'[1]All Data '!BD2596)</f>
        <v/>
      </c>
      <c r="S2591" s="11" t="str">
        <f>IF(R2591="","",'[1]All Data '!BE2596)</f>
        <v/>
      </c>
      <c r="T2591" s="12" t="str">
        <f>IF(S2591="","",[1]Inputs_Outputs!$B$8*(1-'LOCH Calc COE Calc'!S2591))</f>
        <v/>
      </c>
      <c r="U2591" s="13" t="str">
        <f t="shared" si="201"/>
        <v/>
      </c>
      <c r="V2591" s="13" t="str">
        <f t="shared" si="202"/>
        <v/>
      </c>
      <c r="W2591" s="4" t="str">
        <f t="shared" si="203"/>
        <v/>
      </c>
      <c r="X2591" t="str">
        <f>IF(W2591="","",LOOKUP(_xlfn.CONCAT(P2591,", ",Q2591),'[1]T+S Costs'!$F$2:$F$3138,'[1]T+S Costs'!$N$2:$N$3138))</f>
        <v/>
      </c>
      <c r="Y2591" s="14" t="str">
        <f t="shared" si="204"/>
        <v/>
      </c>
      <c r="Z2591" s="4" t="str">
        <f t="shared" si="205"/>
        <v/>
      </c>
    </row>
    <row r="2592" spans="16:26" x14ac:dyDescent="0.25">
      <c r="P2592" s="10" t="str">
        <f>IF('[1]All Data '!AZ2597="","",'[1]All Data '!AZ2597)</f>
        <v/>
      </c>
      <c r="Q2592" s="10" t="str">
        <f>IF('[1]All Data '!BB2597="","",'[1]All Data '!BB2597)</f>
        <v/>
      </c>
      <c r="R2592" s="10" t="str">
        <f>IF('[1]All Data '!BD2597="","",'[1]All Data '!BD2597)</f>
        <v/>
      </c>
      <c r="S2592" s="11" t="str">
        <f>IF(R2592="","",'[1]All Data '!BE2597)</f>
        <v/>
      </c>
      <c r="T2592" s="12" t="str">
        <f>IF(S2592="","",[1]Inputs_Outputs!$B$8*(1-'LOCH Calc COE Calc'!S2592))</f>
        <v/>
      </c>
      <c r="U2592" s="13" t="str">
        <f t="shared" si="201"/>
        <v/>
      </c>
      <c r="V2592" s="13" t="str">
        <f t="shared" si="202"/>
        <v/>
      </c>
      <c r="W2592" s="4" t="str">
        <f t="shared" si="203"/>
        <v/>
      </c>
      <c r="X2592" t="str">
        <f>IF(W2592="","",LOOKUP(_xlfn.CONCAT(P2592,", ",Q2592),'[1]T+S Costs'!$F$2:$F$3138,'[1]T+S Costs'!$N$2:$N$3138))</f>
        <v/>
      </c>
      <c r="Y2592" s="14" t="str">
        <f t="shared" si="204"/>
        <v/>
      </c>
      <c r="Z2592" s="4" t="str">
        <f t="shared" si="205"/>
        <v/>
      </c>
    </row>
    <row r="2593" spans="16:26" x14ac:dyDescent="0.25">
      <c r="P2593" s="10" t="str">
        <f>IF('[1]All Data '!AZ2598="","",'[1]All Data '!AZ2598)</f>
        <v/>
      </c>
      <c r="Q2593" s="10" t="str">
        <f>IF('[1]All Data '!BB2598="","",'[1]All Data '!BB2598)</f>
        <v/>
      </c>
      <c r="R2593" s="10" t="str">
        <f>IF('[1]All Data '!BD2598="","",'[1]All Data '!BD2598)</f>
        <v/>
      </c>
      <c r="S2593" s="11" t="str">
        <f>IF(R2593="","",'[1]All Data '!BE2598)</f>
        <v/>
      </c>
      <c r="T2593" s="12" t="str">
        <f>IF(S2593="","",[1]Inputs_Outputs!$B$8*(1-'LOCH Calc COE Calc'!S2593))</f>
        <v/>
      </c>
      <c r="U2593" s="13" t="str">
        <f t="shared" si="201"/>
        <v/>
      </c>
      <c r="V2593" s="13" t="str">
        <f t="shared" si="202"/>
        <v/>
      </c>
      <c r="W2593" s="4" t="str">
        <f t="shared" si="203"/>
        <v/>
      </c>
      <c r="X2593" t="str">
        <f>IF(W2593="","",LOOKUP(_xlfn.CONCAT(P2593,", ",Q2593),'[1]T+S Costs'!$F$2:$F$3138,'[1]T+S Costs'!$N$2:$N$3138))</f>
        <v/>
      </c>
      <c r="Y2593" s="14" t="str">
        <f t="shared" si="204"/>
        <v/>
      </c>
      <c r="Z2593" s="4" t="str">
        <f t="shared" si="205"/>
        <v/>
      </c>
    </row>
    <row r="2594" spans="16:26" x14ac:dyDescent="0.25">
      <c r="P2594" s="10" t="str">
        <f>IF('[1]All Data '!AZ2599="","",'[1]All Data '!AZ2599)</f>
        <v/>
      </c>
      <c r="Q2594" s="10" t="str">
        <f>IF('[1]All Data '!BB2599="","",'[1]All Data '!BB2599)</f>
        <v/>
      </c>
      <c r="R2594" s="10" t="str">
        <f>IF('[1]All Data '!BD2599="","",'[1]All Data '!BD2599)</f>
        <v/>
      </c>
      <c r="S2594" s="11" t="str">
        <f>IF(R2594="","",'[1]All Data '!BE2599)</f>
        <v/>
      </c>
      <c r="T2594" s="12" t="str">
        <f>IF(S2594="","",[1]Inputs_Outputs!$B$8*(1-'LOCH Calc COE Calc'!S2594))</f>
        <v/>
      </c>
      <c r="U2594" s="13" t="str">
        <f t="shared" si="201"/>
        <v/>
      </c>
      <c r="V2594" s="13" t="str">
        <f t="shared" si="202"/>
        <v/>
      </c>
      <c r="W2594" s="4" t="str">
        <f t="shared" si="203"/>
        <v/>
      </c>
      <c r="X2594" t="str">
        <f>IF(W2594="","",LOOKUP(_xlfn.CONCAT(P2594,", ",Q2594),'[1]T+S Costs'!$F$2:$F$3138,'[1]T+S Costs'!$N$2:$N$3138))</f>
        <v/>
      </c>
      <c r="Y2594" s="14" t="str">
        <f t="shared" si="204"/>
        <v/>
      </c>
      <c r="Z2594" s="4" t="str">
        <f t="shared" si="205"/>
        <v/>
      </c>
    </row>
    <row r="2595" spans="16:26" x14ac:dyDescent="0.25">
      <c r="P2595" s="10" t="str">
        <f>IF('[1]All Data '!AZ2600="","",'[1]All Data '!AZ2600)</f>
        <v/>
      </c>
      <c r="Q2595" s="10" t="str">
        <f>IF('[1]All Data '!BB2600="","",'[1]All Data '!BB2600)</f>
        <v/>
      </c>
      <c r="R2595" s="10" t="str">
        <f>IF('[1]All Data '!BD2600="","",'[1]All Data '!BD2600)</f>
        <v/>
      </c>
      <c r="S2595" s="11" t="str">
        <f>IF(R2595="","",'[1]All Data '!BE2600)</f>
        <v/>
      </c>
      <c r="T2595" s="12" t="str">
        <f>IF(S2595="","",[1]Inputs_Outputs!$B$8*(1-'LOCH Calc COE Calc'!S2595))</f>
        <v/>
      </c>
      <c r="U2595" s="13" t="str">
        <f t="shared" si="201"/>
        <v/>
      </c>
      <c r="V2595" s="13" t="str">
        <f t="shared" si="202"/>
        <v/>
      </c>
      <c r="W2595" s="4" t="str">
        <f t="shared" si="203"/>
        <v/>
      </c>
      <c r="X2595" t="str">
        <f>IF(W2595="","",LOOKUP(_xlfn.CONCAT(P2595,", ",Q2595),'[1]T+S Costs'!$F$2:$F$3138,'[1]T+S Costs'!$N$2:$N$3138))</f>
        <v/>
      </c>
      <c r="Y2595" s="14" t="str">
        <f t="shared" si="204"/>
        <v/>
      </c>
      <c r="Z2595" s="4" t="str">
        <f t="shared" si="205"/>
        <v/>
      </c>
    </row>
    <row r="2596" spans="16:26" x14ac:dyDescent="0.25">
      <c r="P2596" s="10" t="str">
        <f>IF('[1]All Data '!AZ2601="","",'[1]All Data '!AZ2601)</f>
        <v/>
      </c>
      <c r="Q2596" s="10" t="str">
        <f>IF('[1]All Data '!BB2601="","",'[1]All Data '!BB2601)</f>
        <v/>
      </c>
      <c r="R2596" s="10" t="str">
        <f>IF('[1]All Data '!BD2601="","",'[1]All Data '!BD2601)</f>
        <v/>
      </c>
      <c r="S2596" s="11" t="str">
        <f>IF(R2596="","",'[1]All Data '!BE2601)</f>
        <v/>
      </c>
      <c r="T2596" s="12" t="str">
        <f>IF(S2596="","",[1]Inputs_Outputs!$B$8*(1-'LOCH Calc COE Calc'!S2596))</f>
        <v/>
      </c>
      <c r="U2596" s="13" t="str">
        <f t="shared" si="201"/>
        <v/>
      </c>
      <c r="V2596" s="13" t="str">
        <f t="shared" si="202"/>
        <v/>
      </c>
      <c r="W2596" s="4" t="str">
        <f t="shared" si="203"/>
        <v/>
      </c>
      <c r="X2596" t="str">
        <f>IF(W2596="","",LOOKUP(_xlfn.CONCAT(P2596,", ",Q2596),'[1]T+S Costs'!$F$2:$F$3138,'[1]T+S Costs'!$N$2:$N$3138))</f>
        <v/>
      </c>
      <c r="Y2596" s="14" t="str">
        <f t="shared" si="204"/>
        <v/>
      </c>
      <c r="Z2596" s="4" t="str">
        <f t="shared" si="205"/>
        <v/>
      </c>
    </row>
    <row r="2597" spans="16:26" x14ac:dyDescent="0.25">
      <c r="P2597" s="10" t="str">
        <f>IF('[1]All Data '!AZ2602="","",'[1]All Data '!AZ2602)</f>
        <v/>
      </c>
      <c r="Q2597" s="10" t="str">
        <f>IF('[1]All Data '!BB2602="","",'[1]All Data '!BB2602)</f>
        <v/>
      </c>
      <c r="R2597" s="10" t="str">
        <f>IF('[1]All Data '!BD2602="","",'[1]All Data '!BD2602)</f>
        <v/>
      </c>
      <c r="S2597" s="11" t="str">
        <f>IF(R2597="","",'[1]All Data '!BE2602)</f>
        <v/>
      </c>
      <c r="T2597" s="12" t="str">
        <f>IF(S2597="","",[1]Inputs_Outputs!$B$8*(1-'LOCH Calc COE Calc'!S2597))</f>
        <v/>
      </c>
      <c r="U2597" s="13" t="str">
        <f t="shared" si="201"/>
        <v/>
      </c>
      <c r="V2597" s="13" t="str">
        <f t="shared" si="202"/>
        <v/>
      </c>
      <c r="W2597" s="4" t="str">
        <f t="shared" si="203"/>
        <v/>
      </c>
      <c r="X2597" t="str">
        <f>IF(W2597="","",LOOKUP(_xlfn.CONCAT(P2597,", ",Q2597),'[1]T+S Costs'!$F$2:$F$3138,'[1]T+S Costs'!$N$2:$N$3138))</f>
        <v/>
      </c>
      <c r="Y2597" s="14" t="str">
        <f t="shared" si="204"/>
        <v/>
      </c>
      <c r="Z2597" s="4" t="str">
        <f t="shared" si="205"/>
        <v/>
      </c>
    </row>
    <row r="2598" spans="16:26" x14ac:dyDescent="0.25">
      <c r="P2598" s="10" t="str">
        <f>IF('[1]All Data '!AZ2603="","",'[1]All Data '!AZ2603)</f>
        <v/>
      </c>
      <c r="Q2598" s="10" t="str">
        <f>IF('[1]All Data '!BB2603="","",'[1]All Data '!BB2603)</f>
        <v/>
      </c>
      <c r="R2598" s="10" t="str">
        <f>IF('[1]All Data '!BD2603="","",'[1]All Data '!BD2603)</f>
        <v/>
      </c>
      <c r="S2598" s="11" t="str">
        <f>IF(R2598="","",'[1]All Data '!BE2603)</f>
        <v/>
      </c>
      <c r="T2598" s="12" t="str">
        <f>IF(S2598="","",[1]Inputs_Outputs!$B$8*(1-'LOCH Calc COE Calc'!S2598))</f>
        <v/>
      </c>
      <c r="U2598" s="13" t="str">
        <f t="shared" si="201"/>
        <v/>
      </c>
      <c r="V2598" s="13" t="str">
        <f t="shared" si="202"/>
        <v/>
      </c>
      <c r="W2598" s="4" t="str">
        <f t="shared" si="203"/>
        <v/>
      </c>
      <c r="X2598" t="str">
        <f>IF(W2598="","",LOOKUP(_xlfn.CONCAT(P2598,", ",Q2598),'[1]T+S Costs'!$F$2:$F$3138,'[1]T+S Costs'!$N$2:$N$3138))</f>
        <v/>
      </c>
      <c r="Y2598" s="14" t="str">
        <f t="shared" si="204"/>
        <v/>
      </c>
      <c r="Z2598" s="4" t="str">
        <f t="shared" si="205"/>
        <v/>
      </c>
    </row>
    <row r="2599" spans="16:26" x14ac:dyDescent="0.25">
      <c r="P2599" s="10" t="str">
        <f>IF('[1]All Data '!AZ2604="","",'[1]All Data '!AZ2604)</f>
        <v/>
      </c>
      <c r="Q2599" s="10" t="str">
        <f>IF('[1]All Data '!BB2604="","",'[1]All Data '!BB2604)</f>
        <v/>
      </c>
      <c r="R2599" s="10" t="str">
        <f>IF('[1]All Data '!BD2604="","",'[1]All Data '!BD2604)</f>
        <v/>
      </c>
      <c r="S2599" s="11" t="str">
        <f>IF(R2599="","",'[1]All Data '!BE2604)</f>
        <v/>
      </c>
      <c r="T2599" s="12" t="str">
        <f>IF(S2599="","",[1]Inputs_Outputs!$B$8*(1-'LOCH Calc COE Calc'!S2599))</f>
        <v/>
      </c>
      <c r="U2599" s="13" t="str">
        <f t="shared" si="201"/>
        <v/>
      </c>
      <c r="V2599" s="13" t="str">
        <f t="shared" si="202"/>
        <v/>
      </c>
      <c r="W2599" s="4" t="str">
        <f t="shared" si="203"/>
        <v/>
      </c>
      <c r="X2599" t="str">
        <f>IF(W2599="","",LOOKUP(_xlfn.CONCAT(P2599,", ",Q2599),'[1]T+S Costs'!$F$2:$F$3138,'[1]T+S Costs'!$N$2:$N$3138))</f>
        <v/>
      </c>
      <c r="Y2599" s="14" t="str">
        <f t="shared" si="204"/>
        <v/>
      </c>
      <c r="Z2599" s="4" t="str">
        <f t="shared" si="205"/>
        <v/>
      </c>
    </row>
    <row r="2600" spans="16:26" x14ac:dyDescent="0.25">
      <c r="P2600" s="10" t="str">
        <f>IF('[1]All Data '!AZ2605="","",'[1]All Data '!AZ2605)</f>
        <v/>
      </c>
      <c r="Q2600" s="10" t="str">
        <f>IF('[1]All Data '!BB2605="","",'[1]All Data '!BB2605)</f>
        <v/>
      </c>
      <c r="R2600" s="10" t="str">
        <f>IF('[1]All Data '!BD2605="","",'[1]All Data '!BD2605)</f>
        <v/>
      </c>
      <c r="S2600" s="11" t="str">
        <f>IF(R2600="","",'[1]All Data '!BE2605)</f>
        <v/>
      </c>
      <c r="T2600" s="12" t="str">
        <f>IF(S2600="","",[1]Inputs_Outputs!$B$8*(1-'LOCH Calc COE Calc'!S2600))</f>
        <v/>
      </c>
      <c r="U2600" s="13" t="str">
        <f t="shared" si="201"/>
        <v/>
      </c>
      <c r="V2600" s="13" t="str">
        <f t="shared" si="202"/>
        <v/>
      </c>
      <c r="W2600" s="4" t="str">
        <f t="shared" si="203"/>
        <v/>
      </c>
      <c r="X2600" t="str">
        <f>IF(W2600="","",LOOKUP(_xlfn.CONCAT(P2600,", ",Q2600),'[1]T+S Costs'!$F$2:$F$3138,'[1]T+S Costs'!$N$2:$N$3138))</f>
        <v/>
      </c>
      <c r="Y2600" s="14" t="str">
        <f t="shared" si="204"/>
        <v/>
      </c>
      <c r="Z2600" s="4" t="str">
        <f t="shared" si="205"/>
        <v/>
      </c>
    </row>
    <row r="2601" spans="16:26" x14ac:dyDescent="0.25">
      <c r="P2601" s="10" t="str">
        <f>IF('[1]All Data '!AZ2606="","",'[1]All Data '!AZ2606)</f>
        <v/>
      </c>
      <c r="Q2601" s="10" t="str">
        <f>IF('[1]All Data '!BB2606="","",'[1]All Data '!BB2606)</f>
        <v/>
      </c>
      <c r="R2601" s="10" t="str">
        <f>IF('[1]All Data '!BD2606="","",'[1]All Data '!BD2606)</f>
        <v/>
      </c>
      <c r="S2601" s="11" t="str">
        <f>IF(R2601="","",'[1]All Data '!BE2606)</f>
        <v/>
      </c>
      <c r="T2601" s="12" t="str">
        <f>IF(S2601="","",[1]Inputs_Outputs!$B$8*(1-'LOCH Calc COE Calc'!S2601))</f>
        <v/>
      </c>
      <c r="U2601" s="13" t="str">
        <f t="shared" si="201"/>
        <v/>
      </c>
      <c r="V2601" s="13" t="str">
        <f t="shared" si="202"/>
        <v/>
      </c>
      <c r="W2601" s="4" t="str">
        <f t="shared" si="203"/>
        <v/>
      </c>
      <c r="X2601" t="str">
        <f>IF(W2601="","",LOOKUP(_xlfn.CONCAT(P2601,", ",Q2601),'[1]T+S Costs'!$F$2:$F$3138,'[1]T+S Costs'!$N$2:$N$3138))</f>
        <v/>
      </c>
      <c r="Y2601" s="14" t="str">
        <f t="shared" si="204"/>
        <v/>
      </c>
      <c r="Z2601" s="4" t="str">
        <f t="shared" si="205"/>
        <v/>
      </c>
    </row>
    <row r="2602" spans="16:26" x14ac:dyDescent="0.25">
      <c r="P2602" s="10" t="str">
        <f>IF('[1]All Data '!AZ2607="","",'[1]All Data '!AZ2607)</f>
        <v/>
      </c>
      <c r="Q2602" s="10" t="str">
        <f>IF('[1]All Data '!BB2607="","",'[1]All Data '!BB2607)</f>
        <v/>
      </c>
      <c r="R2602" s="10" t="str">
        <f>IF('[1]All Data '!BD2607="","",'[1]All Data '!BD2607)</f>
        <v/>
      </c>
      <c r="S2602" s="11" t="str">
        <f>IF(R2602="","",'[1]All Data '!BE2607)</f>
        <v/>
      </c>
      <c r="T2602" s="12" t="str">
        <f>IF(S2602="","",[1]Inputs_Outputs!$B$8*(1-'LOCH Calc COE Calc'!S2602))</f>
        <v/>
      </c>
      <c r="U2602" s="13" t="str">
        <f t="shared" si="201"/>
        <v/>
      </c>
      <c r="V2602" s="13" t="str">
        <f t="shared" si="202"/>
        <v/>
      </c>
      <c r="W2602" s="4" t="str">
        <f t="shared" si="203"/>
        <v/>
      </c>
      <c r="X2602" t="str">
        <f>IF(W2602="","",LOOKUP(_xlfn.CONCAT(P2602,", ",Q2602),'[1]T+S Costs'!$F$2:$F$3138,'[1]T+S Costs'!$N$2:$N$3138))</f>
        <v/>
      </c>
      <c r="Y2602" s="14" t="str">
        <f t="shared" si="204"/>
        <v/>
      </c>
      <c r="Z2602" s="4" t="str">
        <f t="shared" si="205"/>
        <v/>
      </c>
    </row>
    <row r="2603" spans="16:26" x14ac:dyDescent="0.25">
      <c r="P2603" s="10" t="str">
        <f>IF('[1]All Data '!AZ2608="","",'[1]All Data '!AZ2608)</f>
        <v/>
      </c>
      <c r="Q2603" s="10" t="str">
        <f>IF('[1]All Data '!BB2608="","",'[1]All Data '!BB2608)</f>
        <v/>
      </c>
      <c r="R2603" s="10" t="str">
        <f>IF('[1]All Data '!BD2608="","",'[1]All Data '!BD2608)</f>
        <v/>
      </c>
      <c r="S2603" s="11" t="str">
        <f>IF(R2603="","",'[1]All Data '!BE2608)</f>
        <v/>
      </c>
      <c r="T2603" s="12" t="str">
        <f>IF(S2603="","",[1]Inputs_Outputs!$B$8*(1-'LOCH Calc COE Calc'!S2603))</f>
        <v/>
      </c>
      <c r="U2603" s="13" t="str">
        <f t="shared" si="201"/>
        <v/>
      </c>
      <c r="V2603" s="13" t="str">
        <f t="shared" si="202"/>
        <v/>
      </c>
      <c r="W2603" s="4" t="str">
        <f t="shared" si="203"/>
        <v/>
      </c>
      <c r="X2603" t="str">
        <f>IF(W2603="","",LOOKUP(_xlfn.CONCAT(P2603,", ",Q2603),'[1]T+S Costs'!$F$2:$F$3138,'[1]T+S Costs'!$N$2:$N$3138))</f>
        <v/>
      </c>
      <c r="Y2603" s="14" t="str">
        <f t="shared" si="204"/>
        <v/>
      </c>
      <c r="Z2603" s="4" t="str">
        <f t="shared" si="205"/>
        <v/>
      </c>
    </row>
    <row r="2604" spans="16:26" x14ac:dyDescent="0.25">
      <c r="P2604" s="10" t="str">
        <f>IF('[1]All Data '!AZ2609="","",'[1]All Data '!AZ2609)</f>
        <v/>
      </c>
      <c r="Q2604" s="10" t="str">
        <f>IF('[1]All Data '!BB2609="","",'[1]All Data '!BB2609)</f>
        <v/>
      </c>
      <c r="R2604" s="10" t="str">
        <f>IF('[1]All Data '!BD2609="","",'[1]All Data '!BD2609)</f>
        <v/>
      </c>
      <c r="S2604" s="11" t="str">
        <f>IF(R2604="","",'[1]All Data '!BE2609)</f>
        <v/>
      </c>
      <c r="T2604" s="12" t="str">
        <f>IF(S2604="","",[1]Inputs_Outputs!$B$8*(1-'LOCH Calc COE Calc'!S2604))</f>
        <v/>
      </c>
      <c r="U2604" s="13" t="str">
        <f t="shared" si="201"/>
        <v/>
      </c>
      <c r="V2604" s="13" t="str">
        <f t="shared" si="202"/>
        <v/>
      </c>
      <c r="W2604" s="4" t="str">
        <f t="shared" si="203"/>
        <v/>
      </c>
      <c r="X2604" t="str">
        <f>IF(W2604="","",LOOKUP(_xlfn.CONCAT(P2604,", ",Q2604),'[1]T+S Costs'!$F$2:$F$3138,'[1]T+S Costs'!$N$2:$N$3138))</f>
        <v/>
      </c>
      <c r="Y2604" s="14" t="str">
        <f t="shared" si="204"/>
        <v/>
      </c>
      <c r="Z2604" s="4" t="str">
        <f t="shared" si="205"/>
        <v/>
      </c>
    </row>
    <row r="2605" spans="16:26" x14ac:dyDescent="0.25">
      <c r="P2605" s="10" t="str">
        <f>IF('[1]All Data '!AZ2610="","",'[1]All Data '!AZ2610)</f>
        <v/>
      </c>
      <c r="Q2605" s="10" t="str">
        <f>IF('[1]All Data '!BB2610="","",'[1]All Data '!BB2610)</f>
        <v/>
      </c>
      <c r="R2605" s="10" t="str">
        <f>IF('[1]All Data '!BD2610="","",'[1]All Data '!BD2610)</f>
        <v/>
      </c>
      <c r="S2605" s="11" t="str">
        <f>IF(R2605="","",'[1]All Data '!BE2610)</f>
        <v/>
      </c>
      <c r="T2605" s="12" t="str">
        <f>IF(S2605="","",[1]Inputs_Outputs!$B$8*(1-'LOCH Calc COE Calc'!S2605))</f>
        <v/>
      </c>
      <c r="U2605" s="13" t="str">
        <f t="shared" si="201"/>
        <v/>
      </c>
      <c r="V2605" s="13" t="str">
        <f t="shared" si="202"/>
        <v/>
      </c>
      <c r="W2605" s="4" t="str">
        <f t="shared" si="203"/>
        <v/>
      </c>
      <c r="X2605" t="str">
        <f>IF(W2605="","",LOOKUP(_xlfn.CONCAT(P2605,", ",Q2605),'[1]T+S Costs'!$F$2:$F$3138,'[1]T+S Costs'!$N$2:$N$3138))</f>
        <v/>
      </c>
      <c r="Y2605" s="14" t="str">
        <f t="shared" si="204"/>
        <v/>
      </c>
      <c r="Z2605" s="4" t="str">
        <f t="shared" si="205"/>
        <v/>
      </c>
    </row>
    <row r="2606" spans="16:26" x14ac:dyDescent="0.25">
      <c r="P2606" s="10" t="str">
        <f>IF('[1]All Data '!AZ2611="","",'[1]All Data '!AZ2611)</f>
        <v/>
      </c>
      <c r="Q2606" s="10" t="str">
        <f>IF('[1]All Data '!BB2611="","",'[1]All Data '!BB2611)</f>
        <v/>
      </c>
      <c r="R2606" s="10" t="str">
        <f>IF('[1]All Data '!BD2611="","",'[1]All Data '!BD2611)</f>
        <v/>
      </c>
      <c r="S2606" s="11" t="str">
        <f>IF(R2606="","",'[1]All Data '!BE2611)</f>
        <v/>
      </c>
      <c r="T2606" s="12" t="str">
        <f>IF(S2606="","",[1]Inputs_Outputs!$B$8*(1-'LOCH Calc COE Calc'!S2606))</f>
        <v/>
      </c>
      <c r="U2606" s="13" t="str">
        <f t="shared" si="201"/>
        <v/>
      </c>
      <c r="V2606" s="13" t="str">
        <f t="shared" si="202"/>
        <v/>
      </c>
      <c r="W2606" s="4" t="str">
        <f t="shared" si="203"/>
        <v/>
      </c>
      <c r="X2606" t="str">
        <f>IF(W2606="","",LOOKUP(_xlfn.CONCAT(P2606,", ",Q2606),'[1]T+S Costs'!$F$2:$F$3138,'[1]T+S Costs'!$N$2:$N$3138))</f>
        <v/>
      </c>
      <c r="Y2606" s="14" t="str">
        <f t="shared" si="204"/>
        <v/>
      </c>
      <c r="Z2606" s="4" t="str">
        <f t="shared" si="205"/>
        <v/>
      </c>
    </row>
    <row r="2607" spans="16:26" x14ac:dyDescent="0.25">
      <c r="P2607" s="10" t="str">
        <f>IF('[1]All Data '!AZ2612="","",'[1]All Data '!AZ2612)</f>
        <v/>
      </c>
      <c r="Q2607" s="10" t="str">
        <f>IF('[1]All Data '!BB2612="","",'[1]All Data '!BB2612)</f>
        <v/>
      </c>
      <c r="R2607" s="10" t="str">
        <f>IF('[1]All Data '!BD2612="","",'[1]All Data '!BD2612)</f>
        <v/>
      </c>
      <c r="S2607" s="11" t="str">
        <f>IF(R2607="","",'[1]All Data '!BE2612)</f>
        <v/>
      </c>
      <c r="T2607" s="12" t="str">
        <f>IF(S2607="","",[1]Inputs_Outputs!$B$8*(1-'LOCH Calc COE Calc'!S2607))</f>
        <v/>
      </c>
      <c r="U2607" s="13" t="str">
        <f t="shared" si="201"/>
        <v/>
      </c>
      <c r="V2607" s="13" t="str">
        <f t="shared" si="202"/>
        <v/>
      </c>
      <c r="W2607" s="4" t="str">
        <f t="shared" si="203"/>
        <v/>
      </c>
      <c r="X2607" t="str">
        <f>IF(W2607="","",LOOKUP(_xlfn.CONCAT(P2607,", ",Q2607),'[1]T+S Costs'!$F$2:$F$3138,'[1]T+S Costs'!$N$2:$N$3138))</f>
        <v/>
      </c>
      <c r="Y2607" s="14" t="str">
        <f t="shared" si="204"/>
        <v/>
      </c>
      <c r="Z2607" s="4" t="str">
        <f t="shared" si="205"/>
        <v/>
      </c>
    </row>
    <row r="2608" spans="16:26" x14ac:dyDescent="0.25">
      <c r="P2608" s="10" t="str">
        <f>IF('[1]All Data '!AZ2613="","",'[1]All Data '!AZ2613)</f>
        <v/>
      </c>
      <c r="Q2608" s="10" t="str">
        <f>IF('[1]All Data '!BB2613="","",'[1]All Data '!BB2613)</f>
        <v/>
      </c>
      <c r="R2608" s="10" t="str">
        <f>IF('[1]All Data '!BD2613="","",'[1]All Data '!BD2613)</f>
        <v/>
      </c>
      <c r="S2608" s="11" t="str">
        <f>IF(R2608="","",'[1]All Data '!BE2613)</f>
        <v/>
      </c>
      <c r="T2608" s="12" t="str">
        <f>IF(S2608="","",[1]Inputs_Outputs!$B$8*(1-'LOCH Calc COE Calc'!S2608))</f>
        <v/>
      </c>
      <c r="U2608" s="13" t="str">
        <f t="shared" si="201"/>
        <v/>
      </c>
      <c r="V2608" s="13" t="str">
        <f t="shared" si="202"/>
        <v/>
      </c>
      <c r="W2608" s="4" t="str">
        <f t="shared" si="203"/>
        <v/>
      </c>
      <c r="X2608" t="str">
        <f>IF(W2608="","",LOOKUP(_xlfn.CONCAT(P2608,", ",Q2608),'[1]T+S Costs'!$F$2:$F$3138,'[1]T+S Costs'!$N$2:$N$3138))</f>
        <v/>
      </c>
      <c r="Y2608" s="14" t="str">
        <f t="shared" si="204"/>
        <v/>
      </c>
      <c r="Z2608" s="4" t="str">
        <f t="shared" si="205"/>
        <v/>
      </c>
    </row>
    <row r="2609" spans="16:26" x14ac:dyDescent="0.25">
      <c r="P2609" s="10" t="str">
        <f>IF('[1]All Data '!AZ2614="","",'[1]All Data '!AZ2614)</f>
        <v/>
      </c>
      <c r="Q2609" s="10" t="str">
        <f>IF('[1]All Data '!BB2614="","",'[1]All Data '!BB2614)</f>
        <v/>
      </c>
      <c r="R2609" s="10" t="str">
        <f>IF('[1]All Data '!BD2614="","",'[1]All Data '!BD2614)</f>
        <v/>
      </c>
      <c r="S2609" s="11" t="str">
        <f>IF(R2609="","",'[1]All Data '!BE2614)</f>
        <v/>
      </c>
      <c r="T2609" s="12" t="str">
        <f>IF(S2609="","",[1]Inputs_Outputs!$B$8*(1-'LOCH Calc COE Calc'!S2609))</f>
        <v/>
      </c>
      <c r="U2609" s="13" t="str">
        <f t="shared" si="201"/>
        <v/>
      </c>
      <c r="V2609" s="13" t="str">
        <f t="shared" si="202"/>
        <v/>
      </c>
      <c r="W2609" s="4" t="str">
        <f t="shared" si="203"/>
        <v/>
      </c>
      <c r="X2609" t="str">
        <f>IF(W2609="","",LOOKUP(_xlfn.CONCAT(P2609,", ",Q2609),'[1]T+S Costs'!$F$2:$F$3138,'[1]T+S Costs'!$N$2:$N$3138))</f>
        <v/>
      </c>
      <c r="Y2609" s="14" t="str">
        <f t="shared" si="204"/>
        <v/>
      </c>
      <c r="Z2609" s="4" t="str">
        <f t="shared" si="205"/>
        <v/>
      </c>
    </row>
    <row r="2610" spans="16:26" x14ac:dyDescent="0.25">
      <c r="P2610" s="10" t="str">
        <f>IF('[1]All Data '!AZ2615="","",'[1]All Data '!AZ2615)</f>
        <v/>
      </c>
      <c r="Q2610" s="10" t="str">
        <f>IF('[1]All Data '!BB2615="","",'[1]All Data '!BB2615)</f>
        <v/>
      </c>
      <c r="R2610" s="10" t="str">
        <f>IF('[1]All Data '!BD2615="","",'[1]All Data '!BD2615)</f>
        <v/>
      </c>
      <c r="S2610" s="11" t="str">
        <f>IF(R2610="","",'[1]All Data '!BE2615)</f>
        <v/>
      </c>
      <c r="T2610" s="12" t="str">
        <f>IF(S2610="","",[1]Inputs_Outputs!$B$8*(1-'LOCH Calc COE Calc'!S2610))</f>
        <v/>
      </c>
      <c r="U2610" s="13" t="str">
        <f t="shared" si="201"/>
        <v/>
      </c>
      <c r="V2610" s="13" t="str">
        <f t="shared" si="202"/>
        <v/>
      </c>
      <c r="W2610" s="4" t="str">
        <f t="shared" si="203"/>
        <v/>
      </c>
      <c r="X2610" t="str">
        <f>IF(W2610="","",LOOKUP(_xlfn.CONCAT(P2610,", ",Q2610),'[1]T+S Costs'!$F$2:$F$3138,'[1]T+S Costs'!$N$2:$N$3138))</f>
        <v/>
      </c>
      <c r="Y2610" s="14" t="str">
        <f t="shared" si="204"/>
        <v/>
      </c>
      <c r="Z2610" s="4" t="str">
        <f t="shared" si="205"/>
        <v/>
      </c>
    </row>
    <row r="2611" spans="16:26" x14ac:dyDescent="0.25">
      <c r="P2611" s="10" t="str">
        <f>IF('[1]All Data '!AZ2616="","",'[1]All Data '!AZ2616)</f>
        <v/>
      </c>
      <c r="Q2611" s="10" t="str">
        <f>IF('[1]All Data '!BB2616="","",'[1]All Data '!BB2616)</f>
        <v/>
      </c>
      <c r="R2611" s="10" t="str">
        <f>IF('[1]All Data '!BD2616="","",'[1]All Data '!BD2616)</f>
        <v/>
      </c>
      <c r="S2611" s="11" t="str">
        <f>IF(R2611="","",'[1]All Data '!BE2616)</f>
        <v/>
      </c>
      <c r="T2611" s="12" t="str">
        <f>IF(S2611="","",[1]Inputs_Outputs!$B$8*(1-'LOCH Calc COE Calc'!S2611))</f>
        <v/>
      </c>
      <c r="U2611" s="13" t="str">
        <f t="shared" si="201"/>
        <v/>
      </c>
      <c r="V2611" s="13" t="str">
        <f t="shared" si="202"/>
        <v/>
      </c>
      <c r="W2611" s="4" t="str">
        <f t="shared" si="203"/>
        <v/>
      </c>
      <c r="X2611" t="str">
        <f>IF(W2611="","",LOOKUP(_xlfn.CONCAT(P2611,", ",Q2611),'[1]T+S Costs'!$F$2:$F$3138,'[1]T+S Costs'!$N$2:$N$3138))</f>
        <v/>
      </c>
      <c r="Y2611" s="14" t="str">
        <f t="shared" si="204"/>
        <v/>
      </c>
      <c r="Z2611" s="4" t="str">
        <f t="shared" si="205"/>
        <v/>
      </c>
    </row>
    <row r="2612" spans="16:26" x14ac:dyDescent="0.25">
      <c r="P2612" s="10" t="str">
        <f>IF('[1]All Data '!AZ2617="","",'[1]All Data '!AZ2617)</f>
        <v/>
      </c>
      <c r="Q2612" s="10" t="str">
        <f>IF('[1]All Data '!BB2617="","",'[1]All Data '!BB2617)</f>
        <v/>
      </c>
      <c r="R2612" s="10" t="str">
        <f>IF('[1]All Data '!BD2617="","",'[1]All Data '!BD2617)</f>
        <v/>
      </c>
      <c r="S2612" s="11" t="str">
        <f>IF(R2612="","",'[1]All Data '!BE2617)</f>
        <v/>
      </c>
      <c r="T2612" s="12" t="str">
        <f>IF(S2612="","",[1]Inputs_Outputs!$B$8*(1-'LOCH Calc COE Calc'!S2612))</f>
        <v/>
      </c>
      <c r="U2612" s="13" t="str">
        <f t="shared" si="201"/>
        <v/>
      </c>
      <c r="V2612" s="13" t="str">
        <f t="shared" si="202"/>
        <v/>
      </c>
      <c r="W2612" s="4" t="str">
        <f t="shared" si="203"/>
        <v/>
      </c>
      <c r="X2612" t="str">
        <f>IF(W2612="","",LOOKUP(_xlfn.CONCAT(P2612,", ",Q2612),'[1]T+S Costs'!$F$2:$F$3138,'[1]T+S Costs'!$N$2:$N$3138))</f>
        <v/>
      </c>
      <c r="Y2612" s="14" t="str">
        <f t="shared" si="204"/>
        <v/>
      </c>
      <c r="Z2612" s="4" t="str">
        <f t="shared" si="205"/>
        <v/>
      </c>
    </row>
    <row r="2613" spans="16:26" x14ac:dyDescent="0.25">
      <c r="P2613" s="10" t="str">
        <f>IF('[1]All Data '!AZ2618="","",'[1]All Data '!AZ2618)</f>
        <v/>
      </c>
      <c r="Q2613" s="10" t="str">
        <f>IF('[1]All Data '!BB2618="","",'[1]All Data '!BB2618)</f>
        <v/>
      </c>
      <c r="R2613" s="10" t="str">
        <f>IF('[1]All Data '!BD2618="","",'[1]All Data '!BD2618)</f>
        <v/>
      </c>
      <c r="S2613" s="11" t="str">
        <f>IF(R2613="","",'[1]All Data '!BE2618)</f>
        <v/>
      </c>
      <c r="T2613" s="12" t="str">
        <f>IF(S2613="","",[1]Inputs_Outputs!$B$8*(1-'LOCH Calc COE Calc'!S2613))</f>
        <v/>
      </c>
      <c r="U2613" s="13" t="str">
        <f t="shared" si="201"/>
        <v/>
      </c>
      <c r="V2613" s="13" t="str">
        <f t="shared" si="202"/>
        <v/>
      </c>
      <c r="W2613" s="4" t="str">
        <f t="shared" si="203"/>
        <v/>
      </c>
      <c r="X2613" t="str">
        <f>IF(W2613="","",LOOKUP(_xlfn.CONCAT(P2613,", ",Q2613),'[1]T+S Costs'!$F$2:$F$3138,'[1]T+S Costs'!$N$2:$N$3138))</f>
        <v/>
      </c>
      <c r="Y2613" s="14" t="str">
        <f t="shared" si="204"/>
        <v/>
      </c>
      <c r="Z2613" s="4" t="str">
        <f t="shared" si="205"/>
        <v/>
      </c>
    </row>
    <row r="2614" spans="16:26" x14ac:dyDescent="0.25">
      <c r="P2614" s="10" t="str">
        <f>IF('[1]All Data '!AZ2619="","",'[1]All Data '!AZ2619)</f>
        <v/>
      </c>
      <c r="Q2614" s="10" t="str">
        <f>IF('[1]All Data '!BB2619="","",'[1]All Data '!BB2619)</f>
        <v/>
      </c>
      <c r="R2614" s="10" t="str">
        <f>IF('[1]All Data '!BD2619="","",'[1]All Data '!BD2619)</f>
        <v/>
      </c>
      <c r="S2614" s="11" t="str">
        <f>IF(R2614="","",'[1]All Data '!BE2619)</f>
        <v/>
      </c>
      <c r="T2614" s="12" t="str">
        <f>IF(S2614="","",[1]Inputs_Outputs!$B$8*(1-'LOCH Calc COE Calc'!S2614))</f>
        <v/>
      </c>
      <c r="U2614" s="13" t="str">
        <f t="shared" si="201"/>
        <v/>
      </c>
      <c r="V2614" s="13" t="str">
        <f t="shared" si="202"/>
        <v/>
      </c>
      <c r="W2614" s="4" t="str">
        <f t="shared" si="203"/>
        <v/>
      </c>
      <c r="X2614" t="str">
        <f>IF(W2614="","",LOOKUP(_xlfn.CONCAT(P2614,", ",Q2614),'[1]T+S Costs'!$F$2:$F$3138,'[1]T+S Costs'!$N$2:$N$3138))</f>
        <v/>
      </c>
      <c r="Y2614" s="14" t="str">
        <f t="shared" si="204"/>
        <v/>
      </c>
      <c r="Z2614" s="4" t="str">
        <f t="shared" si="205"/>
        <v/>
      </c>
    </row>
    <row r="2615" spans="16:26" x14ac:dyDescent="0.25">
      <c r="P2615" s="10" t="str">
        <f>IF('[1]All Data '!AZ2620="","",'[1]All Data '!AZ2620)</f>
        <v/>
      </c>
      <c r="Q2615" s="10" t="str">
        <f>IF('[1]All Data '!BB2620="","",'[1]All Data '!BB2620)</f>
        <v/>
      </c>
      <c r="R2615" s="10" t="str">
        <f>IF('[1]All Data '!BD2620="","",'[1]All Data '!BD2620)</f>
        <v/>
      </c>
      <c r="S2615" s="11" t="str">
        <f>IF(R2615="","",'[1]All Data '!BE2620)</f>
        <v/>
      </c>
      <c r="T2615" s="12" t="str">
        <f>IF(S2615="","",[1]Inputs_Outputs!$B$8*(1-'LOCH Calc COE Calc'!S2615))</f>
        <v/>
      </c>
      <c r="U2615" s="13" t="str">
        <f t="shared" si="201"/>
        <v/>
      </c>
      <c r="V2615" s="13" t="str">
        <f t="shared" si="202"/>
        <v/>
      </c>
      <c r="W2615" s="4" t="str">
        <f t="shared" si="203"/>
        <v/>
      </c>
      <c r="X2615" t="str">
        <f>IF(W2615="","",LOOKUP(_xlfn.CONCAT(P2615,", ",Q2615),'[1]T+S Costs'!$F$2:$F$3138,'[1]T+S Costs'!$N$2:$N$3138))</f>
        <v/>
      </c>
      <c r="Y2615" s="14" t="str">
        <f t="shared" si="204"/>
        <v/>
      </c>
      <c r="Z2615" s="4" t="str">
        <f t="shared" si="205"/>
        <v/>
      </c>
    </row>
    <row r="2616" spans="16:26" x14ac:dyDescent="0.25">
      <c r="P2616" s="10" t="str">
        <f>IF('[1]All Data '!AZ2621="","",'[1]All Data '!AZ2621)</f>
        <v/>
      </c>
      <c r="Q2616" s="10" t="str">
        <f>IF('[1]All Data '!BB2621="","",'[1]All Data '!BB2621)</f>
        <v/>
      </c>
      <c r="R2616" s="10" t="str">
        <f>IF('[1]All Data '!BD2621="","",'[1]All Data '!BD2621)</f>
        <v/>
      </c>
      <c r="S2616" s="11" t="str">
        <f>IF(R2616="","",'[1]All Data '!BE2621)</f>
        <v/>
      </c>
      <c r="T2616" s="12" t="str">
        <f>IF(S2616="","",[1]Inputs_Outputs!$B$8*(1-'LOCH Calc COE Calc'!S2616))</f>
        <v/>
      </c>
      <c r="U2616" s="13" t="str">
        <f t="shared" si="201"/>
        <v/>
      </c>
      <c r="V2616" s="13" t="str">
        <f t="shared" si="202"/>
        <v/>
      </c>
      <c r="W2616" s="4" t="str">
        <f t="shared" si="203"/>
        <v/>
      </c>
      <c r="X2616" t="str">
        <f>IF(W2616="","",LOOKUP(_xlfn.CONCAT(P2616,", ",Q2616),'[1]T+S Costs'!$F$2:$F$3138,'[1]T+S Costs'!$N$2:$N$3138))</f>
        <v/>
      </c>
      <c r="Y2616" s="14" t="str">
        <f t="shared" si="204"/>
        <v/>
      </c>
      <c r="Z2616" s="4" t="str">
        <f t="shared" si="205"/>
        <v/>
      </c>
    </row>
    <row r="2617" spans="16:26" x14ac:dyDescent="0.25">
      <c r="P2617" s="10" t="str">
        <f>IF('[1]All Data '!AZ2622="","",'[1]All Data '!AZ2622)</f>
        <v/>
      </c>
      <c r="Q2617" s="10" t="str">
        <f>IF('[1]All Data '!BB2622="","",'[1]All Data '!BB2622)</f>
        <v/>
      </c>
      <c r="R2617" s="10" t="str">
        <f>IF('[1]All Data '!BD2622="","",'[1]All Data '!BD2622)</f>
        <v/>
      </c>
      <c r="S2617" s="11" t="str">
        <f>IF(R2617="","",'[1]All Data '!BE2622)</f>
        <v/>
      </c>
      <c r="T2617" s="12" t="str">
        <f>IF(S2617="","",[1]Inputs_Outputs!$B$8*(1-'LOCH Calc COE Calc'!S2617))</f>
        <v/>
      </c>
      <c r="U2617" s="13" t="str">
        <f t="shared" si="201"/>
        <v/>
      </c>
      <c r="V2617" s="13" t="str">
        <f t="shared" si="202"/>
        <v/>
      </c>
      <c r="W2617" s="4" t="str">
        <f t="shared" si="203"/>
        <v/>
      </c>
      <c r="X2617" t="str">
        <f>IF(W2617="","",LOOKUP(_xlfn.CONCAT(P2617,", ",Q2617),'[1]T+S Costs'!$F$2:$F$3138,'[1]T+S Costs'!$N$2:$N$3138))</f>
        <v/>
      </c>
      <c r="Y2617" s="14" t="str">
        <f t="shared" si="204"/>
        <v/>
      </c>
      <c r="Z2617" s="4" t="str">
        <f t="shared" si="205"/>
        <v/>
      </c>
    </row>
    <row r="2618" spans="16:26" x14ac:dyDescent="0.25">
      <c r="P2618" s="10" t="str">
        <f>IF('[1]All Data '!AZ2623="","",'[1]All Data '!AZ2623)</f>
        <v/>
      </c>
      <c r="Q2618" s="10" t="str">
        <f>IF('[1]All Data '!BB2623="","",'[1]All Data '!BB2623)</f>
        <v/>
      </c>
      <c r="R2618" s="10" t="str">
        <f>IF('[1]All Data '!BD2623="","",'[1]All Data '!BD2623)</f>
        <v/>
      </c>
      <c r="S2618" s="11" t="str">
        <f>IF(R2618="","",'[1]All Data '!BE2623)</f>
        <v/>
      </c>
      <c r="T2618" s="12" t="str">
        <f>IF(S2618="","",[1]Inputs_Outputs!$B$8*(1-'LOCH Calc COE Calc'!S2618))</f>
        <v/>
      </c>
      <c r="U2618" s="13" t="str">
        <f t="shared" si="201"/>
        <v/>
      </c>
      <c r="V2618" s="13" t="str">
        <f t="shared" si="202"/>
        <v/>
      </c>
      <c r="W2618" s="4" t="str">
        <f t="shared" si="203"/>
        <v/>
      </c>
      <c r="X2618" t="str">
        <f>IF(W2618="","",LOOKUP(_xlfn.CONCAT(P2618,", ",Q2618),'[1]T+S Costs'!$F$2:$F$3138,'[1]T+S Costs'!$N$2:$N$3138))</f>
        <v/>
      </c>
      <c r="Y2618" s="14" t="str">
        <f t="shared" si="204"/>
        <v/>
      </c>
      <c r="Z2618" s="4" t="str">
        <f t="shared" si="205"/>
        <v/>
      </c>
    </row>
    <row r="2619" spans="16:26" x14ac:dyDescent="0.25">
      <c r="P2619" s="10" t="str">
        <f>IF('[1]All Data '!AZ2624="","",'[1]All Data '!AZ2624)</f>
        <v/>
      </c>
      <c r="Q2619" s="10" t="str">
        <f>IF('[1]All Data '!BB2624="","",'[1]All Data '!BB2624)</f>
        <v/>
      </c>
      <c r="R2619" s="10" t="str">
        <f>IF('[1]All Data '!BD2624="","",'[1]All Data '!BD2624)</f>
        <v/>
      </c>
      <c r="S2619" s="11" t="str">
        <f>IF(R2619="","",'[1]All Data '!BE2624)</f>
        <v/>
      </c>
      <c r="T2619" s="12" t="str">
        <f>IF(S2619="","",[1]Inputs_Outputs!$B$8*(1-'LOCH Calc COE Calc'!S2619))</f>
        <v/>
      </c>
      <c r="U2619" s="13" t="str">
        <f t="shared" si="201"/>
        <v/>
      </c>
      <c r="V2619" s="13" t="str">
        <f t="shared" si="202"/>
        <v/>
      </c>
      <c r="W2619" s="4" t="str">
        <f t="shared" si="203"/>
        <v/>
      </c>
      <c r="X2619" t="str">
        <f>IF(W2619="","",LOOKUP(_xlfn.CONCAT(P2619,", ",Q2619),'[1]T+S Costs'!$F$2:$F$3138,'[1]T+S Costs'!$N$2:$N$3138))</f>
        <v/>
      </c>
      <c r="Y2619" s="14" t="str">
        <f t="shared" si="204"/>
        <v/>
      </c>
      <c r="Z2619" s="4" t="str">
        <f t="shared" si="205"/>
        <v/>
      </c>
    </row>
    <row r="2620" spans="16:26" x14ac:dyDescent="0.25">
      <c r="P2620" s="10" t="str">
        <f>IF('[1]All Data '!AZ2625="","",'[1]All Data '!AZ2625)</f>
        <v/>
      </c>
      <c r="Q2620" s="10" t="str">
        <f>IF('[1]All Data '!BB2625="","",'[1]All Data '!BB2625)</f>
        <v/>
      </c>
      <c r="R2620" s="10" t="str">
        <f>IF('[1]All Data '!BD2625="","",'[1]All Data '!BD2625)</f>
        <v/>
      </c>
      <c r="S2620" s="11" t="str">
        <f>IF(R2620="","",'[1]All Data '!BE2625)</f>
        <v/>
      </c>
      <c r="T2620" s="12" t="str">
        <f>IF(S2620="","",[1]Inputs_Outputs!$B$8*(1-'LOCH Calc COE Calc'!S2620))</f>
        <v/>
      </c>
      <c r="U2620" s="13" t="str">
        <f t="shared" si="201"/>
        <v/>
      </c>
      <c r="V2620" s="13" t="str">
        <f t="shared" si="202"/>
        <v/>
      </c>
      <c r="W2620" s="4" t="str">
        <f t="shared" si="203"/>
        <v/>
      </c>
      <c r="X2620" t="str">
        <f>IF(W2620="","",LOOKUP(_xlfn.CONCAT(P2620,", ",Q2620),'[1]T+S Costs'!$F$2:$F$3138,'[1]T+S Costs'!$N$2:$N$3138))</f>
        <v/>
      </c>
      <c r="Y2620" s="14" t="str">
        <f t="shared" si="204"/>
        <v/>
      </c>
      <c r="Z2620" s="4" t="str">
        <f t="shared" si="205"/>
        <v/>
      </c>
    </row>
    <row r="2621" spans="16:26" x14ac:dyDescent="0.25">
      <c r="P2621" s="10" t="str">
        <f>IF('[1]All Data '!AZ2626="","",'[1]All Data '!AZ2626)</f>
        <v/>
      </c>
      <c r="Q2621" s="10" t="str">
        <f>IF('[1]All Data '!BB2626="","",'[1]All Data '!BB2626)</f>
        <v/>
      </c>
      <c r="R2621" s="10" t="str">
        <f>IF('[1]All Data '!BD2626="","",'[1]All Data '!BD2626)</f>
        <v/>
      </c>
      <c r="S2621" s="11" t="str">
        <f>IF(R2621="","",'[1]All Data '!BE2626)</f>
        <v/>
      </c>
      <c r="T2621" s="12" t="str">
        <f>IF(S2621="","",[1]Inputs_Outputs!$B$8*(1-'LOCH Calc COE Calc'!S2621))</f>
        <v/>
      </c>
      <c r="U2621" s="13" t="str">
        <f t="shared" si="201"/>
        <v/>
      </c>
      <c r="V2621" s="13" t="str">
        <f t="shared" si="202"/>
        <v/>
      </c>
      <c r="W2621" s="4" t="str">
        <f t="shared" si="203"/>
        <v/>
      </c>
      <c r="X2621" t="str">
        <f>IF(W2621="","",LOOKUP(_xlfn.CONCAT(P2621,", ",Q2621),'[1]T+S Costs'!$F$2:$F$3138,'[1]T+S Costs'!$N$2:$N$3138))</f>
        <v/>
      </c>
      <c r="Y2621" s="14" t="str">
        <f t="shared" si="204"/>
        <v/>
      </c>
      <c r="Z2621" s="4" t="str">
        <f t="shared" si="205"/>
        <v/>
      </c>
    </row>
    <row r="2622" spans="16:26" x14ac:dyDescent="0.25">
      <c r="P2622" s="10" t="str">
        <f>IF('[1]All Data '!AZ2627="","",'[1]All Data '!AZ2627)</f>
        <v/>
      </c>
      <c r="Q2622" s="10" t="str">
        <f>IF('[1]All Data '!BB2627="","",'[1]All Data '!BB2627)</f>
        <v/>
      </c>
      <c r="R2622" s="10" t="str">
        <f>IF('[1]All Data '!BD2627="","",'[1]All Data '!BD2627)</f>
        <v/>
      </c>
      <c r="S2622" s="11" t="str">
        <f>IF(R2622="","",'[1]All Data '!BE2627)</f>
        <v/>
      </c>
      <c r="T2622" s="12" t="str">
        <f>IF(S2622="","",[1]Inputs_Outputs!$B$8*(1-'LOCH Calc COE Calc'!S2622))</f>
        <v/>
      </c>
      <c r="U2622" s="13" t="str">
        <f t="shared" si="201"/>
        <v/>
      </c>
      <c r="V2622" s="13" t="str">
        <f t="shared" si="202"/>
        <v/>
      </c>
      <c r="W2622" s="4" t="str">
        <f t="shared" si="203"/>
        <v/>
      </c>
      <c r="X2622" t="str">
        <f>IF(W2622="","",LOOKUP(_xlfn.CONCAT(P2622,", ",Q2622),'[1]T+S Costs'!$F$2:$F$3138,'[1]T+S Costs'!$N$2:$N$3138))</f>
        <v/>
      </c>
      <c r="Y2622" s="14" t="str">
        <f t="shared" si="204"/>
        <v/>
      </c>
      <c r="Z2622" s="4" t="str">
        <f t="shared" si="205"/>
        <v/>
      </c>
    </row>
    <row r="2623" spans="16:26" x14ac:dyDescent="0.25">
      <c r="P2623" s="10" t="str">
        <f>IF('[1]All Data '!AZ2628="","",'[1]All Data '!AZ2628)</f>
        <v/>
      </c>
      <c r="Q2623" s="10" t="str">
        <f>IF('[1]All Data '!BB2628="","",'[1]All Data '!BB2628)</f>
        <v/>
      </c>
      <c r="R2623" s="10" t="str">
        <f>IF('[1]All Data '!BD2628="","",'[1]All Data '!BD2628)</f>
        <v/>
      </c>
      <c r="S2623" s="11" t="str">
        <f>IF(R2623="","",'[1]All Data '!BE2628)</f>
        <v/>
      </c>
      <c r="T2623" s="12" t="str">
        <f>IF(S2623="","",[1]Inputs_Outputs!$B$8*(1-'LOCH Calc COE Calc'!S2623))</f>
        <v/>
      </c>
      <c r="U2623" s="13" t="str">
        <f t="shared" si="201"/>
        <v/>
      </c>
      <c r="V2623" s="13" t="str">
        <f t="shared" si="202"/>
        <v/>
      </c>
      <c r="W2623" s="4" t="str">
        <f t="shared" si="203"/>
        <v/>
      </c>
      <c r="X2623" t="str">
        <f>IF(W2623="","",LOOKUP(_xlfn.CONCAT(P2623,", ",Q2623),'[1]T+S Costs'!$F$2:$F$3138,'[1]T+S Costs'!$N$2:$N$3138))</f>
        <v/>
      </c>
      <c r="Y2623" s="14" t="str">
        <f t="shared" si="204"/>
        <v/>
      </c>
      <c r="Z2623" s="4" t="str">
        <f t="shared" si="205"/>
        <v/>
      </c>
    </row>
    <row r="2624" spans="16:26" x14ac:dyDescent="0.25">
      <c r="P2624" s="10" t="str">
        <f>IF('[1]All Data '!AZ2629="","",'[1]All Data '!AZ2629)</f>
        <v/>
      </c>
      <c r="Q2624" s="10" t="str">
        <f>IF('[1]All Data '!BB2629="","",'[1]All Data '!BB2629)</f>
        <v/>
      </c>
      <c r="R2624" s="10" t="str">
        <f>IF('[1]All Data '!BD2629="","",'[1]All Data '!BD2629)</f>
        <v/>
      </c>
      <c r="S2624" s="11" t="str">
        <f>IF(R2624="","",'[1]All Data '!BE2629)</f>
        <v/>
      </c>
      <c r="T2624" s="12" t="str">
        <f>IF(S2624="","",[1]Inputs_Outputs!$B$8*(1-'LOCH Calc COE Calc'!S2624))</f>
        <v/>
      </c>
      <c r="U2624" s="13" t="str">
        <f t="shared" si="201"/>
        <v/>
      </c>
      <c r="V2624" s="13" t="str">
        <f t="shared" si="202"/>
        <v/>
      </c>
      <c r="W2624" s="4" t="str">
        <f t="shared" si="203"/>
        <v/>
      </c>
      <c r="X2624" t="str">
        <f>IF(W2624="","",LOOKUP(_xlfn.CONCAT(P2624,", ",Q2624),'[1]T+S Costs'!$F$2:$F$3138,'[1]T+S Costs'!$N$2:$N$3138))</f>
        <v/>
      </c>
      <c r="Y2624" s="14" t="str">
        <f t="shared" si="204"/>
        <v/>
      </c>
      <c r="Z2624" s="4" t="str">
        <f t="shared" si="205"/>
        <v/>
      </c>
    </row>
    <row r="2625" spans="16:26" x14ac:dyDescent="0.25">
      <c r="P2625" s="10" t="str">
        <f>IF('[1]All Data '!AZ2630="","",'[1]All Data '!AZ2630)</f>
        <v/>
      </c>
      <c r="Q2625" s="10" t="str">
        <f>IF('[1]All Data '!BB2630="","",'[1]All Data '!BB2630)</f>
        <v/>
      </c>
      <c r="R2625" s="10" t="str">
        <f>IF('[1]All Data '!BD2630="","",'[1]All Data '!BD2630)</f>
        <v/>
      </c>
      <c r="S2625" s="11" t="str">
        <f>IF(R2625="","",'[1]All Data '!BE2630)</f>
        <v/>
      </c>
      <c r="T2625" s="12" t="str">
        <f>IF(S2625="","",[1]Inputs_Outputs!$B$8*(1-'LOCH Calc COE Calc'!S2625))</f>
        <v/>
      </c>
      <c r="U2625" s="13" t="str">
        <f t="shared" si="201"/>
        <v/>
      </c>
      <c r="V2625" s="13" t="str">
        <f t="shared" si="202"/>
        <v/>
      </c>
      <c r="W2625" s="4" t="str">
        <f t="shared" si="203"/>
        <v/>
      </c>
      <c r="X2625" t="str">
        <f>IF(W2625="","",LOOKUP(_xlfn.CONCAT(P2625,", ",Q2625),'[1]T+S Costs'!$F$2:$F$3138,'[1]T+S Costs'!$N$2:$N$3138))</f>
        <v/>
      </c>
      <c r="Y2625" s="14" t="str">
        <f t="shared" si="204"/>
        <v/>
      </c>
      <c r="Z2625" s="4" t="str">
        <f t="shared" si="205"/>
        <v/>
      </c>
    </row>
    <row r="2626" spans="16:26" x14ac:dyDescent="0.25">
      <c r="P2626" s="10" t="str">
        <f>IF('[1]All Data '!AZ2631="","",'[1]All Data '!AZ2631)</f>
        <v/>
      </c>
      <c r="Q2626" s="10" t="str">
        <f>IF('[1]All Data '!BB2631="","",'[1]All Data '!BB2631)</f>
        <v/>
      </c>
      <c r="R2626" s="10" t="str">
        <f>IF('[1]All Data '!BD2631="","",'[1]All Data '!BD2631)</f>
        <v/>
      </c>
      <c r="S2626" s="11" t="str">
        <f>IF(R2626="","",'[1]All Data '!BE2631)</f>
        <v/>
      </c>
      <c r="T2626" s="12" t="str">
        <f>IF(S2626="","",[1]Inputs_Outputs!$B$8*(1-'LOCH Calc COE Calc'!S2626))</f>
        <v/>
      </c>
      <c r="U2626" s="13" t="str">
        <f t="shared" si="201"/>
        <v/>
      </c>
      <c r="V2626" s="13" t="str">
        <f t="shared" si="202"/>
        <v/>
      </c>
      <c r="W2626" s="4" t="str">
        <f t="shared" si="203"/>
        <v/>
      </c>
      <c r="X2626" t="str">
        <f>IF(W2626="","",LOOKUP(_xlfn.CONCAT(P2626,", ",Q2626),'[1]T+S Costs'!$F$2:$F$3138,'[1]T+S Costs'!$N$2:$N$3138))</f>
        <v/>
      </c>
      <c r="Y2626" s="14" t="str">
        <f t="shared" si="204"/>
        <v/>
      </c>
      <c r="Z2626" s="4" t="str">
        <f t="shared" si="205"/>
        <v/>
      </c>
    </row>
    <row r="2627" spans="16:26" x14ac:dyDescent="0.25">
      <c r="P2627" s="10" t="str">
        <f>IF('[1]All Data '!AZ2632="","",'[1]All Data '!AZ2632)</f>
        <v/>
      </c>
      <c r="Q2627" s="10" t="str">
        <f>IF('[1]All Data '!BB2632="","",'[1]All Data '!BB2632)</f>
        <v/>
      </c>
      <c r="R2627" s="10" t="str">
        <f>IF('[1]All Data '!BD2632="","",'[1]All Data '!BD2632)</f>
        <v/>
      </c>
      <c r="S2627" s="11" t="str">
        <f>IF(R2627="","",'[1]All Data '!BE2632)</f>
        <v/>
      </c>
      <c r="T2627" s="12" t="str">
        <f>IF(S2627="","",[1]Inputs_Outputs!$B$8*(1-'LOCH Calc COE Calc'!S2627))</f>
        <v/>
      </c>
      <c r="U2627" s="13" t="str">
        <f t="shared" ref="U2627:U2658" si="206">IF(S2627="","",R2627*T2627*365*$B$19/100)</f>
        <v/>
      </c>
      <c r="V2627" s="13" t="str">
        <f t="shared" ref="V2627:V2658" si="207">IF(S2627="","",(U2627*$B$19)/(($B$28)*$B$19))</f>
        <v/>
      </c>
      <c r="W2627" s="4" t="str">
        <f t="shared" ref="W2627:W2658" si="208">IF(S2627="","",V2627+$C$49+$C$50+$C$51)</f>
        <v/>
      </c>
      <c r="X2627" t="str">
        <f>IF(W2627="","",LOOKUP(_xlfn.CONCAT(P2627,", ",Q2627),'[1]T+S Costs'!$F$2:$F$3138,'[1]T+S Costs'!$N$2:$N$3138))</f>
        <v/>
      </c>
      <c r="Y2627" s="14" t="str">
        <f t="shared" ref="Y2627:Y2690" si="209">IF(X2627="","",((X2627*$B$60/$B$59)*$C$44)/$C$28)</f>
        <v/>
      </c>
      <c r="Z2627" s="4" t="str">
        <f t="shared" ref="Z2627:Z2690" si="210">IF(Y2627="","",W2627+Y2627)</f>
        <v/>
      </c>
    </row>
    <row r="2628" spans="16:26" x14ac:dyDescent="0.25">
      <c r="P2628" s="10" t="str">
        <f>IF('[1]All Data '!AZ2633="","",'[1]All Data '!AZ2633)</f>
        <v/>
      </c>
      <c r="Q2628" s="10" t="str">
        <f>IF('[1]All Data '!BB2633="","",'[1]All Data '!BB2633)</f>
        <v/>
      </c>
      <c r="R2628" s="10" t="str">
        <f>IF('[1]All Data '!BD2633="","",'[1]All Data '!BD2633)</f>
        <v/>
      </c>
      <c r="S2628" s="11" t="str">
        <f>IF(R2628="","",'[1]All Data '!BE2633)</f>
        <v/>
      </c>
      <c r="T2628" s="12" t="str">
        <f>IF(S2628="","",[1]Inputs_Outputs!$B$8*(1-'LOCH Calc COE Calc'!S2628))</f>
        <v/>
      </c>
      <c r="U2628" s="13" t="str">
        <f t="shared" si="206"/>
        <v/>
      </c>
      <c r="V2628" s="13" t="str">
        <f t="shared" si="207"/>
        <v/>
      </c>
      <c r="W2628" s="4" t="str">
        <f t="shared" si="208"/>
        <v/>
      </c>
      <c r="X2628" t="str">
        <f>IF(W2628="","",LOOKUP(_xlfn.CONCAT(P2628,", ",Q2628),'[1]T+S Costs'!$F$2:$F$3138,'[1]T+S Costs'!$N$2:$N$3138))</f>
        <v/>
      </c>
      <c r="Y2628" s="14" t="str">
        <f t="shared" si="209"/>
        <v/>
      </c>
      <c r="Z2628" s="4" t="str">
        <f t="shared" si="210"/>
        <v/>
      </c>
    </row>
    <row r="2629" spans="16:26" x14ac:dyDescent="0.25">
      <c r="P2629" s="10" t="str">
        <f>IF('[1]All Data '!AZ2634="","",'[1]All Data '!AZ2634)</f>
        <v/>
      </c>
      <c r="Q2629" s="10" t="str">
        <f>IF('[1]All Data '!BB2634="","",'[1]All Data '!BB2634)</f>
        <v/>
      </c>
      <c r="R2629" s="10" t="str">
        <f>IF('[1]All Data '!BD2634="","",'[1]All Data '!BD2634)</f>
        <v/>
      </c>
      <c r="S2629" s="11" t="str">
        <f>IF(R2629="","",'[1]All Data '!BE2634)</f>
        <v/>
      </c>
      <c r="T2629" s="12" t="str">
        <f>IF(S2629="","",[1]Inputs_Outputs!$B$8*(1-'LOCH Calc COE Calc'!S2629))</f>
        <v/>
      </c>
      <c r="U2629" s="13" t="str">
        <f t="shared" si="206"/>
        <v/>
      </c>
      <c r="V2629" s="13" t="str">
        <f t="shared" si="207"/>
        <v/>
      </c>
      <c r="W2629" s="4" t="str">
        <f t="shared" si="208"/>
        <v/>
      </c>
      <c r="X2629" t="str">
        <f>IF(W2629="","",LOOKUP(_xlfn.CONCAT(P2629,", ",Q2629),'[1]T+S Costs'!$F$2:$F$3138,'[1]T+S Costs'!$N$2:$N$3138))</f>
        <v/>
      </c>
      <c r="Y2629" s="14" t="str">
        <f t="shared" si="209"/>
        <v/>
      </c>
      <c r="Z2629" s="4" t="str">
        <f t="shared" si="210"/>
        <v/>
      </c>
    </row>
    <row r="2630" spans="16:26" x14ac:dyDescent="0.25">
      <c r="P2630" s="10" t="str">
        <f>IF('[1]All Data '!AZ2635="","",'[1]All Data '!AZ2635)</f>
        <v/>
      </c>
      <c r="Q2630" s="10" t="str">
        <f>IF('[1]All Data '!BB2635="","",'[1]All Data '!BB2635)</f>
        <v/>
      </c>
      <c r="R2630" s="10" t="str">
        <f>IF('[1]All Data '!BD2635="","",'[1]All Data '!BD2635)</f>
        <v/>
      </c>
      <c r="S2630" s="11" t="str">
        <f>IF(R2630="","",'[1]All Data '!BE2635)</f>
        <v/>
      </c>
      <c r="T2630" s="12" t="str">
        <f>IF(S2630="","",[1]Inputs_Outputs!$B$8*(1-'LOCH Calc COE Calc'!S2630))</f>
        <v/>
      </c>
      <c r="U2630" s="13" t="str">
        <f t="shared" si="206"/>
        <v/>
      </c>
      <c r="V2630" s="13" t="str">
        <f t="shared" si="207"/>
        <v/>
      </c>
      <c r="W2630" s="4" t="str">
        <f t="shared" si="208"/>
        <v/>
      </c>
      <c r="X2630" t="str">
        <f>IF(W2630="","",LOOKUP(_xlfn.CONCAT(P2630,", ",Q2630),'[1]T+S Costs'!$F$2:$F$3138,'[1]T+S Costs'!$N$2:$N$3138))</f>
        <v/>
      </c>
      <c r="Y2630" s="14" t="str">
        <f t="shared" si="209"/>
        <v/>
      </c>
      <c r="Z2630" s="4" t="str">
        <f t="shared" si="210"/>
        <v/>
      </c>
    </row>
    <row r="2631" spans="16:26" x14ac:dyDescent="0.25">
      <c r="P2631" s="10" t="str">
        <f>IF('[1]All Data '!AZ2636="","",'[1]All Data '!AZ2636)</f>
        <v/>
      </c>
      <c r="Q2631" s="10" t="str">
        <f>IF('[1]All Data '!BB2636="","",'[1]All Data '!BB2636)</f>
        <v/>
      </c>
      <c r="R2631" s="10" t="str">
        <f>IF('[1]All Data '!BD2636="","",'[1]All Data '!BD2636)</f>
        <v/>
      </c>
      <c r="S2631" s="11" t="str">
        <f>IF(R2631="","",'[1]All Data '!BE2636)</f>
        <v/>
      </c>
      <c r="T2631" s="12" t="str">
        <f>IF(S2631="","",[1]Inputs_Outputs!$B$8*(1-'LOCH Calc COE Calc'!S2631))</f>
        <v/>
      </c>
      <c r="U2631" s="13" t="str">
        <f t="shared" si="206"/>
        <v/>
      </c>
      <c r="V2631" s="13" t="str">
        <f t="shared" si="207"/>
        <v/>
      </c>
      <c r="W2631" s="4" t="str">
        <f t="shared" si="208"/>
        <v/>
      </c>
      <c r="X2631" t="str">
        <f>IF(W2631="","",LOOKUP(_xlfn.CONCAT(P2631,", ",Q2631),'[1]T+S Costs'!$F$2:$F$3138,'[1]T+S Costs'!$N$2:$N$3138))</f>
        <v/>
      </c>
      <c r="Y2631" s="14" t="str">
        <f t="shared" si="209"/>
        <v/>
      </c>
      <c r="Z2631" s="4" t="str">
        <f t="shared" si="210"/>
        <v/>
      </c>
    </row>
    <row r="2632" spans="16:26" x14ac:dyDescent="0.25">
      <c r="P2632" s="10" t="str">
        <f>IF('[1]All Data '!AZ2637="","",'[1]All Data '!AZ2637)</f>
        <v/>
      </c>
      <c r="Q2632" s="10" t="str">
        <f>IF('[1]All Data '!BB2637="","",'[1]All Data '!BB2637)</f>
        <v/>
      </c>
      <c r="R2632" s="10" t="str">
        <f>IF('[1]All Data '!BD2637="","",'[1]All Data '!BD2637)</f>
        <v/>
      </c>
      <c r="S2632" s="11" t="str">
        <f>IF(R2632="","",'[1]All Data '!BE2637)</f>
        <v/>
      </c>
      <c r="T2632" s="12" t="str">
        <f>IF(S2632="","",[1]Inputs_Outputs!$B$8*(1-'LOCH Calc COE Calc'!S2632))</f>
        <v/>
      </c>
      <c r="U2632" s="13" t="str">
        <f t="shared" si="206"/>
        <v/>
      </c>
      <c r="V2632" s="13" t="str">
        <f t="shared" si="207"/>
        <v/>
      </c>
      <c r="W2632" s="4" t="str">
        <f t="shared" si="208"/>
        <v/>
      </c>
      <c r="X2632" t="str">
        <f>IF(W2632="","",LOOKUP(_xlfn.CONCAT(P2632,", ",Q2632),'[1]T+S Costs'!$F$2:$F$3138,'[1]T+S Costs'!$N$2:$N$3138))</f>
        <v/>
      </c>
      <c r="Y2632" s="14" t="str">
        <f t="shared" si="209"/>
        <v/>
      </c>
      <c r="Z2632" s="4" t="str">
        <f t="shared" si="210"/>
        <v/>
      </c>
    </row>
    <row r="2633" spans="16:26" x14ac:dyDescent="0.25">
      <c r="P2633" s="10" t="str">
        <f>IF('[1]All Data '!AZ2638="","",'[1]All Data '!AZ2638)</f>
        <v/>
      </c>
      <c r="Q2633" s="10" t="str">
        <f>IF('[1]All Data '!BB2638="","",'[1]All Data '!BB2638)</f>
        <v/>
      </c>
      <c r="R2633" s="10" t="str">
        <f>IF('[1]All Data '!BD2638="","",'[1]All Data '!BD2638)</f>
        <v/>
      </c>
      <c r="S2633" s="11" t="str">
        <f>IF(R2633="","",'[1]All Data '!BE2638)</f>
        <v/>
      </c>
      <c r="T2633" s="12" t="str">
        <f>IF(S2633="","",[1]Inputs_Outputs!$B$8*(1-'LOCH Calc COE Calc'!S2633))</f>
        <v/>
      </c>
      <c r="U2633" s="13" t="str">
        <f t="shared" si="206"/>
        <v/>
      </c>
      <c r="V2633" s="13" t="str">
        <f t="shared" si="207"/>
        <v/>
      </c>
      <c r="W2633" s="4" t="str">
        <f t="shared" si="208"/>
        <v/>
      </c>
      <c r="X2633" t="str">
        <f>IF(W2633="","",LOOKUP(_xlfn.CONCAT(P2633,", ",Q2633),'[1]T+S Costs'!$F$2:$F$3138,'[1]T+S Costs'!$N$2:$N$3138))</f>
        <v/>
      </c>
      <c r="Y2633" s="14" t="str">
        <f t="shared" si="209"/>
        <v/>
      </c>
      <c r="Z2633" s="4" t="str">
        <f t="shared" si="210"/>
        <v/>
      </c>
    </row>
    <row r="2634" spans="16:26" x14ac:dyDescent="0.25">
      <c r="P2634" s="10" t="str">
        <f>IF('[1]All Data '!AZ2639="","",'[1]All Data '!AZ2639)</f>
        <v/>
      </c>
      <c r="Q2634" s="10" t="str">
        <f>IF('[1]All Data '!BB2639="","",'[1]All Data '!BB2639)</f>
        <v/>
      </c>
      <c r="R2634" s="10" t="str">
        <f>IF('[1]All Data '!BD2639="","",'[1]All Data '!BD2639)</f>
        <v/>
      </c>
      <c r="S2634" s="11" t="str">
        <f>IF(R2634="","",'[1]All Data '!BE2639)</f>
        <v/>
      </c>
      <c r="T2634" s="12" t="str">
        <f>IF(S2634="","",[1]Inputs_Outputs!$B$8*(1-'LOCH Calc COE Calc'!S2634))</f>
        <v/>
      </c>
      <c r="U2634" s="13" t="str">
        <f t="shared" si="206"/>
        <v/>
      </c>
      <c r="V2634" s="13" t="str">
        <f t="shared" si="207"/>
        <v/>
      </c>
      <c r="W2634" s="4" t="str">
        <f t="shared" si="208"/>
        <v/>
      </c>
      <c r="X2634" t="str">
        <f>IF(W2634="","",LOOKUP(_xlfn.CONCAT(P2634,", ",Q2634),'[1]T+S Costs'!$F$2:$F$3138,'[1]T+S Costs'!$N$2:$N$3138))</f>
        <v/>
      </c>
      <c r="Y2634" s="14" t="str">
        <f t="shared" si="209"/>
        <v/>
      </c>
      <c r="Z2634" s="4" t="str">
        <f t="shared" si="210"/>
        <v/>
      </c>
    </row>
    <row r="2635" spans="16:26" x14ac:dyDescent="0.25">
      <c r="P2635" s="10" t="str">
        <f>IF('[1]All Data '!AZ2640="","",'[1]All Data '!AZ2640)</f>
        <v/>
      </c>
      <c r="Q2635" s="10" t="str">
        <f>IF('[1]All Data '!BB2640="","",'[1]All Data '!BB2640)</f>
        <v/>
      </c>
      <c r="R2635" s="10" t="str">
        <f>IF('[1]All Data '!BD2640="","",'[1]All Data '!BD2640)</f>
        <v/>
      </c>
      <c r="S2635" s="11" t="str">
        <f>IF(R2635="","",'[1]All Data '!BE2640)</f>
        <v/>
      </c>
      <c r="T2635" s="12" t="str">
        <f>IF(S2635="","",[1]Inputs_Outputs!$B$8*(1-'LOCH Calc COE Calc'!S2635))</f>
        <v/>
      </c>
      <c r="U2635" s="13" t="str">
        <f t="shared" si="206"/>
        <v/>
      </c>
      <c r="V2635" s="13" t="str">
        <f t="shared" si="207"/>
        <v/>
      </c>
      <c r="W2635" s="4" t="str">
        <f t="shared" si="208"/>
        <v/>
      </c>
      <c r="X2635" t="str">
        <f>IF(W2635="","",LOOKUP(_xlfn.CONCAT(P2635,", ",Q2635),'[1]T+S Costs'!$F$2:$F$3138,'[1]T+S Costs'!$N$2:$N$3138))</f>
        <v/>
      </c>
      <c r="Y2635" s="14" t="str">
        <f t="shared" si="209"/>
        <v/>
      </c>
      <c r="Z2635" s="4" t="str">
        <f t="shared" si="210"/>
        <v/>
      </c>
    </row>
    <row r="2636" spans="16:26" x14ac:dyDescent="0.25">
      <c r="P2636" s="10" t="str">
        <f>IF('[1]All Data '!AZ2641="","",'[1]All Data '!AZ2641)</f>
        <v/>
      </c>
      <c r="Q2636" s="10" t="str">
        <f>IF('[1]All Data '!BB2641="","",'[1]All Data '!BB2641)</f>
        <v/>
      </c>
      <c r="R2636" s="10" t="str">
        <f>IF('[1]All Data '!BD2641="","",'[1]All Data '!BD2641)</f>
        <v/>
      </c>
      <c r="S2636" s="11" t="str">
        <f>IF(R2636="","",'[1]All Data '!BE2641)</f>
        <v/>
      </c>
      <c r="T2636" s="12" t="str">
        <f>IF(S2636="","",[1]Inputs_Outputs!$B$8*(1-'LOCH Calc COE Calc'!S2636))</f>
        <v/>
      </c>
      <c r="U2636" s="13" t="str">
        <f t="shared" si="206"/>
        <v/>
      </c>
      <c r="V2636" s="13" t="str">
        <f t="shared" si="207"/>
        <v/>
      </c>
      <c r="W2636" s="4" t="str">
        <f t="shared" si="208"/>
        <v/>
      </c>
      <c r="X2636" t="str">
        <f>IF(W2636="","",LOOKUP(_xlfn.CONCAT(P2636,", ",Q2636),'[1]T+S Costs'!$F$2:$F$3138,'[1]T+S Costs'!$N$2:$N$3138))</f>
        <v/>
      </c>
      <c r="Y2636" s="14" t="str">
        <f t="shared" si="209"/>
        <v/>
      </c>
      <c r="Z2636" s="4" t="str">
        <f t="shared" si="210"/>
        <v/>
      </c>
    </row>
    <row r="2637" spans="16:26" x14ac:dyDescent="0.25">
      <c r="P2637" s="10" t="str">
        <f>IF('[1]All Data '!AZ2642="","",'[1]All Data '!AZ2642)</f>
        <v/>
      </c>
      <c r="Q2637" s="10" t="str">
        <f>IF('[1]All Data '!BB2642="","",'[1]All Data '!BB2642)</f>
        <v/>
      </c>
      <c r="R2637" s="10" t="str">
        <f>IF('[1]All Data '!BD2642="","",'[1]All Data '!BD2642)</f>
        <v/>
      </c>
      <c r="S2637" s="11" t="str">
        <f>IF(R2637="","",'[1]All Data '!BE2642)</f>
        <v/>
      </c>
      <c r="T2637" s="12" t="str">
        <f>IF(S2637="","",[1]Inputs_Outputs!$B$8*(1-'LOCH Calc COE Calc'!S2637))</f>
        <v/>
      </c>
      <c r="U2637" s="13" t="str">
        <f t="shared" si="206"/>
        <v/>
      </c>
      <c r="V2637" s="13" t="str">
        <f t="shared" si="207"/>
        <v/>
      </c>
      <c r="W2637" s="4" t="str">
        <f t="shared" si="208"/>
        <v/>
      </c>
      <c r="X2637" t="str">
        <f>IF(W2637="","",LOOKUP(_xlfn.CONCAT(P2637,", ",Q2637),'[1]T+S Costs'!$F$2:$F$3138,'[1]T+S Costs'!$N$2:$N$3138))</f>
        <v/>
      </c>
      <c r="Y2637" s="14" t="str">
        <f t="shared" si="209"/>
        <v/>
      </c>
      <c r="Z2637" s="4" t="str">
        <f t="shared" si="210"/>
        <v/>
      </c>
    </row>
    <row r="2638" spans="16:26" x14ac:dyDescent="0.25">
      <c r="P2638" s="10" t="str">
        <f>IF('[1]All Data '!AZ2643="","",'[1]All Data '!AZ2643)</f>
        <v/>
      </c>
      <c r="Q2638" s="10" t="str">
        <f>IF('[1]All Data '!BB2643="","",'[1]All Data '!BB2643)</f>
        <v/>
      </c>
      <c r="R2638" s="10" t="str">
        <f>IF('[1]All Data '!BD2643="","",'[1]All Data '!BD2643)</f>
        <v/>
      </c>
      <c r="S2638" s="11" t="str">
        <f>IF(R2638="","",'[1]All Data '!BE2643)</f>
        <v/>
      </c>
      <c r="T2638" s="12" t="str">
        <f>IF(S2638="","",[1]Inputs_Outputs!$B$8*(1-'LOCH Calc COE Calc'!S2638))</f>
        <v/>
      </c>
      <c r="U2638" s="13" t="str">
        <f t="shared" si="206"/>
        <v/>
      </c>
      <c r="V2638" s="13" t="str">
        <f t="shared" si="207"/>
        <v/>
      </c>
      <c r="W2638" s="4" t="str">
        <f t="shared" si="208"/>
        <v/>
      </c>
      <c r="X2638" t="str">
        <f>IF(W2638="","",LOOKUP(_xlfn.CONCAT(P2638,", ",Q2638),'[1]T+S Costs'!$F$2:$F$3138,'[1]T+S Costs'!$N$2:$N$3138))</f>
        <v/>
      </c>
      <c r="Y2638" s="14" t="str">
        <f t="shared" si="209"/>
        <v/>
      </c>
      <c r="Z2638" s="4" t="str">
        <f t="shared" si="210"/>
        <v/>
      </c>
    </row>
    <row r="2639" spans="16:26" x14ac:dyDescent="0.25">
      <c r="P2639" s="10" t="str">
        <f>IF('[1]All Data '!AZ2644="","",'[1]All Data '!AZ2644)</f>
        <v/>
      </c>
      <c r="Q2639" s="10" t="str">
        <f>IF('[1]All Data '!BB2644="","",'[1]All Data '!BB2644)</f>
        <v/>
      </c>
      <c r="R2639" s="10" t="str">
        <f>IF('[1]All Data '!BD2644="","",'[1]All Data '!BD2644)</f>
        <v/>
      </c>
      <c r="S2639" s="11" t="str">
        <f>IF(R2639="","",'[1]All Data '!BE2644)</f>
        <v/>
      </c>
      <c r="T2639" s="12" t="str">
        <f>IF(S2639="","",[1]Inputs_Outputs!$B$8*(1-'LOCH Calc COE Calc'!S2639))</f>
        <v/>
      </c>
      <c r="U2639" s="13" t="str">
        <f t="shared" si="206"/>
        <v/>
      </c>
      <c r="V2639" s="13" t="str">
        <f t="shared" si="207"/>
        <v/>
      </c>
      <c r="W2639" s="4" t="str">
        <f t="shared" si="208"/>
        <v/>
      </c>
      <c r="X2639" t="str">
        <f>IF(W2639="","",LOOKUP(_xlfn.CONCAT(P2639,", ",Q2639),'[1]T+S Costs'!$F$2:$F$3138,'[1]T+S Costs'!$N$2:$N$3138))</f>
        <v/>
      </c>
      <c r="Y2639" s="14" t="str">
        <f t="shared" si="209"/>
        <v/>
      </c>
      <c r="Z2639" s="4" t="str">
        <f t="shared" si="210"/>
        <v/>
      </c>
    </row>
    <row r="2640" spans="16:26" x14ac:dyDescent="0.25">
      <c r="P2640" s="10" t="str">
        <f>IF('[1]All Data '!AZ2645="","",'[1]All Data '!AZ2645)</f>
        <v/>
      </c>
      <c r="Q2640" s="10" t="str">
        <f>IF('[1]All Data '!BB2645="","",'[1]All Data '!BB2645)</f>
        <v/>
      </c>
      <c r="R2640" s="10" t="str">
        <f>IF('[1]All Data '!BD2645="","",'[1]All Data '!BD2645)</f>
        <v/>
      </c>
      <c r="S2640" s="11" t="str">
        <f>IF(R2640="","",'[1]All Data '!BE2645)</f>
        <v/>
      </c>
      <c r="T2640" s="12" t="str">
        <f>IF(S2640="","",[1]Inputs_Outputs!$B$8*(1-'LOCH Calc COE Calc'!S2640))</f>
        <v/>
      </c>
      <c r="U2640" s="13" t="str">
        <f t="shared" si="206"/>
        <v/>
      </c>
      <c r="V2640" s="13" t="str">
        <f t="shared" si="207"/>
        <v/>
      </c>
      <c r="W2640" s="4" t="str">
        <f t="shared" si="208"/>
        <v/>
      </c>
      <c r="X2640" t="str">
        <f>IF(W2640="","",LOOKUP(_xlfn.CONCAT(P2640,", ",Q2640),'[1]T+S Costs'!$F$2:$F$3138,'[1]T+S Costs'!$N$2:$N$3138))</f>
        <v/>
      </c>
      <c r="Y2640" s="14" t="str">
        <f t="shared" si="209"/>
        <v/>
      </c>
      <c r="Z2640" s="4" t="str">
        <f t="shared" si="210"/>
        <v/>
      </c>
    </row>
    <row r="2641" spans="16:26" x14ac:dyDescent="0.25">
      <c r="P2641" s="10" t="str">
        <f>IF('[1]All Data '!AZ2646="","",'[1]All Data '!AZ2646)</f>
        <v/>
      </c>
      <c r="Q2641" s="10" t="str">
        <f>IF('[1]All Data '!BB2646="","",'[1]All Data '!BB2646)</f>
        <v/>
      </c>
      <c r="R2641" s="10" t="str">
        <f>IF('[1]All Data '!BD2646="","",'[1]All Data '!BD2646)</f>
        <v/>
      </c>
      <c r="S2641" s="11" t="str">
        <f>IF(R2641="","",'[1]All Data '!BE2646)</f>
        <v/>
      </c>
      <c r="T2641" s="12" t="str">
        <f>IF(S2641="","",[1]Inputs_Outputs!$B$8*(1-'LOCH Calc COE Calc'!S2641))</f>
        <v/>
      </c>
      <c r="U2641" s="13" t="str">
        <f t="shared" si="206"/>
        <v/>
      </c>
      <c r="V2641" s="13" t="str">
        <f t="shared" si="207"/>
        <v/>
      </c>
      <c r="W2641" s="4" t="str">
        <f t="shared" si="208"/>
        <v/>
      </c>
      <c r="X2641" t="str">
        <f>IF(W2641="","",LOOKUP(_xlfn.CONCAT(P2641,", ",Q2641),'[1]T+S Costs'!$F$2:$F$3138,'[1]T+S Costs'!$N$2:$N$3138))</f>
        <v/>
      </c>
      <c r="Y2641" s="14" t="str">
        <f t="shared" si="209"/>
        <v/>
      </c>
      <c r="Z2641" s="4" t="str">
        <f t="shared" si="210"/>
        <v/>
      </c>
    </row>
    <row r="2642" spans="16:26" x14ac:dyDescent="0.25">
      <c r="P2642" s="10" t="str">
        <f>IF('[1]All Data '!AZ2647="","",'[1]All Data '!AZ2647)</f>
        <v/>
      </c>
      <c r="Q2642" s="10" t="str">
        <f>IF('[1]All Data '!BB2647="","",'[1]All Data '!BB2647)</f>
        <v/>
      </c>
      <c r="R2642" s="10" t="str">
        <f>IF('[1]All Data '!BD2647="","",'[1]All Data '!BD2647)</f>
        <v/>
      </c>
      <c r="S2642" s="11" t="str">
        <f>IF(R2642="","",'[1]All Data '!BE2647)</f>
        <v/>
      </c>
      <c r="T2642" s="12" t="str">
        <f>IF(S2642="","",[1]Inputs_Outputs!$B$8*(1-'LOCH Calc COE Calc'!S2642))</f>
        <v/>
      </c>
      <c r="U2642" s="13" t="str">
        <f t="shared" si="206"/>
        <v/>
      </c>
      <c r="V2642" s="13" t="str">
        <f t="shared" si="207"/>
        <v/>
      </c>
      <c r="W2642" s="4" t="str">
        <f t="shared" si="208"/>
        <v/>
      </c>
      <c r="X2642" t="str">
        <f>IF(W2642="","",LOOKUP(_xlfn.CONCAT(P2642,", ",Q2642),'[1]T+S Costs'!$F$2:$F$3138,'[1]T+S Costs'!$N$2:$N$3138))</f>
        <v/>
      </c>
      <c r="Y2642" s="14" t="str">
        <f t="shared" si="209"/>
        <v/>
      </c>
      <c r="Z2642" s="4" t="str">
        <f t="shared" si="210"/>
        <v/>
      </c>
    </row>
    <row r="2643" spans="16:26" x14ac:dyDescent="0.25">
      <c r="P2643" s="10" t="str">
        <f>IF('[1]All Data '!AZ2648="","",'[1]All Data '!AZ2648)</f>
        <v/>
      </c>
      <c r="Q2643" s="10" t="str">
        <f>IF('[1]All Data '!BB2648="","",'[1]All Data '!BB2648)</f>
        <v/>
      </c>
      <c r="R2643" s="10" t="str">
        <f>IF('[1]All Data '!BD2648="","",'[1]All Data '!BD2648)</f>
        <v/>
      </c>
      <c r="S2643" s="11" t="str">
        <f>IF(R2643="","",'[1]All Data '!BE2648)</f>
        <v/>
      </c>
      <c r="T2643" s="12" t="str">
        <f>IF(S2643="","",[1]Inputs_Outputs!$B$8*(1-'LOCH Calc COE Calc'!S2643))</f>
        <v/>
      </c>
      <c r="U2643" s="13" t="str">
        <f t="shared" si="206"/>
        <v/>
      </c>
      <c r="V2643" s="13" t="str">
        <f t="shared" si="207"/>
        <v/>
      </c>
      <c r="W2643" s="4" t="str">
        <f t="shared" si="208"/>
        <v/>
      </c>
      <c r="X2643" t="str">
        <f>IF(W2643="","",LOOKUP(_xlfn.CONCAT(P2643,", ",Q2643),'[1]T+S Costs'!$F$2:$F$3138,'[1]T+S Costs'!$N$2:$N$3138))</f>
        <v/>
      </c>
      <c r="Y2643" s="14" t="str">
        <f t="shared" si="209"/>
        <v/>
      </c>
      <c r="Z2643" s="4" t="str">
        <f t="shared" si="210"/>
        <v/>
      </c>
    </row>
    <row r="2644" spans="16:26" x14ac:dyDescent="0.25">
      <c r="P2644" s="10" t="str">
        <f>IF('[1]All Data '!AZ2649="","",'[1]All Data '!AZ2649)</f>
        <v/>
      </c>
      <c r="Q2644" s="10" t="str">
        <f>IF('[1]All Data '!BB2649="","",'[1]All Data '!BB2649)</f>
        <v/>
      </c>
      <c r="R2644" s="10" t="str">
        <f>IF('[1]All Data '!BD2649="","",'[1]All Data '!BD2649)</f>
        <v/>
      </c>
      <c r="S2644" s="11" t="str">
        <f>IF(R2644="","",'[1]All Data '!BE2649)</f>
        <v/>
      </c>
      <c r="T2644" s="12" t="str">
        <f>IF(S2644="","",[1]Inputs_Outputs!$B$8*(1-'LOCH Calc COE Calc'!S2644))</f>
        <v/>
      </c>
      <c r="U2644" s="13" t="str">
        <f t="shared" si="206"/>
        <v/>
      </c>
      <c r="V2644" s="13" t="str">
        <f t="shared" si="207"/>
        <v/>
      </c>
      <c r="W2644" s="4" t="str">
        <f t="shared" si="208"/>
        <v/>
      </c>
      <c r="X2644" t="str">
        <f>IF(W2644="","",LOOKUP(_xlfn.CONCAT(P2644,", ",Q2644),'[1]T+S Costs'!$F$2:$F$3138,'[1]T+S Costs'!$N$2:$N$3138))</f>
        <v/>
      </c>
      <c r="Y2644" s="14" t="str">
        <f t="shared" si="209"/>
        <v/>
      </c>
      <c r="Z2644" s="4" t="str">
        <f t="shared" si="210"/>
        <v/>
      </c>
    </row>
    <row r="2645" spans="16:26" x14ac:dyDescent="0.25">
      <c r="P2645" s="10" t="str">
        <f>IF('[1]All Data '!AZ2650="","",'[1]All Data '!AZ2650)</f>
        <v/>
      </c>
      <c r="Q2645" s="10" t="str">
        <f>IF('[1]All Data '!BB2650="","",'[1]All Data '!BB2650)</f>
        <v/>
      </c>
      <c r="R2645" s="10" t="str">
        <f>IF('[1]All Data '!BD2650="","",'[1]All Data '!BD2650)</f>
        <v/>
      </c>
      <c r="S2645" s="11" t="str">
        <f>IF(R2645="","",'[1]All Data '!BE2650)</f>
        <v/>
      </c>
      <c r="T2645" s="12" t="str">
        <f>IF(S2645="","",[1]Inputs_Outputs!$B$8*(1-'LOCH Calc COE Calc'!S2645))</f>
        <v/>
      </c>
      <c r="U2645" s="13" t="str">
        <f t="shared" si="206"/>
        <v/>
      </c>
      <c r="V2645" s="13" t="str">
        <f t="shared" si="207"/>
        <v/>
      </c>
      <c r="W2645" s="4" t="str">
        <f t="shared" si="208"/>
        <v/>
      </c>
      <c r="X2645" t="str">
        <f>IF(W2645="","",LOOKUP(_xlfn.CONCAT(P2645,", ",Q2645),'[1]T+S Costs'!$F$2:$F$3138,'[1]T+S Costs'!$N$2:$N$3138))</f>
        <v/>
      </c>
      <c r="Y2645" s="14" t="str">
        <f t="shared" si="209"/>
        <v/>
      </c>
      <c r="Z2645" s="4" t="str">
        <f t="shared" si="210"/>
        <v/>
      </c>
    </row>
    <row r="2646" spans="16:26" x14ac:dyDescent="0.25">
      <c r="P2646" s="10" t="str">
        <f>IF('[1]All Data '!AZ2651="","",'[1]All Data '!AZ2651)</f>
        <v/>
      </c>
      <c r="Q2646" s="10" t="str">
        <f>IF('[1]All Data '!BB2651="","",'[1]All Data '!BB2651)</f>
        <v/>
      </c>
      <c r="R2646" s="10" t="str">
        <f>IF('[1]All Data '!BD2651="","",'[1]All Data '!BD2651)</f>
        <v/>
      </c>
      <c r="S2646" s="11" t="str">
        <f>IF(R2646="","",'[1]All Data '!BE2651)</f>
        <v/>
      </c>
      <c r="T2646" s="12" t="str">
        <f>IF(S2646="","",[1]Inputs_Outputs!$B$8*(1-'LOCH Calc COE Calc'!S2646))</f>
        <v/>
      </c>
      <c r="U2646" s="13" t="str">
        <f t="shared" si="206"/>
        <v/>
      </c>
      <c r="V2646" s="13" t="str">
        <f t="shared" si="207"/>
        <v/>
      </c>
      <c r="W2646" s="4" t="str">
        <f t="shared" si="208"/>
        <v/>
      </c>
      <c r="X2646" t="str">
        <f>IF(W2646="","",LOOKUP(_xlfn.CONCAT(P2646,", ",Q2646),'[1]T+S Costs'!$F$2:$F$3138,'[1]T+S Costs'!$N$2:$N$3138))</f>
        <v/>
      </c>
      <c r="Y2646" s="14" t="str">
        <f t="shared" si="209"/>
        <v/>
      </c>
      <c r="Z2646" s="4" t="str">
        <f t="shared" si="210"/>
        <v/>
      </c>
    </row>
    <row r="2647" spans="16:26" x14ac:dyDescent="0.25">
      <c r="P2647" s="10" t="str">
        <f>IF('[1]All Data '!AZ2652="","",'[1]All Data '!AZ2652)</f>
        <v/>
      </c>
      <c r="Q2647" s="10" t="str">
        <f>IF('[1]All Data '!BB2652="","",'[1]All Data '!BB2652)</f>
        <v/>
      </c>
      <c r="R2647" s="10" t="str">
        <f>IF('[1]All Data '!BD2652="","",'[1]All Data '!BD2652)</f>
        <v/>
      </c>
      <c r="S2647" s="11" t="str">
        <f>IF(R2647="","",'[1]All Data '!BE2652)</f>
        <v/>
      </c>
      <c r="T2647" s="12" t="str">
        <f>IF(S2647="","",[1]Inputs_Outputs!$B$8*(1-'LOCH Calc COE Calc'!S2647))</f>
        <v/>
      </c>
      <c r="U2647" s="13" t="str">
        <f t="shared" si="206"/>
        <v/>
      </c>
      <c r="V2647" s="13" t="str">
        <f t="shared" si="207"/>
        <v/>
      </c>
      <c r="W2647" s="4" t="str">
        <f t="shared" si="208"/>
        <v/>
      </c>
      <c r="X2647" t="str">
        <f>IF(W2647="","",LOOKUP(_xlfn.CONCAT(P2647,", ",Q2647),'[1]T+S Costs'!$F$2:$F$3138,'[1]T+S Costs'!$N$2:$N$3138))</f>
        <v/>
      </c>
      <c r="Y2647" s="14" t="str">
        <f t="shared" si="209"/>
        <v/>
      </c>
      <c r="Z2647" s="4" t="str">
        <f t="shared" si="210"/>
        <v/>
      </c>
    </row>
    <row r="2648" spans="16:26" x14ac:dyDescent="0.25">
      <c r="P2648" s="10" t="str">
        <f>IF('[1]All Data '!AZ2653="","",'[1]All Data '!AZ2653)</f>
        <v/>
      </c>
      <c r="Q2648" s="10" t="str">
        <f>IF('[1]All Data '!BB2653="","",'[1]All Data '!BB2653)</f>
        <v/>
      </c>
      <c r="R2648" s="10" t="str">
        <f>IF('[1]All Data '!BD2653="","",'[1]All Data '!BD2653)</f>
        <v/>
      </c>
      <c r="S2648" s="11" t="str">
        <f>IF(R2648="","",'[1]All Data '!BE2653)</f>
        <v/>
      </c>
      <c r="T2648" s="12" t="str">
        <f>IF(S2648="","",[1]Inputs_Outputs!$B$8*(1-'LOCH Calc COE Calc'!S2648))</f>
        <v/>
      </c>
      <c r="U2648" s="13" t="str">
        <f t="shared" si="206"/>
        <v/>
      </c>
      <c r="V2648" s="13" t="str">
        <f t="shared" si="207"/>
        <v/>
      </c>
      <c r="W2648" s="4" t="str">
        <f t="shared" si="208"/>
        <v/>
      </c>
      <c r="X2648" t="str">
        <f>IF(W2648="","",LOOKUP(_xlfn.CONCAT(P2648,", ",Q2648),'[1]T+S Costs'!$F$2:$F$3138,'[1]T+S Costs'!$N$2:$N$3138))</f>
        <v/>
      </c>
      <c r="Y2648" s="14" t="str">
        <f t="shared" si="209"/>
        <v/>
      </c>
      <c r="Z2648" s="4" t="str">
        <f t="shared" si="210"/>
        <v/>
      </c>
    </row>
    <row r="2649" spans="16:26" x14ac:dyDescent="0.25">
      <c r="P2649" s="10" t="str">
        <f>IF('[1]All Data '!AZ2654="","",'[1]All Data '!AZ2654)</f>
        <v/>
      </c>
      <c r="Q2649" s="10" t="str">
        <f>IF('[1]All Data '!BB2654="","",'[1]All Data '!BB2654)</f>
        <v/>
      </c>
      <c r="R2649" s="10" t="str">
        <f>IF('[1]All Data '!BD2654="","",'[1]All Data '!BD2654)</f>
        <v/>
      </c>
      <c r="S2649" s="11" t="str">
        <f>IF(R2649="","",'[1]All Data '!BE2654)</f>
        <v/>
      </c>
      <c r="T2649" s="12" t="str">
        <f>IF(S2649="","",[1]Inputs_Outputs!$B$8*(1-'LOCH Calc COE Calc'!S2649))</f>
        <v/>
      </c>
      <c r="U2649" s="13" t="str">
        <f t="shared" si="206"/>
        <v/>
      </c>
      <c r="V2649" s="13" t="str">
        <f t="shared" si="207"/>
        <v/>
      </c>
      <c r="W2649" s="4" t="str">
        <f t="shared" si="208"/>
        <v/>
      </c>
      <c r="X2649" t="str">
        <f>IF(W2649="","",LOOKUP(_xlfn.CONCAT(P2649,", ",Q2649),'[1]T+S Costs'!$F$2:$F$3138,'[1]T+S Costs'!$N$2:$N$3138))</f>
        <v/>
      </c>
      <c r="Y2649" s="14" t="str">
        <f t="shared" si="209"/>
        <v/>
      </c>
      <c r="Z2649" s="4" t="str">
        <f t="shared" si="210"/>
        <v/>
      </c>
    </row>
    <row r="2650" spans="16:26" x14ac:dyDescent="0.25">
      <c r="P2650" s="10" t="str">
        <f>IF('[1]All Data '!AZ2655="","",'[1]All Data '!AZ2655)</f>
        <v/>
      </c>
      <c r="Q2650" s="10" t="str">
        <f>IF('[1]All Data '!BB2655="","",'[1]All Data '!BB2655)</f>
        <v/>
      </c>
      <c r="R2650" s="10" t="str">
        <f>IF('[1]All Data '!BD2655="","",'[1]All Data '!BD2655)</f>
        <v/>
      </c>
      <c r="S2650" s="11" t="str">
        <f>IF(R2650="","",'[1]All Data '!BE2655)</f>
        <v/>
      </c>
      <c r="T2650" s="12" t="str">
        <f>IF(S2650="","",[1]Inputs_Outputs!$B$8*(1-'LOCH Calc COE Calc'!S2650))</f>
        <v/>
      </c>
      <c r="U2650" s="13" t="str">
        <f t="shared" si="206"/>
        <v/>
      </c>
      <c r="V2650" s="13" t="str">
        <f t="shared" si="207"/>
        <v/>
      </c>
      <c r="W2650" s="4" t="str">
        <f t="shared" si="208"/>
        <v/>
      </c>
      <c r="X2650" t="str">
        <f>IF(W2650="","",LOOKUP(_xlfn.CONCAT(P2650,", ",Q2650),'[1]T+S Costs'!$F$2:$F$3138,'[1]T+S Costs'!$N$2:$N$3138))</f>
        <v/>
      </c>
      <c r="Y2650" s="14" t="str">
        <f t="shared" si="209"/>
        <v/>
      </c>
      <c r="Z2650" s="4" t="str">
        <f t="shared" si="210"/>
        <v/>
      </c>
    </row>
    <row r="2651" spans="16:26" x14ac:dyDescent="0.25">
      <c r="P2651" s="10" t="str">
        <f>IF('[1]All Data '!AZ2656="","",'[1]All Data '!AZ2656)</f>
        <v/>
      </c>
      <c r="Q2651" s="10" t="str">
        <f>IF('[1]All Data '!BB2656="","",'[1]All Data '!BB2656)</f>
        <v/>
      </c>
      <c r="R2651" s="10" t="str">
        <f>IF('[1]All Data '!BD2656="","",'[1]All Data '!BD2656)</f>
        <v/>
      </c>
      <c r="S2651" s="11" t="str">
        <f>IF(R2651="","",'[1]All Data '!BE2656)</f>
        <v/>
      </c>
      <c r="T2651" s="12" t="str">
        <f>IF(S2651="","",[1]Inputs_Outputs!$B$8*(1-'LOCH Calc COE Calc'!S2651))</f>
        <v/>
      </c>
      <c r="U2651" s="13" t="str">
        <f t="shared" si="206"/>
        <v/>
      </c>
      <c r="V2651" s="13" t="str">
        <f t="shared" si="207"/>
        <v/>
      </c>
      <c r="W2651" s="4" t="str">
        <f t="shared" si="208"/>
        <v/>
      </c>
      <c r="X2651" t="str">
        <f>IF(W2651="","",LOOKUP(_xlfn.CONCAT(P2651,", ",Q2651),'[1]T+S Costs'!$F$2:$F$3138,'[1]T+S Costs'!$N$2:$N$3138))</f>
        <v/>
      </c>
      <c r="Y2651" s="14" t="str">
        <f t="shared" si="209"/>
        <v/>
      </c>
      <c r="Z2651" s="4" t="str">
        <f t="shared" si="210"/>
        <v/>
      </c>
    </row>
    <row r="2652" spans="16:26" x14ac:dyDescent="0.25">
      <c r="P2652" s="10" t="str">
        <f>IF('[1]All Data '!AZ2657="","",'[1]All Data '!AZ2657)</f>
        <v/>
      </c>
      <c r="Q2652" s="10" t="str">
        <f>IF('[1]All Data '!BB2657="","",'[1]All Data '!BB2657)</f>
        <v/>
      </c>
      <c r="R2652" s="10" t="str">
        <f>IF('[1]All Data '!BD2657="","",'[1]All Data '!BD2657)</f>
        <v/>
      </c>
      <c r="S2652" s="11" t="str">
        <f>IF(R2652="","",'[1]All Data '!BE2657)</f>
        <v/>
      </c>
      <c r="T2652" s="12" t="str">
        <f>IF(S2652="","",[1]Inputs_Outputs!$B$8*(1-'LOCH Calc COE Calc'!S2652))</f>
        <v/>
      </c>
      <c r="U2652" s="13" t="str">
        <f t="shared" si="206"/>
        <v/>
      </c>
      <c r="V2652" s="13" t="str">
        <f t="shared" si="207"/>
        <v/>
      </c>
      <c r="W2652" s="4" t="str">
        <f t="shared" si="208"/>
        <v/>
      </c>
      <c r="X2652" t="str">
        <f>IF(W2652="","",LOOKUP(_xlfn.CONCAT(P2652,", ",Q2652),'[1]T+S Costs'!$F$2:$F$3138,'[1]T+S Costs'!$N$2:$N$3138))</f>
        <v/>
      </c>
      <c r="Y2652" s="14" t="str">
        <f t="shared" si="209"/>
        <v/>
      </c>
      <c r="Z2652" s="4" t="str">
        <f t="shared" si="210"/>
        <v/>
      </c>
    </row>
    <row r="2653" spans="16:26" x14ac:dyDescent="0.25">
      <c r="P2653" s="10" t="str">
        <f>IF('[1]All Data '!AZ2658="","",'[1]All Data '!AZ2658)</f>
        <v/>
      </c>
      <c r="Q2653" s="10" t="str">
        <f>IF('[1]All Data '!BB2658="","",'[1]All Data '!BB2658)</f>
        <v/>
      </c>
      <c r="R2653" s="10" t="str">
        <f>IF('[1]All Data '!BD2658="","",'[1]All Data '!BD2658)</f>
        <v/>
      </c>
      <c r="S2653" s="11" t="str">
        <f>IF(R2653="","",'[1]All Data '!BE2658)</f>
        <v/>
      </c>
      <c r="T2653" s="12" t="str">
        <f>IF(S2653="","",[1]Inputs_Outputs!$B$8*(1-'LOCH Calc COE Calc'!S2653))</f>
        <v/>
      </c>
      <c r="U2653" s="13" t="str">
        <f t="shared" si="206"/>
        <v/>
      </c>
      <c r="V2653" s="13" t="str">
        <f t="shared" si="207"/>
        <v/>
      </c>
      <c r="W2653" s="4" t="str">
        <f t="shared" si="208"/>
        <v/>
      </c>
      <c r="X2653" t="str">
        <f>IF(W2653="","",LOOKUP(_xlfn.CONCAT(P2653,", ",Q2653),'[1]T+S Costs'!$F$2:$F$3138,'[1]T+S Costs'!$N$2:$N$3138))</f>
        <v/>
      </c>
      <c r="Y2653" s="14" t="str">
        <f t="shared" si="209"/>
        <v/>
      </c>
      <c r="Z2653" s="4" t="str">
        <f t="shared" si="210"/>
        <v/>
      </c>
    </row>
    <row r="2654" spans="16:26" x14ac:dyDescent="0.25">
      <c r="P2654" s="10" t="str">
        <f>IF('[1]All Data '!AZ2659="","",'[1]All Data '!AZ2659)</f>
        <v/>
      </c>
      <c r="Q2654" s="10" t="str">
        <f>IF('[1]All Data '!BB2659="","",'[1]All Data '!BB2659)</f>
        <v/>
      </c>
      <c r="R2654" s="10" t="str">
        <f>IF('[1]All Data '!BD2659="","",'[1]All Data '!BD2659)</f>
        <v/>
      </c>
      <c r="S2654" s="11" t="str">
        <f>IF(R2654="","",'[1]All Data '!BE2659)</f>
        <v/>
      </c>
      <c r="T2654" s="12" t="str">
        <f>IF(S2654="","",[1]Inputs_Outputs!$B$8*(1-'LOCH Calc COE Calc'!S2654))</f>
        <v/>
      </c>
      <c r="U2654" s="13" t="str">
        <f t="shared" si="206"/>
        <v/>
      </c>
      <c r="V2654" s="13" t="str">
        <f t="shared" si="207"/>
        <v/>
      </c>
      <c r="W2654" s="4" t="str">
        <f t="shared" si="208"/>
        <v/>
      </c>
      <c r="X2654" t="str">
        <f>IF(W2654="","",LOOKUP(_xlfn.CONCAT(P2654,", ",Q2654),'[1]T+S Costs'!$F$2:$F$3138,'[1]T+S Costs'!$N$2:$N$3138))</f>
        <v/>
      </c>
      <c r="Y2654" s="14" t="str">
        <f t="shared" si="209"/>
        <v/>
      </c>
      <c r="Z2654" s="4" t="str">
        <f t="shared" si="210"/>
        <v/>
      </c>
    </row>
    <row r="2655" spans="16:26" x14ac:dyDescent="0.25">
      <c r="P2655" s="10" t="str">
        <f>IF('[1]All Data '!AZ2660="","",'[1]All Data '!AZ2660)</f>
        <v/>
      </c>
      <c r="Q2655" s="10" t="str">
        <f>IF('[1]All Data '!BB2660="","",'[1]All Data '!BB2660)</f>
        <v/>
      </c>
      <c r="R2655" s="10" t="str">
        <f>IF('[1]All Data '!BD2660="","",'[1]All Data '!BD2660)</f>
        <v/>
      </c>
      <c r="S2655" s="11" t="str">
        <f>IF(R2655="","",'[1]All Data '!BE2660)</f>
        <v/>
      </c>
      <c r="T2655" s="12" t="str">
        <f>IF(S2655="","",[1]Inputs_Outputs!$B$8*(1-'LOCH Calc COE Calc'!S2655))</f>
        <v/>
      </c>
      <c r="U2655" s="13" t="str">
        <f t="shared" si="206"/>
        <v/>
      </c>
      <c r="V2655" s="13" t="str">
        <f t="shared" si="207"/>
        <v/>
      </c>
      <c r="W2655" s="4" t="str">
        <f t="shared" si="208"/>
        <v/>
      </c>
      <c r="X2655" t="str">
        <f>IF(W2655="","",LOOKUP(_xlfn.CONCAT(P2655,", ",Q2655),'[1]T+S Costs'!$F$2:$F$3138,'[1]T+S Costs'!$N$2:$N$3138))</f>
        <v/>
      </c>
      <c r="Y2655" s="14" t="str">
        <f t="shared" si="209"/>
        <v/>
      </c>
      <c r="Z2655" s="4" t="str">
        <f t="shared" si="210"/>
        <v/>
      </c>
    </row>
    <row r="2656" spans="16:26" x14ac:dyDescent="0.25">
      <c r="P2656" s="10" t="str">
        <f>IF('[1]All Data '!AZ2661="","",'[1]All Data '!AZ2661)</f>
        <v/>
      </c>
      <c r="Q2656" s="10" t="str">
        <f>IF('[1]All Data '!BB2661="","",'[1]All Data '!BB2661)</f>
        <v/>
      </c>
      <c r="R2656" s="10" t="str">
        <f>IF('[1]All Data '!BD2661="","",'[1]All Data '!BD2661)</f>
        <v/>
      </c>
      <c r="S2656" s="11" t="str">
        <f>IF(R2656="","",'[1]All Data '!BE2661)</f>
        <v/>
      </c>
      <c r="T2656" s="12" t="str">
        <f>IF(S2656="","",[1]Inputs_Outputs!$B$8*(1-'LOCH Calc COE Calc'!S2656))</f>
        <v/>
      </c>
      <c r="U2656" s="13" t="str">
        <f t="shared" si="206"/>
        <v/>
      </c>
      <c r="V2656" s="13" t="str">
        <f t="shared" si="207"/>
        <v/>
      </c>
      <c r="W2656" s="4" t="str">
        <f t="shared" si="208"/>
        <v/>
      </c>
      <c r="X2656" t="str">
        <f>IF(W2656="","",LOOKUP(_xlfn.CONCAT(P2656,", ",Q2656),'[1]T+S Costs'!$F$2:$F$3138,'[1]T+S Costs'!$N$2:$N$3138))</f>
        <v/>
      </c>
      <c r="Y2656" s="14" t="str">
        <f t="shared" si="209"/>
        <v/>
      </c>
      <c r="Z2656" s="4" t="str">
        <f t="shared" si="210"/>
        <v/>
      </c>
    </row>
    <row r="2657" spans="16:26" x14ac:dyDescent="0.25">
      <c r="P2657" s="10" t="str">
        <f>IF('[1]All Data '!AZ2662="","",'[1]All Data '!AZ2662)</f>
        <v/>
      </c>
      <c r="Q2657" s="10" t="str">
        <f>IF('[1]All Data '!BB2662="","",'[1]All Data '!BB2662)</f>
        <v/>
      </c>
      <c r="R2657" s="10" t="str">
        <f>IF('[1]All Data '!BD2662="","",'[1]All Data '!BD2662)</f>
        <v/>
      </c>
      <c r="S2657" s="11" t="str">
        <f>IF(R2657="","",'[1]All Data '!BE2662)</f>
        <v/>
      </c>
      <c r="T2657" s="12" t="str">
        <f>IF(S2657="","",[1]Inputs_Outputs!$B$8*(1-'LOCH Calc COE Calc'!S2657))</f>
        <v/>
      </c>
      <c r="U2657" s="13" t="str">
        <f t="shared" si="206"/>
        <v/>
      </c>
      <c r="V2657" s="13" t="str">
        <f t="shared" si="207"/>
        <v/>
      </c>
      <c r="W2657" s="4" t="str">
        <f t="shared" si="208"/>
        <v/>
      </c>
      <c r="X2657" t="str">
        <f>IF(W2657="","",LOOKUP(_xlfn.CONCAT(P2657,", ",Q2657),'[1]T+S Costs'!$F$2:$F$3138,'[1]T+S Costs'!$N$2:$N$3138))</f>
        <v/>
      </c>
      <c r="Y2657" s="14" t="str">
        <f t="shared" si="209"/>
        <v/>
      </c>
      <c r="Z2657" s="4" t="str">
        <f t="shared" si="210"/>
        <v/>
      </c>
    </row>
    <row r="2658" spans="16:26" x14ac:dyDescent="0.25">
      <c r="P2658" s="10" t="str">
        <f>IF('[1]All Data '!AZ2663="","",'[1]All Data '!AZ2663)</f>
        <v/>
      </c>
      <c r="Q2658" s="10" t="str">
        <f>IF('[1]All Data '!BB2663="","",'[1]All Data '!BB2663)</f>
        <v/>
      </c>
      <c r="R2658" s="10" t="str">
        <f>IF('[1]All Data '!BD2663="","",'[1]All Data '!BD2663)</f>
        <v/>
      </c>
      <c r="S2658" s="11" t="str">
        <f>IF(R2658="","",'[1]All Data '!BE2663)</f>
        <v/>
      </c>
      <c r="T2658" s="12" t="str">
        <f>IF(S2658="","",[1]Inputs_Outputs!$B$8*(1-'LOCH Calc COE Calc'!S2658))</f>
        <v/>
      </c>
      <c r="U2658" s="13" t="str">
        <f>IF(S2658="","",R2658*T2658*365*$B$19/100)</f>
        <v/>
      </c>
      <c r="V2658" s="13" t="str">
        <f>IF(S2658="","",(U2658*$B$19)/(($B$28)*$B$19))</f>
        <v/>
      </c>
      <c r="W2658" s="4" t="str">
        <f>IF(S2658="","",V2658+$C$49+$C$50+$C$51)</f>
        <v/>
      </c>
      <c r="X2658" t="str">
        <f>IF(W2658="","",LOOKUP(_xlfn.CONCAT(P2658,", ",Q2658),'[1]T+S Costs'!$F$2:$F$3138,'[1]T+S Costs'!$N$2:$N$3138))</f>
        <v/>
      </c>
      <c r="Y2658" s="14" t="str">
        <f t="shared" si="209"/>
        <v/>
      </c>
      <c r="Z2658" s="4" t="str">
        <f t="shared" si="210"/>
        <v/>
      </c>
    </row>
    <row r="2659" spans="16:26" x14ac:dyDescent="0.25">
      <c r="P2659" s="10" t="str">
        <f>IF('[1]All Data '!AZ2664="","",'[1]All Data '!AZ2664)</f>
        <v/>
      </c>
      <c r="Q2659" s="10" t="str">
        <f>IF('[1]All Data '!BB2664="","",'[1]All Data '!BB2664)</f>
        <v/>
      </c>
      <c r="R2659" s="10" t="str">
        <f>IF('[1]All Data '!BD2664="","",'[1]All Data '!BD2664)</f>
        <v/>
      </c>
      <c r="S2659" s="11" t="str">
        <f>IF(R2659="","",'[1]All Data '!BE2664)</f>
        <v/>
      </c>
      <c r="T2659" s="12" t="str">
        <f>IF(S2659="","",[1]Inputs_Outputs!$B$8*(1-'LOCH Calc COE Calc'!S2659))</f>
        <v/>
      </c>
      <c r="U2659" s="13" t="str">
        <f t="shared" ref="U2659:U2722" si="211">IF(S2659="","",R2659*T2659*365*$B$19/100)</f>
        <v/>
      </c>
      <c r="V2659" s="13" t="str">
        <f t="shared" ref="V2659:V2722" si="212">IF(S2659="","",(U2659*$B$19)/(($B$28)*$B$19))</f>
        <v/>
      </c>
      <c r="W2659" s="4" t="str">
        <f t="shared" ref="W2659:W2722" si="213">IF(S2659="","",V2659+$C$49+$C$50+$C$51)</f>
        <v/>
      </c>
      <c r="X2659" t="str">
        <f>IF(W2659="","",LOOKUP(_xlfn.CONCAT(P2659,", ",Q2659),'[1]T+S Costs'!$F$2:$F$3138,'[1]T+S Costs'!$N$2:$N$3138))</f>
        <v/>
      </c>
      <c r="Y2659" s="14" t="str">
        <f t="shared" si="209"/>
        <v/>
      </c>
      <c r="Z2659" s="4" t="str">
        <f t="shared" si="210"/>
        <v/>
      </c>
    </row>
    <row r="2660" spans="16:26" x14ac:dyDescent="0.25">
      <c r="P2660" s="10" t="str">
        <f>IF('[1]All Data '!AZ2665="","",'[1]All Data '!AZ2665)</f>
        <v/>
      </c>
      <c r="Q2660" s="10" t="str">
        <f>IF('[1]All Data '!BB2665="","",'[1]All Data '!BB2665)</f>
        <v/>
      </c>
      <c r="R2660" s="10" t="str">
        <f>IF('[1]All Data '!BD2665="","",'[1]All Data '!BD2665)</f>
        <v/>
      </c>
      <c r="S2660" s="11" t="str">
        <f>IF(R2660="","",'[1]All Data '!BE2665)</f>
        <v/>
      </c>
      <c r="T2660" s="12" t="str">
        <f>IF(S2660="","",[1]Inputs_Outputs!$B$8*(1-'LOCH Calc COE Calc'!S2660))</f>
        <v/>
      </c>
      <c r="U2660" s="13" t="str">
        <f t="shared" si="211"/>
        <v/>
      </c>
      <c r="V2660" s="13" t="str">
        <f t="shared" si="212"/>
        <v/>
      </c>
      <c r="W2660" s="4" t="str">
        <f t="shared" si="213"/>
        <v/>
      </c>
      <c r="X2660" t="str">
        <f>IF(W2660="","",LOOKUP(_xlfn.CONCAT(P2660,", ",Q2660),'[1]T+S Costs'!$F$2:$F$3138,'[1]T+S Costs'!$N$2:$N$3138))</f>
        <v/>
      </c>
      <c r="Y2660" s="14" t="str">
        <f t="shared" si="209"/>
        <v/>
      </c>
      <c r="Z2660" s="4" t="str">
        <f t="shared" si="210"/>
        <v/>
      </c>
    </row>
    <row r="2661" spans="16:26" x14ac:dyDescent="0.25">
      <c r="P2661" s="10" t="str">
        <f>IF('[1]All Data '!AZ2666="","",'[1]All Data '!AZ2666)</f>
        <v/>
      </c>
      <c r="Q2661" s="10" t="str">
        <f>IF('[1]All Data '!BB2666="","",'[1]All Data '!BB2666)</f>
        <v/>
      </c>
      <c r="R2661" s="10" t="str">
        <f>IF('[1]All Data '!BD2666="","",'[1]All Data '!BD2666)</f>
        <v/>
      </c>
      <c r="S2661" s="11" t="str">
        <f>IF(R2661="","",'[1]All Data '!BE2666)</f>
        <v/>
      </c>
      <c r="T2661" s="12" t="str">
        <f>IF(S2661="","",[1]Inputs_Outputs!$B$8*(1-'LOCH Calc COE Calc'!S2661))</f>
        <v/>
      </c>
      <c r="U2661" s="13" t="str">
        <f t="shared" si="211"/>
        <v/>
      </c>
      <c r="V2661" s="13" t="str">
        <f t="shared" si="212"/>
        <v/>
      </c>
      <c r="W2661" s="4" t="str">
        <f t="shared" si="213"/>
        <v/>
      </c>
      <c r="X2661" t="str">
        <f>IF(W2661="","",LOOKUP(_xlfn.CONCAT(P2661,", ",Q2661),'[1]T+S Costs'!$F$2:$F$3138,'[1]T+S Costs'!$N$2:$N$3138))</f>
        <v/>
      </c>
      <c r="Y2661" s="14" t="str">
        <f t="shared" si="209"/>
        <v/>
      </c>
      <c r="Z2661" s="4" t="str">
        <f t="shared" si="210"/>
        <v/>
      </c>
    </row>
    <row r="2662" spans="16:26" x14ac:dyDescent="0.25">
      <c r="P2662" s="10" t="str">
        <f>IF('[1]All Data '!AZ2667="","",'[1]All Data '!AZ2667)</f>
        <v/>
      </c>
      <c r="Q2662" s="10" t="str">
        <f>IF('[1]All Data '!BB2667="","",'[1]All Data '!BB2667)</f>
        <v/>
      </c>
      <c r="R2662" s="10" t="str">
        <f>IF('[1]All Data '!BD2667="","",'[1]All Data '!BD2667)</f>
        <v/>
      </c>
      <c r="S2662" s="11" t="str">
        <f>IF(R2662="","",'[1]All Data '!BE2667)</f>
        <v/>
      </c>
      <c r="T2662" s="12" t="str">
        <f>IF(S2662="","",[1]Inputs_Outputs!$B$8*(1-'LOCH Calc COE Calc'!S2662))</f>
        <v/>
      </c>
      <c r="U2662" s="13" t="str">
        <f t="shared" si="211"/>
        <v/>
      </c>
      <c r="V2662" s="13" t="str">
        <f t="shared" si="212"/>
        <v/>
      </c>
      <c r="W2662" s="4" t="str">
        <f t="shared" si="213"/>
        <v/>
      </c>
      <c r="X2662" t="str">
        <f>IF(W2662="","",LOOKUP(_xlfn.CONCAT(P2662,", ",Q2662),'[1]T+S Costs'!$F$2:$F$3138,'[1]T+S Costs'!$N$2:$N$3138))</f>
        <v/>
      </c>
      <c r="Y2662" s="14" t="str">
        <f t="shared" si="209"/>
        <v/>
      </c>
      <c r="Z2662" s="4" t="str">
        <f t="shared" si="210"/>
        <v/>
      </c>
    </row>
    <row r="2663" spans="16:26" x14ac:dyDescent="0.25">
      <c r="P2663" s="10" t="str">
        <f>IF('[1]All Data '!AZ2668="","",'[1]All Data '!AZ2668)</f>
        <v/>
      </c>
      <c r="Q2663" s="10" t="str">
        <f>IF('[1]All Data '!BB2668="","",'[1]All Data '!BB2668)</f>
        <v/>
      </c>
      <c r="R2663" s="10" t="str">
        <f>IF('[1]All Data '!BD2668="","",'[1]All Data '!BD2668)</f>
        <v/>
      </c>
      <c r="S2663" s="11" t="str">
        <f>IF(R2663="","",'[1]All Data '!BE2668)</f>
        <v/>
      </c>
      <c r="T2663" s="12" t="str">
        <f>IF(S2663="","",[1]Inputs_Outputs!$B$8*(1-'LOCH Calc COE Calc'!S2663))</f>
        <v/>
      </c>
      <c r="U2663" s="13" t="str">
        <f t="shared" si="211"/>
        <v/>
      </c>
      <c r="V2663" s="13" t="str">
        <f t="shared" si="212"/>
        <v/>
      </c>
      <c r="W2663" s="4" t="str">
        <f t="shared" si="213"/>
        <v/>
      </c>
      <c r="X2663" t="str">
        <f>IF(W2663="","",LOOKUP(_xlfn.CONCAT(P2663,", ",Q2663),'[1]T+S Costs'!$F$2:$F$3138,'[1]T+S Costs'!$N$2:$N$3138))</f>
        <v/>
      </c>
      <c r="Y2663" s="14" t="str">
        <f t="shared" si="209"/>
        <v/>
      </c>
      <c r="Z2663" s="4" t="str">
        <f t="shared" si="210"/>
        <v/>
      </c>
    </row>
    <row r="2664" spans="16:26" x14ac:dyDescent="0.25">
      <c r="P2664" s="10" t="str">
        <f>IF('[1]All Data '!AZ2669="","",'[1]All Data '!AZ2669)</f>
        <v/>
      </c>
      <c r="Q2664" s="10" t="str">
        <f>IF('[1]All Data '!BB2669="","",'[1]All Data '!BB2669)</f>
        <v/>
      </c>
      <c r="R2664" s="10" t="str">
        <f>IF('[1]All Data '!BD2669="","",'[1]All Data '!BD2669)</f>
        <v/>
      </c>
      <c r="S2664" s="11" t="str">
        <f>IF(R2664="","",'[1]All Data '!BE2669)</f>
        <v/>
      </c>
      <c r="T2664" s="12" t="str">
        <f>IF(S2664="","",[1]Inputs_Outputs!$B$8*(1-'LOCH Calc COE Calc'!S2664))</f>
        <v/>
      </c>
      <c r="U2664" s="13" t="str">
        <f t="shared" si="211"/>
        <v/>
      </c>
      <c r="V2664" s="13" t="str">
        <f t="shared" si="212"/>
        <v/>
      </c>
      <c r="W2664" s="4" t="str">
        <f t="shared" si="213"/>
        <v/>
      </c>
      <c r="X2664" t="str">
        <f>IF(W2664="","",LOOKUP(_xlfn.CONCAT(P2664,", ",Q2664),'[1]T+S Costs'!$F$2:$F$3138,'[1]T+S Costs'!$N$2:$N$3138))</f>
        <v/>
      </c>
      <c r="Y2664" s="14" t="str">
        <f t="shared" si="209"/>
        <v/>
      </c>
      <c r="Z2664" s="4" t="str">
        <f t="shared" si="210"/>
        <v/>
      </c>
    </row>
    <row r="2665" spans="16:26" x14ac:dyDescent="0.25">
      <c r="P2665" s="10" t="str">
        <f>IF('[1]All Data '!AZ2670="","",'[1]All Data '!AZ2670)</f>
        <v/>
      </c>
      <c r="Q2665" s="10" t="str">
        <f>IF('[1]All Data '!BB2670="","",'[1]All Data '!BB2670)</f>
        <v/>
      </c>
      <c r="R2665" s="10" t="str">
        <f>IF('[1]All Data '!BD2670="","",'[1]All Data '!BD2670)</f>
        <v/>
      </c>
      <c r="S2665" s="11" t="str">
        <f>IF(R2665="","",'[1]All Data '!BE2670)</f>
        <v/>
      </c>
      <c r="T2665" s="12" t="str">
        <f>IF(S2665="","",[1]Inputs_Outputs!$B$8*(1-'LOCH Calc COE Calc'!S2665))</f>
        <v/>
      </c>
      <c r="U2665" s="13" t="str">
        <f t="shared" si="211"/>
        <v/>
      </c>
      <c r="V2665" s="13" t="str">
        <f t="shared" si="212"/>
        <v/>
      </c>
      <c r="W2665" s="4" t="str">
        <f t="shared" si="213"/>
        <v/>
      </c>
      <c r="X2665" t="str">
        <f>IF(W2665="","",LOOKUP(_xlfn.CONCAT(P2665,", ",Q2665),'[1]T+S Costs'!$F$2:$F$3138,'[1]T+S Costs'!$N$2:$N$3138))</f>
        <v/>
      </c>
      <c r="Y2665" s="14" t="str">
        <f t="shared" si="209"/>
        <v/>
      </c>
      <c r="Z2665" s="4" t="str">
        <f t="shared" si="210"/>
        <v/>
      </c>
    </row>
    <row r="2666" spans="16:26" x14ac:dyDescent="0.25">
      <c r="P2666" s="10" t="str">
        <f>IF('[1]All Data '!AZ2671="","",'[1]All Data '!AZ2671)</f>
        <v/>
      </c>
      <c r="Q2666" s="10" t="str">
        <f>IF('[1]All Data '!BB2671="","",'[1]All Data '!BB2671)</f>
        <v/>
      </c>
      <c r="R2666" s="10" t="str">
        <f>IF('[1]All Data '!BD2671="","",'[1]All Data '!BD2671)</f>
        <v/>
      </c>
      <c r="S2666" s="11" t="str">
        <f>IF(R2666="","",'[1]All Data '!BE2671)</f>
        <v/>
      </c>
      <c r="T2666" s="12" t="str">
        <f>IF(S2666="","",[1]Inputs_Outputs!$B$8*(1-'LOCH Calc COE Calc'!S2666))</f>
        <v/>
      </c>
      <c r="U2666" s="13" t="str">
        <f t="shared" si="211"/>
        <v/>
      </c>
      <c r="V2666" s="13" t="str">
        <f t="shared" si="212"/>
        <v/>
      </c>
      <c r="W2666" s="4" t="str">
        <f t="shared" si="213"/>
        <v/>
      </c>
      <c r="X2666" t="str">
        <f>IF(W2666="","",LOOKUP(_xlfn.CONCAT(P2666,", ",Q2666),'[1]T+S Costs'!$F$2:$F$3138,'[1]T+S Costs'!$N$2:$N$3138))</f>
        <v/>
      </c>
      <c r="Y2666" s="14" t="str">
        <f t="shared" si="209"/>
        <v/>
      </c>
      <c r="Z2666" s="4" t="str">
        <f t="shared" si="210"/>
        <v/>
      </c>
    </row>
    <row r="2667" spans="16:26" x14ac:dyDescent="0.25">
      <c r="P2667" s="10" t="str">
        <f>IF('[1]All Data '!AZ2672="","",'[1]All Data '!AZ2672)</f>
        <v/>
      </c>
      <c r="Q2667" s="10" t="str">
        <f>IF('[1]All Data '!BB2672="","",'[1]All Data '!BB2672)</f>
        <v/>
      </c>
      <c r="R2667" s="10" t="str">
        <f>IF('[1]All Data '!BD2672="","",'[1]All Data '!BD2672)</f>
        <v/>
      </c>
      <c r="S2667" s="11" t="str">
        <f>IF(R2667="","",'[1]All Data '!BE2672)</f>
        <v/>
      </c>
      <c r="T2667" s="12" t="str">
        <f>IF(S2667="","",[1]Inputs_Outputs!$B$8*(1-'LOCH Calc COE Calc'!S2667))</f>
        <v/>
      </c>
      <c r="U2667" s="13" t="str">
        <f t="shared" si="211"/>
        <v/>
      </c>
      <c r="V2667" s="13" t="str">
        <f t="shared" si="212"/>
        <v/>
      </c>
      <c r="W2667" s="4" t="str">
        <f t="shared" si="213"/>
        <v/>
      </c>
      <c r="X2667" t="str">
        <f>IF(W2667="","",LOOKUP(_xlfn.CONCAT(P2667,", ",Q2667),'[1]T+S Costs'!$F$2:$F$3138,'[1]T+S Costs'!$N$2:$N$3138))</f>
        <v/>
      </c>
      <c r="Y2667" s="14" t="str">
        <f t="shared" si="209"/>
        <v/>
      </c>
      <c r="Z2667" s="4" t="str">
        <f t="shared" si="210"/>
        <v/>
      </c>
    </row>
    <row r="2668" spans="16:26" x14ac:dyDescent="0.25">
      <c r="P2668" s="10" t="str">
        <f>IF('[1]All Data '!AZ2673="","",'[1]All Data '!AZ2673)</f>
        <v/>
      </c>
      <c r="Q2668" s="10" t="str">
        <f>IF('[1]All Data '!BB2673="","",'[1]All Data '!BB2673)</f>
        <v/>
      </c>
      <c r="R2668" s="10" t="str">
        <f>IF('[1]All Data '!BD2673="","",'[1]All Data '!BD2673)</f>
        <v/>
      </c>
      <c r="S2668" s="11" t="str">
        <f>IF(R2668="","",'[1]All Data '!BE2673)</f>
        <v/>
      </c>
      <c r="T2668" s="12" t="str">
        <f>IF(S2668="","",[1]Inputs_Outputs!$B$8*(1-'LOCH Calc COE Calc'!S2668))</f>
        <v/>
      </c>
      <c r="U2668" s="13" t="str">
        <f t="shared" si="211"/>
        <v/>
      </c>
      <c r="V2668" s="13" t="str">
        <f t="shared" si="212"/>
        <v/>
      </c>
      <c r="W2668" s="4" t="str">
        <f t="shared" si="213"/>
        <v/>
      </c>
      <c r="X2668" t="str">
        <f>IF(W2668="","",LOOKUP(_xlfn.CONCAT(P2668,", ",Q2668),'[1]T+S Costs'!$F$2:$F$3138,'[1]T+S Costs'!$N$2:$N$3138))</f>
        <v/>
      </c>
      <c r="Y2668" s="14" t="str">
        <f t="shared" si="209"/>
        <v/>
      </c>
      <c r="Z2668" s="4" t="str">
        <f t="shared" si="210"/>
        <v/>
      </c>
    </row>
    <row r="2669" spans="16:26" x14ac:dyDescent="0.25">
      <c r="P2669" s="10" t="str">
        <f>IF('[1]All Data '!AZ2674="","",'[1]All Data '!AZ2674)</f>
        <v/>
      </c>
      <c r="Q2669" s="10" t="str">
        <f>IF('[1]All Data '!BB2674="","",'[1]All Data '!BB2674)</f>
        <v/>
      </c>
      <c r="R2669" s="10" t="str">
        <f>IF('[1]All Data '!BD2674="","",'[1]All Data '!BD2674)</f>
        <v/>
      </c>
      <c r="S2669" s="11" t="str">
        <f>IF(R2669="","",'[1]All Data '!BE2674)</f>
        <v/>
      </c>
      <c r="T2669" s="12" t="str">
        <f>IF(S2669="","",[1]Inputs_Outputs!$B$8*(1-'LOCH Calc COE Calc'!S2669))</f>
        <v/>
      </c>
      <c r="U2669" s="13" t="str">
        <f t="shared" si="211"/>
        <v/>
      </c>
      <c r="V2669" s="13" t="str">
        <f t="shared" si="212"/>
        <v/>
      </c>
      <c r="W2669" s="4" t="str">
        <f t="shared" si="213"/>
        <v/>
      </c>
      <c r="X2669" t="str">
        <f>IF(W2669="","",LOOKUP(_xlfn.CONCAT(P2669,", ",Q2669),'[1]T+S Costs'!$F$2:$F$3138,'[1]T+S Costs'!$N$2:$N$3138))</f>
        <v/>
      </c>
      <c r="Y2669" s="14" t="str">
        <f t="shared" si="209"/>
        <v/>
      </c>
      <c r="Z2669" s="4" t="str">
        <f t="shared" si="210"/>
        <v/>
      </c>
    </row>
    <row r="2670" spans="16:26" x14ac:dyDescent="0.25">
      <c r="P2670" s="10" t="str">
        <f>IF('[1]All Data '!AZ2675="","",'[1]All Data '!AZ2675)</f>
        <v/>
      </c>
      <c r="Q2670" s="10" t="str">
        <f>IF('[1]All Data '!BB2675="","",'[1]All Data '!BB2675)</f>
        <v/>
      </c>
      <c r="R2670" s="10" t="str">
        <f>IF('[1]All Data '!BD2675="","",'[1]All Data '!BD2675)</f>
        <v/>
      </c>
      <c r="S2670" s="11" t="str">
        <f>IF(R2670="","",'[1]All Data '!BE2675)</f>
        <v/>
      </c>
      <c r="T2670" s="12" t="str">
        <f>IF(S2670="","",[1]Inputs_Outputs!$B$8*(1-'LOCH Calc COE Calc'!S2670))</f>
        <v/>
      </c>
      <c r="U2670" s="13" t="str">
        <f t="shared" si="211"/>
        <v/>
      </c>
      <c r="V2670" s="13" t="str">
        <f t="shared" si="212"/>
        <v/>
      </c>
      <c r="W2670" s="4" t="str">
        <f t="shared" si="213"/>
        <v/>
      </c>
      <c r="X2670" t="str">
        <f>IF(W2670="","",LOOKUP(_xlfn.CONCAT(P2670,", ",Q2670),'[1]T+S Costs'!$F$2:$F$3138,'[1]T+S Costs'!$N$2:$N$3138))</f>
        <v/>
      </c>
      <c r="Y2670" s="14" t="str">
        <f t="shared" si="209"/>
        <v/>
      </c>
      <c r="Z2670" s="4" t="str">
        <f t="shared" si="210"/>
        <v/>
      </c>
    </row>
    <row r="2671" spans="16:26" x14ac:dyDescent="0.25">
      <c r="P2671" s="10" t="str">
        <f>IF('[1]All Data '!AZ2676="","",'[1]All Data '!AZ2676)</f>
        <v/>
      </c>
      <c r="Q2671" s="10" t="str">
        <f>IF('[1]All Data '!BB2676="","",'[1]All Data '!BB2676)</f>
        <v/>
      </c>
      <c r="R2671" s="10" t="str">
        <f>IF('[1]All Data '!BD2676="","",'[1]All Data '!BD2676)</f>
        <v/>
      </c>
      <c r="S2671" s="11" t="str">
        <f>IF(R2671="","",'[1]All Data '!BE2676)</f>
        <v/>
      </c>
      <c r="T2671" s="12" t="str">
        <f>IF(S2671="","",[1]Inputs_Outputs!$B$8*(1-'LOCH Calc COE Calc'!S2671))</f>
        <v/>
      </c>
      <c r="U2671" s="13" t="str">
        <f t="shared" si="211"/>
        <v/>
      </c>
      <c r="V2671" s="13" t="str">
        <f t="shared" si="212"/>
        <v/>
      </c>
      <c r="W2671" s="4" t="str">
        <f t="shared" si="213"/>
        <v/>
      </c>
      <c r="X2671" t="str">
        <f>IF(W2671="","",LOOKUP(_xlfn.CONCAT(P2671,", ",Q2671),'[1]T+S Costs'!$F$2:$F$3138,'[1]T+S Costs'!$N$2:$N$3138))</f>
        <v/>
      </c>
      <c r="Y2671" s="14" t="str">
        <f t="shared" si="209"/>
        <v/>
      </c>
      <c r="Z2671" s="4" t="str">
        <f t="shared" si="210"/>
        <v/>
      </c>
    </row>
    <row r="2672" spans="16:26" x14ac:dyDescent="0.25">
      <c r="P2672" s="10" t="str">
        <f>IF('[1]All Data '!AZ2677="","",'[1]All Data '!AZ2677)</f>
        <v/>
      </c>
      <c r="Q2672" s="10" t="str">
        <f>IF('[1]All Data '!BB2677="","",'[1]All Data '!BB2677)</f>
        <v/>
      </c>
      <c r="R2672" s="10" t="str">
        <f>IF('[1]All Data '!BD2677="","",'[1]All Data '!BD2677)</f>
        <v/>
      </c>
      <c r="S2672" s="11" t="str">
        <f>IF(R2672="","",'[1]All Data '!BE2677)</f>
        <v/>
      </c>
      <c r="T2672" s="12" t="str">
        <f>IF(S2672="","",[1]Inputs_Outputs!$B$8*(1-'LOCH Calc COE Calc'!S2672))</f>
        <v/>
      </c>
      <c r="U2672" s="13" t="str">
        <f t="shared" si="211"/>
        <v/>
      </c>
      <c r="V2672" s="13" t="str">
        <f t="shared" si="212"/>
        <v/>
      </c>
      <c r="W2672" s="4" t="str">
        <f t="shared" si="213"/>
        <v/>
      </c>
      <c r="X2672" t="str">
        <f>IF(W2672="","",LOOKUP(_xlfn.CONCAT(P2672,", ",Q2672),'[1]T+S Costs'!$F$2:$F$3138,'[1]T+S Costs'!$N$2:$N$3138))</f>
        <v/>
      </c>
      <c r="Y2672" s="14" t="str">
        <f t="shared" si="209"/>
        <v/>
      </c>
      <c r="Z2672" s="4" t="str">
        <f t="shared" si="210"/>
        <v/>
      </c>
    </row>
    <row r="2673" spans="16:26" x14ac:dyDescent="0.25">
      <c r="P2673" s="10" t="str">
        <f>IF('[1]All Data '!AZ2678="","",'[1]All Data '!AZ2678)</f>
        <v/>
      </c>
      <c r="Q2673" s="10" t="str">
        <f>IF('[1]All Data '!BB2678="","",'[1]All Data '!BB2678)</f>
        <v/>
      </c>
      <c r="R2673" s="10" t="str">
        <f>IF('[1]All Data '!BD2678="","",'[1]All Data '!BD2678)</f>
        <v/>
      </c>
      <c r="S2673" s="11" t="str">
        <f>IF(R2673="","",'[1]All Data '!BE2678)</f>
        <v/>
      </c>
      <c r="T2673" s="12" t="str">
        <f>IF(S2673="","",[1]Inputs_Outputs!$B$8*(1-'LOCH Calc COE Calc'!S2673))</f>
        <v/>
      </c>
      <c r="U2673" s="13" t="str">
        <f t="shared" si="211"/>
        <v/>
      </c>
      <c r="V2673" s="13" t="str">
        <f t="shared" si="212"/>
        <v/>
      </c>
      <c r="W2673" s="4" t="str">
        <f t="shared" si="213"/>
        <v/>
      </c>
      <c r="X2673" t="str">
        <f>IF(W2673="","",LOOKUP(_xlfn.CONCAT(P2673,", ",Q2673),'[1]T+S Costs'!$F$2:$F$3138,'[1]T+S Costs'!$N$2:$N$3138))</f>
        <v/>
      </c>
      <c r="Y2673" s="14" t="str">
        <f t="shared" si="209"/>
        <v/>
      </c>
      <c r="Z2673" s="4" t="str">
        <f t="shared" si="210"/>
        <v/>
      </c>
    </row>
    <row r="2674" spans="16:26" x14ac:dyDescent="0.25">
      <c r="P2674" s="10" t="str">
        <f>IF('[1]All Data '!AZ2679="","",'[1]All Data '!AZ2679)</f>
        <v/>
      </c>
      <c r="Q2674" s="10" t="str">
        <f>IF('[1]All Data '!BB2679="","",'[1]All Data '!BB2679)</f>
        <v/>
      </c>
      <c r="R2674" s="10" t="str">
        <f>IF('[1]All Data '!BD2679="","",'[1]All Data '!BD2679)</f>
        <v/>
      </c>
      <c r="S2674" s="11" t="str">
        <f>IF(R2674="","",'[1]All Data '!BE2679)</f>
        <v/>
      </c>
      <c r="T2674" s="12" t="str">
        <f>IF(S2674="","",[1]Inputs_Outputs!$B$8*(1-'LOCH Calc COE Calc'!S2674))</f>
        <v/>
      </c>
      <c r="U2674" s="13" t="str">
        <f t="shared" si="211"/>
        <v/>
      </c>
      <c r="V2674" s="13" t="str">
        <f t="shared" si="212"/>
        <v/>
      </c>
      <c r="W2674" s="4" t="str">
        <f t="shared" si="213"/>
        <v/>
      </c>
      <c r="X2674" t="str">
        <f>IF(W2674="","",LOOKUP(_xlfn.CONCAT(P2674,", ",Q2674),'[1]T+S Costs'!$F$2:$F$3138,'[1]T+S Costs'!$N$2:$N$3138))</f>
        <v/>
      </c>
      <c r="Y2674" s="14" t="str">
        <f t="shared" si="209"/>
        <v/>
      </c>
      <c r="Z2674" s="4" t="str">
        <f t="shared" si="210"/>
        <v/>
      </c>
    </row>
    <row r="2675" spans="16:26" x14ac:dyDescent="0.25">
      <c r="P2675" s="10" t="str">
        <f>IF('[1]All Data '!AZ2680="","",'[1]All Data '!AZ2680)</f>
        <v/>
      </c>
      <c r="Q2675" s="10" t="str">
        <f>IF('[1]All Data '!BB2680="","",'[1]All Data '!BB2680)</f>
        <v/>
      </c>
      <c r="R2675" s="10" t="str">
        <f>IF('[1]All Data '!BD2680="","",'[1]All Data '!BD2680)</f>
        <v/>
      </c>
      <c r="S2675" s="11" t="str">
        <f>IF(R2675="","",'[1]All Data '!BE2680)</f>
        <v/>
      </c>
      <c r="T2675" s="12" t="str">
        <f>IF(S2675="","",[1]Inputs_Outputs!$B$8*(1-'LOCH Calc COE Calc'!S2675))</f>
        <v/>
      </c>
      <c r="U2675" s="13" t="str">
        <f t="shared" si="211"/>
        <v/>
      </c>
      <c r="V2675" s="13" t="str">
        <f t="shared" si="212"/>
        <v/>
      </c>
      <c r="W2675" s="4" t="str">
        <f t="shared" si="213"/>
        <v/>
      </c>
      <c r="X2675" t="str">
        <f>IF(W2675="","",LOOKUP(_xlfn.CONCAT(P2675,", ",Q2675),'[1]T+S Costs'!$F$2:$F$3138,'[1]T+S Costs'!$N$2:$N$3138))</f>
        <v/>
      </c>
      <c r="Y2675" s="14" t="str">
        <f t="shared" si="209"/>
        <v/>
      </c>
      <c r="Z2675" s="4" t="str">
        <f t="shared" si="210"/>
        <v/>
      </c>
    </row>
    <row r="2676" spans="16:26" x14ac:dyDescent="0.25">
      <c r="P2676" s="10" t="str">
        <f>IF('[1]All Data '!AZ2681="","",'[1]All Data '!AZ2681)</f>
        <v/>
      </c>
      <c r="Q2676" s="10" t="str">
        <f>IF('[1]All Data '!BB2681="","",'[1]All Data '!BB2681)</f>
        <v/>
      </c>
      <c r="R2676" s="10" t="str">
        <f>IF('[1]All Data '!BD2681="","",'[1]All Data '!BD2681)</f>
        <v/>
      </c>
      <c r="S2676" s="11" t="str">
        <f>IF(R2676="","",'[1]All Data '!BE2681)</f>
        <v/>
      </c>
      <c r="T2676" s="12" t="str">
        <f>IF(S2676="","",[1]Inputs_Outputs!$B$8*(1-'LOCH Calc COE Calc'!S2676))</f>
        <v/>
      </c>
      <c r="U2676" s="13" t="str">
        <f t="shared" si="211"/>
        <v/>
      </c>
      <c r="V2676" s="13" t="str">
        <f t="shared" si="212"/>
        <v/>
      </c>
      <c r="W2676" s="4" t="str">
        <f t="shared" si="213"/>
        <v/>
      </c>
      <c r="X2676" t="str">
        <f>IF(W2676="","",LOOKUP(_xlfn.CONCAT(P2676,", ",Q2676),'[1]T+S Costs'!$F$2:$F$3138,'[1]T+S Costs'!$N$2:$N$3138))</f>
        <v/>
      </c>
      <c r="Y2676" s="14" t="str">
        <f t="shared" si="209"/>
        <v/>
      </c>
      <c r="Z2676" s="4" t="str">
        <f t="shared" si="210"/>
        <v/>
      </c>
    </row>
    <row r="2677" spans="16:26" x14ac:dyDescent="0.25">
      <c r="P2677" s="10" t="str">
        <f>IF('[1]All Data '!AZ2682="","",'[1]All Data '!AZ2682)</f>
        <v/>
      </c>
      <c r="Q2677" s="10" t="str">
        <f>IF('[1]All Data '!BB2682="","",'[1]All Data '!BB2682)</f>
        <v/>
      </c>
      <c r="R2677" s="10" t="str">
        <f>IF('[1]All Data '!BD2682="","",'[1]All Data '!BD2682)</f>
        <v/>
      </c>
      <c r="S2677" s="11" t="str">
        <f>IF(R2677="","",'[1]All Data '!BE2682)</f>
        <v/>
      </c>
      <c r="T2677" s="12" t="str">
        <f>IF(S2677="","",[1]Inputs_Outputs!$B$8*(1-'LOCH Calc COE Calc'!S2677))</f>
        <v/>
      </c>
      <c r="U2677" s="13" t="str">
        <f t="shared" si="211"/>
        <v/>
      </c>
      <c r="V2677" s="13" t="str">
        <f t="shared" si="212"/>
        <v/>
      </c>
      <c r="W2677" s="4" t="str">
        <f t="shared" si="213"/>
        <v/>
      </c>
      <c r="X2677" t="str">
        <f>IF(W2677="","",LOOKUP(_xlfn.CONCAT(P2677,", ",Q2677),'[1]T+S Costs'!$F$2:$F$3138,'[1]T+S Costs'!$N$2:$N$3138))</f>
        <v/>
      </c>
      <c r="Y2677" s="14" t="str">
        <f t="shared" si="209"/>
        <v/>
      </c>
      <c r="Z2677" s="4" t="str">
        <f t="shared" si="210"/>
        <v/>
      </c>
    </row>
    <row r="2678" spans="16:26" x14ac:dyDescent="0.25">
      <c r="P2678" s="10" t="str">
        <f>IF('[1]All Data '!AZ2683="","",'[1]All Data '!AZ2683)</f>
        <v/>
      </c>
      <c r="Q2678" s="10" t="str">
        <f>IF('[1]All Data '!BB2683="","",'[1]All Data '!BB2683)</f>
        <v/>
      </c>
      <c r="R2678" s="10" t="str">
        <f>IF('[1]All Data '!BD2683="","",'[1]All Data '!BD2683)</f>
        <v/>
      </c>
      <c r="S2678" s="11" t="str">
        <f>IF(R2678="","",'[1]All Data '!BE2683)</f>
        <v/>
      </c>
      <c r="T2678" s="12" t="str">
        <f>IF(S2678="","",[1]Inputs_Outputs!$B$8*(1-'LOCH Calc COE Calc'!S2678))</f>
        <v/>
      </c>
      <c r="U2678" s="13" t="str">
        <f t="shared" si="211"/>
        <v/>
      </c>
      <c r="V2678" s="13" t="str">
        <f t="shared" si="212"/>
        <v/>
      </c>
      <c r="W2678" s="4" t="str">
        <f t="shared" si="213"/>
        <v/>
      </c>
      <c r="X2678" t="str">
        <f>IF(W2678="","",LOOKUP(_xlfn.CONCAT(P2678,", ",Q2678),'[1]T+S Costs'!$F$2:$F$3138,'[1]T+S Costs'!$N$2:$N$3138))</f>
        <v/>
      </c>
      <c r="Y2678" s="14" t="str">
        <f t="shared" si="209"/>
        <v/>
      </c>
      <c r="Z2678" s="4" t="str">
        <f t="shared" si="210"/>
        <v/>
      </c>
    </row>
    <row r="2679" spans="16:26" x14ac:dyDescent="0.25">
      <c r="P2679" s="10" t="str">
        <f>IF('[1]All Data '!AZ2684="","",'[1]All Data '!AZ2684)</f>
        <v/>
      </c>
      <c r="Q2679" s="10" t="str">
        <f>IF('[1]All Data '!BB2684="","",'[1]All Data '!BB2684)</f>
        <v/>
      </c>
      <c r="R2679" s="10" t="str">
        <f>IF('[1]All Data '!BD2684="","",'[1]All Data '!BD2684)</f>
        <v/>
      </c>
      <c r="S2679" s="11" t="str">
        <f>IF(R2679="","",'[1]All Data '!BE2684)</f>
        <v/>
      </c>
      <c r="T2679" s="12" t="str">
        <f>IF(S2679="","",[1]Inputs_Outputs!$B$8*(1-'LOCH Calc COE Calc'!S2679))</f>
        <v/>
      </c>
      <c r="U2679" s="13" t="str">
        <f t="shared" si="211"/>
        <v/>
      </c>
      <c r="V2679" s="13" t="str">
        <f t="shared" si="212"/>
        <v/>
      </c>
      <c r="W2679" s="4" t="str">
        <f t="shared" si="213"/>
        <v/>
      </c>
      <c r="X2679" t="str">
        <f>IF(W2679="","",LOOKUP(_xlfn.CONCAT(P2679,", ",Q2679),'[1]T+S Costs'!$F$2:$F$3138,'[1]T+S Costs'!$N$2:$N$3138))</f>
        <v/>
      </c>
      <c r="Y2679" s="14" t="str">
        <f t="shared" si="209"/>
        <v/>
      </c>
      <c r="Z2679" s="4" t="str">
        <f t="shared" si="210"/>
        <v/>
      </c>
    </row>
    <row r="2680" spans="16:26" x14ac:dyDescent="0.25">
      <c r="P2680" s="10" t="str">
        <f>IF('[1]All Data '!AZ2685="","",'[1]All Data '!AZ2685)</f>
        <v/>
      </c>
      <c r="Q2680" s="10" t="str">
        <f>IF('[1]All Data '!BB2685="","",'[1]All Data '!BB2685)</f>
        <v/>
      </c>
      <c r="R2680" s="10" t="str">
        <f>IF('[1]All Data '!BD2685="","",'[1]All Data '!BD2685)</f>
        <v/>
      </c>
      <c r="S2680" s="11" t="str">
        <f>IF(R2680="","",'[1]All Data '!BE2685)</f>
        <v/>
      </c>
      <c r="T2680" s="12" t="str">
        <f>IF(S2680="","",[1]Inputs_Outputs!$B$8*(1-'LOCH Calc COE Calc'!S2680))</f>
        <v/>
      </c>
      <c r="U2680" s="13" t="str">
        <f t="shared" si="211"/>
        <v/>
      </c>
      <c r="V2680" s="13" t="str">
        <f t="shared" si="212"/>
        <v/>
      </c>
      <c r="W2680" s="4" t="str">
        <f t="shared" si="213"/>
        <v/>
      </c>
      <c r="X2680" t="str">
        <f>IF(W2680="","",LOOKUP(_xlfn.CONCAT(P2680,", ",Q2680),'[1]T+S Costs'!$F$2:$F$3138,'[1]T+S Costs'!$N$2:$N$3138))</f>
        <v/>
      </c>
      <c r="Y2680" s="14" t="str">
        <f t="shared" si="209"/>
        <v/>
      </c>
      <c r="Z2680" s="4" t="str">
        <f t="shared" si="210"/>
        <v/>
      </c>
    </row>
    <row r="2681" spans="16:26" x14ac:dyDescent="0.25">
      <c r="P2681" s="10" t="str">
        <f>IF('[1]All Data '!AZ2686="","",'[1]All Data '!AZ2686)</f>
        <v/>
      </c>
      <c r="Q2681" s="10" t="str">
        <f>IF('[1]All Data '!BB2686="","",'[1]All Data '!BB2686)</f>
        <v/>
      </c>
      <c r="R2681" s="10" t="str">
        <f>IF('[1]All Data '!BD2686="","",'[1]All Data '!BD2686)</f>
        <v/>
      </c>
      <c r="S2681" s="11" t="str">
        <f>IF(R2681="","",'[1]All Data '!BE2686)</f>
        <v/>
      </c>
      <c r="T2681" s="12" t="str">
        <f>IF(S2681="","",[1]Inputs_Outputs!$B$8*(1-'LOCH Calc COE Calc'!S2681))</f>
        <v/>
      </c>
      <c r="U2681" s="13" t="str">
        <f t="shared" si="211"/>
        <v/>
      </c>
      <c r="V2681" s="13" t="str">
        <f t="shared" si="212"/>
        <v/>
      </c>
      <c r="W2681" s="4" t="str">
        <f t="shared" si="213"/>
        <v/>
      </c>
      <c r="X2681" t="str">
        <f>IF(W2681="","",LOOKUP(_xlfn.CONCAT(P2681,", ",Q2681),'[1]T+S Costs'!$F$2:$F$3138,'[1]T+S Costs'!$N$2:$N$3138))</f>
        <v/>
      </c>
      <c r="Y2681" s="14" t="str">
        <f t="shared" si="209"/>
        <v/>
      </c>
      <c r="Z2681" s="4" t="str">
        <f t="shared" si="210"/>
        <v/>
      </c>
    </row>
    <row r="2682" spans="16:26" x14ac:dyDescent="0.25">
      <c r="P2682" s="10" t="str">
        <f>IF('[1]All Data '!AZ2687="","",'[1]All Data '!AZ2687)</f>
        <v/>
      </c>
      <c r="Q2682" s="10" t="str">
        <f>IF('[1]All Data '!BB2687="","",'[1]All Data '!BB2687)</f>
        <v/>
      </c>
      <c r="R2682" s="10" t="str">
        <f>IF('[1]All Data '!BD2687="","",'[1]All Data '!BD2687)</f>
        <v/>
      </c>
      <c r="S2682" s="11" t="str">
        <f>IF(R2682="","",'[1]All Data '!BE2687)</f>
        <v/>
      </c>
      <c r="T2682" s="12" t="str">
        <f>IF(S2682="","",[1]Inputs_Outputs!$B$8*(1-'LOCH Calc COE Calc'!S2682))</f>
        <v/>
      </c>
      <c r="U2682" s="13" t="str">
        <f t="shared" si="211"/>
        <v/>
      </c>
      <c r="V2682" s="13" t="str">
        <f t="shared" si="212"/>
        <v/>
      </c>
      <c r="W2682" s="4" t="str">
        <f t="shared" si="213"/>
        <v/>
      </c>
      <c r="X2682" t="str">
        <f>IF(W2682="","",LOOKUP(_xlfn.CONCAT(P2682,", ",Q2682),'[1]T+S Costs'!$F$2:$F$3138,'[1]T+S Costs'!$N$2:$N$3138))</f>
        <v/>
      </c>
      <c r="Y2682" s="14" t="str">
        <f t="shared" si="209"/>
        <v/>
      </c>
      <c r="Z2682" s="4" t="str">
        <f t="shared" si="210"/>
        <v/>
      </c>
    </row>
    <row r="2683" spans="16:26" x14ac:dyDescent="0.25">
      <c r="P2683" s="10" t="str">
        <f>IF('[1]All Data '!AZ2688="","",'[1]All Data '!AZ2688)</f>
        <v/>
      </c>
      <c r="Q2683" s="10" t="str">
        <f>IF('[1]All Data '!BB2688="","",'[1]All Data '!BB2688)</f>
        <v/>
      </c>
      <c r="R2683" s="10" t="str">
        <f>IF('[1]All Data '!BD2688="","",'[1]All Data '!BD2688)</f>
        <v/>
      </c>
      <c r="S2683" s="11" t="str">
        <f>IF(R2683="","",'[1]All Data '!BE2688)</f>
        <v/>
      </c>
      <c r="T2683" s="12" t="str">
        <f>IF(S2683="","",[1]Inputs_Outputs!$B$8*(1-'LOCH Calc COE Calc'!S2683))</f>
        <v/>
      </c>
      <c r="U2683" s="13" t="str">
        <f t="shared" si="211"/>
        <v/>
      </c>
      <c r="V2683" s="13" t="str">
        <f t="shared" si="212"/>
        <v/>
      </c>
      <c r="W2683" s="4" t="str">
        <f t="shared" si="213"/>
        <v/>
      </c>
      <c r="X2683" t="str">
        <f>IF(W2683="","",LOOKUP(_xlfn.CONCAT(P2683,", ",Q2683),'[1]T+S Costs'!$F$2:$F$3138,'[1]T+S Costs'!$N$2:$N$3138))</f>
        <v/>
      </c>
      <c r="Y2683" s="14" t="str">
        <f t="shared" si="209"/>
        <v/>
      </c>
      <c r="Z2683" s="4" t="str">
        <f t="shared" si="210"/>
        <v/>
      </c>
    </row>
    <row r="2684" spans="16:26" x14ac:dyDescent="0.25">
      <c r="P2684" s="10" t="str">
        <f>IF('[1]All Data '!AZ2689="","",'[1]All Data '!AZ2689)</f>
        <v/>
      </c>
      <c r="Q2684" s="10" t="str">
        <f>IF('[1]All Data '!BB2689="","",'[1]All Data '!BB2689)</f>
        <v/>
      </c>
      <c r="R2684" s="10" t="str">
        <f>IF('[1]All Data '!BD2689="","",'[1]All Data '!BD2689)</f>
        <v/>
      </c>
      <c r="S2684" s="11" t="str">
        <f>IF(R2684="","",'[1]All Data '!BE2689)</f>
        <v/>
      </c>
      <c r="T2684" s="12" t="str">
        <f>IF(S2684="","",[1]Inputs_Outputs!$B$8*(1-'LOCH Calc COE Calc'!S2684))</f>
        <v/>
      </c>
      <c r="U2684" s="13" t="str">
        <f t="shared" si="211"/>
        <v/>
      </c>
      <c r="V2684" s="13" t="str">
        <f t="shared" si="212"/>
        <v/>
      </c>
      <c r="W2684" s="4" t="str">
        <f t="shared" si="213"/>
        <v/>
      </c>
      <c r="X2684" t="str">
        <f>IF(W2684="","",LOOKUP(_xlfn.CONCAT(P2684,", ",Q2684),'[1]T+S Costs'!$F$2:$F$3138,'[1]T+S Costs'!$N$2:$N$3138))</f>
        <v/>
      </c>
      <c r="Y2684" s="14" t="str">
        <f t="shared" si="209"/>
        <v/>
      </c>
      <c r="Z2684" s="4" t="str">
        <f t="shared" si="210"/>
        <v/>
      </c>
    </row>
    <row r="2685" spans="16:26" x14ac:dyDescent="0.25">
      <c r="P2685" s="10" t="str">
        <f>IF('[1]All Data '!AZ2690="","",'[1]All Data '!AZ2690)</f>
        <v/>
      </c>
      <c r="Q2685" s="10" t="str">
        <f>IF('[1]All Data '!BB2690="","",'[1]All Data '!BB2690)</f>
        <v/>
      </c>
      <c r="R2685" s="10" t="str">
        <f>IF('[1]All Data '!BD2690="","",'[1]All Data '!BD2690)</f>
        <v/>
      </c>
      <c r="S2685" s="11" t="str">
        <f>IF(R2685="","",'[1]All Data '!BE2690)</f>
        <v/>
      </c>
      <c r="T2685" s="12" t="str">
        <f>IF(S2685="","",[1]Inputs_Outputs!$B$8*(1-'LOCH Calc COE Calc'!S2685))</f>
        <v/>
      </c>
      <c r="U2685" s="13" t="str">
        <f t="shared" si="211"/>
        <v/>
      </c>
      <c r="V2685" s="13" t="str">
        <f t="shared" si="212"/>
        <v/>
      </c>
      <c r="W2685" s="4" t="str">
        <f t="shared" si="213"/>
        <v/>
      </c>
      <c r="X2685" t="str">
        <f>IF(W2685="","",LOOKUP(_xlfn.CONCAT(P2685,", ",Q2685),'[1]T+S Costs'!$F$2:$F$3138,'[1]T+S Costs'!$N$2:$N$3138))</f>
        <v/>
      </c>
      <c r="Y2685" s="14" t="str">
        <f t="shared" si="209"/>
        <v/>
      </c>
      <c r="Z2685" s="4" t="str">
        <f t="shared" si="210"/>
        <v/>
      </c>
    </row>
    <row r="2686" spans="16:26" x14ac:dyDescent="0.25">
      <c r="P2686" s="10" t="str">
        <f>IF('[1]All Data '!AZ2691="","",'[1]All Data '!AZ2691)</f>
        <v/>
      </c>
      <c r="Q2686" s="10" t="str">
        <f>IF('[1]All Data '!BB2691="","",'[1]All Data '!BB2691)</f>
        <v/>
      </c>
      <c r="R2686" s="10" t="str">
        <f>IF('[1]All Data '!BD2691="","",'[1]All Data '!BD2691)</f>
        <v/>
      </c>
      <c r="S2686" s="11" t="str">
        <f>IF(R2686="","",'[1]All Data '!BE2691)</f>
        <v/>
      </c>
      <c r="T2686" s="12" t="str">
        <f>IF(S2686="","",[1]Inputs_Outputs!$B$8*(1-'LOCH Calc COE Calc'!S2686))</f>
        <v/>
      </c>
      <c r="U2686" s="13" t="str">
        <f t="shared" si="211"/>
        <v/>
      </c>
      <c r="V2686" s="13" t="str">
        <f t="shared" si="212"/>
        <v/>
      </c>
      <c r="W2686" s="4" t="str">
        <f t="shared" si="213"/>
        <v/>
      </c>
      <c r="X2686" t="str">
        <f>IF(W2686="","",LOOKUP(_xlfn.CONCAT(P2686,", ",Q2686),'[1]T+S Costs'!$F$2:$F$3138,'[1]T+S Costs'!$N$2:$N$3138))</f>
        <v/>
      </c>
      <c r="Y2686" s="14" t="str">
        <f t="shared" si="209"/>
        <v/>
      </c>
      <c r="Z2686" s="4" t="str">
        <f t="shared" si="210"/>
        <v/>
      </c>
    </row>
    <row r="2687" spans="16:26" x14ac:dyDescent="0.25">
      <c r="P2687" s="10" t="str">
        <f>IF('[1]All Data '!AZ2692="","",'[1]All Data '!AZ2692)</f>
        <v/>
      </c>
      <c r="Q2687" s="10" t="str">
        <f>IF('[1]All Data '!BB2692="","",'[1]All Data '!BB2692)</f>
        <v/>
      </c>
      <c r="R2687" s="10" t="str">
        <f>IF('[1]All Data '!BD2692="","",'[1]All Data '!BD2692)</f>
        <v/>
      </c>
      <c r="S2687" s="11" t="str">
        <f>IF(R2687="","",'[1]All Data '!BE2692)</f>
        <v/>
      </c>
      <c r="T2687" s="12" t="str">
        <f>IF(S2687="","",[1]Inputs_Outputs!$B$8*(1-'LOCH Calc COE Calc'!S2687))</f>
        <v/>
      </c>
      <c r="U2687" s="13" t="str">
        <f t="shared" si="211"/>
        <v/>
      </c>
      <c r="V2687" s="13" t="str">
        <f t="shared" si="212"/>
        <v/>
      </c>
      <c r="W2687" s="4" t="str">
        <f t="shared" si="213"/>
        <v/>
      </c>
      <c r="X2687" t="str">
        <f>IF(W2687="","",LOOKUP(_xlfn.CONCAT(P2687,", ",Q2687),'[1]T+S Costs'!$F$2:$F$3138,'[1]T+S Costs'!$N$2:$N$3138))</f>
        <v/>
      </c>
      <c r="Y2687" s="14" t="str">
        <f t="shared" si="209"/>
        <v/>
      </c>
      <c r="Z2687" s="4" t="str">
        <f t="shared" si="210"/>
        <v/>
      </c>
    </row>
    <row r="2688" spans="16:26" x14ac:dyDescent="0.25">
      <c r="P2688" s="10" t="str">
        <f>IF('[1]All Data '!AZ2693="","",'[1]All Data '!AZ2693)</f>
        <v/>
      </c>
      <c r="Q2688" s="10" t="str">
        <f>IF('[1]All Data '!BB2693="","",'[1]All Data '!BB2693)</f>
        <v/>
      </c>
      <c r="R2688" s="10" t="str">
        <f>IF('[1]All Data '!BD2693="","",'[1]All Data '!BD2693)</f>
        <v/>
      </c>
      <c r="S2688" s="11" t="str">
        <f>IF(R2688="","",'[1]All Data '!BE2693)</f>
        <v/>
      </c>
      <c r="T2688" s="12" t="str">
        <f>IF(S2688="","",[1]Inputs_Outputs!$B$8*(1-'LOCH Calc COE Calc'!S2688))</f>
        <v/>
      </c>
      <c r="U2688" s="13" t="str">
        <f t="shared" si="211"/>
        <v/>
      </c>
      <c r="V2688" s="13" t="str">
        <f t="shared" si="212"/>
        <v/>
      </c>
      <c r="W2688" s="4" t="str">
        <f t="shared" si="213"/>
        <v/>
      </c>
      <c r="X2688" t="str">
        <f>IF(W2688="","",LOOKUP(_xlfn.CONCAT(P2688,", ",Q2688),'[1]T+S Costs'!$F$2:$F$3138,'[1]T+S Costs'!$N$2:$N$3138))</f>
        <v/>
      </c>
      <c r="Y2688" s="14" t="str">
        <f t="shared" si="209"/>
        <v/>
      </c>
      <c r="Z2688" s="4" t="str">
        <f t="shared" si="210"/>
        <v/>
      </c>
    </row>
    <row r="2689" spans="16:26" x14ac:dyDescent="0.25">
      <c r="P2689" s="10" t="str">
        <f>IF('[1]All Data '!AZ2694="","",'[1]All Data '!AZ2694)</f>
        <v/>
      </c>
      <c r="Q2689" s="10" t="str">
        <f>IF('[1]All Data '!BB2694="","",'[1]All Data '!BB2694)</f>
        <v/>
      </c>
      <c r="R2689" s="10" t="str">
        <f>IF('[1]All Data '!BD2694="","",'[1]All Data '!BD2694)</f>
        <v/>
      </c>
      <c r="S2689" s="11" t="str">
        <f>IF(R2689="","",'[1]All Data '!BE2694)</f>
        <v/>
      </c>
      <c r="T2689" s="12" t="str">
        <f>IF(S2689="","",[1]Inputs_Outputs!$B$8*(1-'LOCH Calc COE Calc'!S2689))</f>
        <v/>
      </c>
      <c r="U2689" s="13" t="str">
        <f t="shared" si="211"/>
        <v/>
      </c>
      <c r="V2689" s="13" t="str">
        <f t="shared" si="212"/>
        <v/>
      </c>
      <c r="W2689" s="4" t="str">
        <f t="shared" si="213"/>
        <v/>
      </c>
      <c r="X2689" t="str">
        <f>IF(W2689="","",LOOKUP(_xlfn.CONCAT(P2689,", ",Q2689),'[1]T+S Costs'!$F$2:$F$3138,'[1]T+S Costs'!$N$2:$N$3138))</f>
        <v/>
      </c>
      <c r="Y2689" s="14" t="str">
        <f t="shared" si="209"/>
        <v/>
      </c>
      <c r="Z2689" s="4" t="str">
        <f t="shared" si="210"/>
        <v/>
      </c>
    </row>
    <row r="2690" spans="16:26" x14ac:dyDescent="0.25">
      <c r="P2690" s="10" t="str">
        <f>IF('[1]All Data '!AZ2695="","",'[1]All Data '!AZ2695)</f>
        <v/>
      </c>
      <c r="Q2690" s="10" t="str">
        <f>IF('[1]All Data '!BB2695="","",'[1]All Data '!BB2695)</f>
        <v/>
      </c>
      <c r="R2690" s="10" t="str">
        <f>IF('[1]All Data '!BD2695="","",'[1]All Data '!BD2695)</f>
        <v/>
      </c>
      <c r="S2690" s="11" t="str">
        <f>IF(R2690="","",'[1]All Data '!BE2695)</f>
        <v/>
      </c>
      <c r="T2690" s="12" t="str">
        <f>IF(S2690="","",[1]Inputs_Outputs!$B$8*(1-'LOCH Calc COE Calc'!S2690))</f>
        <v/>
      </c>
      <c r="U2690" s="13" t="str">
        <f t="shared" si="211"/>
        <v/>
      </c>
      <c r="V2690" s="13" t="str">
        <f t="shared" si="212"/>
        <v/>
      </c>
      <c r="W2690" s="4" t="str">
        <f t="shared" si="213"/>
        <v/>
      </c>
      <c r="X2690" t="str">
        <f>IF(W2690="","",LOOKUP(_xlfn.CONCAT(P2690,", ",Q2690),'[1]T+S Costs'!$F$2:$F$3138,'[1]T+S Costs'!$N$2:$N$3138))</f>
        <v/>
      </c>
      <c r="Y2690" s="14" t="str">
        <f t="shared" si="209"/>
        <v/>
      </c>
      <c r="Z2690" s="4" t="str">
        <f t="shared" si="210"/>
        <v/>
      </c>
    </row>
    <row r="2691" spans="16:26" x14ac:dyDescent="0.25">
      <c r="P2691" s="10" t="str">
        <f>IF('[1]All Data '!AZ2696="","",'[1]All Data '!AZ2696)</f>
        <v/>
      </c>
      <c r="Q2691" s="10" t="str">
        <f>IF('[1]All Data '!BB2696="","",'[1]All Data '!BB2696)</f>
        <v/>
      </c>
      <c r="R2691" s="10" t="str">
        <f>IF('[1]All Data '!BD2696="","",'[1]All Data '!BD2696)</f>
        <v/>
      </c>
      <c r="S2691" s="11" t="str">
        <f>IF(R2691="","",'[1]All Data '!BE2696)</f>
        <v/>
      </c>
      <c r="T2691" s="12" t="str">
        <f>IF(S2691="","",[1]Inputs_Outputs!$B$8*(1-'LOCH Calc COE Calc'!S2691))</f>
        <v/>
      </c>
      <c r="U2691" s="13" t="str">
        <f t="shared" si="211"/>
        <v/>
      </c>
      <c r="V2691" s="13" t="str">
        <f t="shared" si="212"/>
        <v/>
      </c>
      <c r="W2691" s="4" t="str">
        <f t="shared" si="213"/>
        <v/>
      </c>
      <c r="X2691" t="str">
        <f>IF(W2691="","",LOOKUP(_xlfn.CONCAT(P2691,", ",Q2691),'[1]T+S Costs'!$F$2:$F$3138,'[1]T+S Costs'!$N$2:$N$3138))</f>
        <v/>
      </c>
      <c r="Y2691" s="14" t="str">
        <f t="shared" ref="Y2691:Y2754" si="214">IF(X2691="","",((X2691*$B$60/$B$59)*$C$44)/$C$28)</f>
        <v/>
      </c>
      <c r="Z2691" s="4" t="str">
        <f t="shared" ref="Z2691:Z2754" si="215">IF(Y2691="","",W2691+Y2691)</f>
        <v/>
      </c>
    </row>
    <row r="2692" spans="16:26" x14ac:dyDescent="0.25">
      <c r="P2692" s="10" t="str">
        <f>IF('[1]All Data '!AZ2697="","",'[1]All Data '!AZ2697)</f>
        <v/>
      </c>
      <c r="Q2692" s="10" t="str">
        <f>IF('[1]All Data '!BB2697="","",'[1]All Data '!BB2697)</f>
        <v/>
      </c>
      <c r="R2692" s="10" t="str">
        <f>IF('[1]All Data '!BD2697="","",'[1]All Data '!BD2697)</f>
        <v/>
      </c>
      <c r="S2692" s="11" t="str">
        <f>IF(R2692="","",'[1]All Data '!BE2697)</f>
        <v/>
      </c>
      <c r="T2692" s="12" t="str">
        <f>IF(S2692="","",[1]Inputs_Outputs!$B$8*(1-'LOCH Calc COE Calc'!S2692))</f>
        <v/>
      </c>
      <c r="U2692" s="13" t="str">
        <f t="shared" si="211"/>
        <v/>
      </c>
      <c r="V2692" s="13" t="str">
        <f t="shared" si="212"/>
        <v/>
      </c>
      <c r="W2692" s="4" t="str">
        <f t="shared" si="213"/>
        <v/>
      </c>
      <c r="X2692" t="str">
        <f>IF(W2692="","",LOOKUP(_xlfn.CONCAT(P2692,", ",Q2692),'[1]T+S Costs'!$F$2:$F$3138,'[1]T+S Costs'!$N$2:$N$3138))</f>
        <v/>
      </c>
      <c r="Y2692" s="14" t="str">
        <f t="shared" si="214"/>
        <v/>
      </c>
      <c r="Z2692" s="4" t="str">
        <f t="shared" si="215"/>
        <v/>
      </c>
    </row>
    <row r="2693" spans="16:26" x14ac:dyDescent="0.25">
      <c r="P2693" s="10" t="str">
        <f>IF('[1]All Data '!AZ2698="","",'[1]All Data '!AZ2698)</f>
        <v/>
      </c>
      <c r="Q2693" s="10" t="str">
        <f>IF('[1]All Data '!BB2698="","",'[1]All Data '!BB2698)</f>
        <v/>
      </c>
      <c r="R2693" s="10" t="str">
        <f>IF('[1]All Data '!BD2698="","",'[1]All Data '!BD2698)</f>
        <v/>
      </c>
      <c r="S2693" s="11" t="str">
        <f>IF(R2693="","",'[1]All Data '!BE2698)</f>
        <v/>
      </c>
      <c r="T2693" s="12" t="str">
        <f>IF(S2693="","",[1]Inputs_Outputs!$B$8*(1-'LOCH Calc COE Calc'!S2693))</f>
        <v/>
      </c>
      <c r="U2693" s="13" t="str">
        <f t="shared" si="211"/>
        <v/>
      </c>
      <c r="V2693" s="13" t="str">
        <f t="shared" si="212"/>
        <v/>
      </c>
      <c r="W2693" s="4" t="str">
        <f t="shared" si="213"/>
        <v/>
      </c>
      <c r="X2693" t="str">
        <f>IF(W2693="","",LOOKUP(_xlfn.CONCAT(P2693,", ",Q2693),'[1]T+S Costs'!$F$2:$F$3138,'[1]T+S Costs'!$N$2:$N$3138))</f>
        <v/>
      </c>
      <c r="Y2693" s="14" t="str">
        <f t="shared" si="214"/>
        <v/>
      </c>
      <c r="Z2693" s="4" t="str">
        <f t="shared" si="215"/>
        <v/>
      </c>
    </row>
    <row r="2694" spans="16:26" x14ac:dyDescent="0.25">
      <c r="P2694" s="10" t="str">
        <f>IF('[1]All Data '!AZ2699="","",'[1]All Data '!AZ2699)</f>
        <v/>
      </c>
      <c r="Q2694" s="10" t="str">
        <f>IF('[1]All Data '!BB2699="","",'[1]All Data '!BB2699)</f>
        <v/>
      </c>
      <c r="R2694" s="10" t="str">
        <f>IF('[1]All Data '!BD2699="","",'[1]All Data '!BD2699)</f>
        <v/>
      </c>
      <c r="S2694" s="11" t="str">
        <f>IF(R2694="","",'[1]All Data '!BE2699)</f>
        <v/>
      </c>
      <c r="T2694" s="12" t="str">
        <f>IF(S2694="","",[1]Inputs_Outputs!$B$8*(1-'LOCH Calc COE Calc'!S2694))</f>
        <v/>
      </c>
      <c r="U2694" s="13" t="str">
        <f t="shared" si="211"/>
        <v/>
      </c>
      <c r="V2694" s="13" t="str">
        <f t="shared" si="212"/>
        <v/>
      </c>
      <c r="W2694" s="4" t="str">
        <f t="shared" si="213"/>
        <v/>
      </c>
      <c r="X2694" t="str">
        <f>IF(W2694="","",LOOKUP(_xlfn.CONCAT(P2694,", ",Q2694),'[1]T+S Costs'!$F$2:$F$3138,'[1]T+S Costs'!$N$2:$N$3138))</f>
        <v/>
      </c>
      <c r="Y2694" s="14" t="str">
        <f t="shared" si="214"/>
        <v/>
      </c>
      <c r="Z2694" s="4" t="str">
        <f t="shared" si="215"/>
        <v/>
      </c>
    </row>
    <row r="2695" spans="16:26" x14ac:dyDescent="0.25">
      <c r="P2695" s="10" t="str">
        <f>IF('[1]All Data '!AZ2700="","",'[1]All Data '!AZ2700)</f>
        <v/>
      </c>
      <c r="Q2695" s="10" t="str">
        <f>IF('[1]All Data '!BB2700="","",'[1]All Data '!BB2700)</f>
        <v/>
      </c>
      <c r="R2695" s="10" t="str">
        <f>IF('[1]All Data '!BD2700="","",'[1]All Data '!BD2700)</f>
        <v/>
      </c>
      <c r="S2695" s="11" t="str">
        <f>IF(R2695="","",'[1]All Data '!BE2700)</f>
        <v/>
      </c>
      <c r="T2695" s="12" t="str">
        <f>IF(S2695="","",[1]Inputs_Outputs!$B$8*(1-'LOCH Calc COE Calc'!S2695))</f>
        <v/>
      </c>
      <c r="U2695" s="13" t="str">
        <f t="shared" si="211"/>
        <v/>
      </c>
      <c r="V2695" s="13" t="str">
        <f t="shared" si="212"/>
        <v/>
      </c>
      <c r="W2695" s="4" t="str">
        <f t="shared" si="213"/>
        <v/>
      </c>
      <c r="X2695" t="str">
        <f>IF(W2695="","",LOOKUP(_xlfn.CONCAT(P2695,", ",Q2695),'[1]T+S Costs'!$F$2:$F$3138,'[1]T+S Costs'!$N$2:$N$3138))</f>
        <v/>
      </c>
      <c r="Y2695" s="14" t="str">
        <f t="shared" si="214"/>
        <v/>
      </c>
      <c r="Z2695" s="4" t="str">
        <f t="shared" si="215"/>
        <v/>
      </c>
    </row>
    <row r="2696" spans="16:26" x14ac:dyDescent="0.25">
      <c r="P2696" s="10" t="str">
        <f>IF('[1]All Data '!AZ2701="","",'[1]All Data '!AZ2701)</f>
        <v/>
      </c>
      <c r="Q2696" s="10" t="str">
        <f>IF('[1]All Data '!BB2701="","",'[1]All Data '!BB2701)</f>
        <v/>
      </c>
      <c r="R2696" s="10" t="str">
        <f>IF('[1]All Data '!BD2701="","",'[1]All Data '!BD2701)</f>
        <v/>
      </c>
      <c r="S2696" s="11" t="str">
        <f>IF(R2696="","",'[1]All Data '!BE2701)</f>
        <v/>
      </c>
      <c r="T2696" s="12" t="str">
        <f>IF(S2696="","",[1]Inputs_Outputs!$B$8*(1-'LOCH Calc COE Calc'!S2696))</f>
        <v/>
      </c>
      <c r="U2696" s="13" t="str">
        <f t="shared" si="211"/>
        <v/>
      </c>
      <c r="V2696" s="13" t="str">
        <f t="shared" si="212"/>
        <v/>
      </c>
      <c r="W2696" s="4" t="str">
        <f t="shared" si="213"/>
        <v/>
      </c>
      <c r="X2696" t="str">
        <f>IF(W2696="","",LOOKUP(_xlfn.CONCAT(P2696,", ",Q2696),'[1]T+S Costs'!$F$2:$F$3138,'[1]T+S Costs'!$N$2:$N$3138))</f>
        <v/>
      </c>
      <c r="Y2696" s="14" t="str">
        <f t="shared" si="214"/>
        <v/>
      </c>
      <c r="Z2696" s="4" t="str">
        <f t="shared" si="215"/>
        <v/>
      </c>
    </row>
    <row r="2697" spans="16:26" x14ac:dyDescent="0.25">
      <c r="P2697" s="10" t="str">
        <f>IF('[1]All Data '!AZ2702="","",'[1]All Data '!AZ2702)</f>
        <v/>
      </c>
      <c r="Q2697" s="10" t="str">
        <f>IF('[1]All Data '!BB2702="","",'[1]All Data '!BB2702)</f>
        <v/>
      </c>
      <c r="R2697" s="10" t="str">
        <f>IF('[1]All Data '!BD2702="","",'[1]All Data '!BD2702)</f>
        <v/>
      </c>
      <c r="S2697" s="11" t="str">
        <f>IF(R2697="","",'[1]All Data '!BE2702)</f>
        <v/>
      </c>
      <c r="T2697" s="12" t="str">
        <f>IF(S2697="","",[1]Inputs_Outputs!$B$8*(1-'LOCH Calc COE Calc'!S2697))</f>
        <v/>
      </c>
      <c r="U2697" s="13" t="str">
        <f t="shared" si="211"/>
        <v/>
      </c>
      <c r="V2697" s="13" t="str">
        <f t="shared" si="212"/>
        <v/>
      </c>
      <c r="W2697" s="4" t="str">
        <f t="shared" si="213"/>
        <v/>
      </c>
      <c r="X2697" t="str">
        <f>IF(W2697="","",LOOKUP(_xlfn.CONCAT(P2697,", ",Q2697),'[1]T+S Costs'!$F$2:$F$3138,'[1]T+S Costs'!$N$2:$N$3138))</f>
        <v/>
      </c>
      <c r="Y2697" s="14" t="str">
        <f t="shared" si="214"/>
        <v/>
      </c>
      <c r="Z2697" s="4" t="str">
        <f t="shared" si="215"/>
        <v/>
      </c>
    </row>
    <row r="2698" spans="16:26" x14ac:dyDescent="0.25">
      <c r="P2698" s="10" t="str">
        <f>IF('[1]All Data '!AZ2703="","",'[1]All Data '!AZ2703)</f>
        <v/>
      </c>
      <c r="Q2698" s="10" t="str">
        <f>IF('[1]All Data '!BB2703="","",'[1]All Data '!BB2703)</f>
        <v/>
      </c>
      <c r="R2698" s="10" t="str">
        <f>IF('[1]All Data '!BD2703="","",'[1]All Data '!BD2703)</f>
        <v/>
      </c>
      <c r="S2698" s="11" t="str">
        <f>IF(R2698="","",'[1]All Data '!BE2703)</f>
        <v/>
      </c>
      <c r="T2698" s="12" t="str">
        <f>IF(S2698="","",[1]Inputs_Outputs!$B$8*(1-'LOCH Calc COE Calc'!S2698))</f>
        <v/>
      </c>
      <c r="U2698" s="13" t="str">
        <f t="shared" si="211"/>
        <v/>
      </c>
      <c r="V2698" s="13" t="str">
        <f t="shared" si="212"/>
        <v/>
      </c>
      <c r="W2698" s="4" t="str">
        <f t="shared" si="213"/>
        <v/>
      </c>
      <c r="X2698" t="str">
        <f>IF(W2698="","",LOOKUP(_xlfn.CONCAT(P2698,", ",Q2698),'[1]T+S Costs'!$F$2:$F$3138,'[1]T+S Costs'!$N$2:$N$3138))</f>
        <v/>
      </c>
      <c r="Y2698" s="14" t="str">
        <f t="shared" si="214"/>
        <v/>
      </c>
      <c r="Z2698" s="4" t="str">
        <f t="shared" si="215"/>
        <v/>
      </c>
    </row>
    <row r="2699" spans="16:26" x14ac:dyDescent="0.25">
      <c r="P2699" s="10" t="str">
        <f>IF('[1]All Data '!AZ2704="","",'[1]All Data '!AZ2704)</f>
        <v/>
      </c>
      <c r="Q2699" s="10" t="str">
        <f>IF('[1]All Data '!BB2704="","",'[1]All Data '!BB2704)</f>
        <v/>
      </c>
      <c r="R2699" s="10" t="str">
        <f>IF('[1]All Data '!BD2704="","",'[1]All Data '!BD2704)</f>
        <v/>
      </c>
      <c r="S2699" s="11" t="str">
        <f>IF(R2699="","",'[1]All Data '!BE2704)</f>
        <v/>
      </c>
      <c r="T2699" s="12" t="str">
        <f>IF(S2699="","",[1]Inputs_Outputs!$B$8*(1-'LOCH Calc COE Calc'!S2699))</f>
        <v/>
      </c>
      <c r="U2699" s="13" t="str">
        <f t="shared" si="211"/>
        <v/>
      </c>
      <c r="V2699" s="13" t="str">
        <f t="shared" si="212"/>
        <v/>
      </c>
      <c r="W2699" s="4" t="str">
        <f t="shared" si="213"/>
        <v/>
      </c>
      <c r="X2699" t="str">
        <f>IF(W2699="","",LOOKUP(_xlfn.CONCAT(P2699,", ",Q2699),'[1]T+S Costs'!$F$2:$F$3138,'[1]T+S Costs'!$N$2:$N$3138))</f>
        <v/>
      </c>
      <c r="Y2699" s="14" t="str">
        <f t="shared" si="214"/>
        <v/>
      </c>
      <c r="Z2699" s="4" t="str">
        <f t="shared" si="215"/>
        <v/>
      </c>
    </row>
    <row r="2700" spans="16:26" x14ac:dyDescent="0.25">
      <c r="P2700" s="10" t="str">
        <f>IF('[1]All Data '!AZ2705="","",'[1]All Data '!AZ2705)</f>
        <v/>
      </c>
      <c r="Q2700" s="10" t="str">
        <f>IF('[1]All Data '!BB2705="","",'[1]All Data '!BB2705)</f>
        <v/>
      </c>
      <c r="R2700" s="10" t="str">
        <f>IF('[1]All Data '!BD2705="","",'[1]All Data '!BD2705)</f>
        <v/>
      </c>
      <c r="S2700" s="11" t="str">
        <f>IF(R2700="","",'[1]All Data '!BE2705)</f>
        <v/>
      </c>
      <c r="T2700" s="12" t="str">
        <f>IF(S2700="","",[1]Inputs_Outputs!$B$8*(1-'LOCH Calc COE Calc'!S2700))</f>
        <v/>
      </c>
      <c r="U2700" s="13" t="str">
        <f t="shared" si="211"/>
        <v/>
      </c>
      <c r="V2700" s="13" t="str">
        <f t="shared" si="212"/>
        <v/>
      </c>
      <c r="W2700" s="4" t="str">
        <f t="shared" si="213"/>
        <v/>
      </c>
      <c r="X2700" t="str">
        <f>IF(W2700="","",LOOKUP(_xlfn.CONCAT(P2700,", ",Q2700),'[1]T+S Costs'!$F$2:$F$3138,'[1]T+S Costs'!$N$2:$N$3138))</f>
        <v/>
      </c>
      <c r="Y2700" s="14" t="str">
        <f t="shared" si="214"/>
        <v/>
      </c>
      <c r="Z2700" s="4" t="str">
        <f t="shared" si="215"/>
        <v/>
      </c>
    </row>
    <row r="2701" spans="16:26" x14ac:dyDescent="0.25">
      <c r="P2701" s="10" t="str">
        <f>IF('[1]All Data '!AZ2706="","",'[1]All Data '!AZ2706)</f>
        <v/>
      </c>
      <c r="Q2701" s="10" t="str">
        <f>IF('[1]All Data '!BB2706="","",'[1]All Data '!BB2706)</f>
        <v/>
      </c>
      <c r="R2701" s="10" t="str">
        <f>IF('[1]All Data '!BD2706="","",'[1]All Data '!BD2706)</f>
        <v/>
      </c>
      <c r="S2701" s="11" t="str">
        <f>IF(R2701="","",'[1]All Data '!BE2706)</f>
        <v/>
      </c>
      <c r="T2701" s="12" t="str">
        <f>IF(S2701="","",[1]Inputs_Outputs!$B$8*(1-'LOCH Calc COE Calc'!S2701))</f>
        <v/>
      </c>
      <c r="U2701" s="13" t="str">
        <f t="shared" si="211"/>
        <v/>
      </c>
      <c r="V2701" s="13" t="str">
        <f t="shared" si="212"/>
        <v/>
      </c>
      <c r="W2701" s="4" t="str">
        <f t="shared" si="213"/>
        <v/>
      </c>
      <c r="X2701" t="str">
        <f>IF(W2701="","",LOOKUP(_xlfn.CONCAT(P2701,", ",Q2701),'[1]T+S Costs'!$F$2:$F$3138,'[1]T+S Costs'!$N$2:$N$3138))</f>
        <v/>
      </c>
      <c r="Y2701" s="14" t="str">
        <f t="shared" si="214"/>
        <v/>
      </c>
      <c r="Z2701" s="4" t="str">
        <f t="shared" si="215"/>
        <v/>
      </c>
    </row>
    <row r="2702" spans="16:26" x14ac:dyDescent="0.25">
      <c r="P2702" s="10" t="str">
        <f>IF('[1]All Data '!AZ2707="","",'[1]All Data '!AZ2707)</f>
        <v/>
      </c>
      <c r="Q2702" s="10" t="str">
        <f>IF('[1]All Data '!BB2707="","",'[1]All Data '!BB2707)</f>
        <v/>
      </c>
      <c r="R2702" s="10" t="str">
        <f>IF('[1]All Data '!BD2707="","",'[1]All Data '!BD2707)</f>
        <v/>
      </c>
      <c r="S2702" s="11" t="str">
        <f>IF(R2702="","",'[1]All Data '!BE2707)</f>
        <v/>
      </c>
      <c r="T2702" s="12" t="str">
        <f>IF(S2702="","",[1]Inputs_Outputs!$B$8*(1-'LOCH Calc COE Calc'!S2702))</f>
        <v/>
      </c>
      <c r="U2702" s="13" t="str">
        <f t="shared" si="211"/>
        <v/>
      </c>
      <c r="V2702" s="13" t="str">
        <f t="shared" si="212"/>
        <v/>
      </c>
      <c r="W2702" s="4" t="str">
        <f t="shared" si="213"/>
        <v/>
      </c>
      <c r="X2702" t="str">
        <f>IF(W2702="","",LOOKUP(_xlfn.CONCAT(P2702,", ",Q2702),'[1]T+S Costs'!$F$2:$F$3138,'[1]T+S Costs'!$N$2:$N$3138))</f>
        <v/>
      </c>
      <c r="Y2702" s="14" t="str">
        <f t="shared" si="214"/>
        <v/>
      </c>
      <c r="Z2702" s="4" t="str">
        <f t="shared" si="215"/>
        <v/>
      </c>
    </row>
    <row r="2703" spans="16:26" x14ac:dyDescent="0.25">
      <c r="P2703" s="10" t="str">
        <f>IF('[1]All Data '!AZ2708="","",'[1]All Data '!AZ2708)</f>
        <v/>
      </c>
      <c r="Q2703" s="10" t="str">
        <f>IF('[1]All Data '!BB2708="","",'[1]All Data '!BB2708)</f>
        <v/>
      </c>
      <c r="R2703" s="10" t="str">
        <f>IF('[1]All Data '!BD2708="","",'[1]All Data '!BD2708)</f>
        <v/>
      </c>
      <c r="S2703" s="11" t="str">
        <f>IF(R2703="","",'[1]All Data '!BE2708)</f>
        <v/>
      </c>
      <c r="T2703" s="12" t="str">
        <f>IF(S2703="","",[1]Inputs_Outputs!$B$8*(1-'LOCH Calc COE Calc'!S2703))</f>
        <v/>
      </c>
      <c r="U2703" s="13" t="str">
        <f t="shared" si="211"/>
        <v/>
      </c>
      <c r="V2703" s="13" t="str">
        <f t="shared" si="212"/>
        <v/>
      </c>
      <c r="W2703" s="4" t="str">
        <f t="shared" si="213"/>
        <v/>
      </c>
      <c r="X2703" t="str">
        <f>IF(W2703="","",LOOKUP(_xlfn.CONCAT(P2703,", ",Q2703),'[1]T+S Costs'!$F$2:$F$3138,'[1]T+S Costs'!$N$2:$N$3138))</f>
        <v/>
      </c>
      <c r="Y2703" s="14" t="str">
        <f t="shared" si="214"/>
        <v/>
      </c>
      <c r="Z2703" s="4" t="str">
        <f t="shared" si="215"/>
        <v/>
      </c>
    </row>
    <row r="2704" spans="16:26" x14ac:dyDescent="0.25">
      <c r="P2704" s="10" t="str">
        <f>IF('[1]All Data '!AZ2709="","",'[1]All Data '!AZ2709)</f>
        <v/>
      </c>
      <c r="Q2704" s="10" t="str">
        <f>IF('[1]All Data '!BB2709="","",'[1]All Data '!BB2709)</f>
        <v/>
      </c>
      <c r="R2704" s="10" t="str">
        <f>IF('[1]All Data '!BD2709="","",'[1]All Data '!BD2709)</f>
        <v/>
      </c>
      <c r="S2704" s="11" t="str">
        <f>IF(R2704="","",'[1]All Data '!BE2709)</f>
        <v/>
      </c>
      <c r="T2704" s="12" t="str">
        <f>IF(S2704="","",[1]Inputs_Outputs!$B$8*(1-'LOCH Calc COE Calc'!S2704))</f>
        <v/>
      </c>
      <c r="U2704" s="13" t="str">
        <f t="shared" si="211"/>
        <v/>
      </c>
      <c r="V2704" s="13" t="str">
        <f t="shared" si="212"/>
        <v/>
      </c>
      <c r="W2704" s="4" t="str">
        <f t="shared" si="213"/>
        <v/>
      </c>
      <c r="X2704" t="str">
        <f>IF(W2704="","",LOOKUP(_xlfn.CONCAT(P2704,", ",Q2704),'[1]T+S Costs'!$F$2:$F$3138,'[1]T+S Costs'!$N$2:$N$3138))</f>
        <v/>
      </c>
      <c r="Y2704" s="14" t="str">
        <f t="shared" si="214"/>
        <v/>
      </c>
      <c r="Z2704" s="4" t="str">
        <f t="shared" si="215"/>
        <v/>
      </c>
    </row>
    <row r="2705" spans="16:26" x14ac:dyDescent="0.25">
      <c r="P2705" s="10" t="str">
        <f>IF('[1]All Data '!AZ2710="","",'[1]All Data '!AZ2710)</f>
        <v/>
      </c>
      <c r="Q2705" s="10" t="str">
        <f>IF('[1]All Data '!BB2710="","",'[1]All Data '!BB2710)</f>
        <v/>
      </c>
      <c r="R2705" s="10" t="str">
        <f>IF('[1]All Data '!BD2710="","",'[1]All Data '!BD2710)</f>
        <v/>
      </c>
      <c r="S2705" s="11" t="str">
        <f>IF(R2705="","",'[1]All Data '!BE2710)</f>
        <v/>
      </c>
      <c r="T2705" s="12" t="str">
        <f>IF(S2705="","",[1]Inputs_Outputs!$B$8*(1-'LOCH Calc COE Calc'!S2705))</f>
        <v/>
      </c>
      <c r="U2705" s="13" t="str">
        <f t="shared" si="211"/>
        <v/>
      </c>
      <c r="V2705" s="13" t="str">
        <f t="shared" si="212"/>
        <v/>
      </c>
      <c r="W2705" s="4" t="str">
        <f t="shared" si="213"/>
        <v/>
      </c>
      <c r="X2705" t="str">
        <f>IF(W2705="","",LOOKUP(_xlfn.CONCAT(P2705,", ",Q2705),'[1]T+S Costs'!$F$2:$F$3138,'[1]T+S Costs'!$N$2:$N$3138))</f>
        <v/>
      </c>
      <c r="Y2705" s="14" t="str">
        <f t="shared" si="214"/>
        <v/>
      </c>
      <c r="Z2705" s="4" t="str">
        <f t="shared" si="215"/>
        <v/>
      </c>
    </row>
    <row r="2706" spans="16:26" x14ac:dyDescent="0.25">
      <c r="P2706" s="10" t="str">
        <f>IF('[1]All Data '!AZ2711="","",'[1]All Data '!AZ2711)</f>
        <v/>
      </c>
      <c r="Q2706" s="10" t="str">
        <f>IF('[1]All Data '!BB2711="","",'[1]All Data '!BB2711)</f>
        <v/>
      </c>
      <c r="R2706" s="10" t="str">
        <f>IF('[1]All Data '!BD2711="","",'[1]All Data '!BD2711)</f>
        <v/>
      </c>
      <c r="S2706" s="11" t="str">
        <f>IF(R2706="","",'[1]All Data '!BE2711)</f>
        <v/>
      </c>
      <c r="T2706" s="12" t="str">
        <f>IF(S2706="","",[1]Inputs_Outputs!$B$8*(1-'LOCH Calc COE Calc'!S2706))</f>
        <v/>
      </c>
      <c r="U2706" s="13" t="str">
        <f t="shared" si="211"/>
        <v/>
      </c>
      <c r="V2706" s="13" t="str">
        <f t="shared" si="212"/>
        <v/>
      </c>
      <c r="W2706" s="4" t="str">
        <f t="shared" si="213"/>
        <v/>
      </c>
      <c r="X2706" t="str">
        <f>IF(W2706="","",LOOKUP(_xlfn.CONCAT(P2706,", ",Q2706),'[1]T+S Costs'!$F$2:$F$3138,'[1]T+S Costs'!$N$2:$N$3138))</f>
        <v/>
      </c>
      <c r="Y2706" s="14" t="str">
        <f t="shared" si="214"/>
        <v/>
      </c>
      <c r="Z2706" s="4" t="str">
        <f t="shared" si="215"/>
        <v/>
      </c>
    </row>
    <row r="2707" spans="16:26" x14ac:dyDescent="0.25">
      <c r="P2707" s="10" t="str">
        <f>IF('[1]All Data '!AZ2712="","",'[1]All Data '!AZ2712)</f>
        <v/>
      </c>
      <c r="Q2707" s="10" t="str">
        <f>IF('[1]All Data '!BB2712="","",'[1]All Data '!BB2712)</f>
        <v/>
      </c>
      <c r="R2707" s="10" t="str">
        <f>IF('[1]All Data '!BD2712="","",'[1]All Data '!BD2712)</f>
        <v/>
      </c>
      <c r="S2707" s="11" t="str">
        <f>IF(R2707="","",'[1]All Data '!BE2712)</f>
        <v/>
      </c>
      <c r="T2707" s="12" t="str">
        <f>IF(S2707="","",[1]Inputs_Outputs!$B$8*(1-'LOCH Calc COE Calc'!S2707))</f>
        <v/>
      </c>
      <c r="U2707" s="13" t="str">
        <f t="shared" si="211"/>
        <v/>
      </c>
      <c r="V2707" s="13" t="str">
        <f t="shared" si="212"/>
        <v/>
      </c>
      <c r="W2707" s="4" t="str">
        <f t="shared" si="213"/>
        <v/>
      </c>
      <c r="X2707" t="str">
        <f>IF(W2707="","",LOOKUP(_xlfn.CONCAT(P2707,", ",Q2707),'[1]T+S Costs'!$F$2:$F$3138,'[1]T+S Costs'!$N$2:$N$3138))</f>
        <v/>
      </c>
      <c r="Y2707" s="14" t="str">
        <f t="shared" si="214"/>
        <v/>
      </c>
      <c r="Z2707" s="4" t="str">
        <f t="shared" si="215"/>
        <v/>
      </c>
    </row>
    <row r="2708" spans="16:26" x14ac:dyDescent="0.25">
      <c r="P2708" s="10" t="str">
        <f>IF('[1]All Data '!AZ2713="","",'[1]All Data '!AZ2713)</f>
        <v/>
      </c>
      <c r="Q2708" s="10" t="str">
        <f>IF('[1]All Data '!BB2713="","",'[1]All Data '!BB2713)</f>
        <v/>
      </c>
      <c r="R2708" s="10" t="str">
        <f>IF('[1]All Data '!BD2713="","",'[1]All Data '!BD2713)</f>
        <v/>
      </c>
      <c r="S2708" s="11" t="str">
        <f>IF(R2708="","",'[1]All Data '!BE2713)</f>
        <v/>
      </c>
      <c r="T2708" s="12" t="str">
        <f>IF(S2708="","",[1]Inputs_Outputs!$B$8*(1-'LOCH Calc COE Calc'!S2708))</f>
        <v/>
      </c>
      <c r="U2708" s="13" t="str">
        <f t="shared" si="211"/>
        <v/>
      </c>
      <c r="V2708" s="13" t="str">
        <f t="shared" si="212"/>
        <v/>
      </c>
      <c r="W2708" s="4" t="str">
        <f t="shared" si="213"/>
        <v/>
      </c>
      <c r="X2708" t="str">
        <f>IF(W2708="","",LOOKUP(_xlfn.CONCAT(P2708,", ",Q2708),'[1]T+S Costs'!$F$2:$F$3138,'[1]T+S Costs'!$N$2:$N$3138))</f>
        <v/>
      </c>
      <c r="Y2708" s="14" t="str">
        <f t="shared" si="214"/>
        <v/>
      </c>
      <c r="Z2708" s="4" t="str">
        <f t="shared" si="215"/>
        <v/>
      </c>
    </row>
    <row r="2709" spans="16:26" x14ac:dyDescent="0.25">
      <c r="P2709" s="10" t="str">
        <f>IF('[1]All Data '!AZ2714="","",'[1]All Data '!AZ2714)</f>
        <v/>
      </c>
      <c r="Q2709" s="10" t="str">
        <f>IF('[1]All Data '!BB2714="","",'[1]All Data '!BB2714)</f>
        <v/>
      </c>
      <c r="R2709" s="10" t="str">
        <f>IF('[1]All Data '!BD2714="","",'[1]All Data '!BD2714)</f>
        <v/>
      </c>
      <c r="S2709" s="11" t="str">
        <f>IF(R2709="","",'[1]All Data '!BE2714)</f>
        <v/>
      </c>
      <c r="T2709" s="12" t="str">
        <f>IF(S2709="","",[1]Inputs_Outputs!$B$8*(1-'LOCH Calc COE Calc'!S2709))</f>
        <v/>
      </c>
      <c r="U2709" s="13" t="str">
        <f t="shared" si="211"/>
        <v/>
      </c>
      <c r="V2709" s="13" t="str">
        <f t="shared" si="212"/>
        <v/>
      </c>
      <c r="W2709" s="4" t="str">
        <f t="shared" si="213"/>
        <v/>
      </c>
      <c r="X2709" t="str">
        <f>IF(W2709="","",LOOKUP(_xlfn.CONCAT(P2709,", ",Q2709),'[1]T+S Costs'!$F$2:$F$3138,'[1]T+S Costs'!$N$2:$N$3138))</f>
        <v/>
      </c>
      <c r="Y2709" s="14" t="str">
        <f t="shared" si="214"/>
        <v/>
      </c>
      <c r="Z2709" s="4" t="str">
        <f t="shared" si="215"/>
        <v/>
      </c>
    </row>
    <row r="2710" spans="16:26" x14ac:dyDescent="0.25">
      <c r="P2710" s="10" t="str">
        <f>IF('[1]All Data '!AZ2715="","",'[1]All Data '!AZ2715)</f>
        <v/>
      </c>
      <c r="Q2710" s="10" t="str">
        <f>IF('[1]All Data '!BB2715="","",'[1]All Data '!BB2715)</f>
        <v/>
      </c>
      <c r="R2710" s="10" t="str">
        <f>IF('[1]All Data '!BD2715="","",'[1]All Data '!BD2715)</f>
        <v/>
      </c>
      <c r="S2710" s="11" t="str">
        <f>IF(R2710="","",'[1]All Data '!BE2715)</f>
        <v/>
      </c>
      <c r="T2710" s="12" t="str">
        <f>IF(S2710="","",[1]Inputs_Outputs!$B$8*(1-'LOCH Calc COE Calc'!S2710))</f>
        <v/>
      </c>
      <c r="U2710" s="13" t="str">
        <f t="shared" si="211"/>
        <v/>
      </c>
      <c r="V2710" s="13" t="str">
        <f t="shared" si="212"/>
        <v/>
      </c>
      <c r="W2710" s="4" t="str">
        <f t="shared" si="213"/>
        <v/>
      </c>
      <c r="X2710" t="str">
        <f>IF(W2710="","",LOOKUP(_xlfn.CONCAT(P2710,", ",Q2710),'[1]T+S Costs'!$F$2:$F$3138,'[1]T+S Costs'!$N$2:$N$3138))</f>
        <v/>
      </c>
      <c r="Y2710" s="14" t="str">
        <f t="shared" si="214"/>
        <v/>
      </c>
      <c r="Z2710" s="4" t="str">
        <f t="shared" si="215"/>
        <v/>
      </c>
    </row>
    <row r="2711" spans="16:26" x14ac:dyDescent="0.25">
      <c r="P2711" s="10" t="str">
        <f>IF('[1]All Data '!AZ2716="","",'[1]All Data '!AZ2716)</f>
        <v/>
      </c>
      <c r="Q2711" s="10" t="str">
        <f>IF('[1]All Data '!BB2716="","",'[1]All Data '!BB2716)</f>
        <v/>
      </c>
      <c r="R2711" s="10" t="str">
        <f>IF('[1]All Data '!BD2716="","",'[1]All Data '!BD2716)</f>
        <v/>
      </c>
      <c r="S2711" s="11" t="str">
        <f>IF(R2711="","",'[1]All Data '!BE2716)</f>
        <v/>
      </c>
      <c r="T2711" s="12" t="str">
        <f>IF(S2711="","",[1]Inputs_Outputs!$B$8*(1-'LOCH Calc COE Calc'!S2711))</f>
        <v/>
      </c>
      <c r="U2711" s="13" t="str">
        <f t="shared" si="211"/>
        <v/>
      </c>
      <c r="V2711" s="13" t="str">
        <f t="shared" si="212"/>
        <v/>
      </c>
      <c r="W2711" s="4" t="str">
        <f t="shared" si="213"/>
        <v/>
      </c>
      <c r="X2711" t="str">
        <f>IF(W2711="","",LOOKUP(_xlfn.CONCAT(P2711,", ",Q2711),'[1]T+S Costs'!$F$2:$F$3138,'[1]T+S Costs'!$N$2:$N$3138))</f>
        <v/>
      </c>
      <c r="Y2711" s="14" t="str">
        <f t="shared" si="214"/>
        <v/>
      </c>
      <c r="Z2711" s="4" t="str">
        <f t="shared" si="215"/>
        <v/>
      </c>
    </row>
    <row r="2712" spans="16:26" x14ac:dyDescent="0.25">
      <c r="P2712" s="10" t="str">
        <f>IF('[1]All Data '!AZ2717="","",'[1]All Data '!AZ2717)</f>
        <v/>
      </c>
      <c r="Q2712" s="10" t="str">
        <f>IF('[1]All Data '!BB2717="","",'[1]All Data '!BB2717)</f>
        <v/>
      </c>
      <c r="R2712" s="10" t="str">
        <f>IF('[1]All Data '!BD2717="","",'[1]All Data '!BD2717)</f>
        <v/>
      </c>
      <c r="S2712" s="11" t="str">
        <f>IF(R2712="","",'[1]All Data '!BE2717)</f>
        <v/>
      </c>
      <c r="T2712" s="12" t="str">
        <f>IF(S2712="","",[1]Inputs_Outputs!$B$8*(1-'LOCH Calc COE Calc'!S2712))</f>
        <v/>
      </c>
      <c r="U2712" s="13" t="str">
        <f t="shared" si="211"/>
        <v/>
      </c>
      <c r="V2712" s="13" t="str">
        <f t="shared" si="212"/>
        <v/>
      </c>
      <c r="W2712" s="4" t="str">
        <f t="shared" si="213"/>
        <v/>
      </c>
      <c r="X2712" t="str">
        <f>IF(W2712="","",LOOKUP(_xlfn.CONCAT(P2712,", ",Q2712),'[1]T+S Costs'!$F$2:$F$3138,'[1]T+S Costs'!$N$2:$N$3138))</f>
        <v/>
      </c>
      <c r="Y2712" s="14" t="str">
        <f t="shared" si="214"/>
        <v/>
      </c>
      <c r="Z2712" s="4" t="str">
        <f t="shared" si="215"/>
        <v/>
      </c>
    </row>
    <row r="2713" spans="16:26" x14ac:dyDescent="0.25">
      <c r="P2713" s="10" t="str">
        <f>IF('[1]All Data '!AZ2718="","",'[1]All Data '!AZ2718)</f>
        <v/>
      </c>
      <c r="Q2713" s="10" t="str">
        <f>IF('[1]All Data '!BB2718="","",'[1]All Data '!BB2718)</f>
        <v/>
      </c>
      <c r="R2713" s="10" t="str">
        <f>IF('[1]All Data '!BD2718="","",'[1]All Data '!BD2718)</f>
        <v/>
      </c>
      <c r="S2713" s="11" t="str">
        <f>IF(R2713="","",'[1]All Data '!BE2718)</f>
        <v/>
      </c>
      <c r="T2713" s="12" t="str">
        <f>IF(S2713="","",[1]Inputs_Outputs!$B$8*(1-'LOCH Calc COE Calc'!S2713))</f>
        <v/>
      </c>
      <c r="U2713" s="13" t="str">
        <f t="shared" si="211"/>
        <v/>
      </c>
      <c r="V2713" s="13" t="str">
        <f t="shared" si="212"/>
        <v/>
      </c>
      <c r="W2713" s="4" t="str">
        <f t="shared" si="213"/>
        <v/>
      </c>
      <c r="X2713" t="str">
        <f>IF(W2713="","",LOOKUP(_xlfn.CONCAT(P2713,", ",Q2713),'[1]T+S Costs'!$F$2:$F$3138,'[1]T+S Costs'!$N$2:$N$3138))</f>
        <v/>
      </c>
      <c r="Y2713" s="14" t="str">
        <f t="shared" si="214"/>
        <v/>
      </c>
      <c r="Z2713" s="4" t="str">
        <f t="shared" si="215"/>
        <v/>
      </c>
    </row>
    <row r="2714" spans="16:26" x14ac:dyDescent="0.25">
      <c r="P2714" s="10" t="str">
        <f>IF('[1]All Data '!AZ2719="","",'[1]All Data '!AZ2719)</f>
        <v/>
      </c>
      <c r="Q2714" s="10" t="str">
        <f>IF('[1]All Data '!BB2719="","",'[1]All Data '!BB2719)</f>
        <v/>
      </c>
      <c r="R2714" s="10" t="str">
        <f>IF('[1]All Data '!BD2719="","",'[1]All Data '!BD2719)</f>
        <v/>
      </c>
      <c r="S2714" s="11" t="str">
        <f>IF(R2714="","",'[1]All Data '!BE2719)</f>
        <v/>
      </c>
      <c r="T2714" s="12" t="str">
        <f>IF(S2714="","",[1]Inputs_Outputs!$B$8*(1-'LOCH Calc COE Calc'!S2714))</f>
        <v/>
      </c>
      <c r="U2714" s="13" t="str">
        <f t="shared" si="211"/>
        <v/>
      </c>
      <c r="V2714" s="13" t="str">
        <f t="shared" si="212"/>
        <v/>
      </c>
      <c r="W2714" s="4" t="str">
        <f t="shared" si="213"/>
        <v/>
      </c>
      <c r="X2714" t="str">
        <f>IF(W2714="","",LOOKUP(_xlfn.CONCAT(P2714,", ",Q2714),'[1]T+S Costs'!$F$2:$F$3138,'[1]T+S Costs'!$N$2:$N$3138))</f>
        <v/>
      </c>
      <c r="Y2714" s="14" t="str">
        <f t="shared" si="214"/>
        <v/>
      </c>
      <c r="Z2714" s="4" t="str">
        <f t="shared" si="215"/>
        <v/>
      </c>
    </row>
    <row r="2715" spans="16:26" x14ac:dyDescent="0.25">
      <c r="P2715" s="10" t="str">
        <f>IF('[1]All Data '!AZ2720="","",'[1]All Data '!AZ2720)</f>
        <v/>
      </c>
      <c r="Q2715" s="10" t="str">
        <f>IF('[1]All Data '!BB2720="","",'[1]All Data '!BB2720)</f>
        <v/>
      </c>
      <c r="R2715" s="10" t="str">
        <f>IF('[1]All Data '!BD2720="","",'[1]All Data '!BD2720)</f>
        <v/>
      </c>
      <c r="S2715" s="11" t="str">
        <f>IF(R2715="","",'[1]All Data '!BE2720)</f>
        <v/>
      </c>
      <c r="T2715" s="12" t="str">
        <f>IF(S2715="","",[1]Inputs_Outputs!$B$8*(1-'LOCH Calc COE Calc'!S2715))</f>
        <v/>
      </c>
      <c r="U2715" s="13" t="str">
        <f t="shared" si="211"/>
        <v/>
      </c>
      <c r="V2715" s="13" t="str">
        <f t="shared" si="212"/>
        <v/>
      </c>
      <c r="W2715" s="4" t="str">
        <f t="shared" si="213"/>
        <v/>
      </c>
      <c r="X2715" t="str">
        <f>IF(W2715="","",LOOKUP(_xlfn.CONCAT(P2715,", ",Q2715),'[1]T+S Costs'!$F$2:$F$3138,'[1]T+S Costs'!$N$2:$N$3138))</f>
        <v/>
      </c>
      <c r="Y2715" s="14" t="str">
        <f t="shared" si="214"/>
        <v/>
      </c>
      <c r="Z2715" s="4" t="str">
        <f t="shared" si="215"/>
        <v/>
      </c>
    </row>
    <row r="2716" spans="16:26" x14ac:dyDescent="0.25">
      <c r="P2716" s="10" t="str">
        <f>IF('[1]All Data '!AZ2721="","",'[1]All Data '!AZ2721)</f>
        <v/>
      </c>
      <c r="Q2716" s="10" t="str">
        <f>IF('[1]All Data '!BB2721="","",'[1]All Data '!BB2721)</f>
        <v/>
      </c>
      <c r="R2716" s="10" t="str">
        <f>IF('[1]All Data '!BD2721="","",'[1]All Data '!BD2721)</f>
        <v/>
      </c>
      <c r="S2716" s="11" t="str">
        <f>IF(R2716="","",'[1]All Data '!BE2721)</f>
        <v/>
      </c>
      <c r="T2716" s="12" t="str">
        <f>IF(S2716="","",[1]Inputs_Outputs!$B$8*(1-'LOCH Calc COE Calc'!S2716))</f>
        <v/>
      </c>
      <c r="U2716" s="13" t="str">
        <f t="shared" si="211"/>
        <v/>
      </c>
      <c r="V2716" s="13" t="str">
        <f t="shared" si="212"/>
        <v/>
      </c>
      <c r="W2716" s="4" t="str">
        <f t="shared" si="213"/>
        <v/>
      </c>
      <c r="X2716" t="str">
        <f>IF(W2716="","",LOOKUP(_xlfn.CONCAT(P2716,", ",Q2716),'[1]T+S Costs'!$F$2:$F$3138,'[1]T+S Costs'!$N$2:$N$3138))</f>
        <v/>
      </c>
      <c r="Y2716" s="14" t="str">
        <f t="shared" si="214"/>
        <v/>
      </c>
      <c r="Z2716" s="4" t="str">
        <f t="shared" si="215"/>
        <v/>
      </c>
    </row>
    <row r="2717" spans="16:26" x14ac:dyDescent="0.25">
      <c r="P2717" s="10" t="str">
        <f>IF('[1]All Data '!AZ2722="","",'[1]All Data '!AZ2722)</f>
        <v/>
      </c>
      <c r="Q2717" s="10" t="str">
        <f>IF('[1]All Data '!BB2722="","",'[1]All Data '!BB2722)</f>
        <v/>
      </c>
      <c r="R2717" s="10" t="str">
        <f>IF('[1]All Data '!BD2722="","",'[1]All Data '!BD2722)</f>
        <v/>
      </c>
      <c r="S2717" s="11" t="str">
        <f>IF(R2717="","",'[1]All Data '!BE2722)</f>
        <v/>
      </c>
      <c r="T2717" s="12" t="str">
        <f>IF(S2717="","",[1]Inputs_Outputs!$B$8*(1-'LOCH Calc COE Calc'!S2717))</f>
        <v/>
      </c>
      <c r="U2717" s="13" t="str">
        <f t="shared" si="211"/>
        <v/>
      </c>
      <c r="V2717" s="13" t="str">
        <f t="shared" si="212"/>
        <v/>
      </c>
      <c r="W2717" s="4" t="str">
        <f t="shared" si="213"/>
        <v/>
      </c>
      <c r="X2717" t="str">
        <f>IF(W2717="","",LOOKUP(_xlfn.CONCAT(P2717,", ",Q2717),'[1]T+S Costs'!$F$2:$F$3138,'[1]T+S Costs'!$N$2:$N$3138))</f>
        <v/>
      </c>
      <c r="Y2717" s="14" t="str">
        <f t="shared" si="214"/>
        <v/>
      </c>
      <c r="Z2717" s="4" t="str">
        <f t="shared" si="215"/>
        <v/>
      </c>
    </row>
    <row r="2718" spans="16:26" x14ac:dyDescent="0.25">
      <c r="P2718" s="10" t="str">
        <f>IF('[1]All Data '!AZ2723="","",'[1]All Data '!AZ2723)</f>
        <v/>
      </c>
      <c r="Q2718" s="10" t="str">
        <f>IF('[1]All Data '!BB2723="","",'[1]All Data '!BB2723)</f>
        <v/>
      </c>
      <c r="R2718" s="10" t="str">
        <f>IF('[1]All Data '!BD2723="","",'[1]All Data '!BD2723)</f>
        <v/>
      </c>
      <c r="S2718" s="11" t="str">
        <f>IF(R2718="","",'[1]All Data '!BE2723)</f>
        <v/>
      </c>
      <c r="T2718" s="12" t="str">
        <f>IF(S2718="","",[1]Inputs_Outputs!$B$8*(1-'LOCH Calc COE Calc'!S2718))</f>
        <v/>
      </c>
      <c r="U2718" s="13" t="str">
        <f t="shared" si="211"/>
        <v/>
      </c>
      <c r="V2718" s="13" t="str">
        <f t="shared" si="212"/>
        <v/>
      </c>
      <c r="W2718" s="4" t="str">
        <f t="shared" si="213"/>
        <v/>
      </c>
      <c r="X2718" t="str">
        <f>IF(W2718="","",LOOKUP(_xlfn.CONCAT(P2718,", ",Q2718),'[1]T+S Costs'!$F$2:$F$3138,'[1]T+S Costs'!$N$2:$N$3138))</f>
        <v/>
      </c>
      <c r="Y2718" s="14" t="str">
        <f t="shared" si="214"/>
        <v/>
      </c>
      <c r="Z2718" s="4" t="str">
        <f t="shared" si="215"/>
        <v/>
      </c>
    </row>
    <row r="2719" spans="16:26" x14ac:dyDescent="0.25">
      <c r="P2719" s="10" t="str">
        <f>IF('[1]All Data '!AZ2724="","",'[1]All Data '!AZ2724)</f>
        <v/>
      </c>
      <c r="Q2719" s="10" t="str">
        <f>IF('[1]All Data '!BB2724="","",'[1]All Data '!BB2724)</f>
        <v/>
      </c>
      <c r="R2719" s="10" t="str">
        <f>IF('[1]All Data '!BD2724="","",'[1]All Data '!BD2724)</f>
        <v/>
      </c>
      <c r="S2719" s="11" t="str">
        <f>IF(R2719="","",'[1]All Data '!BE2724)</f>
        <v/>
      </c>
      <c r="T2719" s="12" t="str">
        <f>IF(S2719="","",[1]Inputs_Outputs!$B$8*(1-'LOCH Calc COE Calc'!S2719))</f>
        <v/>
      </c>
      <c r="U2719" s="13" t="str">
        <f t="shared" si="211"/>
        <v/>
      </c>
      <c r="V2719" s="13" t="str">
        <f t="shared" si="212"/>
        <v/>
      </c>
      <c r="W2719" s="4" t="str">
        <f t="shared" si="213"/>
        <v/>
      </c>
      <c r="X2719" t="str">
        <f>IF(W2719="","",LOOKUP(_xlfn.CONCAT(P2719,", ",Q2719),'[1]T+S Costs'!$F$2:$F$3138,'[1]T+S Costs'!$N$2:$N$3138))</f>
        <v/>
      </c>
      <c r="Y2719" s="14" t="str">
        <f t="shared" si="214"/>
        <v/>
      </c>
      <c r="Z2719" s="4" t="str">
        <f t="shared" si="215"/>
        <v/>
      </c>
    </row>
    <row r="2720" spans="16:26" x14ac:dyDescent="0.25">
      <c r="P2720" s="10" t="str">
        <f>IF('[1]All Data '!AZ2725="","",'[1]All Data '!AZ2725)</f>
        <v/>
      </c>
      <c r="Q2720" s="10" t="str">
        <f>IF('[1]All Data '!BB2725="","",'[1]All Data '!BB2725)</f>
        <v/>
      </c>
      <c r="R2720" s="10" t="str">
        <f>IF('[1]All Data '!BD2725="","",'[1]All Data '!BD2725)</f>
        <v/>
      </c>
      <c r="S2720" s="11" t="str">
        <f>IF(R2720="","",'[1]All Data '!BE2725)</f>
        <v/>
      </c>
      <c r="T2720" s="12" t="str">
        <f>IF(S2720="","",[1]Inputs_Outputs!$B$8*(1-'LOCH Calc COE Calc'!S2720))</f>
        <v/>
      </c>
      <c r="U2720" s="13" t="str">
        <f t="shared" si="211"/>
        <v/>
      </c>
      <c r="V2720" s="13" t="str">
        <f t="shared" si="212"/>
        <v/>
      </c>
      <c r="W2720" s="4" t="str">
        <f t="shared" si="213"/>
        <v/>
      </c>
      <c r="X2720" t="str">
        <f>IF(W2720="","",LOOKUP(_xlfn.CONCAT(P2720,", ",Q2720),'[1]T+S Costs'!$F$2:$F$3138,'[1]T+S Costs'!$N$2:$N$3138))</f>
        <v/>
      </c>
      <c r="Y2720" s="14" t="str">
        <f t="shared" si="214"/>
        <v/>
      </c>
      <c r="Z2720" s="4" t="str">
        <f t="shared" si="215"/>
        <v/>
      </c>
    </row>
    <row r="2721" spans="16:26" x14ac:dyDescent="0.25">
      <c r="P2721" s="10" t="str">
        <f>IF('[1]All Data '!AZ2726="","",'[1]All Data '!AZ2726)</f>
        <v/>
      </c>
      <c r="Q2721" s="10" t="str">
        <f>IF('[1]All Data '!BB2726="","",'[1]All Data '!BB2726)</f>
        <v/>
      </c>
      <c r="R2721" s="10" t="str">
        <f>IF('[1]All Data '!BD2726="","",'[1]All Data '!BD2726)</f>
        <v/>
      </c>
      <c r="S2721" s="11" t="str">
        <f>IF(R2721="","",'[1]All Data '!BE2726)</f>
        <v/>
      </c>
      <c r="T2721" s="12" t="str">
        <f>IF(S2721="","",[1]Inputs_Outputs!$B$8*(1-'LOCH Calc COE Calc'!S2721))</f>
        <v/>
      </c>
      <c r="U2721" s="13" t="str">
        <f t="shared" si="211"/>
        <v/>
      </c>
      <c r="V2721" s="13" t="str">
        <f t="shared" si="212"/>
        <v/>
      </c>
      <c r="W2721" s="4" t="str">
        <f t="shared" si="213"/>
        <v/>
      </c>
      <c r="X2721" t="str">
        <f>IF(W2721="","",LOOKUP(_xlfn.CONCAT(P2721,", ",Q2721),'[1]T+S Costs'!$F$2:$F$3138,'[1]T+S Costs'!$N$2:$N$3138))</f>
        <v/>
      </c>
      <c r="Y2721" s="14" t="str">
        <f t="shared" si="214"/>
        <v/>
      </c>
      <c r="Z2721" s="4" t="str">
        <f t="shared" si="215"/>
        <v/>
      </c>
    </row>
    <row r="2722" spans="16:26" x14ac:dyDescent="0.25">
      <c r="P2722" s="10" t="str">
        <f>IF('[1]All Data '!AZ2727="","",'[1]All Data '!AZ2727)</f>
        <v/>
      </c>
      <c r="Q2722" s="10" t="str">
        <f>IF('[1]All Data '!BB2727="","",'[1]All Data '!BB2727)</f>
        <v/>
      </c>
      <c r="R2722" s="10" t="str">
        <f>IF('[1]All Data '!BD2727="","",'[1]All Data '!BD2727)</f>
        <v/>
      </c>
      <c r="S2722" s="11" t="str">
        <f>IF(R2722="","",'[1]All Data '!BE2727)</f>
        <v/>
      </c>
      <c r="T2722" s="12" t="str">
        <f>IF(S2722="","",[1]Inputs_Outputs!$B$8*(1-'LOCH Calc COE Calc'!S2722))</f>
        <v/>
      </c>
      <c r="U2722" s="13" t="str">
        <f t="shared" si="211"/>
        <v/>
      </c>
      <c r="V2722" s="13" t="str">
        <f t="shared" si="212"/>
        <v/>
      </c>
      <c r="W2722" s="4" t="str">
        <f t="shared" si="213"/>
        <v/>
      </c>
      <c r="X2722" t="str">
        <f>IF(W2722="","",LOOKUP(_xlfn.CONCAT(P2722,", ",Q2722),'[1]T+S Costs'!$F$2:$F$3138,'[1]T+S Costs'!$N$2:$N$3138))</f>
        <v/>
      </c>
      <c r="Y2722" s="14" t="str">
        <f t="shared" si="214"/>
        <v/>
      </c>
      <c r="Z2722" s="4" t="str">
        <f t="shared" si="215"/>
        <v/>
      </c>
    </row>
    <row r="2723" spans="16:26" x14ac:dyDescent="0.25">
      <c r="P2723" s="10" t="str">
        <f>IF('[1]All Data '!AZ2728="","",'[1]All Data '!AZ2728)</f>
        <v/>
      </c>
      <c r="Q2723" s="10" t="str">
        <f>IF('[1]All Data '!BB2728="","",'[1]All Data '!BB2728)</f>
        <v/>
      </c>
      <c r="R2723" s="10" t="str">
        <f>IF('[1]All Data '!BD2728="","",'[1]All Data '!BD2728)</f>
        <v/>
      </c>
      <c r="S2723" s="11" t="str">
        <f>IF(R2723="","",'[1]All Data '!BE2728)</f>
        <v/>
      </c>
      <c r="T2723" s="12" t="str">
        <f>IF(S2723="","",[1]Inputs_Outputs!$B$8*(1-'LOCH Calc COE Calc'!S2723))</f>
        <v/>
      </c>
      <c r="U2723" s="13" t="str">
        <f t="shared" ref="U2723:U2786" si="216">IF(S2723="","",R2723*T2723*365*$B$19/100)</f>
        <v/>
      </c>
      <c r="V2723" s="13" t="str">
        <f t="shared" ref="V2723:V2786" si="217">IF(S2723="","",(U2723*$B$19)/(($B$28)*$B$19))</f>
        <v/>
      </c>
      <c r="W2723" s="4" t="str">
        <f t="shared" ref="W2723:W2786" si="218">IF(S2723="","",V2723+$C$49+$C$50+$C$51)</f>
        <v/>
      </c>
      <c r="X2723" t="str">
        <f>IF(W2723="","",LOOKUP(_xlfn.CONCAT(P2723,", ",Q2723),'[1]T+S Costs'!$F$2:$F$3138,'[1]T+S Costs'!$N$2:$N$3138))</f>
        <v/>
      </c>
      <c r="Y2723" s="14" t="str">
        <f t="shared" si="214"/>
        <v/>
      </c>
      <c r="Z2723" s="4" t="str">
        <f t="shared" si="215"/>
        <v/>
      </c>
    </row>
    <row r="2724" spans="16:26" x14ac:dyDescent="0.25">
      <c r="P2724" s="10" t="str">
        <f>IF('[1]All Data '!AZ2729="","",'[1]All Data '!AZ2729)</f>
        <v/>
      </c>
      <c r="Q2724" s="10" t="str">
        <f>IF('[1]All Data '!BB2729="","",'[1]All Data '!BB2729)</f>
        <v/>
      </c>
      <c r="R2724" s="10" t="str">
        <f>IF('[1]All Data '!BD2729="","",'[1]All Data '!BD2729)</f>
        <v/>
      </c>
      <c r="S2724" s="11" t="str">
        <f>IF(R2724="","",'[1]All Data '!BE2729)</f>
        <v/>
      </c>
      <c r="T2724" s="12" t="str">
        <f>IF(S2724="","",[1]Inputs_Outputs!$B$8*(1-'LOCH Calc COE Calc'!S2724))</f>
        <v/>
      </c>
      <c r="U2724" s="13" t="str">
        <f t="shared" si="216"/>
        <v/>
      </c>
      <c r="V2724" s="13" t="str">
        <f t="shared" si="217"/>
        <v/>
      </c>
      <c r="W2724" s="4" t="str">
        <f t="shared" si="218"/>
        <v/>
      </c>
      <c r="X2724" t="str">
        <f>IF(W2724="","",LOOKUP(_xlfn.CONCAT(P2724,", ",Q2724),'[1]T+S Costs'!$F$2:$F$3138,'[1]T+S Costs'!$N$2:$N$3138))</f>
        <v/>
      </c>
      <c r="Y2724" s="14" t="str">
        <f t="shared" si="214"/>
        <v/>
      </c>
      <c r="Z2724" s="4" t="str">
        <f t="shared" si="215"/>
        <v/>
      </c>
    </row>
    <row r="2725" spans="16:26" x14ac:dyDescent="0.25">
      <c r="P2725" s="10" t="str">
        <f>IF('[1]All Data '!AZ2730="","",'[1]All Data '!AZ2730)</f>
        <v/>
      </c>
      <c r="Q2725" s="10" t="str">
        <f>IF('[1]All Data '!BB2730="","",'[1]All Data '!BB2730)</f>
        <v/>
      </c>
      <c r="R2725" s="10" t="str">
        <f>IF('[1]All Data '!BD2730="","",'[1]All Data '!BD2730)</f>
        <v/>
      </c>
      <c r="S2725" s="11" t="str">
        <f>IF(R2725="","",'[1]All Data '!BE2730)</f>
        <v/>
      </c>
      <c r="T2725" s="12" t="str">
        <f>IF(S2725="","",[1]Inputs_Outputs!$B$8*(1-'LOCH Calc COE Calc'!S2725))</f>
        <v/>
      </c>
      <c r="U2725" s="13" t="str">
        <f t="shared" si="216"/>
        <v/>
      </c>
      <c r="V2725" s="13" t="str">
        <f t="shared" si="217"/>
        <v/>
      </c>
      <c r="W2725" s="4" t="str">
        <f t="shared" si="218"/>
        <v/>
      </c>
      <c r="X2725" t="str">
        <f>IF(W2725="","",LOOKUP(_xlfn.CONCAT(P2725,", ",Q2725),'[1]T+S Costs'!$F$2:$F$3138,'[1]T+S Costs'!$N$2:$N$3138))</f>
        <v/>
      </c>
      <c r="Y2725" s="14" t="str">
        <f t="shared" si="214"/>
        <v/>
      </c>
      <c r="Z2725" s="4" t="str">
        <f t="shared" si="215"/>
        <v/>
      </c>
    </row>
    <row r="2726" spans="16:26" x14ac:dyDescent="0.25">
      <c r="P2726" s="10" t="str">
        <f>IF('[1]All Data '!AZ2731="","",'[1]All Data '!AZ2731)</f>
        <v/>
      </c>
      <c r="Q2726" s="10" t="str">
        <f>IF('[1]All Data '!BB2731="","",'[1]All Data '!BB2731)</f>
        <v/>
      </c>
      <c r="R2726" s="10" t="str">
        <f>IF('[1]All Data '!BD2731="","",'[1]All Data '!BD2731)</f>
        <v/>
      </c>
      <c r="S2726" s="11" t="str">
        <f>IF(R2726="","",'[1]All Data '!BE2731)</f>
        <v/>
      </c>
      <c r="T2726" s="12" t="str">
        <f>IF(S2726="","",[1]Inputs_Outputs!$B$8*(1-'LOCH Calc COE Calc'!S2726))</f>
        <v/>
      </c>
      <c r="U2726" s="13" t="str">
        <f t="shared" si="216"/>
        <v/>
      </c>
      <c r="V2726" s="13" t="str">
        <f t="shared" si="217"/>
        <v/>
      </c>
      <c r="W2726" s="4" t="str">
        <f t="shared" si="218"/>
        <v/>
      </c>
      <c r="X2726" t="str">
        <f>IF(W2726="","",LOOKUP(_xlfn.CONCAT(P2726,", ",Q2726),'[1]T+S Costs'!$F$2:$F$3138,'[1]T+S Costs'!$N$2:$N$3138))</f>
        <v/>
      </c>
      <c r="Y2726" s="14" t="str">
        <f t="shared" si="214"/>
        <v/>
      </c>
      <c r="Z2726" s="4" t="str">
        <f t="shared" si="215"/>
        <v/>
      </c>
    </row>
    <row r="2727" spans="16:26" x14ac:dyDescent="0.25">
      <c r="P2727" s="10" t="str">
        <f>IF('[1]All Data '!AZ2732="","",'[1]All Data '!AZ2732)</f>
        <v/>
      </c>
      <c r="Q2727" s="10" t="str">
        <f>IF('[1]All Data '!BB2732="","",'[1]All Data '!BB2732)</f>
        <v/>
      </c>
      <c r="R2727" s="10" t="str">
        <f>IF('[1]All Data '!BD2732="","",'[1]All Data '!BD2732)</f>
        <v/>
      </c>
      <c r="S2727" s="11" t="str">
        <f>IF(R2727="","",'[1]All Data '!BE2732)</f>
        <v/>
      </c>
      <c r="T2727" s="12" t="str">
        <f>IF(S2727="","",[1]Inputs_Outputs!$B$8*(1-'LOCH Calc COE Calc'!S2727))</f>
        <v/>
      </c>
      <c r="U2727" s="13" t="str">
        <f t="shared" si="216"/>
        <v/>
      </c>
      <c r="V2727" s="13" t="str">
        <f t="shared" si="217"/>
        <v/>
      </c>
      <c r="W2727" s="4" t="str">
        <f t="shared" si="218"/>
        <v/>
      </c>
      <c r="X2727" t="str">
        <f>IF(W2727="","",LOOKUP(_xlfn.CONCAT(P2727,", ",Q2727),'[1]T+S Costs'!$F$2:$F$3138,'[1]T+S Costs'!$N$2:$N$3138))</f>
        <v/>
      </c>
      <c r="Y2727" s="14" t="str">
        <f t="shared" si="214"/>
        <v/>
      </c>
      <c r="Z2727" s="4" t="str">
        <f t="shared" si="215"/>
        <v/>
      </c>
    </row>
    <row r="2728" spans="16:26" x14ac:dyDescent="0.25">
      <c r="P2728" s="10" t="str">
        <f>IF('[1]All Data '!AZ2733="","",'[1]All Data '!AZ2733)</f>
        <v/>
      </c>
      <c r="Q2728" s="10" t="str">
        <f>IF('[1]All Data '!BB2733="","",'[1]All Data '!BB2733)</f>
        <v/>
      </c>
      <c r="R2728" s="10" t="str">
        <f>IF('[1]All Data '!BD2733="","",'[1]All Data '!BD2733)</f>
        <v/>
      </c>
      <c r="S2728" s="11" t="str">
        <f>IF(R2728="","",'[1]All Data '!BE2733)</f>
        <v/>
      </c>
      <c r="T2728" s="12" t="str">
        <f>IF(S2728="","",[1]Inputs_Outputs!$B$8*(1-'LOCH Calc COE Calc'!S2728))</f>
        <v/>
      </c>
      <c r="U2728" s="13" t="str">
        <f t="shared" si="216"/>
        <v/>
      </c>
      <c r="V2728" s="13" t="str">
        <f t="shared" si="217"/>
        <v/>
      </c>
      <c r="W2728" s="4" t="str">
        <f t="shared" si="218"/>
        <v/>
      </c>
      <c r="X2728" t="str">
        <f>IF(W2728="","",LOOKUP(_xlfn.CONCAT(P2728,", ",Q2728),'[1]T+S Costs'!$F$2:$F$3138,'[1]T+S Costs'!$N$2:$N$3138))</f>
        <v/>
      </c>
      <c r="Y2728" s="14" t="str">
        <f t="shared" si="214"/>
        <v/>
      </c>
      <c r="Z2728" s="4" t="str">
        <f t="shared" si="215"/>
        <v/>
      </c>
    </row>
    <row r="2729" spans="16:26" x14ac:dyDescent="0.25">
      <c r="P2729" s="10" t="str">
        <f>IF('[1]All Data '!AZ2734="","",'[1]All Data '!AZ2734)</f>
        <v/>
      </c>
      <c r="Q2729" s="10" t="str">
        <f>IF('[1]All Data '!BB2734="","",'[1]All Data '!BB2734)</f>
        <v/>
      </c>
      <c r="R2729" s="10" t="str">
        <f>IF('[1]All Data '!BD2734="","",'[1]All Data '!BD2734)</f>
        <v/>
      </c>
      <c r="S2729" s="11" t="str">
        <f>IF(R2729="","",'[1]All Data '!BE2734)</f>
        <v/>
      </c>
      <c r="T2729" s="12" t="str">
        <f>IF(S2729="","",[1]Inputs_Outputs!$B$8*(1-'LOCH Calc COE Calc'!S2729))</f>
        <v/>
      </c>
      <c r="U2729" s="13" t="str">
        <f t="shared" si="216"/>
        <v/>
      </c>
      <c r="V2729" s="13" t="str">
        <f t="shared" si="217"/>
        <v/>
      </c>
      <c r="W2729" s="4" t="str">
        <f t="shared" si="218"/>
        <v/>
      </c>
      <c r="X2729" t="str">
        <f>IF(W2729="","",LOOKUP(_xlfn.CONCAT(P2729,", ",Q2729),'[1]T+S Costs'!$F$2:$F$3138,'[1]T+S Costs'!$N$2:$N$3138))</f>
        <v/>
      </c>
      <c r="Y2729" s="14" t="str">
        <f t="shared" si="214"/>
        <v/>
      </c>
      <c r="Z2729" s="4" t="str">
        <f t="shared" si="215"/>
        <v/>
      </c>
    </row>
    <row r="2730" spans="16:26" x14ac:dyDescent="0.25">
      <c r="P2730" s="10" t="str">
        <f>IF('[1]All Data '!AZ2735="","",'[1]All Data '!AZ2735)</f>
        <v/>
      </c>
      <c r="Q2730" s="10" t="str">
        <f>IF('[1]All Data '!BB2735="","",'[1]All Data '!BB2735)</f>
        <v/>
      </c>
      <c r="R2730" s="10" t="str">
        <f>IF('[1]All Data '!BD2735="","",'[1]All Data '!BD2735)</f>
        <v/>
      </c>
      <c r="S2730" s="11" t="str">
        <f>IF(R2730="","",'[1]All Data '!BE2735)</f>
        <v/>
      </c>
      <c r="T2730" s="12" t="str">
        <f>IF(S2730="","",[1]Inputs_Outputs!$B$8*(1-'LOCH Calc COE Calc'!S2730))</f>
        <v/>
      </c>
      <c r="U2730" s="13" t="str">
        <f t="shared" si="216"/>
        <v/>
      </c>
      <c r="V2730" s="13" t="str">
        <f t="shared" si="217"/>
        <v/>
      </c>
      <c r="W2730" s="4" t="str">
        <f t="shared" si="218"/>
        <v/>
      </c>
      <c r="X2730" t="str">
        <f>IF(W2730="","",LOOKUP(_xlfn.CONCAT(P2730,", ",Q2730),'[1]T+S Costs'!$F$2:$F$3138,'[1]T+S Costs'!$N$2:$N$3138))</f>
        <v/>
      </c>
      <c r="Y2730" s="14" t="str">
        <f t="shared" si="214"/>
        <v/>
      </c>
      <c r="Z2730" s="4" t="str">
        <f t="shared" si="215"/>
        <v/>
      </c>
    </row>
    <row r="2731" spans="16:26" x14ac:dyDescent="0.25">
      <c r="P2731" s="10" t="str">
        <f>IF('[1]All Data '!AZ2736="","",'[1]All Data '!AZ2736)</f>
        <v/>
      </c>
      <c r="Q2731" s="10" t="str">
        <f>IF('[1]All Data '!BB2736="","",'[1]All Data '!BB2736)</f>
        <v/>
      </c>
      <c r="R2731" s="10" t="str">
        <f>IF('[1]All Data '!BD2736="","",'[1]All Data '!BD2736)</f>
        <v/>
      </c>
      <c r="S2731" s="11" t="str">
        <f>IF(R2731="","",'[1]All Data '!BE2736)</f>
        <v/>
      </c>
      <c r="T2731" s="12" t="str">
        <f>IF(S2731="","",[1]Inputs_Outputs!$B$8*(1-'LOCH Calc COE Calc'!S2731))</f>
        <v/>
      </c>
      <c r="U2731" s="13" t="str">
        <f t="shared" si="216"/>
        <v/>
      </c>
      <c r="V2731" s="13" t="str">
        <f t="shared" si="217"/>
        <v/>
      </c>
      <c r="W2731" s="4" t="str">
        <f t="shared" si="218"/>
        <v/>
      </c>
      <c r="X2731" t="str">
        <f>IF(W2731="","",LOOKUP(_xlfn.CONCAT(P2731,", ",Q2731),'[1]T+S Costs'!$F$2:$F$3138,'[1]T+S Costs'!$N$2:$N$3138))</f>
        <v/>
      </c>
      <c r="Y2731" s="14" t="str">
        <f t="shared" si="214"/>
        <v/>
      </c>
      <c r="Z2731" s="4" t="str">
        <f t="shared" si="215"/>
        <v/>
      </c>
    </row>
    <row r="2732" spans="16:26" x14ac:dyDescent="0.25">
      <c r="P2732" s="10" t="str">
        <f>IF('[1]All Data '!AZ2737="","",'[1]All Data '!AZ2737)</f>
        <v/>
      </c>
      <c r="Q2732" s="10" t="str">
        <f>IF('[1]All Data '!BB2737="","",'[1]All Data '!BB2737)</f>
        <v/>
      </c>
      <c r="R2732" s="10" t="str">
        <f>IF('[1]All Data '!BD2737="","",'[1]All Data '!BD2737)</f>
        <v/>
      </c>
      <c r="S2732" s="11" t="str">
        <f>IF(R2732="","",'[1]All Data '!BE2737)</f>
        <v/>
      </c>
      <c r="T2732" s="12" t="str">
        <f>IF(S2732="","",[1]Inputs_Outputs!$B$8*(1-'LOCH Calc COE Calc'!S2732))</f>
        <v/>
      </c>
      <c r="U2732" s="13" t="str">
        <f t="shared" si="216"/>
        <v/>
      </c>
      <c r="V2732" s="13" t="str">
        <f t="shared" si="217"/>
        <v/>
      </c>
      <c r="W2732" s="4" t="str">
        <f t="shared" si="218"/>
        <v/>
      </c>
      <c r="X2732" t="str">
        <f>IF(W2732="","",LOOKUP(_xlfn.CONCAT(P2732,", ",Q2732),'[1]T+S Costs'!$F$2:$F$3138,'[1]T+S Costs'!$N$2:$N$3138))</f>
        <v/>
      </c>
      <c r="Y2732" s="14" t="str">
        <f t="shared" si="214"/>
        <v/>
      </c>
      <c r="Z2732" s="4" t="str">
        <f t="shared" si="215"/>
        <v/>
      </c>
    </row>
    <row r="2733" spans="16:26" x14ac:dyDescent="0.25">
      <c r="P2733" s="10" t="str">
        <f>IF('[1]All Data '!AZ2738="","",'[1]All Data '!AZ2738)</f>
        <v/>
      </c>
      <c r="Q2733" s="10" t="str">
        <f>IF('[1]All Data '!BB2738="","",'[1]All Data '!BB2738)</f>
        <v/>
      </c>
      <c r="R2733" s="10" t="str">
        <f>IF('[1]All Data '!BD2738="","",'[1]All Data '!BD2738)</f>
        <v/>
      </c>
      <c r="S2733" s="11" t="str">
        <f>IF(R2733="","",'[1]All Data '!BE2738)</f>
        <v/>
      </c>
      <c r="T2733" s="12" t="str">
        <f>IF(S2733="","",[1]Inputs_Outputs!$B$8*(1-'LOCH Calc COE Calc'!S2733))</f>
        <v/>
      </c>
      <c r="U2733" s="13" t="str">
        <f t="shared" si="216"/>
        <v/>
      </c>
      <c r="V2733" s="13" t="str">
        <f t="shared" si="217"/>
        <v/>
      </c>
      <c r="W2733" s="4" t="str">
        <f t="shared" si="218"/>
        <v/>
      </c>
      <c r="X2733" t="str">
        <f>IF(W2733="","",LOOKUP(_xlfn.CONCAT(P2733,", ",Q2733),'[1]T+S Costs'!$F$2:$F$3138,'[1]T+S Costs'!$N$2:$N$3138))</f>
        <v/>
      </c>
      <c r="Y2733" s="14" t="str">
        <f t="shared" si="214"/>
        <v/>
      </c>
      <c r="Z2733" s="4" t="str">
        <f t="shared" si="215"/>
        <v/>
      </c>
    </row>
    <row r="2734" spans="16:26" x14ac:dyDescent="0.25">
      <c r="P2734" s="10" t="str">
        <f>IF('[1]All Data '!AZ2739="","",'[1]All Data '!AZ2739)</f>
        <v/>
      </c>
      <c r="Q2734" s="10" t="str">
        <f>IF('[1]All Data '!BB2739="","",'[1]All Data '!BB2739)</f>
        <v/>
      </c>
      <c r="R2734" s="10" t="str">
        <f>IF('[1]All Data '!BD2739="","",'[1]All Data '!BD2739)</f>
        <v/>
      </c>
      <c r="S2734" s="11" t="str">
        <f>IF(R2734="","",'[1]All Data '!BE2739)</f>
        <v/>
      </c>
      <c r="T2734" s="12" t="str">
        <f>IF(S2734="","",[1]Inputs_Outputs!$B$8*(1-'LOCH Calc COE Calc'!S2734))</f>
        <v/>
      </c>
      <c r="U2734" s="13" t="str">
        <f t="shared" si="216"/>
        <v/>
      </c>
      <c r="V2734" s="13" t="str">
        <f t="shared" si="217"/>
        <v/>
      </c>
      <c r="W2734" s="4" t="str">
        <f t="shared" si="218"/>
        <v/>
      </c>
      <c r="X2734" t="str">
        <f>IF(W2734="","",LOOKUP(_xlfn.CONCAT(P2734,", ",Q2734),'[1]T+S Costs'!$F$2:$F$3138,'[1]T+S Costs'!$N$2:$N$3138))</f>
        <v/>
      </c>
      <c r="Y2734" s="14" t="str">
        <f t="shared" si="214"/>
        <v/>
      </c>
      <c r="Z2734" s="4" t="str">
        <f t="shared" si="215"/>
        <v/>
      </c>
    </row>
    <row r="2735" spans="16:26" x14ac:dyDescent="0.25">
      <c r="P2735" s="10" t="str">
        <f>IF('[1]All Data '!AZ2740="","",'[1]All Data '!AZ2740)</f>
        <v/>
      </c>
      <c r="Q2735" s="10" t="str">
        <f>IF('[1]All Data '!BB2740="","",'[1]All Data '!BB2740)</f>
        <v/>
      </c>
      <c r="R2735" s="10" t="str">
        <f>IF('[1]All Data '!BD2740="","",'[1]All Data '!BD2740)</f>
        <v/>
      </c>
      <c r="S2735" s="11" t="str">
        <f>IF(R2735="","",'[1]All Data '!BE2740)</f>
        <v/>
      </c>
      <c r="T2735" s="12" t="str">
        <f>IF(S2735="","",[1]Inputs_Outputs!$B$8*(1-'LOCH Calc COE Calc'!S2735))</f>
        <v/>
      </c>
      <c r="U2735" s="13" t="str">
        <f t="shared" si="216"/>
        <v/>
      </c>
      <c r="V2735" s="13" t="str">
        <f t="shared" si="217"/>
        <v/>
      </c>
      <c r="W2735" s="4" t="str">
        <f t="shared" si="218"/>
        <v/>
      </c>
      <c r="X2735" t="str">
        <f>IF(W2735="","",LOOKUP(_xlfn.CONCAT(P2735,", ",Q2735),'[1]T+S Costs'!$F$2:$F$3138,'[1]T+S Costs'!$N$2:$N$3138))</f>
        <v/>
      </c>
      <c r="Y2735" s="14" t="str">
        <f t="shared" si="214"/>
        <v/>
      </c>
      <c r="Z2735" s="4" t="str">
        <f t="shared" si="215"/>
        <v/>
      </c>
    </row>
    <row r="2736" spans="16:26" x14ac:dyDescent="0.25">
      <c r="P2736" s="10" t="str">
        <f>IF('[1]All Data '!AZ2741="","",'[1]All Data '!AZ2741)</f>
        <v/>
      </c>
      <c r="Q2736" s="10" t="str">
        <f>IF('[1]All Data '!BB2741="","",'[1]All Data '!BB2741)</f>
        <v/>
      </c>
      <c r="R2736" s="10" t="str">
        <f>IF('[1]All Data '!BD2741="","",'[1]All Data '!BD2741)</f>
        <v/>
      </c>
      <c r="S2736" s="11" t="str">
        <f>IF(R2736="","",'[1]All Data '!BE2741)</f>
        <v/>
      </c>
      <c r="T2736" s="12" t="str">
        <f>IF(S2736="","",[1]Inputs_Outputs!$B$8*(1-'LOCH Calc COE Calc'!S2736))</f>
        <v/>
      </c>
      <c r="U2736" s="13" t="str">
        <f t="shared" si="216"/>
        <v/>
      </c>
      <c r="V2736" s="13" t="str">
        <f t="shared" si="217"/>
        <v/>
      </c>
      <c r="W2736" s="4" t="str">
        <f t="shared" si="218"/>
        <v/>
      </c>
      <c r="X2736" t="str">
        <f>IF(W2736="","",LOOKUP(_xlfn.CONCAT(P2736,", ",Q2736),'[1]T+S Costs'!$F$2:$F$3138,'[1]T+S Costs'!$N$2:$N$3138))</f>
        <v/>
      </c>
      <c r="Y2736" s="14" t="str">
        <f t="shared" si="214"/>
        <v/>
      </c>
      <c r="Z2736" s="4" t="str">
        <f t="shared" si="215"/>
        <v/>
      </c>
    </row>
    <row r="2737" spans="16:26" x14ac:dyDescent="0.25">
      <c r="P2737" s="10" t="str">
        <f>IF('[1]All Data '!AZ2742="","",'[1]All Data '!AZ2742)</f>
        <v/>
      </c>
      <c r="Q2737" s="10" t="str">
        <f>IF('[1]All Data '!BB2742="","",'[1]All Data '!BB2742)</f>
        <v/>
      </c>
      <c r="R2737" s="10" t="str">
        <f>IF('[1]All Data '!BD2742="","",'[1]All Data '!BD2742)</f>
        <v/>
      </c>
      <c r="S2737" s="11" t="str">
        <f>IF(R2737="","",'[1]All Data '!BE2742)</f>
        <v/>
      </c>
      <c r="T2737" s="12" t="str">
        <f>IF(S2737="","",[1]Inputs_Outputs!$B$8*(1-'LOCH Calc COE Calc'!S2737))</f>
        <v/>
      </c>
      <c r="U2737" s="13" t="str">
        <f t="shared" si="216"/>
        <v/>
      </c>
      <c r="V2737" s="13" t="str">
        <f t="shared" si="217"/>
        <v/>
      </c>
      <c r="W2737" s="4" t="str">
        <f t="shared" si="218"/>
        <v/>
      </c>
      <c r="X2737" t="str">
        <f>IF(W2737="","",LOOKUP(_xlfn.CONCAT(P2737,", ",Q2737),'[1]T+S Costs'!$F$2:$F$3138,'[1]T+S Costs'!$N$2:$N$3138))</f>
        <v/>
      </c>
      <c r="Y2737" s="14" t="str">
        <f t="shared" si="214"/>
        <v/>
      </c>
      <c r="Z2737" s="4" t="str">
        <f t="shared" si="215"/>
        <v/>
      </c>
    </row>
    <row r="2738" spans="16:26" x14ac:dyDescent="0.25">
      <c r="P2738" s="10" t="str">
        <f>IF('[1]All Data '!AZ2743="","",'[1]All Data '!AZ2743)</f>
        <v/>
      </c>
      <c r="Q2738" s="10" t="str">
        <f>IF('[1]All Data '!BB2743="","",'[1]All Data '!BB2743)</f>
        <v/>
      </c>
      <c r="R2738" s="10" t="str">
        <f>IF('[1]All Data '!BD2743="","",'[1]All Data '!BD2743)</f>
        <v/>
      </c>
      <c r="S2738" s="11" t="str">
        <f>IF(R2738="","",'[1]All Data '!BE2743)</f>
        <v/>
      </c>
      <c r="T2738" s="12" t="str">
        <f>IF(S2738="","",[1]Inputs_Outputs!$B$8*(1-'LOCH Calc COE Calc'!S2738))</f>
        <v/>
      </c>
      <c r="U2738" s="13" t="str">
        <f t="shared" si="216"/>
        <v/>
      </c>
      <c r="V2738" s="13" t="str">
        <f t="shared" si="217"/>
        <v/>
      </c>
      <c r="W2738" s="4" t="str">
        <f t="shared" si="218"/>
        <v/>
      </c>
      <c r="X2738" t="str">
        <f>IF(W2738="","",LOOKUP(_xlfn.CONCAT(P2738,", ",Q2738),'[1]T+S Costs'!$F$2:$F$3138,'[1]T+S Costs'!$N$2:$N$3138))</f>
        <v/>
      </c>
      <c r="Y2738" s="14" t="str">
        <f t="shared" si="214"/>
        <v/>
      </c>
      <c r="Z2738" s="4" t="str">
        <f t="shared" si="215"/>
        <v/>
      </c>
    </row>
    <row r="2739" spans="16:26" x14ac:dyDescent="0.25">
      <c r="P2739" s="10" t="str">
        <f>IF('[1]All Data '!AZ2744="","",'[1]All Data '!AZ2744)</f>
        <v/>
      </c>
      <c r="Q2739" s="10" t="str">
        <f>IF('[1]All Data '!BB2744="","",'[1]All Data '!BB2744)</f>
        <v/>
      </c>
      <c r="R2739" s="10" t="str">
        <f>IF('[1]All Data '!BD2744="","",'[1]All Data '!BD2744)</f>
        <v/>
      </c>
      <c r="S2739" s="11" t="str">
        <f>IF(R2739="","",'[1]All Data '!BE2744)</f>
        <v/>
      </c>
      <c r="T2739" s="12" t="str">
        <f>IF(S2739="","",[1]Inputs_Outputs!$B$8*(1-'LOCH Calc COE Calc'!S2739))</f>
        <v/>
      </c>
      <c r="U2739" s="13" t="str">
        <f t="shared" si="216"/>
        <v/>
      </c>
      <c r="V2739" s="13" t="str">
        <f t="shared" si="217"/>
        <v/>
      </c>
      <c r="W2739" s="4" t="str">
        <f t="shared" si="218"/>
        <v/>
      </c>
      <c r="X2739" t="str">
        <f>IF(W2739="","",LOOKUP(_xlfn.CONCAT(P2739,", ",Q2739),'[1]T+S Costs'!$F$2:$F$3138,'[1]T+S Costs'!$N$2:$N$3138))</f>
        <v/>
      </c>
      <c r="Y2739" s="14" t="str">
        <f t="shared" si="214"/>
        <v/>
      </c>
      <c r="Z2739" s="4" t="str">
        <f t="shared" si="215"/>
        <v/>
      </c>
    </row>
    <row r="2740" spans="16:26" x14ac:dyDescent="0.25">
      <c r="P2740" s="10" t="str">
        <f>IF('[1]All Data '!AZ2745="","",'[1]All Data '!AZ2745)</f>
        <v/>
      </c>
      <c r="Q2740" s="10" t="str">
        <f>IF('[1]All Data '!BB2745="","",'[1]All Data '!BB2745)</f>
        <v/>
      </c>
      <c r="R2740" s="10" t="str">
        <f>IF('[1]All Data '!BD2745="","",'[1]All Data '!BD2745)</f>
        <v/>
      </c>
      <c r="S2740" s="11" t="str">
        <f>IF(R2740="","",'[1]All Data '!BE2745)</f>
        <v/>
      </c>
      <c r="T2740" s="12" t="str">
        <f>IF(S2740="","",[1]Inputs_Outputs!$B$8*(1-'LOCH Calc COE Calc'!S2740))</f>
        <v/>
      </c>
      <c r="U2740" s="13" t="str">
        <f t="shared" si="216"/>
        <v/>
      </c>
      <c r="V2740" s="13" t="str">
        <f t="shared" si="217"/>
        <v/>
      </c>
      <c r="W2740" s="4" t="str">
        <f t="shared" si="218"/>
        <v/>
      </c>
      <c r="X2740" t="str">
        <f>IF(W2740="","",LOOKUP(_xlfn.CONCAT(P2740,", ",Q2740),'[1]T+S Costs'!$F$2:$F$3138,'[1]T+S Costs'!$N$2:$N$3138))</f>
        <v/>
      </c>
      <c r="Y2740" s="14" t="str">
        <f t="shared" si="214"/>
        <v/>
      </c>
      <c r="Z2740" s="4" t="str">
        <f t="shared" si="215"/>
        <v/>
      </c>
    </row>
    <row r="2741" spans="16:26" x14ac:dyDescent="0.25">
      <c r="P2741" s="10" t="str">
        <f>IF('[1]All Data '!AZ2746="","",'[1]All Data '!AZ2746)</f>
        <v/>
      </c>
      <c r="Q2741" s="10" t="str">
        <f>IF('[1]All Data '!BB2746="","",'[1]All Data '!BB2746)</f>
        <v/>
      </c>
      <c r="R2741" s="10" t="str">
        <f>IF('[1]All Data '!BD2746="","",'[1]All Data '!BD2746)</f>
        <v/>
      </c>
      <c r="S2741" s="11" t="str">
        <f>IF(R2741="","",'[1]All Data '!BE2746)</f>
        <v/>
      </c>
      <c r="T2741" s="12" t="str">
        <f>IF(S2741="","",[1]Inputs_Outputs!$B$8*(1-'LOCH Calc COE Calc'!S2741))</f>
        <v/>
      </c>
      <c r="U2741" s="13" t="str">
        <f t="shared" si="216"/>
        <v/>
      </c>
      <c r="V2741" s="13" t="str">
        <f t="shared" si="217"/>
        <v/>
      </c>
      <c r="W2741" s="4" t="str">
        <f t="shared" si="218"/>
        <v/>
      </c>
      <c r="X2741" t="str">
        <f>IF(W2741="","",LOOKUP(_xlfn.CONCAT(P2741,", ",Q2741),'[1]T+S Costs'!$F$2:$F$3138,'[1]T+S Costs'!$N$2:$N$3138))</f>
        <v/>
      </c>
      <c r="Y2741" s="14" t="str">
        <f t="shared" si="214"/>
        <v/>
      </c>
      <c r="Z2741" s="4" t="str">
        <f t="shared" si="215"/>
        <v/>
      </c>
    </row>
    <row r="2742" spans="16:26" x14ac:dyDescent="0.25">
      <c r="P2742" s="10" t="str">
        <f>IF('[1]All Data '!AZ2747="","",'[1]All Data '!AZ2747)</f>
        <v/>
      </c>
      <c r="Q2742" s="10" t="str">
        <f>IF('[1]All Data '!BB2747="","",'[1]All Data '!BB2747)</f>
        <v/>
      </c>
      <c r="R2742" s="10" t="str">
        <f>IF('[1]All Data '!BD2747="","",'[1]All Data '!BD2747)</f>
        <v/>
      </c>
      <c r="S2742" s="11" t="str">
        <f>IF(R2742="","",'[1]All Data '!BE2747)</f>
        <v/>
      </c>
      <c r="T2742" s="12" t="str">
        <f>IF(S2742="","",[1]Inputs_Outputs!$B$8*(1-'LOCH Calc COE Calc'!S2742))</f>
        <v/>
      </c>
      <c r="U2742" s="13" t="str">
        <f t="shared" si="216"/>
        <v/>
      </c>
      <c r="V2742" s="13" t="str">
        <f t="shared" si="217"/>
        <v/>
      </c>
      <c r="W2742" s="4" t="str">
        <f t="shared" si="218"/>
        <v/>
      </c>
      <c r="X2742" t="str">
        <f>IF(W2742="","",LOOKUP(_xlfn.CONCAT(P2742,", ",Q2742),'[1]T+S Costs'!$F$2:$F$3138,'[1]T+S Costs'!$N$2:$N$3138))</f>
        <v/>
      </c>
      <c r="Y2742" s="14" t="str">
        <f t="shared" si="214"/>
        <v/>
      </c>
      <c r="Z2742" s="4" t="str">
        <f t="shared" si="215"/>
        <v/>
      </c>
    </row>
    <row r="2743" spans="16:26" x14ac:dyDescent="0.25">
      <c r="P2743" s="10" t="str">
        <f>IF('[1]All Data '!AZ2748="","",'[1]All Data '!AZ2748)</f>
        <v/>
      </c>
      <c r="Q2743" s="10" t="str">
        <f>IF('[1]All Data '!BB2748="","",'[1]All Data '!BB2748)</f>
        <v/>
      </c>
      <c r="R2743" s="10" t="str">
        <f>IF('[1]All Data '!BD2748="","",'[1]All Data '!BD2748)</f>
        <v/>
      </c>
      <c r="S2743" s="11" t="str">
        <f>IF(R2743="","",'[1]All Data '!BE2748)</f>
        <v/>
      </c>
      <c r="T2743" s="12" t="str">
        <f>IF(S2743="","",[1]Inputs_Outputs!$B$8*(1-'LOCH Calc COE Calc'!S2743))</f>
        <v/>
      </c>
      <c r="U2743" s="13" t="str">
        <f t="shared" si="216"/>
        <v/>
      </c>
      <c r="V2743" s="13" t="str">
        <f t="shared" si="217"/>
        <v/>
      </c>
      <c r="W2743" s="4" t="str">
        <f t="shared" si="218"/>
        <v/>
      </c>
      <c r="X2743" t="str">
        <f>IF(W2743="","",LOOKUP(_xlfn.CONCAT(P2743,", ",Q2743),'[1]T+S Costs'!$F$2:$F$3138,'[1]T+S Costs'!$N$2:$N$3138))</f>
        <v/>
      </c>
      <c r="Y2743" s="14" t="str">
        <f t="shared" si="214"/>
        <v/>
      </c>
      <c r="Z2743" s="4" t="str">
        <f t="shared" si="215"/>
        <v/>
      </c>
    </row>
    <row r="2744" spans="16:26" x14ac:dyDescent="0.25">
      <c r="P2744" s="10" t="str">
        <f>IF('[1]All Data '!AZ2749="","",'[1]All Data '!AZ2749)</f>
        <v/>
      </c>
      <c r="Q2744" s="10" t="str">
        <f>IF('[1]All Data '!BB2749="","",'[1]All Data '!BB2749)</f>
        <v/>
      </c>
      <c r="R2744" s="10" t="str">
        <f>IF('[1]All Data '!BD2749="","",'[1]All Data '!BD2749)</f>
        <v/>
      </c>
      <c r="S2744" s="11" t="str">
        <f>IF(R2744="","",'[1]All Data '!BE2749)</f>
        <v/>
      </c>
      <c r="T2744" s="12" t="str">
        <f>IF(S2744="","",[1]Inputs_Outputs!$B$8*(1-'LOCH Calc COE Calc'!S2744))</f>
        <v/>
      </c>
      <c r="U2744" s="13" t="str">
        <f t="shared" si="216"/>
        <v/>
      </c>
      <c r="V2744" s="13" t="str">
        <f t="shared" si="217"/>
        <v/>
      </c>
      <c r="W2744" s="4" t="str">
        <f t="shared" si="218"/>
        <v/>
      </c>
      <c r="X2744" t="str">
        <f>IF(W2744="","",LOOKUP(_xlfn.CONCAT(P2744,", ",Q2744),'[1]T+S Costs'!$F$2:$F$3138,'[1]T+S Costs'!$N$2:$N$3138))</f>
        <v/>
      </c>
      <c r="Y2744" s="14" t="str">
        <f t="shared" si="214"/>
        <v/>
      </c>
      <c r="Z2744" s="4" t="str">
        <f t="shared" si="215"/>
        <v/>
      </c>
    </row>
    <row r="2745" spans="16:26" x14ac:dyDescent="0.25">
      <c r="P2745" s="10" t="str">
        <f>IF('[1]All Data '!AZ2750="","",'[1]All Data '!AZ2750)</f>
        <v/>
      </c>
      <c r="Q2745" s="10" t="str">
        <f>IF('[1]All Data '!BB2750="","",'[1]All Data '!BB2750)</f>
        <v/>
      </c>
      <c r="R2745" s="10" t="str">
        <f>IF('[1]All Data '!BD2750="","",'[1]All Data '!BD2750)</f>
        <v/>
      </c>
      <c r="S2745" s="11" t="str">
        <f>IF(R2745="","",'[1]All Data '!BE2750)</f>
        <v/>
      </c>
      <c r="T2745" s="12" t="str">
        <f>IF(S2745="","",[1]Inputs_Outputs!$B$8*(1-'LOCH Calc COE Calc'!S2745))</f>
        <v/>
      </c>
      <c r="U2745" s="13" t="str">
        <f t="shared" si="216"/>
        <v/>
      </c>
      <c r="V2745" s="13" t="str">
        <f t="shared" si="217"/>
        <v/>
      </c>
      <c r="W2745" s="4" t="str">
        <f t="shared" si="218"/>
        <v/>
      </c>
      <c r="X2745" t="str">
        <f>IF(W2745="","",LOOKUP(_xlfn.CONCAT(P2745,", ",Q2745),'[1]T+S Costs'!$F$2:$F$3138,'[1]T+S Costs'!$N$2:$N$3138))</f>
        <v/>
      </c>
      <c r="Y2745" s="14" t="str">
        <f t="shared" si="214"/>
        <v/>
      </c>
      <c r="Z2745" s="4" t="str">
        <f t="shared" si="215"/>
        <v/>
      </c>
    </row>
    <row r="2746" spans="16:26" x14ac:dyDescent="0.25">
      <c r="P2746" s="10" t="str">
        <f>IF('[1]All Data '!AZ2751="","",'[1]All Data '!AZ2751)</f>
        <v/>
      </c>
      <c r="Q2746" s="10" t="str">
        <f>IF('[1]All Data '!BB2751="","",'[1]All Data '!BB2751)</f>
        <v/>
      </c>
      <c r="R2746" s="10" t="str">
        <f>IF('[1]All Data '!BD2751="","",'[1]All Data '!BD2751)</f>
        <v/>
      </c>
      <c r="S2746" s="11" t="str">
        <f>IF(R2746="","",'[1]All Data '!BE2751)</f>
        <v/>
      </c>
      <c r="T2746" s="12" t="str">
        <f>IF(S2746="","",[1]Inputs_Outputs!$B$8*(1-'LOCH Calc COE Calc'!S2746))</f>
        <v/>
      </c>
      <c r="U2746" s="13" t="str">
        <f t="shared" si="216"/>
        <v/>
      </c>
      <c r="V2746" s="13" t="str">
        <f t="shared" si="217"/>
        <v/>
      </c>
      <c r="W2746" s="4" t="str">
        <f t="shared" si="218"/>
        <v/>
      </c>
      <c r="X2746" t="str">
        <f>IF(W2746="","",LOOKUP(_xlfn.CONCAT(P2746,", ",Q2746),'[1]T+S Costs'!$F$2:$F$3138,'[1]T+S Costs'!$N$2:$N$3138))</f>
        <v/>
      </c>
      <c r="Y2746" s="14" t="str">
        <f t="shared" si="214"/>
        <v/>
      </c>
      <c r="Z2746" s="4" t="str">
        <f t="shared" si="215"/>
        <v/>
      </c>
    </row>
    <row r="2747" spans="16:26" x14ac:dyDescent="0.25">
      <c r="P2747" s="10" t="str">
        <f>IF('[1]All Data '!AZ2752="","",'[1]All Data '!AZ2752)</f>
        <v/>
      </c>
      <c r="Q2747" s="10" t="str">
        <f>IF('[1]All Data '!BB2752="","",'[1]All Data '!BB2752)</f>
        <v/>
      </c>
      <c r="R2747" s="10" t="str">
        <f>IF('[1]All Data '!BD2752="","",'[1]All Data '!BD2752)</f>
        <v/>
      </c>
      <c r="S2747" s="11" t="str">
        <f>IF(R2747="","",'[1]All Data '!BE2752)</f>
        <v/>
      </c>
      <c r="T2747" s="12" t="str">
        <f>IF(S2747="","",[1]Inputs_Outputs!$B$8*(1-'LOCH Calc COE Calc'!S2747))</f>
        <v/>
      </c>
      <c r="U2747" s="13" t="str">
        <f t="shared" si="216"/>
        <v/>
      </c>
      <c r="V2747" s="13" t="str">
        <f t="shared" si="217"/>
        <v/>
      </c>
      <c r="W2747" s="4" t="str">
        <f t="shared" si="218"/>
        <v/>
      </c>
      <c r="X2747" t="str">
        <f>IF(W2747="","",LOOKUP(_xlfn.CONCAT(P2747,", ",Q2747),'[1]T+S Costs'!$F$2:$F$3138,'[1]T+S Costs'!$N$2:$N$3138))</f>
        <v/>
      </c>
      <c r="Y2747" s="14" t="str">
        <f t="shared" si="214"/>
        <v/>
      </c>
      <c r="Z2747" s="4" t="str">
        <f t="shared" si="215"/>
        <v/>
      </c>
    </row>
    <row r="2748" spans="16:26" x14ac:dyDescent="0.25">
      <c r="P2748" s="10" t="str">
        <f>IF('[1]All Data '!AZ2753="","",'[1]All Data '!AZ2753)</f>
        <v/>
      </c>
      <c r="Q2748" s="10" t="str">
        <f>IF('[1]All Data '!BB2753="","",'[1]All Data '!BB2753)</f>
        <v/>
      </c>
      <c r="R2748" s="10" t="str">
        <f>IF('[1]All Data '!BD2753="","",'[1]All Data '!BD2753)</f>
        <v/>
      </c>
      <c r="S2748" s="11" t="str">
        <f>IF(R2748="","",'[1]All Data '!BE2753)</f>
        <v/>
      </c>
      <c r="T2748" s="12" t="str">
        <f>IF(S2748="","",[1]Inputs_Outputs!$B$8*(1-'LOCH Calc COE Calc'!S2748))</f>
        <v/>
      </c>
      <c r="U2748" s="13" t="str">
        <f t="shared" si="216"/>
        <v/>
      </c>
      <c r="V2748" s="13" t="str">
        <f t="shared" si="217"/>
        <v/>
      </c>
      <c r="W2748" s="4" t="str">
        <f t="shared" si="218"/>
        <v/>
      </c>
      <c r="X2748" t="str">
        <f>IF(W2748="","",LOOKUP(_xlfn.CONCAT(P2748,", ",Q2748),'[1]T+S Costs'!$F$2:$F$3138,'[1]T+S Costs'!$N$2:$N$3138))</f>
        <v/>
      </c>
      <c r="Y2748" s="14" t="str">
        <f t="shared" si="214"/>
        <v/>
      </c>
      <c r="Z2748" s="4" t="str">
        <f t="shared" si="215"/>
        <v/>
      </c>
    </row>
    <row r="2749" spans="16:26" x14ac:dyDescent="0.25">
      <c r="P2749" s="10" t="str">
        <f>IF('[1]All Data '!AZ2754="","",'[1]All Data '!AZ2754)</f>
        <v/>
      </c>
      <c r="Q2749" s="10" t="str">
        <f>IF('[1]All Data '!BB2754="","",'[1]All Data '!BB2754)</f>
        <v/>
      </c>
      <c r="R2749" s="10" t="str">
        <f>IF('[1]All Data '!BD2754="","",'[1]All Data '!BD2754)</f>
        <v/>
      </c>
      <c r="S2749" s="11" t="str">
        <f>IF(R2749="","",'[1]All Data '!BE2754)</f>
        <v/>
      </c>
      <c r="T2749" s="12" t="str">
        <f>IF(S2749="","",[1]Inputs_Outputs!$B$8*(1-'LOCH Calc COE Calc'!S2749))</f>
        <v/>
      </c>
      <c r="U2749" s="13" t="str">
        <f t="shared" si="216"/>
        <v/>
      </c>
      <c r="V2749" s="13" t="str">
        <f t="shared" si="217"/>
        <v/>
      </c>
      <c r="W2749" s="4" t="str">
        <f t="shared" si="218"/>
        <v/>
      </c>
      <c r="X2749" t="str">
        <f>IF(W2749="","",LOOKUP(_xlfn.CONCAT(P2749,", ",Q2749),'[1]T+S Costs'!$F$2:$F$3138,'[1]T+S Costs'!$N$2:$N$3138))</f>
        <v/>
      </c>
      <c r="Y2749" s="14" t="str">
        <f t="shared" si="214"/>
        <v/>
      </c>
      <c r="Z2749" s="4" t="str">
        <f t="shared" si="215"/>
        <v/>
      </c>
    </row>
    <row r="2750" spans="16:26" x14ac:dyDescent="0.25">
      <c r="P2750" s="10" t="str">
        <f>IF('[1]All Data '!AZ2755="","",'[1]All Data '!AZ2755)</f>
        <v/>
      </c>
      <c r="Q2750" s="10" t="str">
        <f>IF('[1]All Data '!BB2755="","",'[1]All Data '!BB2755)</f>
        <v/>
      </c>
      <c r="R2750" s="10" t="str">
        <f>IF('[1]All Data '!BD2755="","",'[1]All Data '!BD2755)</f>
        <v/>
      </c>
      <c r="S2750" s="11" t="str">
        <f>IF(R2750="","",'[1]All Data '!BE2755)</f>
        <v/>
      </c>
      <c r="T2750" s="12" t="str">
        <f>IF(S2750="","",[1]Inputs_Outputs!$B$8*(1-'LOCH Calc COE Calc'!S2750))</f>
        <v/>
      </c>
      <c r="U2750" s="13" t="str">
        <f t="shared" si="216"/>
        <v/>
      </c>
      <c r="V2750" s="13" t="str">
        <f t="shared" si="217"/>
        <v/>
      </c>
      <c r="W2750" s="4" t="str">
        <f t="shared" si="218"/>
        <v/>
      </c>
      <c r="X2750" t="str">
        <f>IF(W2750="","",LOOKUP(_xlfn.CONCAT(P2750,", ",Q2750),'[1]T+S Costs'!$F$2:$F$3138,'[1]T+S Costs'!$N$2:$N$3138))</f>
        <v/>
      </c>
      <c r="Y2750" s="14" t="str">
        <f t="shared" si="214"/>
        <v/>
      </c>
      <c r="Z2750" s="4" t="str">
        <f t="shared" si="215"/>
        <v/>
      </c>
    </row>
    <row r="2751" spans="16:26" x14ac:dyDescent="0.25">
      <c r="P2751" s="10" t="str">
        <f>IF('[1]All Data '!AZ2756="","",'[1]All Data '!AZ2756)</f>
        <v/>
      </c>
      <c r="Q2751" s="10" t="str">
        <f>IF('[1]All Data '!BB2756="","",'[1]All Data '!BB2756)</f>
        <v/>
      </c>
      <c r="R2751" s="10" t="str">
        <f>IF('[1]All Data '!BD2756="","",'[1]All Data '!BD2756)</f>
        <v/>
      </c>
      <c r="S2751" s="11" t="str">
        <f>IF(R2751="","",'[1]All Data '!BE2756)</f>
        <v/>
      </c>
      <c r="T2751" s="12" t="str">
        <f>IF(S2751="","",[1]Inputs_Outputs!$B$8*(1-'LOCH Calc COE Calc'!S2751))</f>
        <v/>
      </c>
      <c r="U2751" s="13" t="str">
        <f t="shared" si="216"/>
        <v/>
      </c>
      <c r="V2751" s="13" t="str">
        <f t="shared" si="217"/>
        <v/>
      </c>
      <c r="W2751" s="4" t="str">
        <f t="shared" si="218"/>
        <v/>
      </c>
      <c r="X2751" t="str">
        <f>IF(W2751="","",LOOKUP(_xlfn.CONCAT(P2751,", ",Q2751),'[1]T+S Costs'!$F$2:$F$3138,'[1]T+S Costs'!$N$2:$N$3138))</f>
        <v/>
      </c>
      <c r="Y2751" s="14" t="str">
        <f t="shared" si="214"/>
        <v/>
      </c>
      <c r="Z2751" s="4" t="str">
        <f t="shared" si="215"/>
        <v/>
      </c>
    </row>
    <row r="2752" spans="16:26" x14ac:dyDescent="0.25">
      <c r="P2752" s="10" t="str">
        <f>IF('[1]All Data '!AZ2757="","",'[1]All Data '!AZ2757)</f>
        <v/>
      </c>
      <c r="Q2752" s="10" t="str">
        <f>IF('[1]All Data '!BB2757="","",'[1]All Data '!BB2757)</f>
        <v/>
      </c>
      <c r="R2752" s="10" t="str">
        <f>IF('[1]All Data '!BD2757="","",'[1]All Data '!BD2757)</f>
        <v/>
      </c>
      <c r="S2752" s="11" t="str">
        <f>IF(R2752="","",'[1]All Data '!BE2757)</f>
        <v/>
      </c>
      <c r="T2752" s="12" t="str">
        <f>IF(S2752="","",[1]Inputs_Outputs!$B$8*(1-'LOCH Calc COE Calc'!S2752))</f>
        <v/>
      </c>
      <c r="U2752" s="13" t="str">
        <f t="shared" si="216"/>
        <v/>
      </c>
      <c r="V2752" s="13" t="str">
        <f t="shared" si="217"/>
        <v/>
      </c>
      <c r="W2752" s="4" t="str">
        <f t="shared" si="218"/>
        <v/>
      </c>
      <c r="X2752" t="str">
        <f>IF(W2752="","",LOOKUP(_xlfn.CONCAT(P2752,", ",Q2752),'[1]T+S Costs'!$F$2:$F$3138,'[1]T+S Costs'!$N$2:$N$3138))</f>
        <v/>
      </c>
      <c r="Y2752" s="14" t="str">
        <f t="shared" si="214"/>
        <v/>
      </c>
      <c r="Z2752" s="4" t="str">
        <f t="shared" si="215"/>
        <v/>
      </c>
    </row>
    <row r="2753" spans="16:26" x14ac:dyDescent="0.25">
      <c r="P2753" s="10" t="str">
        <f>IF('[1]All Data '!AZ2758="","",'[1]All Data '!AZ2758)</f>
        <v/>
      </c>
      <c r="Q2753" s="10" t="str">
        <f>IF('[1]All Data '!BB2758="","",'[1]All Data '!BB2758)</f>
        <v/>
      </c>
      <c r="R2753" s="10" t="str">
        <f>IF('[1]All Data '!BD2758="","",'[1]All Data '!BD2758)</f>
        <v/>
      </c>
      <c r="S2753" s="11" t="str">
        <f>IF(R2753="","",'[1]All Data '!BE2758)</f>
        <v/>
      </c>
      <c r="T2753" s="12" t="str">
        <f>IF(S2753="","",[1]Inputs_Outputs!$B$8*(1-'LOCH Calc COE Calc'!S2753))</f>
        <v/>
      </c>
      <c r="U2753" s="13" t="str">
        <f t="shared" si="216"/>
        <v/>
      </c>
      <c r="V2753" s="13" t="str">
        <f t="shared" si="217"/>
        <v/>
      </c>
      <c r="W2753" s="4" t="str">
        <f t="shared" si="218"/>
        <v/>
      </c>
      <c r="X2753" t="str">
        <f>IF(W2753="","",LOOKUP(_xlfn.CONCAT(P2753,", ",Q2753),'[1]T+S Costs'!$F$2:$F$3138,'[1]T+S Costs'!$N$2:$N$3138))</f>
        <v/>
      </c>
      <c r="Y2753" s="14" t="str">
        <f t="shared" si="214"/>
        <v/>
      </c>
      <c r="Z2753" s="4" t="str">
        <f t="shared" si="215"/>
        <v/>
      </c>
    </row>
    <row r="2754" spans="16:26" x14ac:dyDescent="0.25">
      <c r="P2754" s="10" t="str">
        <f>IF('[1]All Data '!AZ2759="","",'[1]All Data '!AZ2759)</f>
        <v/>
      </c>
      <c r="Q2754" s="10" t="str">
        <f>IF('[1]All Data '!BB2759="","",'[1]All Data '!BB2759)</f>
        <v/>
      </c>
      <c r="R2754" s="10" t="str">
        <f>IF('[1]All Data '!BD2759="","",'[1]All Data '!BD2759)</f>
        <v/>
      </c>
      <c r="S2754" s="11" t="str">
        <f>IF(R2754="","",'[1]All Data '!BE2759)</f>
        <v/>
      </c>
      <c r="T2754" s="12" t="str">
        <f>IF(S2754="","",[1]Inputs_Outputs!$B$8*(1-'LOCH Calc COE Calc'!S2754))</f>
        <v/>
      </c>
      <c r="U2754" s="13" t="str">
        <f t="shared" si="216"/>
        <v/>
      </c>
      <c r="V2754" s="13" t="str">
        <f t="shared" si="217"/>
        <v/>
      </c>
      <c r="W2754" s="4" t="str">
        <f t="shared" si="218"/>
        <v/>
      </c>
      <c r="X2754" t="str">
        <f>IF(W2754="","",LOOKUP(_xlfn.CONCAT(P2754,", ",Q2754),'[1]T+S Costs'!$F$2:$F$3138,'[1]T+S Costs'!$N$2:$N$3138))</f>
        <v/>
      </c>
      <c r="Y2754" s="14" t="str">
        <f t="shared" si="214"/>
        <v/>
      </c>
      <c r="Z2754" s="4" t="str">
        <f t="shared" si="215"/>
        <v/>
      </c>
    </row>
    <row r="2755" spans="16:26" x14ac:dyDescent="0.25">
      <c r="P2755" s="10" t="str">
        <f>IF('[1]All Data '!AZ2760="","",'[1]All Data '!AZ2760)</f>
        <v/>
      </c>
      <c r="Q2755" s="10" t="str">
        <f>IF('[1]All Data '!BB2760="","",'[1]All Data '!BB2760)</f>
        <v/>
      </c>
      <c r="R2755" s="10" t="str">
        <f>IF('[1]All Data '!BD2760="","",'[1]All Data '!BD2760)</f>
        <v/>
      </c>
      <c r="S2755" s="11" t="str">
        <f>IF(R2755="","",'[1]All Data '!BE2760)</f>
        <v/>
      </c>
      <c r="T2755" s="12" t="str">
        <f>IF(S2755="","",[1]Inputs_Outputs!$B$8*(1-'LOCH Calc COE Calc'!S2755))</f>
        <v/>
      </c>
      <c r="U2755" s="13" t="str">
        <f t="shared" si="216"/>
        <v/>
      </c>
      <c r="V2755" s="13" t="str">
        <f t="shared" si="217"/>
        <v/>
      </c>
      <c r="W2755" s="4" t="str">
        <f t="shared" si="218"/>
        <v/>
      </c>
      <c r="X2755" t="str">
        <f>IF(W2755="","",LOOKUP(_xlfn.CONCAT(P2755,", ",Q2755),'[1]T+S Costs'!$F$2:$F$3138,'[1]T+S Costs'!$N$2:$N$3138))</f>
        <v/>
      </c>
      <c r="Y2755" s="14" t="str">
        <f t="shared" ref="Y2755:Y2818" si="219">IF(X2755="","",((X2755*$B$60/$B$59)*$C$44)/$C$28)</f>
        <v/>
      </c>
      <c r="Z2755" s="4" t="str">
        <f t="shared" ref="Z2755:Z2818" si="220">IF(Y2755="","",W2755+Y2755)</f>
        <v/>
      </c>
    </row>
    <row r="2756" spans="16:26" x14ac:dyDescent="0.25">
      <c r="P2756" s="10" t="str">
        <f>IF('[1]All Data '!AZ2761="","",'[1]All Data '!AZ2761)</f>
        <v/>
      </c>
      <c r="Q2756" s="10" t="str">
        <f>IF('[1]All Data '!BB2761="","",'[1]All Data '!BB2761)</f>
        <v/>
      </c>
      <c r="R2756" s="10" t="str">
        <f>IF('[1]All Data '!BD2761="","",'[1]All Data '!BD2761)</f>
        <v/>
      </c>
      <c r="S2756" s="11" t="str">
        <f>IF(R2756="","",'[1]All Data '!BE2761)</f>
        <v/>
      </c>
      <c r="T2756" s="12" t="str">
        <f>IF(S2756="","",[1]Inputs_Outputs!$B$8*(1-'LOCH Calc COE Calc'!S2756))</f>
        <v/>
      </c>
      <c r="U2756" s="13" t="str">
        <f t="shared" si="216"/>
        <v/>
      </c>
      <c r="V2756" s="13" t="str">
        <f t="shared" si="217"/>
        <v/>
      </c>
      <c r="W2756" s="4" t="str">
        <f t="shared" si="218"/>
        <v/>
      </c>
      <c r="X2756" t="str">
        <f>IF(W2756="","",LOOKUP(_xlfn.CONCAT(P2756,", ",Q2756),'[1]T+S Costs'!$F$2:$F$3138,'[1]T+S Costs'!$N$2:$N$3138))</f>
        <v/>
      </c>
      <c r="Y2756" s="14" t="str">
        <f t="shared" si="219"/>
        <v/>
      </c>
      <c r="Z2756" s="4" t="str">
        <f t="shared" si="220"/>
        <v/>
      </c>
    </row>
    <row r="2757" spans="16:26" x14ac:dyDescent="0.25">
      <c r="P2757" s="10" t="str">
        <f>IF('[1]All Data '!AZ2762="","",'[1]All Data '!AZ2762)</f>
        <v/>
      </c>
      <c r="Q2757" s="10" t="str">
        <f>IF('[1]All Data '!BB2762="","",'[1]All Data '!BB2762)</f>
        <v/>
      </c>
      <c r="R2757" s="10" t="str">
        <f>IF('[1]All Data '!BD2762="","",'[1]All Data '!BD2762)</f>
        <v/>
      </c>
      <c r="S2757" s="11" t="str">
        <f>IF(R2757="","",'[1]All Data '!BE2762)</f>
        <v/>
      </c>
      <c r="T2757" s="12" t="str">
        <f>IF(S2757="","",[1]Inputs_Outputs!$B$8*(1-'LOCH Calc COE Calc'!S2757))</f>
        <v/>
      </c>
      <c r="U2757" s="13" t="str">
        <f t="shared" si="216"/>
        <v/>
      </c>
      <c r="V2757" s="13" t="str">
        <f t="shared" si="217"/>
        <v/>
      </c>
      <c r="W2757" s="4" t="str">
        <f t="shared" si="218"/>
        <v/>
      </c>
      <c r="X2757" t="str">
        <f>IF(W2757="","",LOOKUP(_xlfn.CONCAT(P2757,", ",Q2757),'[1]T+S Costs'!$F$2:$F$3138,'[1]T+S Costs'!$N$2:$N$3138))</f>
        <v/>
      </c>
      <c r="Y2757" s="14" t="str">
        <f t="shared" si="219"/>
        <v/>
      </c>
      <c r="Z2757" s="4" t="str">
        <f t="shared" si="220"/>
        <v/>
      </c>
    </row>
    <row r="2758" spans="16:26" x14ac:dyDescent="0.25">
      <c r="P2758" s="10" t="str">
        <f>IF('[1]All Data '!AZ2763="","",'[1]All Data '!AZ2763)</f>
        <v/>
      </c>
      <c r="Q2758" s="10" t="str">
        <f>IF('[1]All Data '!BB2763="","",'[1]All Data '!BB2763)</f>
        <v/>
      </c>
      <c r="R2758" s="10" t="str">
        <f>IF('[1]All Data '!BD2763="","",'[1]All Data '!BD2763)</f>
        <v/>
      </c>
      <c r="S2758" s="11" t="str">
        <f>IF(R2758="","",'[1]All Data '!BE2763)</f>
        <v/>
      </c>
      <c r="T2758" s="12" t="str">
        <f>IF(S2758="","",[1]Inputs_Outputs!$B$8*(1-'LOCH Calc COE Calc'!S2758))</f>
        <v/>
      </c>
      <c r="U2758" s="13" t="str">
        <f t="shared" si="216"/>
        <v/>
      </c>
      <c r="V2758" s="13" t="str">
        <f t="shared" si="217"/>
        <v/>
      </c>
      <c r="W2758" s="4" t="str">
        <f t="shared" si="218"/>
        <v/>
      </c>
      <c r="X2758" t="str">
        <f>IF(W2758="","",LOOKUP(_xlfn.CONCAT(P2758,", ",Q2758),'[1]T+S Costs'!$F$2:$F$3138,'[1]T+S Costs'!$N$2:$N$3138))</f>
        <v/>
      </c>
      <c r="Y2758" s="14" t="str">
        <f t="shared" si="219"/>
        <v/>
      </c>
      <c r="Z2758" s="4" t="str">
        <f t="shared" si="220"/>
        <v/>
      </c>
    </row>
    <row r="2759" spans="16:26" x14ac:dyDescent="0.25">
      <c r="P2759" s="10" t="str">
        <f>IF('[1]All Data '!AZ2764="","",'[1]All Data '!AZ2764)</f>
        <v/>
      </c>
      <c r="Q2759" s="10" t="str">
        <f>IF('[1]All Data '!BB2764="","",'[1]All Data '!BB2764)</f>
        <v/>
      </c>
      <c r="R2759" s="10" t="str">
        <f>IF('[1]All Data '!BD2764="","",'[1]All Data '!BD2764)</f>
        <v/>
      </c>
      <c r="S2759" s="11" t="str">
        <f>IF(R2759="","",'[1]All Data '!BE2764)</f>
        <v/>
      </c>
      <c r="T2759" s="12" t="str">
        <f>IF(S2759="","",[1]Inputs_Outputs!$B$8*(1-'LOCH Calc COE Calc'!S2759))</f>
        <v/>
      </c>
      <c r="U2759" s="13" t="str">
        <f t="shared" si="216"/>
        <v/>
      </c>
      <c r="V2759" s="13" t="str">
        <f t="shared" si="217"/>
        <v/>
      </c>
      <c r="W2759" s="4" t="str">
        <f t="shared" si="218"/>
        <v/>
      </c>
      <c r="X2759" t="str">
        <f>IF(W2759="","",LOOKUP(_xlfn.CONCAT(P2759,", ",Q2759),'[1]T+S Costs'!$F$2:$F$3138,'[1]T+S Costs'!$N$2:$N$3138))</f>
        <v/>
      </c>
      <c r="Y2759" s="14" t="str">
        <f t="shared" si="219"/>
        <v/>
      </c>
      <c r="Z2759" s="4" t="str">
        <f t="shared" si="220"/>
        <v/>
      </c>
    </row>
    <row r="2760" spans="16:26" x14ac:dyDescent="0.25">
      <c r="P2760" s="10" t="str">
        <f>IF('[1]All Data '!AZ2765="","",'[1]All Data '!AZ2765)</f>
        <v/>
      </c>
      <c r="Q2760" s="10" t="str">
        <f>IF('[1]All Data '!BB2765="","",'[1]All Data '!BB2765)</f>
        <v/>
      </c>
      <c r="R2760" s="10" t="str">
        <f>IF('[1]All Data '!BD2765="","",'[1]All Data '!BD2765)</f>
        <v/>
      </c>
      <c r="S2760" s="11" t="str">
        <f>IF(R2760="","",'[1]All Data '!BE2765)</f>
        <v/>
      </c>
      <c r="T2760" s="12" t="str">
        <f>IF(S2760="","",[1]Inputs_Outputs!$B$8*(1-'LOCH Calc COE Calc'!S2760))</f>
        <v/>
      </c>
      <c r="U2760" s="13" t="str">
        <f t="shared" si="216"/>
        <v/>
      </c>
      <c r="V2760" s="13" t="str">
        <f t="shared" si="217"/>
        <v/>
      </c>
      <c r="W2760" s="4" t="str">
        <f t="shared" si="218"/>
        <v/>
      </c>
      <c r="X2760" t="str">
        <f>IF(W2760="","",LOOKUP(_xlfn.CONCAT(P2760,", ",Q2760),'[1]T+S Costs'!$F$2:$F$3138,'[1]T+S Costs'!$N$2:$N$3138))</f>
        <v/>
      </c>
      <c r="Y2760" s="14" t="str">
        <f t="shared" si="219"/>
        <v/>
      </c>
      <c r="Z2760" s="4" t="str">
        <f t="shared" si="220"/>
        <v/>
      </c>
    </row>
    <row r="2761" spans="16:26" x14ac:dyDescent="0.25">
      <c r="P2761" s="10" t="str">
        <f>IF('[1]All Data '!AZ2766="","",'[1]All Data '!AZ2766)</f>
        <v/>
      </c>
      <c r="Q2761" s="10" t="str">
        <f>IF('[1]All Data '!BB2766="","",'[1]All Data '!BB2766)</f>
        <v/>
      </c>
      <c r="R2761" s="10" t="str">
        <f>IF('[1]All Data '!BD2766="","",'[1]All Data '!BD2766)</f>
        <v/>
      </c>
      <c r="S2761" s="11" t="str">
        <f>IF(R2761="","",'[1]All Data '!BE2766)</f>
        <v/>
      </c>
      <c r="T2761" s="12" t="str">
        <f>IF(S2761="","",[1]Inputs_Outputs!$B$8*(1-'LOCH Calc COE Calc'!S2761))</f>
        <v/>
      </c>
      <c r="U2761" s="13" t="str">
        <f t="shared" si="216"/>
        <v/>
      </c>
      <c r="V2761" s="13" t="str">
        <f t="shared" si="217"/>
        <v/>
      </c>
      <c r="W2761" s="4" t="str">
        <f t="shared" si="218"/>
        <v/>
      </c>
      <c r="X2761" t="str">
        <f>IF(W2761="","",LOOKUP(_xlfn.CONCAT(P2761,", ",Q2761),'[1]T+S Costs'!$F$2:$F$3138,'[1]T+S Costs'!$N$2:$N$3138))</f>
        <v/>
      </c>
      <c r="Y2761" s="14" t="str">
        <f t="shared" si="219"/>
        <v/>
      </c>
      <c r="Z2761" s="4" t="str">
        <f t="shared" si="220"/>
        <v/>
      </c>
    </row>
    <row r="2762" spans="16:26" x14ac:dyDescent="0.25">
      <c r="P2762" s="10" t="str">
        <f>IF('[1]All Data '!AZ2767="","",'[1]All Data '!AZ2767)</f>
        <v/>
      </c>
      <c r="Q2762" s="10" t="str">
        <f>IF('[1]All Data '!BB2767="","",'[1]All Data '!BB2767)</f>
        <v/>
      </c>
      <c r="R2762" s="10" t="str">
        <f>IF('[1]All Data '!BD2767="","",'[1]All Data '!BD2767)</f>
        <v/>
      </c>
      <c r="S2762" s="11" t="str">
        <f>IF(R2762="","",'[1]All Data '!BE2767)</f>
        <v/>
      </c>
      <c r="T2762" s="12" t="str">
        <f>IF(S2762="","",[1]Inputs_Outputs!$B$8*(1-'LOCH Calc COE Calc'!S2762))</f>
        <v/>
      </c>
      <c r="U2762" s="13" t="str">
        <f t="shared" si="216"/>
        <v/>
      </c>
      <c r="V2762" s="13" t="str">
        <f t="shared" si="217"/>
        <v/>
      </c>
      <c r="W2762" s="4" t="str">
        <f t="shared" si="218"/>
        <v/>
      </c>
      <c r="X2762" t="str">
        <f>IF(W2762="","",LOOKUP(_xlfn.CONCAT(P2762,", ",Q2762),'[1]T+S Costs'!$F$2:$F$3138,'[1]T+S Costs'!$N$2:$N$3138))</f>
        <v/>
      </c>
      <c r="Y2762" s="14" t="str">
        <f t="shared" si="219"/>
        <v/>
      </c>
      <c r="Z2762" s="4" t="str">
        <f t="shared" si="220"/>
        <v/>
      </c>
    </row>
    <row r="2763" spans="16:26" x14ac:dyDescent="0.25">
      <c r="P2763" s="10" t="str">
        <f>IF('[1]All Data '!AZ2768="","",'[1]All Data '!AZ2768)</f>
        <v/>
      </c>
      <c r="Q2763" s="10" t="str">
        <f>IF('[1]All Data '!BB2768="","",'[1]All Data '!BB2768)</f>
        <v/>
      </c>
      <c r="R2763" s="10" t="str">
        <f>IF('[1]All Data '!BD2768="","",'[1]All Data '!BD2768)</f>
        <v/>
      </c>
      <c r="S2763" s="11" t="str">
        <f>IF(R2763="","",'[1]All Data '!BE2768)</f>
        <v/>
      </c>
      <c r="T2763" s="12" t="str">
        <f>IF(S2763="","",[1]Inputs_Outputs!$B$8*(1-'LOCH Calc COE Calc'!S2763))</f>
        <v/>
      </c>
      <c r="U2763" s="13" t="str">
        <f t="shared" si="216"/>
        <v/>
      </c>
      <c r="V2763" s="13" t="str">
        <f t="shared" si="217"/>
        <v/>
      </c>
      <c r="W2763" s="4" t="str">
        <f t="shared" si="218"/>
        <v/>
      </c>
      <c r="X2763" t="str">
        <f>IF(W2763="","",LOOKUP(_xlfn.CONCAT(P2763,", ",Q2763),'[1]T+S Costs'!$F$2:$F$3138,'[1]T+S Costs'!$N$2:$N$3138))</f>
        <v/>
      </c>
      <c r="Y2763" s="14" t="str">
        <f t="shared" si="219"/>
        <v/>
      </c>
      <c r="Z2763" s="4" t="str">
        <f t="shared" si="220"/>
        <v/>
      </c>
    </row>
    <row r="2764" spans="16:26" x14ac:dyDescent="0.25">
      <c r="P2764" s="10" t="str">
        <f>IF('[1]All Data '!AZ2769="","",'[1]All Data '!AZ2769)</f>
        <v/>
      </c>
      <c r="Q2764" s="10" t="str">
        <f>IF('[1]All Data '!BB2769="","",'[1]All Data '!BB2769)</f>
        <v/>
      </c>
      <c r="R2764" s="10" t="str">
        <f>IF('[1]All Data '!BD2769="","",'[1]All Data '!BD2769)</f>
        <v/>
      </c>
      <c r="S2764" s="11" t="str">
        <f>IF(R2764="","",'[1]All Data '!BE2769)</f>
        <v/>
      </c>
      <c r="T2764" s="12" t="str">
        <f>IF(S2764="","",[1]Inputs_Outputs!$B$8*(1-'LOCH Calc COE Calc'!S2764))</f>
        <v/>
      </c>
      <c r="U2764" s="13" t="str">
        <f t="shared" si="216"/>
        <v/>
      </c>
      <c r="V2764" s="13" t="str">
        <f t="shared" si="217"/>
        <v/>
      </c>
      <c r="W2764" s="4" t="str">
        <f t="shared" si="218"/>
        <v/>
      </c>
      <c r="X2764" t="str">
        <f>IF(W2764="","",LOOKUP(_xlfn.CONCAT(P2764,", ",Q2764),'[1]T+S Costs'!$F$2:$F$3138,'[1]T+S Costs'!$N$2:$N$3138))</f>
        <v/>
      </c>
      <c r="Y2764" s="14" t="str">
        <f t="shared" si="219"/>
        <v/>
      </c>
      <c r="Z2764" s="4" t="str">
        <f t="shared" si="220"/>
        <v/>
      </c>
    </row>
    <row r="2765" spans="16:26" x14ac:dyDescent="0.25">
      <c r="P2765" s="10" t="str">
        <f>IF('[1]All Data '!AZ2770="","",'[1]All Data '!AZ2770)</f>
        <v/>
      </c>
      <c r="Q2765" s="10" t="str">
        <f>IF('[1]All Data '!BB2770="","",'[1]All Data '!BB2770)</f>
        <v/>
      </c>
      <c r="R2765" s="10" t="str">
        <f>IF('[1]All Data '!BD2770="","",'[1]All Data '!BD2770)</f>
        <v/>
      </c>
      <c r="S2765" s="11" t="str">
        <f>IF(R2765="","",'[1]All Data '!BE2770)</f>
        <v/>
      </c>
      <c r="T2765" s="12" t="str">
        <f>IF(S2765="","",[1]Inputs_Outputs!$B$8*(1-'LOCH Calc COE Calc'!S2765))</f>
        <v/>
      </c>
      <c r="U2765" s="13" t="str">
        <f t="shared" si="216"/>
        <v/>
      </c>
      <c r="V2765" s="13" t="str">
        <f t="shared" si="217"/>
        <v/>
      </c>
      <c r="W2765" s="4" t="str">
        <f t="shared" si="218"/>
        <v/>
      </c>
      <c r="X2765" t="str">
        <f>IF(W2765="","",LOOKUP(_xlfn.CONCAT(P2765,", ",Q2765),'[1]T+S Costs'!$F$2:$F$3138,'[1]T+S Costs'!$N$2:$N$3138))</f>
        <v/>
      </c>
      <c r="Y2765" s="14" t="str">
        <f t="shared" si="219"/>
        <v/>
      </c>
      <c r="Z2765" s="4" t="str">
        <f t="shared" si="220"/>
        <v/>
      </c>
    </row>
    <row r="2766" spans="16:26" x14ac:dyDescent="0.25">
      <c r="P2766" s="10" t="str">
        <f>IF('[1]All Data '!AZ2771="","",'[1]All Data '!AZ2771)</f>
        <v/>
      </c>
      <c r="Q2766" s="10" t="str">
        <f>IF('[1]All Data '!BB2771="","",'[1]All Data '!BB2771)</f>
        <v/>
      </c>
      <c r="R2766" s="10" t="str">
        <f>IF('[1]All Data '!BD2771="","",'[1]All Data '!BD2771)</f>
        <v/>
      </c>
      <c r="S2766" s="11" t="str">
        <f>IF(R2766="","",'[1]All Data '!BE2771)</f>
        <v/>
      </c>
      <c r="T2766" s="12" t="str">
        <f>IF(S2766="","",[1]Inputs_Outputs!$B$8*(1-'LOCH Calc COE Calc'!S2766))</f>
        <v/>
      </c>
      <c r="U2766" s="13" t="str">
        <f t="shared" si="216"/>
        <v/>
      </c>
      <c r="V2766" s="13" t="str">
        <f t="shared" si="217"/>
        <v/>
      </c>
      <c r="W2766" s="4" t="str">
        <f t="shared" si="218"/>
        <v/>
      </c>
      <c r="X2766" t="str">
        <f>IF(W2766="","",LOOKUP(_xlfn.CONCAT(P2766,", ",Q2766),'[1]T+S Costs'!$F$2:$F$3138,'[1]T+S Costs'!$N$2:$N$3138))</f>
        <v/>
      </c>
      <c r="Y2766" s="14" t="str">
        <f t="shared" si="219"/>
        <v/>
      </c>
      <c r="Z2766" s="4" t="str">
        <f t="shared" si="220"/>
        <v/>
      </c>
    </row>
    <row r="2767" spans="16:26" x14ac:dyDescent="0.25">
      <c r="P2767" s="10" t="str">
        <f>IF('[1]All Data '!AZ2772="","",'[1]All Data '!AZ2772)</f>
        <v/>
      </c>
      <c r="Q2767" s="10" t="str">
        <f>IF('[1]All Data '!BB2772="","",'[1]All Data '!BB2772)</f>
        <v/>
      </c>
      <c r="R2767" s="10" t="str">
        <f>IF('[1]All Data '!BD2772="","",'[1]All Data '!BD2772)</f>
        <v/>
      </c>
      <c r="S2767" s="11" t="str">
        <f>IF(R2767="","",'[1]All Data '!BE2772)</f>
        <v/>
      </c>
      <c r="T2767" s="12" t="str">
        <f>IF(S2767="","",[1]Inputs_Outputs!$B$8*(1-'LOCH Calc COE Calc'!S2767))</f>
        <v/>
      </c>
      <c r="U2767" s="13" t="str">
        <f t="shared" si="216"/>
        <v/>
      </c>
      <c r="V2767" s="13" t="str">
        <f t="shared" si="217"/>
        <v/>
      </c>
      <c r="W2767" s="4" t="str">
        <f t="shared" si="218"/>
        <v/>
      </c>
      <c r="X2767" t="str">
        <f>IF(W2767="","",LOOKUP(_xlfn.CONCAT(P2767,", ",Q2767),'[1]T+S Costs'!$F$2:$F$3138,'[1]T+S Costs'!$N$2:$N$3138))</f>
        <v/>
      </c>
      <c r="Y2767" s="14" t="str">
        <f t="shared" si="219"/>
        <v/>
      </c>
      <c r="Z2767" s="4" t="str">
        <f t="shared" si="220"/>
        <v/>
      </c>
    </row>
    <row r="2768" spans="16:26" x14ac:dyDescent="0.25">
      <c r="P2768" s="10" t="str">
        <f>IF('[1]All Data '!AZ2773="","",'[1]All Data '!AZ2773)</f>
        <v/>
      </c>
      <c r="Q2768" s="10" t="str">
        <f>IF('[1]All Data '!BB2773="","",'[1]All Data '!BB2773)</f>
        <v/>
      </c>
      <c r="R2768" s="10" t="str">
        <f>IF('[1]All Data '!BD2773="","",'[1]All Data '!BD2773)</f>
        <v/>
      </c>
      <c r="S2768" s="11" t="str">
        <f>IF(R2768="","",'[1]All Data '!BE2773)</f>
        <v/>
      </c>
      <c r="T2768" s="12" t="str">
        <f>IF(S2768="","",[1]Inputs_Outputs!$B$8*(1-'LOCH Calc COE Calc'!S2768))</f>
        <v/>
      </c>
      <c r="U2768" s="13" t="str">
        <f t="shared" si="216"/>
        <v/>
      </c>
      <c r="V2768" s="13" t="str">
        <f t="shared" si="217"/>
        <v/>
      </c>
      <c r="W2768" s="4" t="str">
        <f t="shared" si="218"/>
        <v/>
      </c>
      <c r="X2768" t="str">
        <f>IF(W2768="","",LOOKUP(_xlfn.CONCAT(P2768,", ",Q2768),'[1]T+S Costs'!$F$2:$F$3138,'[1]T+S Costs'!$N$2:$N$3138))</f>
        <v/>
      </c>
      <c r="Y2768" s="14" t="str">
        <f t="shared" si="219"/>
        <v/>
      </c>
      <c r="Z2768" s="4" t="str">
        <f t="shared" si="220"/>
        <v/>
      </c>
    </row>
    <row r="2769" spans="16:26" x14ac:dyDescent="0.25">
      <c r="P2769" s="10" t="str">
        <f>IF('[1]All Data '!AZ2774="","",'[1]All Data '!AZ2774)</f>
        <v/>
      </c>
      <c r="Q2769" s="10" t="str">
        <f>IF('[1]All Data '!BB2774="","",'[1]All Data '!BB2774)</f>
        <v/>
      </c>
      <c r="R2769" s="10" t="str">
        <f>IF('[1]All Data '!BD2774="","",'[1]All Data '!BD2774)</f>
        <v/>
      </c>
      <c r="S2769" s="11" t="str">
        <f>IF(R2769="","",'[1]All Data '!BE2774)</f>
        <v/>
      </c>
      <c r="T2769" s="12" t="str">
        <f>IF(S2769="","",[1]Inputs_Outputs!$B$8*(1-'LOCH Calc COE Calc'!S2769))</f>
        <v/>
      </c>
      <c r="U2769" s="13" t="str">
        <f t="shared" si="216"/>
        <v/>
      </c>
      <c r="V2769" s="13" t="str">
        <f t="shared" si="217"/>
        <v/>
      </c>
      <c r="W2769" s="4" t="str">
        <f t="shared" si="218"/>
        <v/>
      </c>
      <c r="X2769" t="str">
        <f>IF(W2769="","",LOOKUP(_xlfn.CONCAT(P2769,", ",Q2769),'[1]T+S Costs'!$F$2:$F$3138,'[1]T+S Costs'!$N$2:$N$3138))</f>
        <v/>
      </c>
      <c r="Y2769" s="14" t="str">
        <f t="shared" si="219"/>
        <v/>
      </c>
      <c r="Z2769" s="4" t="str">
        <f t="shared" si="220"/>
        <v/>
      </c>
    </row>
    <row r="2770" spans="16:26" x14ac:dyDescent="0.25">
      <c r="P2770" s="10" t="str">
        <f>IF('[1]All Data '!AZ2775="","",'[1]All Data '!AZ2775)</f>
        <v/>
      </c>
      <c r="Q2770" s="10" t="str">
        <f>IF('[1]All Data '!BB2775="","",'[1]All Data '!BB2775)</f>
        <v/>
      </c>
      <c r="R2770" s="10" t="str">
        <f>IF('[1]All Data '!BD2775="","",'[1]All Data '!BD2775)</f>
        <v/>
      </c>
      <c r="S2770" s="11" t="str">
        <f>IF(R2770="","",'[1]All Data '!BE2775)</f>
        <v/>
      </c>
      <c r="T2770" s="12" t="str">
        <f>IF(S2770="","",[1]Inputs_Outputs!$B$8*(1-'LOCH Calc COE Calc'!S2770))</f>
        <v/>
      </c>
      <c r="U2770" s="13" t="str">
        <f t="shared" si="216"/>
        <v/>
      </c>
      <c r="V2770" s="13" t="str">
        <f t="shared" si="217"/>
        <v/>
      </c>
      <c r="W2770" s="4" t="str">
        <f t="shared" si="218"/>
        <v/>
      </c>
      <c r="X2770" t="str">
        <f>IF(W2770="","",LOOKUP(_xlfn.CONCAT(P2770,", ",Q2770),'[1]T+S Costs'!$F$2:$F$3138,'[1]T+S Costs'!$N$2:$N$3138))</f>
        <v/>
      </c>
      <c r="Y2770" s="14" t="str">
        <f t="shared" si="219"/>
        <v/>
      </c>
      <c r="Z2770" s="4" t="str">
        <f t="shared" si="220"/>
        <v/>
      </c>
    </row>
    <row r="2771" spans="16:26" x14ac:dyDescent="0.25">
      <c r="P2771" s="10" t="str">
        <f>IF('[1]All Data '!AZ2776="","",'[1]All Data '!AZ2776)</f>
        <v/>
      </c>
      <c r="Q2771" s="10" t="str">
        <f>IF('[1]All Data '!BB2776="","",'[1]All Data '!BB2776)</f>
        <v/>
      </c>
      <c r="R2771" s="10" t="str">
        <f>IF('[1]All Data '!BD2776="","",'[1]All Data '!BD2776)</f>
        <v/>
      </c>
      <c r="S2771" s="11" t="str">
        <f>IF(R2771="","",'[1]All Data '!BE2776)</f>
        <v/>
      </c>
      <c r="T2771" s="12" t="str">
        <f>IF(S2771="","",[1]Inputs_Outputs!$B$8*(1-'LOCH Calc COE Calc'!S2771))</f>
        <v/>
      </c>
      <c r="U2771" s="13" t="str">
        <f t="shared" si="216"/>
        <v/>
      </c>
      <c r="V2771" s="13" t="str">
        <f t="shared" si="217"/>
        <v/>
      </c>
      <c r="W2771" s="4" t="str">
        <f t="shared" si="218"/>
        <v/>
      </c>
      <c r="X2771" t="str">
        <f>IF(W2771="","",LOOKUP(_xlfn.CONCAT(P2771,", ",Q2771),'[1]T+S Costs'!$F$2:$F$3138,'[1]T+S Costs'!$N$2:$N$3138))</f>
        <v/>
      </c>
      <c r="Y2771" s="14" t="str">
        <f t="shared" si="219"/>
        <v/>
      </c>
      <c r="Z2771" s="4" t="str">
        <f t="shared" si="220"/>
        <v/>
      </c>
    </row>
    <row r="2772" spans="16:26" x14ac:dyDescent="0.25">
      <c r="P2772" s="10" t="str">
        <f>IF('[1]All Data '!AZ2777="","",'[1]All Data '!AZ2777)</f>
        <v/>
      </c>
      <c r="Q2772" s="10" t="str">
        <f>IF('[1]All Data '!BB2777="","",'[1]All Data '!BB2777)</f>
        <v/>
      </c>
      <c r="R2772" s="10" t="str">
        <f>IF('[1]All Data '!BD2777="","",'[1]All Data '!BD2777)</f>
        <v/>
      </c>
      <c r="S2772" s="11" t="str">
        <f>IF(R2772="","",'[1]All Data '!BE2777)</f>
        <v/>
      </c>
      <c r="T2772" s="12" t="str">
        <f>IF(S2772="","",[1]Inputs_Outputs!$B$8*(1-'LOCH Calc COE Calc'!S2772))</f>
        <v/>
      </c>
      <c r="U2772" s="13" t="str">
        <f t="shared" si="216"/>
        <v/>
      </c>
      <c r="V2772" s="13" t="str">
        <f t="shared" si="217"/>
        <v/>
      </c>
      <c r="W2772" s="4" t="str">
        <f t="shared" si="218"/>
        <v/>
      </c>
      <c r="X2772" t="str">
        <f>IF(W2772="","",LOOKUP(_xlfn.CONCAT(P2772,", ",Q2772),'[1]T+S Costs'!$F$2:$F$3138,'[1]T+S Costs'!$N$2:$N$3138))</f>
        <v/>
      </c>
      <c r="Y2772" s="14" t="str">
        <f t="shared" si="219"/>
        <v/>
      </c>
      <c r="Z2772" s="4" t="str">
        <f t="shared" si="220"/>
        <v/>
      </c>
    </row>
    <row r="2773" spans="16:26" x14ac:dyDescent="0.25">
      <c r="P2773" s="10" t="str">
        <f>IF('[1]All Data '!AZ2778="","",'[1]All Data '!AZ2778)</f>
        <v/>
      </c>
      <c r="Q2773" s="10" t="str">
        <f>IF('[1]All Data '!BB2778="","",'[1]All Data '!BB2778)</f>
        <v/>
      </c>
      <c r="R2773" s="10" t="str">
        <f>IF('[1]All Data '!BD2778="","",'[1]All Data '!BD2778)</f>
        <v/>
      </c>
      <c r="S2773" s="11" t="str">
        <f>IF(R2773="","",'[1]All Data '!BE2778)</f>
        <v/>
      </c>
      <c r="T2773" s="12" t="str">
        <f>IF(S2773="","",[1]Inputs_Outputs!$B$8*(1-'LOCH Calc COE Calc'!S2773))</f>
        <v/>
      </c>
      <c r="U2773" s="13" t="str">
        <f t="shared" si="216"/>
        <v/>
      </c>
      <c r="V2773" s="13" t="str">
        <f t="shared" si="217"/>
        <v/>
      </c>
      <c r="W2773" s="4" t="str">
        <f t="shared" si="218"/>
        <v/>
      </c>
      <c r="X2773" t="str">
        <f>IF(W2773="","",LOOKUP(_xlfn.CONCAT(P2773,", ",Q2773),'[1]T+S Costs'!$F$2:$F$3138,'[1]T+S Costs'!$N$2:$N$3138))</f>
        <v/>
      </c>
      <c r="Y2773" s="14" t="str">
        <f t="shared" si="219"/>
        <v/>
      </c>
      <c r="Z2773" s="4" t="str">
        <f t="shared" si="220"/>
        <v/>
      </c>
    </row>
    <row r="2774" spans="16:26" x14ac:dyDescent="0.25">
      <c r="P2774" s="10" t="str">
        <f>IF('[1]All Data '!AZ2779="","",'[1]All Data '!AZ2779)</f>
        <v/>
      </c>
      <c r="Q2774" s="10" t="str">
        <f>IF('[1]All Data '!BB2779="","",'[1]All Data '!BB2779)</f>
        <v/>
      </c>
      <c r="R2774" s="10" t="str">
        <f>IF('[1]All Data '!BD2779="","",'[1]All Data '!BD2779)</f>
        <v/>
      </c>
      <c r="S2774" s="11" t="str">
        <f>IF(R2774="","",'[1]All Data '!BE2779)</f>
        <v/>
      </c>
      <c r="T2774" s="12" t="str">
        <f>IF(S2774="","",[1]Inputs_Outputs!$B$8*(1-'LOCH Calc COE Calc'!S2774))</f>
        <v/>
      </c>
      <c r="U2774" s="13" t="str">
        <f t="shared" si="216"/>
        <v/>
      </c>
      <c r="V2774" s="13" t="str">
        <f t="shared" si="217"/>
        <v/>
      </c>
      <c r="W2774" s="4" t="str">
        <f t="shared" si="218"/>
        <v/>
      </c>
      <c r="X2774" t="str">
        <f>IF(W2774="","",LOOKUP(_xlfn.CONCAT(P2774,", ",Q2774),'[1]T+S Costs'!$F$2:$F$3138,'[1]T+S Costs'!$N$2:$N$3138))</f>
        <v/>
      </c>
      <c r="Y2774" s="14" t="str">
        <f t="shared" si="219"/>
        <v/>
      </c>
      <c r="Z2774" s="4" t="str">
        <f t="shared" si="220"/>
        <v/>
      </c>
    </row>
    <row r="2775" spans="16:26" x14ac:dyDescent="0.25">
      <c r="P2775" s="10" t="str">
        <f>IF('[1]All Data '!AZ2780="","",'[1]All Data '!AZ2780)</f>
        <v/>
      </c>
      <c r="Q2775" s="10" t="str">
        <f>IF('[1]All Data '!BB2780="","",'[1]All Data '!BB2780)</f>
        <v/>
      </c>
      <c r="R2775" s="10" t="str">
        <f>IF('[1]All Data '!BD2780="","",'[1]All Data '!BD2780)</f>
        <v/>
      </c>
      <c r="S2775" s="11" t="str">
        <f>IF(R2775="","",'[1]All Data '!BE2780)</f>
        <v/>
      </c>
      <c r="T2775" s="12" t="str">
        <f>IF(S2775="","",[1]Inputs_Outputs!$B$8*(1-'LOCH Calc COE Calc'!S2775))</f>
        <v/>
      </c>
      <c r="U2775" s="13" t="str">
        <f t="shared" si="216"/>
        <v/>
      </c>
      <c r="V2775" s="13" t="str">
        <f t="shared" si="217"/>
        <v/>
      </c>
      <c r="W2775" s="4" t="str">
        <f t="shared" si="218"/>
        <v/>
      </c>
      <c r="X2775" t="str">
        <f>IF(W2775="","",LOOKUP(_xlfn.CONCAT(P2775,", ",Q2775),'[1]T+S Costs'!$F$2:$F$3138,'[1]T+S Costs'!$N$2:$N$3138))</f>
        <v/>
      </c>
      <c r="Y2775" s="14" t="str">
        <f t="shared" si="219"/>
        <v/>
      </c>
      <c r="Z2775" s="4" t="str">
        <f t="shared" si="220"/>
        <v/>
      </c>
    </row>
    <row r="2776" spans="16:26" x14ac:dyDescent="0.25">
      <c r="P2776" s="10" t="str">
        <f>IF('[1]All Data '!AZ2781="","",'[1]All Data '!AZ2781)</f>
        <v/>
      </c>
      <c r="Q2776" s="10" t="str">
        <f>IF('[1]All Data '!BB2781="","",'[1]All Data '!BB2781)</f>
        <v/>
      </c>
      <c r="R2776" s="10" t="str">
        <f>IF('[1]All Data '!BD2781="","",'[1]All Data '!BD2781)</f>
        <v/>
      </c>
      <c r="S2776" s="11" t="str">
        <f>IF(R2776="","",'[1]All Data '!BE2781)</f>
        <v/>
      </c>
      <c r="T2776" s="12" t="str">
        <f>IF(S2776="","",[1]Inputs_Outputs!$B$8*(1-'LOCH Calc COE Calc'!S2776))</f>
        <v/>
      </c>
      <c r="U2776" s="13" t="str">
        <f t="shared" si="216"/>
        <v/>
      </c>
      <c r="V2776" s="13" t="str">
        <f t="shared" si="217"/>
        <v/>
      </c>
      <c r="W2776" s="4" t="str">
        <f t="shared" si="218"/>
        <v/>
      </c>
      <c r="X2776" t="str">
        <f>IF(W2776="","",LOOKUP(_xlfn.CONCAT(P2776,", ",Q2776),'[1]T+S Costs'!$F$2:$F$3138,'[1]T+S Costs'!$N$2:$N$3138))</f>
        <v/>
      </c>
      <c r="Y2776" s="14" t="str">
        <f t="shared" si="219"/>
        <v/>
      </c>
      <c r="Z2776" s="4" t="str">
        <f t="shared" si="220"/>
        <v/>
      </c>
    </row>
    <row r="2777" spans="16:26" x14ac:dyDescent="0.25">
      <c r="P2777" s="10" t="str">
        <f>IF('[1]All Data '!AZ2782="","",'[1]All Data '!AZ2782)</f>
        <v/>
      </c>
      <c r="Q2777" s="10" t="str">
        <f>IF('[1]All Data '!BB2782="","",'[1]All Data '!BB2782)</f>
        <v/>
      </c>
      <c r="R2777" s="10" t="str">
        <f>IF('[1]All Data '!BD2782="","",'[1]All Data '!BD2782)</f>
        <v/>
      </c>
      <c r="S2777" s="11" t="str">
        <f>IF(R2777="","",'[1]All Data '!BE2782)</f>
        <v/>
      </c>
      <c r="T2777" s="12" t="str">
        <f>IF(S2777="","",[1]Inputs_Outputs!$B$8*(1-'LOCH Calc COE Calc'!S2777))</f>
        <v/>
      </c>
      <c r="U2777" s="13" t="str">
        <f t="shared" si="216"/>
        <v/>
      </c>
      <c r="V2777" s="13" t="str">
        <f t="shared" si="217"/>
        <v/>
      </c>
      <c r="W2777" s="4" t="str">
        <f t="shared" si="218"/>
        <v/>
      </c>
      <c r="X2777" t="str">
        <f>IF(W2777="","",LOOKUP(_xlfn.CONCAT(P2777,", ",Q2777),'[1]T+S Costs'!$F$2:$F$3138,'[1]T+S Costs'!$N$2:$N$3138))</f>
        <v/>
      </c>
      <c r="Y2777" s="14" t="str">
        <f t="shared" si="219"/>
        <v/>
      </c>
      <c r="Z2777" s="4" t="str">
        <f t="shared" si="220"/>
        <v/>
      </c>
    </row>
    <row r="2778" spans="16:26" x14ac:dyDescent="0.25">
      <c r="P2778" s="10" t="str">
        <f>IF('[1]All Data '!AZ2783="","",'[1]All Data '!AZ2783)</f>
        <v/>
      </c>
      <c r="Q2778" s="10" t="str">
        <f>IF('[1]All Data '!BB2783="","",'[1]All Data '!BB2783)</f>
        <v/>
      </c>
      <c r="R2778" s="10" t="str">
        <f>IF('[1]All Data '!BD2783="","",'[1]All Data '!BD2783)</f>
        <v/>
      </c>
      <c r="S2778" s="11" t="str">
        <f>IF(R2778="","",'[1]All Data '!BE2783)</f>
        <v/>
      </c>
      <c r="T2778" s="12" t="str">
        <f>IF(S2778="","",[1]Inputs_Outputs!$B$8*(1-'LOCH Calc COE Calc'!S2778))</f>
        <v/>
      </c>
      <c r="U2778" s="13" t="str">
        <f t="shared" si="216"/>
        <v/>
      </c>
      <c r="V2778" s="13" t="str">
        <f t="shared" si="217"/>
        <v/>
      </c>
      <c r="W2778" s="4" t="str">
        <f t="shared" si="218"/>
        <v/>
      </c>
      <c r="X2778" t="str">
        <f>IF(W2778="","",LOOKUP(_xlfn.CONCAT(P2778,", ",Q2778),'[1]T+S Costs'!$F$2:$F$3138,'[1]T+S Costs'!$N$2:$N$3138))</f>
        <v/>
      </c>
      <c r="Y2778" s="14" t="str">
        <f t="shared" si="219"/>
        <v/>
      </c>
      <c r="Z2778" s="4" t="str">
        <f t="shared" si="220"/>
        <v/>
      </c>
    </row>
    <row r="2779" spans="16:26" x14ac:dyDescent="0.25">
      <c r="P2779" s="10" t="str">
        <f>IF('[1]All Data '!AZ2784="","",'[1]All Data '!AZ2784)</f>
        <v/>
      </c>
      <c r="Q2779" s="10" t="str">
        <f>IF('[1]All Data '!BB2784="","",'[1]All Data '!BB2784)</f>
        <v/>
      </c>
      <c r="R2779" s="10" t="str">
        <f>IF('[1]All Data '!BD2784="","",'[1]All Data '!BD2784)</f>
        <v/>
      </c>
      <c r="S2779" s="11" t="str">
        <f>IF(R2779="","",'[1]All Data '!BE2784)</f>
        <v/>
      </c>
      <c r="T2779" s="12" t="str">
        <f>IF(S2779="","",[1]Inputs_Outputs!$B$8*(1-'LOCH Calc COE Calc'!S2779))</f>
        <v/>
      </c>
      <c r="U2779" s="13" t="str">
        <f t="shared" si="216"/>
        <v/>
      </c>
      <c r="V2779" s="13" t="str">
        <f t="shared" si="217"/>
        <v/>
      </c>
      <c r="W2779" s="4" t="str">
        <f t="shared" si="218"/>
        <v/>
      </c>
      <c r="X2779" t="str">
        <f>IF(W2779="","",LOOKUP(_xlfn.CONCAT(P2779,", ",Q2779),'[1]T+S Costs'!$F$2:$F$3138,'[1]T+S Costs'!$N$2:$N$3138))</f>
        <v/>
      </c>
      <c r="Y2779" s="14" t="str">
        <f t="shared" si="219"/>
        <v/>
      </c>
      <c r="Z2779" s="4" t="str">
        <f t="shared" si="220"/>
        <v/>
      </c>
    </row>
    <row r="2780" spans="16:26" x14ac:dyDescent="0.25">
      <c r="P2780" s="10" t="str">
        <f>IF('[1]All Data '!AZ2785="","",'[1]All Data '!AZ2785)</f>
        <v/>
      </c>
      <c r="Q2780" s="10" t="str">
        <f>IF('[1]All Data '!BB2785="","",'[1]All Data '!BB2785)</f>
        <v/>
      </c>
      <c r="R2780" s="10" t="str">
        <f>IF('[1]All Data '!BD2785="","",'[1]All Data '!BD2785)</f>
        <v/>
      </c>
      <c r="S2780" s="11" t="str">
        <f>IF(R2780="","",'[1]All Data '!BE2785)</f>
        <v/>
      </c>
      <c r="T2780" s="12" t="str">
        <f>IF(S2780="","",[1]Inputs_Outputs!$B$8*(1-'LOCH Calc COE Calc'!S2780))</f>
        <v/>
      </c>
      <c r="U2780" s="13" t="str">
        <f t="shared" si="216"/>
        <v/>
      </c>
      <c r="V2780" s="13" t="str">
        <f t="shared" si="217"/>
        <v/>
      </c>
      <c r="W2780" s="4" t="str">
        <f t="shared" si="218"/>
        <v/>
      </c>
      <c r="X2780" t="str">
        <f>IF(W2780="","",LOOKUP(_xlfn.CONCAT(P2780,", ",Q2780),'[1]T+S Costs'!$F$2:$F$3138,'[1]T+S Costs'!$N$2:$N$3138))</f>
        <v/>
      </c>
      <c r="Y2780" s="14" t="str">
        <f t="shared" si="219"/>
        <v/>
      </c>
      <c r="Z2780" s="4" t="str">
        <f t="shared" si="220"/>
        <v/>
      </c>
    </row>
    <row r="2781" spans="16:26" x14ac:dyDescent="0.25">
      <c r="P2781" s="10" t="str">
        <f>IF('[1]All Data '!AZ2786="","",'[1]All Data '!AZ2786)</f>
        <v/>
      </c>
      <c r="Q2781" s="10" t="str">
        <f>IF('[1]All Data '!BB2786="","",'[1]All Data '!BB2786)</f>
        <v/>
      </c>
      <c r="R2781" s="10" t="str">
        <f>IF('[1]All Data '!BD2786="","",'[1]All Data '!BD2786)</f>
        <v/>
      </c>
      <c r="S2781" s="11" t="str">
        <f>IF(R2781="","",'[1]All Data '!BE2786)</f>
        <v/>
      </c>
      <c r="T2781" s="12" t="str">
        <f>IF(S2781="","",[1]Inputs_Outputs!$B$8*(1-'LOCH Calc COE Calc'!S2781))</f>
        <v/>
      </c>
      <c r="U2781" s="13" t="str">
        <f t="shared" si="216"/>
        <v/>
      </c>
      <c r="V2781" s="13" t="str">
        <f t="shared" si="217"/>
        <v/>
      </c>
      <c r="W2781" s="4" t="str">
        <f t="shared" si="218"/>
        <v/>
      </c>
      <c r="X2781" t="str">
        <f>IF(W2781="","",LOOKUP(_xlfn.CONCAT(P2781,", ",Q2781),'[1]T+S Costs'!$F$2:$F$3138,'[1]T+S Costs'!$N$2:$N$3138))</f>
        <v/>
      </c>
      <c r="Y2781" s="14" t="str">
        <f t="shared" si="219"/>
        <v/>
      </c>
      <c r="Z2781" s="4" t="str">
        <f t="shared" si="220"/>
        <v/>
      </c>
    </row>
    <row r="2782" spans="16:26" x14ac:dyDescent="0.25">
      <c r="P2782" s="10" t="str">
        <f>IF('[1]All Data '!AZ2787="","",'[1]All Data '!AZ2787)</f>
        <v/>
      </c>
      <c r="Q2782" s="10" t="str">
        <f>IF('[1]All Data '!BB2787="","",'[1]All Data '!BB2787)</f>
        <v/>
      </c>
      <c r="R2782" s="10" t="str">
        <f>IF('[1]All Data '!BD2787="","",'[1]All Data '!BD2787)</f>
        <v/>
      </c>
      <c r="S2782" s="11" t="str">
        <f>IF(R2782="","",'[1]All Data '!BE2787)</f>
        <v/>
      </c>
      <c r="T2782" s="12" t="str">
        <f>IF(S2782="","",[1]Inputs_Outputs!$B$8*(1-'LOCH Calc COE Calc'!S2782))</f>
        <v/>
      </c>
      <c r="U2782" s="13" t="str">
        <f t="shared" si="216"/>
        <v/>
      </c>
      <c r="V2782" s="13" t="str">
        <f t="shared" si="217"/>
        <v/>
      </c>
      <c r="W2782" s="4" t="str">
        <f t="shared" si="218"/>
        <v/>
      </c>
      <c r="X2782" t="str">
        <f>IF(W2782="","",LOOKUP(_xlfn.CONCAT(P2782,", ",Q2782),'[1]T+S Costs'!$F$2:$F$3138,'[1]T+S Costs'!$N$2:$N$3138))</f>
        <v/>
      </c>
      <c r="Y2782" s="14" t="str">
        <f t="shared" si="219"/>
        <v/>
      </c>
      <c r="Z2782" s="4" t="str">
        <f t="shared" si="220"/>
        <v/>
      </c>
    </row>
    <row r="2783" spans="16:26" x14ac:dyDescent="0.25">
      <c r="P2783" s="10" t="str">
        <f>IF('[1]All Data '!AZ2788="","",'[1]All Data '!AZ2788)</f>
        <v/>
      </c>
      <c r="Q2783" s="10" t="str">
        <f>IF('[1]All Data '!BB2788="","",'[1]All Data '!BB2788)</f>
        <v/>
      </c>
      <c r="R2783" s="10" t="str">
        <f>IF('[1]All Data '!BD2788="","",'[1]All Data '!BD2788)</f>
        <v/>
      </c>
      <c r="S2783" s="11" t="str">
        <f>IF(R2783="","",'[1]All Data '!BE2788)</f>
        <v/>
      </c>
      <c r="T2783" s="12" t="str">
        <f>IF(S2783="","",[1]Inputs_Outputs!$B$8*(1-'LOCH Calc COE Calc'!S2783))</f>
        <v/>
      </c>
      <c r="U2783" s="13" t="str">
        <f t="shared" si="216"/>
        <v/>
      </c>
      <c r="V2783" s="13" t="str">
        <f t="shared" si="217"/>
        <v/>
      </c>
      <c r="W2783" s="4" t="str">
        <f t="shared" si="218"/>
        <v/>
      </c>
      <c r="X2783" t="str">
        <f>IF(W2783="","",LOOKUP(_xlfn.CONCAT(P2783,", ",Q2783),'[1]T+S Costs'!$F$2:$F$3138,'[1]T+S Costs'!$N$2:$N$3138))</f>
        <v/>
      </c>
      <c r="Y2783" s="14" t="str">
        <f t="shared" si="219"/>
        <v/>
      </c>
      <c r="Z2783" s="4" t="str">
        <f t="shared" si="220"/>
        <v/>
      </c>
    </row>
    <row r="2784" spans="16:26" x14ac:dyDescent="0.25">
      <c r="P2784" s="10" t="str">
        <f>IF('[1]All Data '!AZ2789="","",'[1]All Data '!AZ2789)</f>
        <v/>
      </c>
      <c r="Q2784" s="10" t="str">
        <f>IF('[1]All Data '!BB2789="","",'[1]All Data '!BB2789)</f>
        <v/>
      </c>
      <c r="R2784" s="10" t="str">
        <f>IF('[1]All Data '!BD2789="","",'[1]All Data '!BD2789)</f>
        <v/>
      </c>
      <c r="S2784" s="11" t="str">
        <f>IF(R2784="","",'[1]All Data '!BE2789)</f>
        <v/>
      </c>
      <c r="T2784" s="12" t="str">
        <f>IF(S2784="","",[1]Inputs_Outputs!$B$8*(1-'LOCH Calc COE Calc'!S2784))</f>
        <v/>
      </c>
      <c r="U2784" s="13" t="str">
        <f t="shared" si="216"/>
        <v/>
      </c>
      <c r="V2784" s="13" t="str">
        <f t="shared" si="217"/>
        <v/>
      </c>
      <c r="W2784" s="4" t="str">
        <f t="shared" si="218"/>
        <v/>
      </c>
      <c r="X2784" t="str">
        <f>IF(W2784="","",LOOKUP(_xlfn.CONCAT(P2784,", ",Q2784),'[1]T+S Costs'!$F$2:$F$3138,'[1]T+S Costs'!$N$2:$N$3138))</f>
        <v/>
      </c>
      <c r="Y2784" s="14" t="str">
        <f t="shared" si="219"/>
        <v/>
      </c>
      <c r="Z2784" s="4" t="str">
        <f t="shared" si="220"/>
        <v/>
      </c>
    </row>
    <row r="2785" spans="16:26" x14ac:dyDescent="0.25">
      <c r="P2785" s="10" t="str">
        <f>IF('[1]All Data '!AZ2790="","",'[1]All Data '!AZ2790)</f>
        <v/>
      </c>
      <c r="Q2785" s="10" t="str">
        <f>IF('[1]All Data '!BB2790="","",'[1]All Data '!BB2790)</f>
        <v/>
      </c>
      <c r="R2785" s="10" t="str">
        <f>IF('[1]All Data '!BD2790="","",'[1]All Data '!BD2790)</f>
        <v/>
      </c>
      <c r="S2785" s="11" t="str">
        <f>IF(R2785="","",'[1]All Data '!BE2790)</f>
        <v/>
      </c>
      <c r="T2785" s="12" t="str">
        <f>IF(S2785="","",[1]Inputs_Outputs!$B$8*(1-'LOCH Calc COE Calc'!S2785))</f>
        <v/>
      </c>
      <c r="U2785" s="13" t="str">
        <f t="shared" si="216"/>
        <v/>
      </c>
      <c r="V2785" s="13" t="str">
        <f t="shared" si="217"/>
        <v/>
      </c>
      <c r="W2785" s="4" t="str">
        <f t="shared" si="218"/>
        <v/>
      </c>
      <c r="X2785" t="str">
        <f>IF(W2785="","",LOOKUP(_xlfn.CONCAT(P2785,", ",Q2785),'[1]T+S Costs'!$F$2:$F$3138,'[1]T+S Costs'!$N$2:$N$3138))</f>
        <v/>
      </c>
      <c r="Y2785" s="14" t="str">
        <f t="shared" si="219"/>
        <v/>
      </c>
      <c r="Z2785" s="4" t="str">
        <f t="shared" si="220"/>
        <v/>
      </c>
    </row>
    <row r="2786" spans="16:26" x14ac:dyDescent="0.25">
      <c r="P2786" s="10" t="str">
        <f>IF('[1]All Data '!AZ2791="","",'[1]All Data '!AZ2791)</f>
        <v/>
      </c>
      <c r="Q2786" s="10" t="str">
        <f>IF('[1]All Data '!BB2791="","",'[1]All Data '!BB2791)</f>
        <v/>
      </c>
      <c r="R2786" s="10" t="str">
        <f>IF('[1]All Data '!BD2791="","",'[1]All Data '!BD2791)</f>
        <v/>
      </c>
      <c r="S2786" s="11" t="str">
        <f>IF(R2786="","",'[1]All Data '!BE2791)</f>
        <v/>
      </c>
      <c r="T2786" s="12" t="str">
        <f>IF(S2786="","",[1]Inputs_Outputs!$B$8*(1-'LOCH Calc COE Calc'!S2786))</f>
        <v/>
      </c>
      <c r="U2786" s="13" t="str">
        <f t="shared" si="216"/>
        <v/>
      </c>
      <c r="V2786" s="13" t="str">
        <f t="shared" si="217"/>
        <v/>
      </c>
      <c r="W2786" s="4" t="str">
        <f t="shared" si="218"/>
        <v/>
      </c>
      <c r="X2786" t="str">
        <f>IF(W2786="","",LOOKUP(_xlfn.CONCAT(P2786,", ",Q2786),'[1]T+S Costs'!$F$2:$F$3138,'[1]T+S Costs'!$N$2:$N$3138))</f>
        <v/>
      </c>
      <c r="Y2786" s="14" t="str">
        <f t="shared" si="219"/>
        <v/>
      </c>
      <c r="Z2786" s="4" t="str">
        <f t="shared" si="220"/>
        <v/>
      </c>
    </row>
    <row r="2787" spans="16:26" x14ac:dyDescent="0.25">
      <c r="P2787" s="10" t="str">
        <f>IF('[1]All Data '!AZ2792="","",'[1]All Data '!AZ2792)</f>
        <v/>
      </c>
      <c r="Q2787" s="10" t="str">
        <f>IF('[1]All Data '!BB2792="","",'[1]All Data '!BB2792)</f>
        <v/>
      </c>
      <c r="R2787" s="10" t="str">
        <f>IF('[1]All Data '!BD2792="","",'[1]All Data '!BD2792)</f>
        <v/>
      </c>
      <c r="S2787" s="11" t="str">
        <f>IF(R2787="","",'[1]All Data '!BE2792)</f>
        <v/>
      </c>
      <c r="T2787" s="12" t="str">
        <f>IF(S2787="","",[1]Inputs_Outputs!$B$8*(1-'LOCH Calc COE Calc'!S2787))</f>
        <v/>
      </c>
      <c r="U2787" s="13" t="str">
        <f t="shared" ref="U2787:U2850" si="221">IF(S2787="","",R2787*T2787*365*$B$19/100)</f>
        <v/>
      </c>
      <c r="V2787" s="13" t="str">
        <f t="shared" ref="V2787:V2850" si="222">IF(S2787="","",(U2787*$B$19)/(($B$28)*$B$19))</f>
        <v/>
      </c>
      <c r="W2787" s="4" t="str">
        <f t="shared" ref="W2787:W2850" si="223">IF(S2787="","",V2787+$C$49+$C$50+$C$51)</f>
        <v/>
      </c>
      <c r="X2787" t="str">
        <f>IF(W2787="","",LOOKUP(_xlfn.CONCAT(P2787,", ",Q2787),'[1]T+S Costs'!$F$2:$F$3138,'[1]T+S Costs'!$N$2:$N$3138))</f>
        <v/>
      </c>
      <c r="Y2787" s="14" t="str">
        <f t="shared" si="219"/>
        <v/>
      </c>
      <c r="Z2787" s="4" t="str">
        <f t="shared" si="220"/>
        <v/>
      </c>
    </row>
    <row r="2788" spans="16:26" x14ac:dyDescent="0.25">
      <c r="P2788" s="10" t="str">
        <f>IF('[1]All Data '!AZ2793="","",'[1]All Data '!AZ2793)</f>
        <v/>
      </c>
      <c r="Q2788" s="10" t="str">
        <f>IF('[1]All Data '!BB2793="","",'[1]All Data '!BB2793)</f>
        <v/>
      </c>
      <c r="R2788" s="10" t="str">
        <f>IF('[1]All Data '!BD2793="","",'[1]All Data '!BD2793)</f>
        <v/>
      </c>
      <c r="S2788" s="11" t="str">
        <f>IF(R2788="","",'[1]All Data '!BE2793)</f>
        <v/>
      </c>
      <c r="T2788" s="12" t="str">
        <f>IF(S2788="","",[1]Inputs_Outputs!$B$8*(1-'LOCH Calc COE Calc'!S2788))</f>
        <v/>
      </c>
      <c r="U2788" s="13" t="str">
        <f t="shared" si="221"/>
        <v/>
      </c>
      <c r="V2788" s="13" t="str">
        <f t="shared" si="222"/>
        <v/>
      </c>
      <c r="W2788" s="4" t="str">
        <f t="shared" si="223"/>
        <v/>
      </c>
      <c r="X2788" t="str">
        <f>IF(W2788="","",LOOKUP(_xlfn.CONCAT(P2788,", ",Q2788),'[1]T+S Costs'!$F$2:$F$3138,'[1]T+S Costs'!$N$2:$N$3138))</f>
        <v/>
      </c>
      <c r="Y2788" s="14" t="str">
        <f t="shared" si="219"/>
        <v/>
      </c>
      <c r="Z2788" s="4" t="str">
        <f t="shared" si="220"/>
        <v/>
      </c>
    </row>
    <row r="2789" spans="16:26" x14ac:dyDescent="0.25">
      <c r="P2789" s="10" t="str">
        <f>IF('[1]All Data '!AZ2794="","",'[1]All Data '!AZ2794)</f>
        <v/>
      </c>
      <c r="Q2789" s="10" t="str">
        <f>IF('[1]All Data '!BB2794="","",'[1]All Data '!BB2794)</f>
        <v/>
      </c>
      <c r="R2789" s="10" t="str">
        <f>IF('[1]All Data '!BD2794="","",'[1]All Data '!BD2794)</f>
        <v/>
      </c>
      <c r="S2789" s="11" t="str">
        <f>IF(R2789="","",'[1]All Data '!BE2794)</f>
        <v/>
      </c>
      <c r="T2789" s="12" t="str">
        <f>IF(S2789="","",[1]Inputs_Outputs!$B$8*(1-'LOCH Calc COE Calc'!S2789))</f>
        <v/>
      </c>
      <c r="U2789" s="13" t="str">
        <f t="shared" si="221"/>
        <v/>
      </c>
      <c r="V2789" s="13" t="str">
        <f t="shared" si="222"/>
        <v/>
      </c>
      <c r="W2789" s="4" t="str">
        <f t="shared" si="223"/>
        <v/>
      </c>
      <c r="X2789" t="str">
        <f>IF(W2789="","",LOOKUP(_xlfn.CONCAT(P2789,", ",Q2789),'[1]T+S Costs'!$F$2:$F$3138,'[1]T+S Costs'!$N$2:$N$3138))</f>
        <v/>
      </c>
      <c r="Y2789" s="14" t="str">
        <f t="shared" si="219"/>
        <v/>
      </c>
      <c r="Z2789" s="4" t="str">
        <f t="shared" si="220"/>
        <v/>
      </c>
    </row>
    <row r="2790" spans="16:26" x14ac:dyDescent="0.25">
      <c r="P2790" s="10" t="str">
        <f>IF('[1]All Data '!AZ2795="","",'[1]All Data '!AZ2795)</f>
        <v/>
      </c>
      <c r="Q2790" s="10" t="str">
        <f>IF('[1]All Data '!BB2795="","",'[1]All Data '!BB2795)</f>
        <v/>
      </c>
      <c r="R2790" s="10" t="str">
        <f>IF('[1]All Data '!BD2795="","",'[1]All Data '!BD2795)</f>
        <v/>
      </c>
      <c r="S2790" s="11" t="str">
        <f>IF(R2790="","",'[1]All Data '!BE2795)</f>
        <v/>
      </c>
      <c r="T2790" s="12" t="str">
        <f>IF(S2790="","",[1]Inputs_Outputs!$B$8*(1-'LOCH Calc COE Calc'!S2790))</f>
        <v/>
      </c>
      <c r="U2790" s="13" t="str">
        <f t="shared" si="221"/>
        <v/>
      </c>
      <c r="V2790" s="13" t="str">
        <f t="shared" si="222"/>
        <v/>
      </c>
      <c r="W2790" s="4" t="str">
        <f t="shared" si="223"/>
        <v/>
      </c>
      <c r="X2790" t="str">
        <f>IF(W2790="","",LOOKUP(_xlfn.CONCAT(P2790,", ",Q2790),'[1]T+S Costs'!$F$2:$F$3138,'[1]T+S Costs'!$N$2:$N$3138))</f>
        <v/>
      </c>
      <c r="Y2790" s="14" t="str">
        <f t="shared" si="219"/>
        <v/>
      </c>
      <c r="Z2790" s="4" t="str">
        <f t="shared" si="220"/>
        <v/>
      </c>
    </row>
    <row r="2791" spans="16:26" x14ac:dyDescent="0.25">
      <c r="P2791" s="10" t="str">
        <f>IF('[1]All Data '!AZ2796="","",'[1]All Data '!AZ2796)</f>
        <v/>
      </c>
      <c r="Q2791" s="10" t="str">
        <f>IF('[1]All Data '!BB2796="","",'[1]All Data '!BB2796)</f>
        <v/>
      </c>
      <c r="R2791" s="10" t="str">
        <f>IF('[1]All Data '!BD2796="","",'[1]All Data '!BD2796)</f>
        <v/>
      </c>
      <c r="S2791" s="11" t="str">
        <f>IF(R2791="","",'[1]All Data '!BE2796)</f>
        <v/>
      </c>
      <c r="T2791" s="12" t="str">
        <f>IF(S2791="","",[1]Inputs_Outputs!$B$8*(1-'LOCH Calc COE Calc'!S2791))</f>
        <v/>
      </c>
      <c r="U2791" s="13" t="str">
        <f t="shared" si="221"/>
        <v/>
      </c>
      <c r="V2791" s="13" t="str">
        <f t="shared" si="222"/>
        <v/>
      </c>
      <c r="W2791" s="4" t="str">
        <f t="shared" si="223"/>
        <v/>
      </c>
      <c r="X2791" t="str">
        <f>IF(W2791="","",LOOKUP(_xlfn.CONCAT(P2791,", ",Q2791),'[1]T+S Costs'!$F$2:$F$3138,'[1]T+S Costs'!$N$2:$N$3138))</f>
        <v/>
      </c>
      <c r="Y2791" s="14" t="str">
        <f t="shared" si="219"/>
        <v/>
      </c>
      <c r="Z2791" s="4" t="str">
        <f t="shared" si="220"/>
        <v/>
      </c>
    </row>
    <row r="2792" spans="16:26" x14ac:dyDescent="0.25">
      <c r="P2792" s="10" t="str">
        <f>IF('[1]All Data '!AZ2797="","",'[1]All Data '!AZ2797)</f>
        <v/>
      </c>
      <c r="Q2792" s="10" t="str">
        <f>IF('[1]All Data '!BB2797="","",'[1]All Data '!BB2797)</f>
        <v/>
      </c>
      <c r="R2792" s="10" t="str">
        <f>IF('[1]All Data '!BD2797="","",'[1]All Data '!BD2797)</f>
        <v/>
      </c>
      <c r="S2792" s="11" t="str">
        <f>IF(R2792="","",'[1]All Data '!BE2797)</f>
        <v/>
      </c>
      <c r="T2792" s="12" t="str">
        <f>IF(S2792="","",[1]Inputs_Outputs!$B$8*(1-'LOCH Calc COE Calc'!S2792))</f>
        <v/>
      </c>
      <c r="U2792" s="13" t="str">
        <f t="shared" si="221"/>
        <v/>
      </c>
      <c r="V2792" s="13" t="str">
        <f t="shared" si="222"/>
        <v/>
      </c>
      <c r="W2792" s="4" t="str">
        <f t="shared" si="223"/>
        <v/>
      </c>
      <c r="X2792" t="str">
        <f>IF(W2792="","",LOOKUP(_xlfn.CONCAT(P2792,", ",Q2792),'[1]T+S Costs'!$F$2:$F$3138,'[1]T+S Costs'!$N$2:$N$3138))</f>
        <v/>
      </c>
      <c r="Y2792" s="14" t="str">
        <f t="shared" si="219"/>
        <v/>
      </c>
      <c r="Z2792" s="4" t="str">
        <f t="shared" si="220"/>
        <v/>
      </c>
    </row>
    <row r="2793" spans="16:26" x14ac:dyDescent="0.25">
      <c r="P2793" s="10" t="str">
        <f>IF('[1]All Data '!AZ2798="","",'[1]All Data '!AZ2798)</f>
        <v/>
      </c>
      <c r="Q2793" s="10" t="str">
        <f>IF('[1]All Data '!BB2798="","",'[1]All Data '!BB2798)</f>
        <v/>
      </c>
      <c r="R2793" s="10" t="str">
        <f>IF('[1]All Data '!BD2798="","",'[1]All Data '!BD2798)</f>
        <v/>
      </c>
      <c r="S2793" s="11" t="str">
        <f>IF(R2793="","",'[1]All Data '!BE2798)</f>
        <v/>
      </c>
      <c r="T2793" s="12" t="str">
        <f>IF(S2793="","",[1]Inputs_Outputs!$B$8*(1-'LOCH Calc COE Calc'!S2793))</f>
        <v/>
      </c>
      <c r="U2793" s="13" t="str">
        <f t="shared" si="221"/>
        <v/>
      </c>
      <c r="V2793" s="13" t="str">
        <f t="shared" si="222"/>
        <v/>
      </c>
      <c r="W2793" s="4" t="str">
        <f t="shared" si="223"/>
        <v/>
      </c>
      <c r="X2793" t="str">
        <f>IF(W2793="","",LOOKUP(_xlfn.CONCAT(P2793,", ",Q2793),'[1]T+S Costs'!$F$2:$F$3138,'[1]T+S Costs'!$N$2:$N$3138))</f>
        <v/>
      </c>
      <c r="Y2793" s="14" t="str">
        <f t="shared" si="219"/>
        <v/>
      </c>
      <c r="Z2793" s="4" t="str">
        <f t="shared" si="220"/>
        <v/>
      </c>
    </row>
    <row r="2794" spans="16:26" x14ac:dyDescent="0.25">
      <c r="P2794" s="10" t="str">
        <f>IF('[1]All Data '!AZ2799="","",'[1]All Data '!AZ2799)</f>
        <v/>
      </c>
      <c r="Q2794" s="10" t="str">
        <f>IF('[1]All Data '!BB2799="","",'[1]All Data '!BB2799)</f>
        <v/>
      </c>
      <c r="R2794" s="10" t="str">
        <f>IF('[1]All Data '!BD2799="","",'[1]All Data '!BD2799)</f>
        <v/>
      </c>
      <c r="S2794" s="11" t="str">
        <f>IF(R2794="","",'[1]All Data '!BE2799)</f>
        <v/>
      </c>
      <c r="T2794" s="12" t="str">
        <f>IF(S2794="","",[1]Inputs_Outputs!$B$8*(1-'LOCH Calc COE Calc'!S2794))</f>
        <v/>
      </c>
      <c r="U2794" s="13" t="str">
        <f t="shared" si="221"/>
        <v/>
      </c>
      <c r="V2794" s="13" t="str">
        <f t="shared" si="222"/>
        <v/>
      </c>
      <c r="W2794" s="4" t="str">
        <f t="shared" si="223"/>
        <v/>
      </c>
      <c r="X2794" t="str">
        <f>IF(W2794="","",LOOKUP(_xlfn.CONCAT(P2794,", ",Q2794),'[1]T+S Costs'!$F$2:$F$3138,'[1]T+S Costs'!$N$2:$N$3138))</f>
        <v/>
      </c>
      <c r="Y2794" s="14" t="str">
        <f t="shared" si="219"/>
        <v/>
      </c>
      <c r="Z2794" s="4" t="str">
        <f t="shared" si="220"/>
        <v/>
      </c>
    </row>
    <row r="2795" spans="16:26" x14ac:dyDescent="0.25">
      <c r="P2795" s="10" t="str">
        <f>IF('[1]All Data '!AZ2800="","",'[1]All Data '!AZ2800)</f>
        <v/>
      </c>
      <c r="Q2795" s="10" t="str">
        <f>IF('[1]All Data '!BB2800="","",'[1]All Data '!BB2800)</f>
        <v/>
      </c>
      <c r="R2795" s="10" t="str">
        <f>IF('[1]All Data '!BD2800="","",'[1]All Data '!BD2800)</f>
        <v/>
      </c>
      <c r="S2795" s="11" t="str">
        <f>IF(R2795="","",'[1]All Data '!BE2800)</f>
        <v/>
      </c>
      <c r="T2795" s="12" t="str">
        <f>IF(S2795="","",[1]Inputs_Outputs!$B$8*(1-'LOCH Calc COE Calc'!S2795))</f>
        <v/>
      </c>
      <c r="U2795" s="13" t="str">
        <f t="shared" si="221"/>
        <v/>
      </c>
      <c r="V2795" s="13" t="str">
        <f t="shared" si="222"/>
        <v/>
      </c>
      <c r="W2795" s="4" t="str">
        <f t="shared" si="223"/>
        <v/>
      </c>
      <c r="X2795" t="str">
        <f>IF(W2795="","",LOOKUP(_xlfn.CONCAT(P2795,", ",Q2795),'[1]T+S Costs'!$F$2:$F$3138,'[1]T+S Costs'!$N$2:$N$3138))</f>
        <v/>
      </c>
      <c r="Y2795" s="14" t="str">
        <f t="shared" si="219"/>
        <v/>
      </c>
      <c r="Z2795" s="4" t="str">
        <f t="shared" si="220"/>
        <v/>
      </c>
    </row>
    <row r="2796" spans="16:26" x14ac:dyDescent="0.25">
      <c r="P2796" s="10" t="str">
        <f>IF('[1]All Data '!AZ2801="","",'[1]All Data '!AZ2801)</f>
        <v/>
      </c>
      <c r="Q2796" s="10" t="str">
        <f>IF('[1]All Data '!BB2801="","",'[1]All Data '!BB2801)</f>
        <v/>
      </c>
      <c r="R2796" s="10" t="str">
        <f>IF('[1]All Data '!BD2801="","",'[1]All Data '!BD2801)</f>
        <v/>
      </c>
      <c r="S2796" s="11" t="str">
        <f>IF(R2796="","",'[1]All Data '!BE2801)</f>
        <v/>
      </c>
      <c r="T2796" s="12" t="str">
        <f>IF(S2796="","",[1]Inputs_Outputs!$B$8*(1-'LOCH Calc COE Calc'!S2796))</f>
        <v/>
      </c>
      <c r="U2796" s="13" t="str">
        <f t="shared" si="221"/>
        <v/>
      </c>
      <c r="V2796" s="13" t="str">
        <f t="shared" si="222"/>
        <v/>
      </c>
      <c r="W2796" s="4" t="str">
        <f t="shared" si="223"/>
        <v/>
      </c>
      <c r="X2796" t="str">
        <f>IF(W2796="","",LOOKUP(_xlfn.CONCAT(P2796,", ",Q2796),'[1]T+S Costs'!$F$2:$F$3138,'[1]T+S Costs'!$N$2:$N$3138))</f>
        <v/>
      </c>
      <c r="Y2796" s="14" t="str">
        <f t="shared" si="219"/>
        <v/>
      </c>
      <c r="Z2796" s="4" t="str">
        <f t="shared" si="220"/>
        <v/>
      </c>
    </row>
    <row r="2797" spans="16:26" x14ac:dyDescent="0.25">
      <c r="P2797" s="10" t="str">
        <f>IF('[1]All Data '!AZ2802="","",'[1]All Data '!AZ2802)</f>
        <v/>
      </c>
      <c r="Q2797" s="10" t="str">
        <f>IF('[1]All Data '!BB2802="","",'[1]All Data '!BB2802)</f>
        <v/>
      </c>
      <c r="R2797" s="10" t="str">
        <f>IF('[1]All Data '!BD2802="","",'[1]All Data '!BD2802)</f>
        <v/>
      </c>
      <c r="S2797" s="11" t="str">
        <f>IF(R2797="","",'[1]All Data '!BE2802)</f>
        <v/>
      </c>
      <c r="T2797" s="12" t="str">
        <f>IF(S2797="","",[1]Inputs_Outputs!$B$8*(1-'LOCH Calc COE Calc'!S2797))</f>
        <v/>
      </c>
      <c r="U2797" s="13" t="str">
        <f t="shared" si="221"/>
        <v/>
      </c>
      <c r="V2797" s="13" t="str">
        <f t="shared" si="222"/>
        <v/>
      </c>
      <c r="W2797" s="4" t="str">
        <f t="shared" si="223"/>
        <v/>
      </c>
      <c r="X2797" t="str">
        <f>IF(W2797="","",LOOKUP(_xlfn.CONCAT(P2797,", ",Q2797),'[1]T+S Costs'!$F$2:$F$3138,'[1]T+S Costs'!$N$2:$N$3138))</f>
        <v/>
      </c>
      <c r="Y2797" s="14" t="str">
        <f t="shared" si="219"/>
        <v/>
      </c>
      <c r="Z2797" s="4" t="str">
        <f t="shared" si="220"/>
        <v/>
      </c>
    </row>
    <row r="2798" spans="16:26" x14ac:dyDescent="0.25">
      <c r="P2798" s="10" t="str">
        <f>IF('[1]All Data '!AZ2803="","",'[1]All Data '!AZ2803)</f>
        <v/>
      </c>
      <c r="Q2798" s="10" t="str">
        <f>IF('[1]All Data '!BB2803="","",'[1]All Data '!BB2803)</f>
        <v/>
      </c>
      <c r="R2798" s="10" t="str">
        <f>IF('[1]All Data '!BD2803="","",'[1]All Data '!BD2803)</f>
        <v/>
      </c>
      <c r="S2798" s="11" t="str">
        <f>IF(R2798="","",'[1]All Data '!BE2803)</f>
        <v/>
      </c>
      <c r="T2798" s="12" t="str">
        <f>IF(S2798="","",[1]Inputs_Outputs!$B$8*(1-'LOCH Calc COE Calc'!S2798))</f>
        <v/>
      </c>
      <c r="U2798" s="13" t="str">
        <f t="shared" si="221"/>
        <v/>
      </c>
      <c r="V2798" s="13" t="str">
        <f t="shared" si="222"/>
        <v/>
      </c>
      <c r="W2798" s="4" t="str">
        <f t="shared" si="223"/>
        <v/>
      </c>
      <c r="X2798" t="str">
        <f>IF(W2798="","",LOOKUP(_xlfn.CONCAT(P2798,", ",Q2798),'[1]T+S Costs'!$F$2:$F$3138,'[1]T+S Costs'!$N$2:$N$3138))</f>
        <v/>
      </c>
      <c r="Y2798" s="14" t="str">
        <f t="shared" si="219"/>
        <v/>
      </c>
      <c r="Z2798" s="4" t="str">
        <f t="shared" si="220"/>
        <v/>
      </c>
    </row>
    <row r="2799" spans="16:26" x14ac:dyDescent="0.25">
      <c r="P2799" s="10" t="str">
        <f>IF('[1]All Data '!AZ2804="","",'[1]All Data '!AZ2804)</f>
        <v/>
      </c>
      <c r="Q2799" s="10" t="str">
        <f>IF('[1]All Data '!BB2804="","",'[1]All Data '!BB2804)</f>
        <v/>
      </c>
      <c r="R2799" s="10" t="str">
        <f>IF('[1]All Data '!BD2804="","",'[1]All Data '!BD2804)</f>
        <v/>
      </c>
      <c r="S2799" s="11" t="str">
        <f>IF(R2799="","",'[1]All Data '!BE2804)</f>
        <v/>
      </c>
      <c r="T2799" s="12" t="str">
        <f>IF(S2799="","",[1]Inputs_Outputs!$B$8*(1-'LOCH Calc COE Calc'!S2799))</f>
        <v/>
      </c>
      <c r="U2799" s="13" t="str">
        <f t="shared" si="221"/>
        <v/>
      </c>
      <c r="V2799" s="13" t="str">
        <f t="shared" si="222"/>
        <v/>
      </c>
      <c r="W2799" s="4" t="str">
        <f t="shared" si="223"/>
        <v/>
      </c>
      <c r="X2799" t="str">
        <f>IF(W2799="","",LOOKUP(_xlfn.CONCAT(P2799,", ",Q2799),'[1]T+S Costs'!$F$2:$F$3138,'[1]T+S Costs'!$N$2:$N$3138))</f>
        <v/>
      </c>
      <c r="Y2799" s="14" t="str">
        <f t="shared" si="219"/>
        <v/>
      </c>
      <c r="Z2799" s="4" t="str">
        <f t="shared" si="220"/>
        <v/>
      </c>
    </row>
    <row r="2800" spans="16:26" x14ac:dyDescent="0.25">
      <c r="P2800" s="10" t="str">
        <f>IF('[1]All Data '!AZ2805="","",'[1]All Data '!AZ2805)</f>
        <v/>
      </c>
      <c r="Q2800" s="10" t="str">
        <f>IF('[1]All Data '!BB2805="","",'[1]All Data '!BB2805)</f>
        <v/>
      </c>
      <c r="R2800" s="10" t="str">
        <f>IF('[1]All Data '!BD2805="","",'[1]All Data '!BD2805)</f>
        <v/>
      </c>
      <c r="S2800" s="11" t="str">
        <f>IF(R2800="","",'[1]All Data '!BE2805)</f>
        <v/>
      </c>
      <c r="T2800" s="12" t="str">
        <f>IF(S2800="","",[1]Inputs_Outputs!$B$8*(1-'LOCH Calc COE Calc'!S2800))</f>
        <v/>
      </c>
      <c r="U2800" s="13" t="str">
        <f t="shared" si="221"/>
        <v/>
      </c>
      <c r="V2800" s="13" t="str">
        <f t="shared" si="222"/>
        <v/>
      </c>
      <c r="W2800" s="4" t="str">
        <f t="shared" si="223"/>
        <v/>
      </c>
      <c r="X2800" t="str">
        <f>IF(W2800="","",LOOKUP(_xlfn.CONCAT(P2800,", ",Q2800),'[1]T+S Costs'!$F$2:$F$3138,'[1]T+S Costs'!$N$2:$N$3138))</f>
        <v/>
      </c>
      <c r="Y2800" s="14" t="str">
        <f t="shared" si="219"/>
        <v/>
      </c>
      <c r="Z2800" s="4" t="str">
        <f t="shared" si="220"/>
        <v/>
      </c>
    </row>
    <row r="2801" spans="16:26" x14ac:dyDescent="0.25">
      <c r="P2801" s="10" t="str">
        <f>IF('[1]All Data '!AZ2806="","",'[1]All Data '!AZ2806)</f>
        <v/>
      </c>
      <c r="Q2801" s="10" t="str">
        <f>IF('[1]All Data '!BB2806="","",'[1]All Data '!BB2806)</f>
        <v/>
      </c>
      <c r="R2801" s="10" t="str">
        <f>IF('[1]All Data '!BD2806="","",'[1]All Data '!BD2806)</f>
        <v/>
      </c>
      <c r="S2801" s="11" t="str">
        <f>IF(R2801="","",'[1]All Data '!BE2806)</f>
        <v/>
      </c>
      <c r="T2801" s="12" t="str">
        <f>IF(S2801="","",[1]Inputs_Outputs!$B$8*(1-'LOCH Calc COE Calc'!S2801))</f>
        <v/>
      </c>
      <c r="U2801" s="13" t="str">
        <f t="shared" si="221"/>
        <v/>
      </c>
      <c r="V2801" s="13" t="str">
        <f t="shared" si="222"/>
        <v/>
      </c>
      <c r="W2801" s="4" t="str">
        <f t="shared" si="223"/>
        <v/>
      </c>
      <c r="X2801" t="str">
        <f>IF(W2801="","",LOOKUP(_xlfn.CONCAT(P2801,", ",Q2801),'[1]T+S Costs'!$F$2:$F$3138,'[1]T+S Costs'!$N$2:$N$3138))</f>
        <v/>
      </c>
      <c r="Y2801" s="14" t="str">
        <f t="shared" si="219"/>
        <v/>
      </c>
      <c r="Z2801" s="4" t="str">
        <f t="shared" si="220"/>
        <v/>
      </c>
    </row>
    <row r="2802" spans="16:26" x14ac:dyDescent="0.25">
      <c r="P2802" s="10" t="str">
        <f>IF('[1]All Data '!AZ2807="","",'[1]All Data '!AZ2807)</f>
        <v/>
      </c>
      <c r="Q2802" s="10" t="str">
        <f>IF('[1]All Data '!BB2807="","",'[1]All Data '!BB2807)</f>
        <v/>
      </c>
      <c r="R2802" s="10" t="str">
        <f>IF('[1]All Data '!BD2807="","",'[1]All Data '!BD2807)</f>
        <v/>
      </c>
      <c r="S2802" s="11" t="str">
        <f>IF(R2802="","",'[1]All Data '!BE2807)</f>
        <v/>
      </c>
      <c r="T2802" s="12" t="str">
        <f>IF(S2802="","",[1]Inputs_Outputs!$B$8*(1-'LOCH Calc COE Calc'!S2802))</f>
        <v/>
      </c>
      <c r="U2802" s="13" t="str">
        <f t="shared" si="221"/>
        <v/>
      </c>
      <c r="V2802" s="13" t="str">
        <f t="shared" si="222"/>
        <v/>
      </c>
      <c r="W2802" s="4" t="str">
        <f t="shared" si="223"/>
        <v/>
      </c>
      <c r="X2802" t="str">
        <f>IF(W2802="","",LOOKUP(_xlfn.CONCAT(P2802,", ",Q2802),'[1]T+S Costs'!$F$2:$F$3138,'[1]T+S Costs'!$N$2:$N$3138))</f>
        <v/>
      </c>
      <c r="Y2802" s="14" t="str">
        <f t="shared" si="219"/>
        <v/>
      </c>
      <c r="Z2802" s="4" t="str">
        <f t="shared" si="220"/>
        <v/>
      </c>
    </row>
    <row r="2803" spans="16:26" x14ac:dyDescent="0.25">
      <c r="P2803" s="10" t="str">
        <f>IF('[1]All Data '!AZ2808="","",'[1]All Data '!AZ2808)</f>
        <v/>
      </c>
      <c r="Q2803" s="10" t="str">
        <f>IF('[1]All Data '!BB2808="","",'[1]All Data '!BB2808)</f>
        <v/>
      </c>
      <c r="R2803" s="10" t="str">
        <f>IF('[1]All Data '!BD2808="","",'[1]All Data '!BD2808)</f>
        <v/>
      </c>
      <c r="S2803" s="11" t="str">
        <f>IF(R2803="","",'[1]All Data '!BE2808)</f>
        <v/>
      </c>
      <c r="T2803" s="12" t="str">
        <f>IF(S2803="","",[1]Inputs_Outputs!$B$8*(1-'LOCH Calc COE Calc'!S2803))</f>
        <v/>
      </c>
      <c r="U2803" s="13" t="str">
        <f t="shared" si="221"/>
        <v/>
      </c>
      <c r="V2803" s="13" t="str">
        <f t="shared" si="222"/>
        <v/>
      </c>
      <c r="W2803" s="4" t="str">
        <f t="shared" si="223"/>
        <v/>
      </c>
      <c r="X2803" t="str">
        <f>IF(W2803="","",LOOKUP(_xlfn.CONCAT(P2803,", ",Q2803),'[1]T+S Costs'!$F$2:$F$3138,'[1]T+S Costs'!$N$2:$N$3138))</f>
        <v/>
      </c>
      <c r="Y2803" s="14" t="str">
        <f t="shared" si="219"/>
        <v/>
      </c>
      <c r="Z2803" s="4" t="str">
        <f t="shared" si="220"/>
        <v/>
      </c>
    </row>
    <row r="2804" spans="16:26" x14ac:dyDescent="0.25">
      <c r="P2804" s="10" t="str">
        <f>IF('[1]All Data '!AZ2809="","",'[1]All Data '!AZ2809)</f>
        <v/>
      </c>
      <c r="Q2804" s="10" t="str">
        <f>IF('[1]All Data '!BB2809="","",'[1]All Data '!BB2809)</f>
        <v/>
      </c>
      <c r="R2804" s="10" t="str">
        <f>IF('[1]All Data '!BD2809="","",'[1]All Data '!BD2809)</f>
        <v/>
      </c>
      <c r="S2804" s="11" t="str">
        <f>IF(R2804="","",'[1]All Data '!BE2809)</f>
        <v/>
      </c>
      <c r="T2804" s="12" t="str">
        <f>IF(S2804="","",[1]Inputs_Outputs!$B$8*(1-'LOCH Calc COE Calc'!S2804))</f>
        <v/>
      </c>
      <c r="U2804" s="13" t="str">
        <f t="shared" si="221"/>
        <v/>
      </c>
      <c r="V2804" s="13" t="str">
        <f t="shared" si="222"/>
        <v/>
      </c>
      <c r="W2804" s="4" t="str">
        <f t="shared" si="223"/>
        <v/>
      </c>
      <c r="X2804" t="str">
        <f>IF(W2804="","",LOOKUP(_xlfn.CONCAT(P2804,", ",Q2804),'[1]T+S Costs'!$F$2:$F$3138,'[1]T+S Costs'!$N$2:$N$3138))</f>
        <v/>
      </c>
      <c r="Y2804" s="14" t="str">
        <f t="shared" si="219"/>
        <v/>
      </c>
      <c r="Z2804" s="4" t="str">
        <f t="shared" si="220"/>
        <v/>
      </c>
    </row>
    <row r="2805" spans="16:26" x14ac:dyDescent="0.25">
      <c r="P2805" s="10" t="str">
        <f>IF('[1]All Data '!AZ2810="","",'[1]All Data '!AZ2810)</f>
        <v/>
      </c>
      <c r="Q2805" s="10" t="str">
        <f>IF('[1]All Data '!BB2810="","",'[1]All Data '!BB2810)</f>
        <v/>
      </c>
      <c r="R2805" s="10" t="str">
        <f>IF('[1]All Data '!BD2810="","",'[1]All Data '!BD2810)</f>
        <v/>
      </c>
      <c r="S2805" s="11" t="str">
        <f>IF(R2805="","",'[1]All Data '!BE2810)</f>
        <v/>
      </c>
      <c r="T2805" s="12" t="str">
        <f>IF(S2805="","",[1]Inputs_Outputs!$B$8*(1-'LOCH Calc COE Calc'!S2805))</f>
        <v/>
      </c>
      <c r="U2805" s="13" t="str">
        <f t="shared" si="221"/>
        <v/>
      </c>
      <c r="V2805" s="13" t="str">
        <f t="shared" si="222"/>
        <v/>
      </c>
      <c r="W2805" s="4" t="str">
        <f t="shared" si="223"/>
        <v/>
      </c>
      <c r="X2805" t="str">
        <f>IF(W2805="","",LOOKUP(_xlfn.CONCAT(P2805,", ",Q2805),'[1]T+S Costs'!$F$2:$F$3138,'[1]T+S Costs'!$N$2:$N$3138))</f>
        <v/>
      </c>
      <c r="Y2805" s="14" t="str">
        <f t="shared" si="219"/>
        <v/>
      </c>
      <c r="Z2805" s="4" t="str">
        <f t="shared" si="220"/>
        <v/>
      </c>
    </row>
    <row r="2806" spans="16:26" x14ac:dyDescent="0.25">
      <c r="P2806" s="10" t="str">
        <f>IF('[1]All Data '!AZ2811="","",'[1]All Data '!AZ2811)</f>
        <v/>
      </c>
      <c r="Q2806" s="10" t="str">
        <f>IF('[1]All Data '!BB2811="","",'[1]All Data '!BB2811)</f>
        <v/>
      </c>
      <c r="R2806" s="10" t="str">
        <f>IF('[1]All Data '!BD2811="","",'[1]All Data '!BD2811)</f>
        <v/>
      </c>
      <c r="S2806" s="11" t="str">
        <f>IF(R2806="","",'[1]All Data '!BE2811)</f>
        <v/>
      </c>
      <c r="T2806" s="12" t="str">
        <f>IF(S2806="","",[1]Inputs_Outputs!$B$8*(1-'LOCH Calc COE Calc'!S2806))</f>
        <v/>
      </c>
      <c r="U2806" s="13" t="str">
        <f t="shared" si="221"/>
        <v/>
      </c>
      <c r="V2806" s="13" t="str">
        <f t="shared" si="222"/>
        <v/>
      </c>
      <c r="W2806" s="4" t="str">
        <f t="shared" si="223"/>
        <v/>
      </c>
      <c r="X2806" t="str">
        <f>IF(W2806="","",LOOKUP(_xlfn.CONCAT(P2806,", ",Q2806),'[1]T+S Costs'!$F$2:$F$3138,'[1]T+S Costs'!$N$2:$N$3138))</f>
        <v/>
      </c>
      <c r="Y2806" s="14" t="str">
        <f t="shared" si="219"/>
        <v/>
      </c>
      <c r="Z2806" s="4" t="str">
        <f t="shared" si="220"/>
        <v/>
      </c>
    </row>
    <row r="2807" spans="16:26" x14ac:dyDescent="0.25">
      <c r="P2807" s="10" t="str">
        <f>IF('[1]All Data '!AZ2812="","",'[1]All Data '!AZ2812)</f>
        <v/>
      </c>
      <c r="Q2807" s="10" t="str">
        <f>IF('[1]All Data '!BB2812="","",'[1]All Data '!BB2812)</f>
        <v/>
      </c>
      <c r="R2807" s="10" t="str">
        <f>IF('[1]All Data '!BD2812="","",'[1]All Data '!BD2812)</f>
        <v/>
      </c>
      <c r="S2807" s="11" t="str">
        <f>IF(R2807="","",'[1]All Data '!BE2812)</f>
        <v/>
      </c>
      <c r="T2807" s="12" t="str">
        <f>IF(S2807="","",[1]Inputs_Outputs!$B$8*(1-'LOCH Calc COE Calc'!S2807))</f>
        <v/>
      </c>
      <c r="U2807" s="13" t="str">
        <f t="shared" si="221"/>
        <v/>
      </c>
      <c r="V2807" s="13" t="str">
        <f t="shared" si="222"/>
        <v/>
      </c>
      <c r="W2807" s="4" t="str">
        <f t="shared" si="223"/>
        <v/>
      </c>
      <c r="X2807" t="str">
        <f>IF(W2807="","",LOOKUP(_xlfn.CONCAT(P2807,", ",Q2807),'[1]T+S Costs'!$F$2:$F$3138,'[1]T+S Costs'!$N$2:$N$3138))</f>
        <v/>
      </c>
      <c r="Y2807" s="14" t="str">
        <f t="shared" si="219"/>
        <v/>
      </c>
      <c r="Z2807" s="4" t="str">
        <f t="shared" si="220"/>
        <v/>
      </c>
    </row>
    <row r="2808" spans="16:26" x14ac:dyDescent="0.25">
      <c r="P2808" s="10" t="str">
        <f>IF('[1]All Data '!AZ2813="","",'[1]All Data '!AZ2813)</f>
        <v/>
      </c>
      <c r="Q2808" s="10" t="str">
        <f>IF('[1]All Data '!BB2813="","",'[1]All Data '!BB2813)</f>
        <v/>
      </c>
      <c r="R2808" s="10" t="str">
        <f>IF('[1]All Data '!BD2813="","",'[1]All Data '!BD2813)</f>
        <v/>
      </c>
      <c r="S2808" s="11" t="str">
        <f>IF(R2808="","",'[1]All Data '!BE2813)</f>
        <v/>
      </c>
      <c r="T2808" s="12" t="str">
        <f>IF(S2808="","",[1]Inputs_Outputs!$B$8*(1-'LOCH Calc COE Calc'!S2808))</f>
        <v/>
      </c>
      <c r="U2808" s="13" t="str">
        <f t="shared" si="221"/>
        <v/>
      </c>
      <c r="V2808" s="13" t="str">
        <f t="shared" si="222"/>
        <v/>
      </c>
      <c r="W2808" s="4" t="str">
        <f t="shared" si="223"/>
        <v/>
      </c>
      <c r="X2808" t="str">
        <f>IF(W2808="","",LOOKUP(_xlfn.CONCAT(P2808,", ",Q2808),'[1]T+S Costs'!$F$2:$F$3138,'[1]T+S Costs'!$N$2:$N$3138))</f>
        <v/>
      </c>
      <c r="Y2808" s="14" t="str">
        <f t="shared" si="219"/>
        <v/>
      </c>
      <c r="Z2808" s="4" t="str">
        <f t="shared" si="220"/>
        <v/>
      </c>
    </row>
    <row r="2809" spans="16:26" x14ac:dyDescent="0.25">
      <c r="P2809" s="10" t="str">
        <f>IF('[1]All Data '!AZ2814="","",'[1]All Data '!AZ2814)</f>
        <v/>
      </c>
      <c r="Q2809" s="10" t="str">
        <f>IF('[1]All Data '!BB2814="","",'[1]All Data '!BB2814)</f>
        <v/>
      </c>
      <c r="R2809" s="10" t="str">
        <f>IF('[1]All Data '!BD2814="","",'[1]All Data '!BD2814)</f>
        <v/>
      </c>
      <c r="S2809" s="11" t="str">
        <f>IF(R2809="","",'[1]All Data '!BE2814)</f>
        <v/>
      </c>
      <c r="T2809" s="12" t="str">
        <f>IF(S2809="","",[1]Inputs_Outputs!$B$8*(1-'LOCH Calc COE Calc'!S2809))</f>
        <v/>
      </c>
      <c r="U2809" s="13" t="str">
        <f t="shared" si="221"/>
        <v/>
      </c>
      <c r="V2809" s="13" t="str">
        <f t="shared" si="222"/>
        <v/>
      </c>
      <c r="W2809" s="4" t="str">
        <f t="shared" si="223"/>
        <v/>
      </c>
      <c r="X2809" t="str">
        <f>IF(W2809="","",LOOKUP(_xlfn.CONCAT(P2809,", ",Q2809),'[1]T+S Costs'!$F$2:$F$3138,'[1]T+S Costs'!$N$2:$N$3138))</f>
        <v/>
      </c>
      <c r="Y2809" s="14" t="str">
        <f t="shared" si="219"/>
        <v/>
      </c>
      <c r="Z2809" s="4" t="str">
        <f t="shared" si="220"/>
        <v/>
      </c>
    </row>
    <row r="2810" spans="16:26" x14ac:dyDescent="0.25">
      <c r="P2810" s="10" t="str">
        <f>IF('[1]All Data '!AZ2815="","",'[1]All Data '!AZ2815)</f>
        <v/>
      </c>
      <c r="Q2810" s="10" t="str">
        <f>IF('[1]All Data '!BB2815="","",'[1]All Data '!BB2815)</f>
        <v/>
      </c>
      <c r="R2810" s="10" t="str">
        <f>IF('[1]All Data '!BD2815="","",'[1]All Data '!BD2815)</f>
        <v/>
      </c>
      <c r="S2810" s="11" t="str">
        <f>IF(R2810="","",'[1]All Data '!BE2815)</f>
        <v/>
      </c>
      <c r="T2810" s="12" t="str">
        <f>IF(S2810="","",[1]Inputs_Outputs!$B$8*(1-'LOCH Calc COE Calc'!S2810))</f>
        <v/>
      </c>
      <c r="U2810" s="13" t="str">
        <f t="shared" si="221"/>
        <v/>
      </c>
      <c r="V2810" s="13" t="str">
        <f t="shared" si="222"/>
        <v/>
      </c>
      <c r="W2810" s="4" t="str">
        <f t="shared" si="223"/>
        <v/>
      </c>
      <c r="X2810" t="str">
        <f>IF(W2810="","",LOOKUP(_xlfn.CONCAT(P2810,", ",Q2810),'[1]T+S Costs'!$F$2:$F$3138,'[1]T+S Costs'!$N$2:$N$3138))</f>
        <v/>
      </c>
      <c r="Y2810" s="14" t="str">
        <f t="shared" si="219"/>
        <v/>
      </c>
      <c r="Z2810" s="4" t="str">
        <f t="shared" si="220"/>
        <v/>
      </c>
    </row>
    <row r="2811" spans="16:26" x14ac:dyDescent="0.25">
      <c r="P2811" s="10" t="str">
        <f>IF('[1]All Data '!AZ2816="","",'[1]All Data '!AZ2816)</f>
        <v/>
      </c>
      <c r="Q2811" s="10" t="str">
        <f>IF('[1]All Data '!BB2816="","",'[1]All Data '!BB2816)</f>
        <v/>
      </c>
      <c r="R2811" s="10" t="str">
        <f>IF('[1]All Data '!BD2816="","",'[1]All Data '!BD2816)</f>
        <v/>
      </c>
      <c r="S2811" s="11" t="str">
        <f>IF(R2811="","",'[1]All Data '!BE2816)</f>
        <v/>
      </c>
      <c r="T2811" s="12" t="str">
        <f>IF(S2811="","",[1]Inputs_Outputs!$B$8*(1-'LOCH Calc COE Calc'!S2811))</f>
        <v/>
      </c>
      <c r="U2811" s="13" t="str">
        <f t="shared" si="221"/>
        <v/>
      </c>
      <c r="V2811" s="13" t="str">
        <f t="shared" si="222"/>
        <v/>
      </c>
      <c r="W2811" s="4" t="str">
        <f t="shared" si="223"/>
        <v/>
      </c>
      <c r="X2811" t="str">
        <f>IF(W2811="","",LOOKUP(_xlfn.CONCAT(P2811,", ",Q2811),'[1]T+S Costs'!$F$2:$F$3138,'[1]T+S Costs'!$N$2:$N$3138))</f>
        <v/>
      </c>
      <c r="Y2811" s="14" t="str">
        <f t="shared" si="219"/>
        <v/>
      </c>
      <c r="Z2811" s="4" t="str">
        <f t="shared" si="220"/>
        <v/>
      </c>
    </row>
    <row r="2812" spans="16:26" x14ac:dyDescent="0.25">
      <c r="P2812" s="10" t="str">
        <f>IF('[1]All Data '!AZ2817="","",'[1]All Data '!AZ2817)</f>
        <v/>
      </c>
      <c r="Q2812" s="10" t="str">
        <f>IF('[1]All Data '!BB2817="","",'[1]All Data '!BB2817)</f>
        <v/>
      </c>
      <c r="R2812" s="10" t="str">
        <f>IF('[1]All Data '!BD2817="","",'[1]All Data '!BD2817)</f>
        <v/>
      </c>
      <c r="S2812" s="11" t="str">
        <f>IF(R2812="","",'[1]All Data '!BE2817)</f>
        <v/>
      </c>
      <c r="T2812" s="12" t="str">
        <f>IF(S2812="","",[1]Inputs_Outputs!$B$8*(1-'LOCH Calc COE Calc'!S2812))</f>
        <v/>
      </c>
      <c r="U2812" s="13" t="str">
        <f t="shared" si="221"/>
        <v/>
      </c>
      <c r="V2812" s="13" t="str">
        <f t="shared" si="222"/>
        <v/>
      </c>
      <c r="W2812" s="4" t="str">
        <f t="shared" si="223"/>
        <v/>
      </c>
      <c r="X2812" t="str">
        <f>IF(W2812="","",LOOKUP(_xlfn.CONCAT(P2812,", ",Q2812),'[1]T+S Costs'!$F$2:$F$3138,'[1]T+S Costs'!$N$2:$N$3138))</f>
        <v/>
      </c>
      <c r="Y2812" s="14" t="str">
        <f t="shared" si="219"/>
        <v/>
      </c>
      <c r="Z2812" s="4" t="str">
        <f t="shared" si="220"/>
        <v/>
      </c>
    </row>
    <row r="2813" spans="16:26" x14ac:dyDescent="0.25">
      <c r="P2813" s="10" t="str">
        <f>IF('[1]All Data '!AZ2818="","",'[1]All Data '!AZ2818)</f>
        <v/>
      </c>
      <c r="Q2813" s="10" t="str">
        <f>IF('[1]All Data '!BB2818="","",'[1]All Data '!BB2818)</f>
        <v/>
      </c>
      <c r="R2813" s="10" t="str">
        <f>IF('[1]All Data '!BD2818="","",'[1]All Data '!BD2818)</f>
        <v/>
      </c>
      <c r="S2813" s="11" t="str">
        <f>IF(R2813="","",'[1]All Data '!BE2818)</f>
        <v/>
      </c>
      <c r="T2813" s="12" t="str">
        <f>IF(S2813="","",[1]Inputs_Outputs!$B$8*(1-'LOCH Calc COE Calc'!S2813))</f>
        <v/>
      </c>
      <c r="U2813" s="13" t="str">
        <f t="shared" si="221"/>
        <v/>
      </c>
      <c r="V2813" s="13" t="str">
        <f t="shared" si="222"/>
        <v/>
      </c>
      <c r="W2813" s="4" t="str">
        <f t="shared" si="223"/>
        <v/>
      </c>
      <c r="X2813" t="str">
        <f>IF(W2813="","",LOOKUP(_xlfn.CONCAT(P2813,", ",Q2813),'[1]T+S Costs'!$F$2:$F$3138,'[1]T+S Costs'!$N$2:$N$3138))</f>
        <v/>
      </c>
      <c r="Y2813" s="14" t="str">
        <f t="shared" si="219"/>
        <v/>
      </c>
      <c r="Z2813" s="4" t="str">
        <f t="shared" si="220"/>
        <v/>
      </c>
    </row>
    <row r="2814" spans="16:26" x14ac:dyDescent="0.25">
      <c r="P2814" s="10" t="str">
        <f>IF('[1]All Data '!AZ2819="","",'[1]All Data '!AZ2819)</f>
        <v/>
      </c>
      <c r="Q2814" s="10" t="str">
        <f>IF('[1]All Data '!BB2819="","",'[1]All Data '!BB2819)</f>
        <v/>
      </c>
      <c r="R2814" s="10" t="str">
        <f>IF('[1]All Data '!BD2819="","",'[1]All Data '!BD2819)</f>
        <v/>
      </c>
      <c r="S2814" s="11" t="str">
        <f>IF(R2814="","",'[1]All Data '!BE2819)</f>
        <v/>
      </c>
      <c r="T2814" s="12" t="str">
        <f>IF(S2814="","",[1]Inputs_Outputs!$B$8*(1-'LOCH Calc COE Calc'!S2814))</f>
        <v/>
      </c>
      <c r="U2814" s="13" t="str">
        <f t="shared" si="221"/>
        <v/>
      </c>
      <c r="V2814" s="13" t="str">
        <f t="shared" si="222"/>
        <v/>
      </c>
      <c r="W2814" s="4" t="str">
        <f t="shared" si="223"/>
        <v/>
      </c>
      <c r="X2814" t="str">
        <f>IF(W2814="","",LOOKUP(_xlfn.CONCAT(P2814,", ",Q2814),'[1]T+S Costs'!$F$2:$F$3138,'[1]T+S Costs'!$N$2:$N$3138))</f>
        <v/>
      </c>
      <c r="Y2814" s="14" t="str">
        <f t="shared" si="219"/>
        <v/>
      </c>
      <c r="Z2814" s="4" t="str">
        <f t="shared" si="220"/>
        <v/>
      </c>
    </row>
    <row r="2815" spans="16:26" x14ac:dyDescent="0.25">
      <c r="P2815" s="10" t="str">
        <f>IF('[1]All Data '!AZ2820="","",'[1]All Data '!AZ2820)</f>
        <v/>
      </c>
      <c r="Q2815" s="10" t="str">
        <f>IF('[1]All Data '!BB2820="","",'[1]All Data '!BB2820)</f>
        <v/>
      </c>
      <c r="R2815" s="10" t="str">
        <f>IF('[1]All Data '!BD2820="","",'[1]All Data '!BD2820)</f>
        <v/>
      </c>
      <c r="S2815" s="11" t="str">
        <f>IF(R2815="","",'[1]All Data '!BE2820)</f>
        <v/>
      </c>
      <c r="T2815" s="12" t="str">
        <f>IF(S2815="","",[1]Inputs_Outputs!$B$8*(1-'LOCH Calc COE Calc'!S2815))</f>
        <v/>
      </c>
      <c r="U2815" s="13" t="str">
        <f t="shared" si="221"/>
        <v/>
      </c>
      <c r="V2815" s="13" t="str">
        <f t="shared" si="222"/>
        <v/>
      </c>
      <c r="W2815" s="4" t="str">
        <f t="shared" si="223"/>
        <v/>
      </c>
      <c r="X2815" t="str">
        <f>IF(W2815="","",LOOKUP(_xlfn.CONCAT(P2815,", ",Q2815),'[1]T+S Costs'!$F$2:$F$3138,'[1]T+S Costs'!$N$2:$N$3138))</f>
        <v/>
      </c>
      <c r="Y2815" s="14" t="str">
        <f t="shared" si="219"/>
        <v/>
      </c>
      <c r="Z2815" s="4" t="str">
        <f t="shared" si="220"/>
        <v/>
      </c>
    </row>
    <row r="2816" spans="16:26" x14ac:dyDescent="0.25">
      <c r="P2816" s="10" t="str">
        <f>IF('[1]All Data '!AZ2821="","",'[1]All Data '!AZ2821)</f>
        <v/>
      </c>
      <c r="Q2816" s="10" t="str">
        <f>IF('[1]All Data '!BB2821="","",'[1]All Data '!BB2821)</f>
        <v/>
      </c>
      <c r="R2816" s="10" t="str">
        <f>IF('[1]All Data '!BD2821="","",'[1]All Data '!BD2821)</f>
        <v/>
      </c>
      <c r="S2816" s="11" t="str">
        <f>IF(R2816="","",'[1]All Data '!BE2821)</f>
        <v/>
      </c>
      <c r="T2816" s="12" t="str">
        <f>IF(S2816="","",[1]Inputs_Outputs!$B$8*(1-'LOCH Calc COE Calc'!S2816))</f>
        <v/>
      </c>
      <c r="U2816" s="13" t="str">
        <f t="shared" si="221"/>
        <v/>
      </c>
      <c r="V2816" s="13" t="str">
        <f t="shared" si="222"/>
        <v/>
      </c>
      <c r="W2816" s="4" t="str">
        <f t="shared" si="223"/>
        <v/>
      </c>
      <c r="X2816" t="str">
        <f>IF(W2816="","",LOOKUP(_xlfn.CONCAT(P2816,", ",Q2816),'[1]T+S Costs'!$F$2:$F$3138,'[1]T+S Costs'!$N$2:$N$3138))</f>
        <v/>
      </c>
      <c r="Y2816" s="14" t="str">
        <f t="shared" si="219"/>
        <v/>
      </c>
      <c r="Z2816" s="4" t="str">
        <f t="shared" si="220"/>
        <v/>
      </c>
    </row>
    <row r="2817" spans="16:26" x14ac:dyDescent="0.25">
      <c r="P2817" s="10" t="str">
        <f>IF('[1]All Data '!AZ2822="","",'[1]All Data '!AZ2822)</f>
        <v/>
      </c>
      <c r="Q2817" s="10" t="str">
        <f>IF('[1]All Data '!BB2822="","",'[1]All Data '!BB2822)</f>
        <v/>
      </c>
      <c r="R2817" s="10" t="str">
        <f>IF('[1]All Data '!BD2822="","",'[1]All Data '!BD2822)</f>
        <v/>
      </c>
      <c r="S2817" s="11" t="str">
        <f>IF(R2817="","",'[1]All Data '!BE2822)</f>
        <v/>
      </c>
      <c r="T2817" s="12" t="str">
        <f>IF(S2817="","",[1]Inputs_Outputs!$B$8*(1-'LOCH Calc COE Calc'!S2817))</f>
        <v/>
      </c>
      <c r="U2817" s="13" t="str">
        <f t="shared" si="221"/>
        <v/>
      </c>
      <c r="V2817" s="13" t="str">
        <f t="shared" si="222"/>
        <v/>
      </c>
      <c r="W2817" s="4" t="str">
        <f t="shared" si="223"/>
        <v/>
      </c>
      <c r="X2817" t="str">
        <f>IF(W2817="","",LOOKUP(_xlfn.CONCAT(P2817,", ",Q2817),'[1]T+S Costs'!$F$2:$F$3138,'[1]T+S Costs'!$N$2:$N$3138))</f>
        <v/>
      </c>
      <c r="Y2817" s="14" t="str">
        <f t="shared" si="219"/>
        <v/>
      </c>
      <c r="Z2817" s="4" t="str">
        <f t="shared" si="220"/>
        <v/>
      </c>
    </row>
    <row r="2818" spans="16:26" x14ac:dyDescent="0.25">
      <c r="P2818" s="10" t="str">
        <f>IF('[1]All Data '!AZ2823="","",'[1]All Data '!AZ2823)</f>
        <v/>
      </c>
      <c r="Q2818" s="10" t="str">
        <f>IF('[1]All Data '!BB2823="","",'[1]All Data '!BB2823)</f>
        <v/>
      </c>
      <c r="R2818" s="10" t="str">
        <f>IF('[1]All Data '!BD2823="","",'[1]All Data '!BD2823)</f>
        <v/>
      </c>
      <c r="S2818" s="11" t="str">
        <f>IF(R2818="","",'[1]All Data '!BE2823)</f>
        <v/>
      </c>
      <c r="T2818" s="12" t="str">
        <f>IF(S2818="","",[1]Inputs_Outputs!$B$8*(1-'LOCH Calc COE Calc'!S2818))</f>
        <v/>
      </c>
      <c r="U2818" s="13" t="str">
        <f t="shared" si="221"/>
        <v/>
      </c>
      <c r="V2818" s="13" t="str">
        <f t="shared" si="222"/>
        <v/>
      </c>
      <c r="W2818" s="4" t="str">
        <f t="shared" si="223"/>
        <v/>
      </c>
      <c r="X2818" t="str">
        <f>IF(W2818="","",LOOKUP(_xlfn.CONCAT(P2818,", ",Q2818),'[1]T+S Costs'!$F$2:$F$3138,'[1]T+S Costs'!$N$2:$N$3138))</f>
        <v/>
      </c>
      <c r="Y2818" s="14" t="str">
        <f t="shared" si="219"/>
        <v/>
      </c>
      <c r="Z2818" s="4" t="str">
        <f t="shared" si="220"/>
        <v/>
      </c>
    </row>
    <row r="2819" spans="16:26" x14ac:dyDescent="0.25">
      <c r="P2819" s="10" t="str">
        <f>IF('[1]All Data '!AZ2824="","",'[1]All Data '!AZ2824)</f>
        <v/>
      </c>
      <c r="Q2819" s="10" t="str">
        <f>IF('[1]All Data '!BB2824="","",'[1]All Data '!BB2824)</f>
        <v/>
      </c>
      <c r="R2819" s="10" t="str">
        <f>IF('[1]All Data '!BD2824="","",'[1]All Data '!BD2824)</f>
        <v/>
      </c>
      <c r="S2819" s="11" t="str">
        <f>IF(R2819="","",'[1]All Data '!BE2824)</f>
        <v/>
      </c>
      <c r="T2819" s="12" t="str">
        <f>IF(S2819="","",[1]Inputs_Outputs!$B$8*(1-'LOCH Calc COE Calc'!S2819))</f>
        <v/>
      </c>
      <c r="U2819" s="13" t="str">
        <f t="shared" si="221"/>
        <v/>
      </c>
      <c r="V2819" s="13" t="str">
        <f t="shared" si="222"/>
        <v/>
      </c>
      <c r="W2819" s="4" t="str">
        <f t="shared" si="223"/>
        <v/>
      </c>
      <c r="X2819" t="str">
        <f>IF(W2819="","",LOOKUP(_xlfn.CONCAT(P2819,", ",Q2819),'[1]T+S Costs'!$F$2:$F$3138,'[1]T+S Costs'!$N$2:$N$3138))</f>
        <v/>
      </c>
      <c r="Y2819" s="14" t="str">
        <f t="shared" ref="Y2819:Y2882" si="224">IF(X2819="","",((X2819*$B$60/$B$59)*$C$44)/$C$28)</f>
        <v/>
      </c>
      <c r="Z2819" s="4" t="str">
        <f t="shared" ref="Z2819:Z2882" si="225">IF(Y2819="","",W2819+Y2819)</f>
        <v/>
      </c>
    </row>
    <row r="2820" spans="16:26" x14ac:dyDescent="0.25">
      <c r="P2820" s="10" t="str">
        <f>IF('[1]All Data '!AZ2825="","",'[1]All Data '!AZ2825)</f>
        <v/>
      </c>
      <c r="Q2820" s="10" t="str">
        <f>IF('[1]All Data '!BB2825="","",'[1]All Data '!BB2825)</f>
        <v/>
      </c>
      <c r="R2820" s="10" t="str">
        <f>IF('[1]All Data '!BD2825="","",'[1]All Data '!BD2825)</f>
        <v/>
      </c>
      <c r="S2820" s="11" t="str">
        <f>IF(R2820="","",'[1]All Data '!BE2825)</f>
        <v/>
      </c>
      <c r="T2820" s="12" t="str">
        <f>IF(S2820="","",[1]Inputs_Outputs!$B$8*(1-'LOCH Calc COE Calc'!S2820))</f>
        <v/>
      </c>
      <c r="U2820" s="13" t="str">
        <f t="shared" si="221"/>
        <v/>
      </c>
      <c r="V2820" s="13" t="str">
        <f t="shared" si="222"/>
        <v/>
      </c>
      <c r="W2820" s="4" t="str">
        <f t="shared" si="223"/>
        <v/>
      </c>
      <c r="X2820" t="str">
        <f>IF(W2820="","",LOOKUP(_xlfn.CONCAT(P2820,", ",Q2820),'[1]T+S Costs'!$F$2:$F$3138,'[1]T+S Costs'!$N$2:$N$3138))</f>
        <v/>
      </c>
      <c r="Y2820" s="14" t="str">
        <f t="shared" si="224"/>
        <v/>
      </c>
      <c r="Z2820" s="4" t="str">
        <f t="shared" si="225"/>
        <v/>
      </c>
    </row>
    <row r="2821" spans="16:26" x14ac:dyDescent="0.25">
      <c r="P2821" s="10" t="str">
        <f>IF('[1]All Data '!AZ2826="","",'[1]All Data '!AZ2826)</f>
        <v/>
      </c>
      <c r="Q2821" s="10" t="str">
        <f>IF('[1]All Data '!BB2826="","",'[1]All Data '!BB2826)</f>
        <v/>
      </c>
      <c r="R2821" s="10" t="str">
        <f>IF('[1]All Data '!BD2826="","",'[1]All Data '!BD2826)</f>
        <v/>
      </c>
      <c r="S2821" s="11" t="str">
        <f>IF(R2821="","",'[1]All Data '!BE2826)</f>
        <v/>
      </c>
      <c r="T2821" s="12" t="str">
        <f>IF(S2821="","",[1]Inputs_Outputs!$B$8*(1-'LOCH Calc COE Calc'!S2821))</f>
        <v/>
      </c>
      <c r="U2821" s="13" t="str">
        <f t="shared" si="221"/>
        <v/>
      </c>
      <c r="V2821" s="13" t="str">
        <f t="shared" si="222"/>
        <v/>
      </c>
      <c r="W2821" s="4" t="str">
        <f t="shared" si="223"/>
        <v/>
      </c>
      <c r="X2821" t="str">
        <f>IF(W2821="","",LOOKUP(_xlfn.CONCAT(P2821,", ",Q2821),'[1]T+S Costs'!$F$2:$F$3138,'[1]T+S Costs'!$N$2:$N$3138))</f>
        <v/>
      </c>
      <c r="Y2821" s="14" t="str">
        <f t="shared" si="224"/>
        <v/>
      </c>
      <c r="Z2821" s="4" t="str">
        <f t="shared" si="225"/>
        <v/>
      </c>
    </row>
    <row r="2822" spans="16:26" x14ac:dyDescent="0.25">
      <c r="P2822" s="10" t="str">
        <f>IF('[1]All Data '!AZ2827="","",'[1]All Data '!AZ2827)</f>
        <v/>
      </c>
      <c r="Q2822" s="10" t="str">
        <f>IF('[1]All Data '!BB2827="","",'[1]All Data '!BB2827)</f>
        <v/>
      </c>
      <c r="R2822" s="10" t="str">
        <f>IF('[1]All Data '!BD2827="","",'[1]All Data '!BD2827)</f>
        <v/>
      </c>
      <c r="S2822" s="11" t="str">
        <f>IF(R2822="","",'[1]All Data '!BE2827)</f>
        <v/>
      </c>
      <c r="T2822" s="12" t="str">
        <f>IF(S2822="","",[1]Inputs_Outputs!$B$8*(1-'LOCH Calc COE Calc'!S2822))</f>
        <v/>
      </c>
      <c r="U2822" s="13" t="str">
        <f t="shared" si="221"/>
        <v/>
      </c>
      <c r="V2822" s="13" t="str">
        <f t="shared" si="222"/>
        <v/>
      </c>
      <c r="W2822" s="4" t="str">
        <f t="shared" si="223"/>
        <v/>
      </c>
      <c r="X2822" t="str">
        <f>IF(W2822="","",LOOKUP(_xlfn.CONCAT(P2822,", ",Q2822),'[1]T+S Costs'!$F$2:$F$3138,'[1]T+S Costs'!$N$2:$N$3138))</f>
        <v/>
      </c>
      <c r="Y2822" s="14" t="str">
        <f t="shared" si="224"/>
        <v/>
      </c>
      <c r="Z2822" s="4" t="str">
        <f t="shared" si="225"/>
        <v/>
      </c>
    </row>
    <row r="2823" spans="16:26" x14ac:dyDescent="0.25">
      <c r="P2823" s="10" t="str">
        <f>IF('[1]All Data '!AZ2828="","",'[1]All Data '!AZ2828)</f>
        <v/>
      </c>
      <c r="Q2823" s="10" t="str">
        <f>IF('[1]All Data '!BB2828="","",'[1]All Data '!BB2828)</f>
        <v/>
      </c>
      <c r="R2823" s="10" t="str">
        <f>IF('[1]All Data '!BD2828="","",'[1]All Data '!BD2828)</f>
        <v/>
      </c>
      <c r="S2823" s="11" t="str">
        <f>IF(R2823="","",'[1]All Data '!BE2828)</f>
        <v/>
      </c>
      <c r="T2823" s="12" t="str">
        <f>IF(S2823="","",[1]Inputs_Outputs!$B$8*(1-'LOCH Calc COE Calc'!S2823))</f>
        <v/>
      </c>
      <c r="U2823" s="13" t="str">
        <f t="shared" si="221"/>
        <v/>
      </c>
      <c r="V2823" s="13" t="str">
        <f t="shared" si="222"/>
        <v/>
      </c>
      <c r="W2823" s="4" t="str">
        <f t="shared" si="223"/>
        <v/>
      </c>
      <c r="X2823" t="str">
        <f>IF(W2823="","",LOOKUP(_xlfn.CONCAT(P2823,", ",Q2823),'[1]T+S Costs'!$F$2:$F$3138,'[1]T+S Costs'!$N$2:$N$3138))</f>
        <v/>
      </c>
      <c r="Y2823" s="14" t="str">
        <f t="shared" si="224"/>
        <v/>
      </c>
      <c r="Z2823" s="4" t="str">
        <f t="shared" si="225"/>
        <v/>
      </c>
    </row>
    <row r="2824" spans="16:26" x14ac:dyDescent="0.25">
      <c r="P2824" s="10" t="str">
        <f>IF('[1]All Data '!AZ2829="","",'[1]All Data '!AZ2829)</f>
        <v/>
      </c>
      <c r="Q2824" s="10" t="str">
        <f>IF('[1]All Data '!BB2829="","",'[1]All Data '!BB2829)</f>
        <v/>
      </c>
      <c r="R2824" s="10" t="str">
        <f>IF('[1]All Data '!BD2829="","",'[1]All Data '!BD2829)</f>
        <v/>
      </c>
      <c r="S2824" s="11" t="str">
        <f>IF(R2824="","",'[1]All Data '!BE2829)</f>
        <v/>
      </c>
      <c r="T2824" s="12" t="str">
        <f>IF(S2824="","",[1]Inputs_Outputs!$B$8*(1-'LOCH Calc COE Calc'!S2824))</f>
        <v/>
      </c>
      <c r="U2824" s="13" t="str">
        <f t="shared" si="221"/>
        <v/>
      </c>
      <c r="V2824" s="13" t="str">
        <f t="shared" si="222"/>
        <v/>
      </c>
      <c r="W2824" s="4" t="str">
        <f t="shared" si="223"/>
        <v/>
      </c>
      <c r="X2824" t="str">
        <f>IF(W2824="","",LOOKUP(_xlfn.CONCAT(P2824,", ",Q2824),'[1]T+S Costs'!$F$2:$F$3138,'[1]T+S Costs'!$N$2:$N$3138))</f>
        <v/>
      </c>
      <c r="Y2824" s="14" t="str">
        <f t="shared" si="224"/>
        <v/>
      </c>
      <c r="Z2824" s="4" t="str">
        <f t="shared" si="225"/>
        <v/>
      </c>
    </row>
    <row r="2825" spans="16:26" x14ac:dyDescent="0.25">
      <c r="P2825" s="10" t="str">
        <f>IF('[1]All Data '!AZ2830="","",'[1]All Data '!AZ2830)</f>
        <v/>
      </c>
      <c r="Q2825" s="10" t="str">
        <f>IF('[1]All Data '!BB2830="","",'[1]All Data '!BB2830)</f>
        <v/>
      </c>
      <c r="R2825" s="10" t="str">
        <f>IF('[1]All Data '!BD2830="","",'[1]All Data '!BD2830)</f>
        <v/>
      </c>
      <c r="S2825" s="11" t="str">
        <f>IF(R2825="","",'[1]All Data '!BE2830)</f>
        <v/>
      </c>
      <c r="T2825" s="12" t="str">
        <f>IF(S2825="","",[1]Inputs_Outputs!$B$8*(1-'LOCH Calc COE Calc'!S2825))</f>
        <v/>
      </c>
      <c r="U2825" s="13" t="str">
        <f t="shared" si="221"/>
        <v/>
      </c>
      <c r="V2825" s="13" t="str">
        <f t="shared" si="222"/>
        <v/>
      </c>
      <c r="W2825" s="4" t="str">
        <f t="shared" si="223"/>
        <v/>
      </c>
      <c r="X2825" t="str">
        <f>IF(W2825="","",LOOKUP(_xlfn.CONCAT(P2825,", ",Q2825),'[1]T+S Costs'!$F$2:$F$3138,'[1]T+S Costs'!$N$2:$N$3138))</f>
        <v/>
      </c>
      <c r="Y2825" s="14" t="str">
        <f t="shared" si="224"/>
        <v/>
      </c>
      <c r="Z2825" s="4" t="str">
        <f t="shared" si="225"/>
        <v/>
      </c>
    </row>
    <row r="2826" spans="16:26" x14ac:dyDescent="0.25">
      <c r="P2826" s="10" t="str">
        <f>IF('[1]All Data '!AZ2831="","",'[1]All Data '!AZ2831)</f>
        <v/>
      </c>
      <c r="Q2826" s="10" t="str">
        <f>IF('[1]All Data '!BB2831="","",'[1]All Data '!BB2831)</f>
        <v/>
      </c>
      <c r="R2826" s="10" t="str">
        <f>IF('[1]All Data '!BD2831="","",'[1]All Data '!BD2831)</f>
        <v/>
      </c>
      <c r="S2826" s="11" t="str">
        <f>IF(R2826="","",'[1]All Data '!BE2831)</f>
        <v/>
      </c>
      <c r="T2826" s="12" t="str">
        <f>IF(S2826="","",[1]Inputs_Outputs!$B$8*(1-'LOCH Calc COE Calc'!S2826))</f>
        <v/>
      </c>
      <c r="U2826" s="13" t="str">
        <f t="shared" si="221"/>
        <v/>
      </c>
      <c r="V2826" s="13" t="str">
        <f t="shared" si="222"/>
        <v/>
      </c>
      <c r="W2826" s="4" t="str">
        <f t="shared" si="223"/>
        <v/>
      </c>
      <c r="X2826" t="str">
        <f>IF(W2826="","",LOOKUP(_xlfn.CONCAT(P2826,", ",Q2826),'[1]T+S Costs'!$F$2:$F$3138,'[1]T+S Costs'!$N$2:$N$3138))</f>
        <v/>
      </c>
      <c r="Y2826" s="14" t="str">
        <f t="shared" si="224"/>
        <v/>
      </c>
      <c r="Z2826" s="4" t="str">
        <f t="shared" si="225"/>
        <v/>
      </c>
    </row>
    <row r="2827" spans="16:26" x14ac:dyDescent="0.25">
      <c r="P2827" s="10" t="str">
        <f>IF('[1]All Data '!AZ2832="","",'[1]All Data '!AZ2832)</f>
        <v/>
      </c>
      <c r="Q2827" s="10" t="str">
        <f>IF('[1]All Data '!BB2832="","",'[1]All Data '!BB2832)</f>
        <v/>
      </c>
      <c r="R2827" s="10" t="str">
        <f>IF('[1]All Data '!BD2832="","",'[1]All Data '!BD2832)</f>
        <v/>
      </c>
      <c r="S2827" s="11" t="str">
        <f>IF(R2827="","",'[1]All Data '!BE2832)</f>
        <v/>
      </c>
      <c r="T2827" s="12" t="str">
        <f>IF(S2827="","",[1]Inputs_Outputs!$B$8*(1-'LOCH Calc COE Calc'!S2827))</f>
        <v/>
      </c>
      <c r="U2827" s="13" t="str">
        <f t="shared" si="221"/>
        <v/>
      </c>
      <c r="V2827" s="13" t="str">
        <f t="shared" si="222"/>
        <v/>
      </c>
      <c r="W2827" s="4" t="str">
        <f t="shared" si="223"/>
        <v/>
      </c>
      <c r="X2827" t="str">
        <f>IF(W2827="","",LOOKUP(_xlfn.CONCAT(P2827,", ",Q2827),'[1]T+S Costs'!$F$2:$F$3138,'[1]T+S Costs'!$N$2:$N$3138))</f>
        <v/>
      </c>
      <c r="Y2827" s="14" t="str">
        <f t="shared" si="224"/>
        <v/>
      </c>
      <c r="Z2827" s="4" t="str">
        <f t="shared" si="225"/>
        <v/>
      </c>
    </row>
    <row r="2828" spans="16:26" x14ac:dyDescent="0.25">
      <c r="P2828" s="10" t="str">
        <f>IF('[1]All Data '!AZ2833="","",'[1]All Data '!AZ2833)</f>
        <v/>
      </c>
      <c r="Q2828" s="10" t="str">
        <f>IF('[1]All Data '!BB2833="","",'[1]All Data '!BB2833)</f>
        <v/>
      </c>
      <c r="R2828" s="10" t="str">
        <f>IF('[1]All Data '!BD2833="","",'[1]All Data '!BD2833)</f>
        <v/>
      </c>
      <c r="S2828" s="11" t="str">
        <f>IF(R2828="","",'[1]All Data '!BE2833)</f>
        <v/>
      </c>
      <c r="T2828" s="12" t="str">
        <f>IF(S2828="","",[1]Inputs_Outputs!$B$8*(1-'LOCH Calc COE Calc'!S2828))</f>
        <v/>
      </c>
      <c r="U2828" s="13" t="str">
        <f t="shared" si="221"/>
        <v/>
      </c>
      <c r="V2828" s="13" t="str">
        <f t="shared" si="222"/>
        <v/>
      </c>
      <c r="W2828" s="4" t="str">
        <f t="shared" si="223"/>
        <v/>
      </c>
      <c r="X2828" t="str">
        <f>IF(W2828="","",LOOKUP(_xlfn.CONCAT(P2828,", ",Q2828),'[1]T+S Costs'!$F$2:$F$3138,'[1]T+S Costs'!$N$2:$N$3138))</f>
        <v/>
      </c>
      <c r="Y2828" s="14" t="str">
        <f t="shared" si="224"/>
        <v/>
      </c>
      <c r="Z2828" s="4" t="str">
        <f t="shared" si="225"/>
        <v/>
      </c>
    </row>
    <row r="2829" spans="16:26" x14ac:dyDescent="0.25">
      <c r="P2829" s="10" t="str">
        <f>IF('[1]All Data '!AZ2834="","",'[1]All Data '!AZ2834)</f>
        <v/>
      </c>
      <c r="Q2829" s="10" t="str">
        <f>IF('[1]All Data '!BB2834="","",'[1]All Data '!BB2834)</f>
        <v/>
      </c>
      <c r="R2829" s="10" t="str">
        <f>IF('[1]All Data '!BD2834="","",'[1]All Data '!BD2834)</f>
        <v/>
      </c>
      <c r="S2829" s="11" t="str">
        <f>IF(R2829="","",'[1]All Data '!BE2834)</f>
        <v/>
      </c>
      <c r="T2829" s="12" t="str">
        <f>IF(S2829="","",[1]Inputs_Outputs!$B$8*(1-'LOCH Calc COE Calc'!S2829))</f>
        <v/>
      </c>
      <c r="U2829" s="13" t="str">
        <f t="shared" si="221"/>
        <v/>
      </c>
      <c r="V2829" s="13" t="str">
        <f t="shared" si="222"/>
        <v/>
      </c>
      <c r="W2829" s="4" t="str">
        <f t="shared" si="223"/>
        <v/>
      </c>
      <c r="X2829" t="str">
        <f>IF(W2829="","",LOOKUP(_xlfn.CONCAT(P2829,", ",Q2829),'[1]T+S Costs'!$F$2:$F$3138,'[1]T+S Costs'!$N$2:$N$3138))</f>
        <v/>
      </c>
      <c r="Y2829" s="14" t="str">
        <f t="shared" si="224"/>
        <v/>
      </c>
      <c r="Z2829" s="4" t="str">
        <f t="shared" si="225"/>
        <v/>
      </c>
    </row>
    <row r="2830" spans="16:26" x14ac:dyDescent="0.25">
      <c r="P2830" s="10" t="str">
        <f>IF('[1]All Data '!AZ2835="","",'[1]All Data '!AZ2835)</f>
        <v/>
      </c>
      <c r="Q2830" s="10" t="str">
        <f>IF('[1]All Data '!BB2835="","",'[1]All Data '!BB2835)</f>
        <v/>
      </c>
      <c r="R2830" s="10" t="str">
        <f>IF('[1]All Data '!BD2835="","",'[1]All Data '!BD2835)</f>
        <v/>
      </c>
      <c r="S2830" s="11" t="str">
        <f>IF(R2830="","",'[1]All Data '!BE2835)</f>
        <v/>
      </c>
      <c r="T2830" s="12" t="str">
        <f>IF(S2830="","",[1]Inputs_Outputs!$B$8*(1-'LOCH Calc COE Calc'!S2830))</f>
        <v/>
      </c>
      <c r="U2830" s="13" t="str">
        <f t="shared" si="221"/>
        <v/>
      </c>
      <c r="V2830" s="13" t="str">
        <f t="shared" si="222"/>
        <v/>
      </c>
      <c r="W2830" s="4" t="str">
        <f t="shared" si="223"/>
        <v/>
      </c>
      <c r="X2830" t="str">
        <f>IF(W2830="","",LOOKUP(_xlfn.CONCAT(P2830,", ",Q2830),'[1]T+S Costs'!$F$2:$F$3138,'[1]T+S Costs'!$N$2:$N$3138))</f>
        <v/>
      </c>
      <c r="Y2830" s="14" t="str">
        <f t="shared" si="224"/>
        <v/>
      </c>
      <c r="Z2830" s="4" t="str">
        <f t="shared" si="225"/>
        <v/>
      </c>
    </row>
    <row r="2831" spans="16:26" x14ac:dyDescent="0.25">
      <c r="P2831" s="10" t="str">
        <f>IF('[1]All Data '!AZ2836="","",'[1]All Data '!AZ2836)</f>
        <v/>
      </c>
      <c r="Q2831" s="10" t="str">
        <f>IF('[1]All Data '!BB2836="","",'[1]All Data '!BB2836)</f>
        <v/>
      </c>
      <c r="R2831" s="10" t="str">
        <f>IF('[1]All Data '!BD2836="","",'[1]All Data '!BD2836)</f>
        <v/>
      </c>
      <c r="S2831" s="11" t="str">
        <f>IF(R2831="","",'[1]All Data '!BE2836)</f>
        <v/>
      </c>
      <c r="T2831" s="12" t="str">
        <f>IF(S2831="","",[1]Inputs_Outputs!$B$8*(1-'LOCH Calc COE Calc'!S2831))</f>
        <v/>
      </c>
      <c r="U2831" s="13" t="str">
        <f t="shared" si="221"/>
        <v/>
      </c>
      <c r="V2831" s="13" t="str">
        <f t="shared" si="222"/>
        <v/>
      </c>
      <c r="W2831" s="4" t="str">
        <f t="shared" si="223"/>
        <v/>
      </c>
      <c r="X2831" t="str">
        <f>IF(W2831="","",LOOKUP(_xlfn.CONCAT(P2831,", ",Q2831),'[1]T+S Costs'!$F$2:$F$3138,'[1]T+S Costs'!$N$2:$N$3138))</f>
        <v/>
      </c>
      <c r="Y2831" s="14" t="str">
        <f t="shared" si="224"/>
        <v/>
      </c>
      <c r="Z2831" s="4" t="str">
        <f t="shared" si="225"/>
        <v/>
      </c>
    </row>
    <row r="2832" spans="16:26" x14ac:dyDescent="0.25">
      <c r="P2832" s="10" t="str">
        <f>IF('[1]All Data '!AZ2837="","",'[1]All Data '!AZ2837)</f>
        <v/>
      </c>
      <c r="Q2832" s="10" t="str">
        <f>IF('[1]All Data '!BB2837="","",'[1]All Data '!BB2837)</f>
        <v/>
      </c>
      <c r="R2832" s="10" t="str">
        <f>IF('[1]All Data '!BD2837="","",'[1]All Data '!BD2837)</f>
        <v/>
      </c>
      <c r="S2832" s="11" t="str">
        <f>IF(R2832="","",'[1]All Data '!BE2837)</f>
        <v/>
      </c>
      <c r="T2832" s="12" t="str">
        <f>IF(S2832="","",[1]Inputs_Outputs!$B$8*(1-'LOCH Calc COE Calc'!S2832))</f>
        <v/>
      </c>
      <c r="U2832" s="13" t="str">
        <f t="shared" si="221"/>
        <v/>
      </c>
      <c r="V2832" s="13" t="str">
        <f t="shared" si="222"/>
        <v/>
      </c>
      <c r="W2832" s="4" t="str">
        <f t="shared" si="223"/>
        <v/>
      </c>
      <c r="X2832" t="str">
        <f>IF(W2832="","",LOOKUP(_xlfn.CONCAT(P2832,", ",Q2832),'[1]T+S Costs'!$F$2:$F$3138,'[1]T+S Costs'!$N$2:$N$3138))</f>
        <v/>
      </c>
      <c r="Y2832" s="14" t="str">
        <f t="shared" si="224"/>
        <v/>
      </c>
      <c r="Z2832" s="4" t="str">
        <f t="shared" si="225"/>
        <v/>
      </c>
    </row>
    <row r="2833" spans="16:26" x14ac:dyDescent="0.25">
      <c r="P2833" s="10" t="str">
        <f>IF('[1]All Data '!AZ2838="","",'[1]All Data '!AZ2838)</f>
        <v/>
      </c>
      <c r="Q2833" s="10" t="str">
        <f>IF('[1]All Data '!BB2838="","",'[1]All Data '!BB2838)</f>
        <v/>
      </c>
      <c r="R2833" s="10" t="str">
        <f>IF('[1]All Data '!BD2838="","",'[1]All Data '!BD2838)</f>
        <v/>
      </c>
      <c r="S2833" s="11" t="str">
        <f>IF(R2833="","",'[1]All Data '!BE2838)</f>
        <v/>
      </c>
      <c r="T2833" s="12" t="str">
        <f>IF(S2833="","",[1]Inputs_Outputs!$B$8*(1-'LOCH Calc COE Calc'!S2833))</f>
        <v/>
      </c>
      <c r="U2833" s="13" t="str">
        <f t="shared" si="221"/>
        <v/>
      </c>
      <c r="V2833" s="13" t="str">
        <f t="shared" si="222"/>
        <v/>
      </c>
      <c r="W2833" s="4" t="str">
        <f t="shared" si="223"/>
        <v/>
      </c>
      <c r="X2833" t="str">
        <f>IF(W2833="","",LOOKUP(_xlfn.CONCAT(P2833,", ",Q2833),'[1]T+S Costs'!$F$2:$F$3138,'[1]T+S Costs'!$N$2:$N$3138))</f>
        <v/>
      </c>
      <c r="Y2833" s="14" t="str">
        <f t="shared" si="224"/>
        <v/>
      </c>
      <c r="Z2833" s="4" t="str">
        <f t="shared" si="225"/>
        <v/>
      </c>
    </row>
    <row r="2834" spans="16:26" x14ac:dyDescent="0.25">
      <c r="P2834" s="10" t="str">
        <f>IF('[1]All Data '!AZ2839="","",'[1]All Data '!AZ2839)</f>
        <v/>
      </c>
      <c r="Q2834" s="10" t="str">
        <f>IF('[1]All Data '!BB2839="","",'[1]All Data '!BB2839)</f>
        <v/>
      </c>
      <c r="R2834" s="10" t="str">
        <f>IF('[1]All Data '!BD2839="","",'[1]All Data '!BD2839)</f>
        <v/>
      </c>
      <c r="S2834" s="11" t="str">
        <f>IF(R2834="","",'[1]All Data '!BE2839)</f>
        <v/>
      </c>
      <c r="T2834" s="12" t="str">
        <f>IF(S2834="","",[1]Inputs_Outputs!$B$8*(1-'LOCH Calc COE Calc'!S2834))</f>
        <v/>
      </c>
      <c r="U2834" s="13" t="str">
        <f t="shared" si="221"/>
        <v/>
      </c>
      <c r="V2834" s="13" t="str">
        <f t="shared" si="222"/>
        <v/>
      </c>
      <c r="W2834" s="4" t="str">
        <f t="shared" si="223"/>
        <v/>
      </c>
      <c r="X2834" t="str">
        <f>IF(W2834="","",LOOKUP(_xlfn.CONCAT(P2834,", ",Q2834),'[1]T+S Costs'!$F$2:$F$3138,'[1]T+S Costs'!$N$2:$N$3138))</f>
        <v/>
      </c>
      <c r="Y2834" s="14" t="str">
        <f t="shared" si="224"/>
        <v/>
      </c>
      <c r="Z2834" s="4" t="str">
        <f t="shared" si="225"/>
        <v/>
      </c>
    </row>
    <row r="2835" spans="16:26" x14ac:dyDescent="0.25">
      <c r="P2835" s="10" t="str">
        <f>IF('[1]All Data '!AZ2840="","",'[1]All Data '!AZ2840)</f>
        <v/>
      </c>
      <c r="Q2835" s="10" t="str">
        <f>IF('[1]All Data '!BB2840="","",'[1]All Data '!BB2840)</f>
        <v/>
      </c>
      <c r="R2835" s="10" t="str">
        <f>IF('[1]All Data '!BD2840="","",'[1]All Data '!BD2840)</f>
        <v/>
      </c>
      <c r="S2835" s="11" t="str">
        <f>IF(R2835="","",'[1]All Data '!BE2840)</f>
        <v/>
      </c>
      <c r="T2835" s="12" t="str">
        <f>IF(S2835="","",[1]Inputs_Outputs!$B$8*(1-'LOCH Calc COE Calc'!S2835))</f>
        <v/>
      </c>
      <c r="U2835" s="13" t="str">
        <f t="shared" si="221"/>
        <v/>
      </c>
      <c r="V2835" s="13" t="str">
        <f t="shared" si="222"/>
        <v/>
      </c>
      <c r="W2835" s="4" t="str">
        <f t="shared" si="223"/>
        <v/>
      </c>
      <c r="X2835" t="str">
        <f>IF(W2835="","",LOOKUP(_xlfn.CONCAT(P2835,", ",Q2835),'[1]T+S Costs'!$F$2:$F$3138,'[1]T+S Costs'!$N$2:$N$3138))</f>
        <v/>
      </c>
      <c r="Y2835" s="14" t="str">
        <f t="shared" si="224"/>
        <v/>
      </c>
      <c r="Z2835" s="4" t="str">
        <f t="shared" si="225"/>
        <v/>
      </c>
    </row>
    <row r="2836" spans="16:26" x14ac:dyDescent="0.25">
      <c r="P2836" s="10" t="str">
        <f>IF('[1]All Data '!AZ2841="","",'[1]All Data '!AZ2841)</f>
        <v/>
      </c>
      <c r="Q2836" s="10" t="str">
        <f>IF('[1]All Data '!BB2841="","",'[1]All Data '!BB2841)</f>
        <v/>
      </c>
      <c r="R2836" s="10" t="str">
        <f>IF('[1]All Data '!BD2841="","",'[1]All Data '!BD2841)</f>
        <v/>
      </c>
      <c r="S2836" s="11" t="str">
        <f>IF(R2836="","",'[1]All Data '!BE2841)</f>
        <v/>
      </c>
      <c r="T2836" s="12" t="str">
        <f>IF(S2836="","",[1]Inputs_Outputs!$B$8*(1-'LOCH Calc COE Calc'!S2836))</f>
        <v/>
      </c>
      <c r="U2836" s="13" t="str">
        <f t="shared" si="221"/>
        <v/>
      </c>
      <c r="V2836" s="13" t="str">
        <f t="shared" si="222"/>
        <v/>
      </c>
      <c r="W2836" s="4" t="str">
        <f t="shared" si="223"/>
        <v/>
      </c>
      <c r="X2836" t="str">
        <f>IF(W2836="","",LOOKUP(_xlfn.CONCAT(P2836,", ",Q2836),'[1]T+S Costs'!$F$2:$F$3138,'[1]T+S Costs'!$N$2:$N$3138))</f>
        <v/>
      </c>
      <c r="Y2836" s="14" t="str">
        <f t="shared" si="224"/>
        <v/>
      </c>
      <c r="Z2836" s="4" t="str">
        <f t="shared" si="225"/>
        <v/>
      </c>
    </row>
    <row r="2837" spans="16:26" x14ac:dyDescent="0.25">
      <c r="P2837" s="10" t="str">
        <f>IF('[1]All Data '!AZ2842="","",'[1]All Data '!AZ2842)</f>
        <v/>
      </c>
      <c r="Q2837" s="10" t="str">
        <f>IF('[1]All Data '!BB2842="","",'[1]All Data '!BB2842)</f>
        <v/>
      </c>
      <c r="R2837" s="10" t="str">
        <f>IF('[1]All Data '!BD2842="","",'[1]All Data '!BD2842)</f>
        <v/>
      </c>
      <c r="S2837" s="11" t="str">
        <f>IF(R2837="","",'[1]All Data '!BE2842)</f>
        <v/>
      </c>
      <c r="T2837" s="12" t="str">
        <f>IF(S2837="","",[1]Inputs_Outputs!$B$8*(1-'LOCH Calc COE Calc'!S2837))</f>
        <v/>
      </c>
      <c r="U2837" s="13" t="str">
        <f t="shared" si="221"/>
        <v/>
      </c>
      <c r="V2837" s="13" t="str">
        <f t="shared" si="222"/>
        <v/>
      </c>
      <c r="W2837" s="4" t="str">
        <f t="shared" si="223"/>
        <v/>
      </c>
      <c r="X2837" t="str">
        <f>IF(W2837="","",LOOKUP(_xlfn.CONCAT(P2837,", ",Q2837),'[1]T+S Costs'!$F$2:$F$3138,'[1]T+S Costs'!$N$2:$N$3138))</f>
        <v/>
      </c>
      <c r="Y2837" s="14" t="str">
        <f t="shared" si="224"/>
        <v/>
      </c>
      <c r="Z2837" s="4" t="str">
        <f t="shared" si="225"/>
        <v/>
      </c>
    </row>
    <row r="2838" spans="16:26" x14ac:dyDescent="0.25">
      <c r="P2838" s="10" t="str">
        <f>IF('[1]All Data '!AZ2843="","",'[1]All Data '!AZ2843)</f>
        <v/>
      </c>
      <c r="Q2838" s="10" t="str">
        <f>IF('[1]All Data '!BB2843="","",'[1]All Data '!BB2843)</f>
        <v/>
      </c>
      <c r="R2838" s="10" t="str">
        <f>IF('[1]All Data '!BD2843="","",'[1]All Data '!BD2843)</f>
        <v/>
      </c>
      <c r="S2838" s="11" t="str">
        <f>IF(R2838="","",'[1]All Data '!BE2843)</f>
        <v/>
      </c>
      <c r="T2838" s="12" t="str">
        <f>IF(S2838="","",[1]Inputs_Outputs!$B$8*(1-'LOCH Calc COE Calc'!S2838))</f>
        <v/>
      </c>
      <c r="U2838" s="13" t="str">
        <f t="shared" si="221"/>
        <v/>
      </c>
      <c r="V2838" s="13" t="str">
        <f t="shared" si="222"/>
        <v/>
      </c>
      <c r="W2838" s="4" t="str">
        <f t="shared" si="223"/>
        <v/>
      </c>
      <c r="X2838" t="str">
        <f>IF(W2838="","",LOOKUP(_xlfn.CONCAT(P2838,", ",Q2838),'[1]T+S Costs'!$F$2:$F$3138,'[1]T+S Costs'!$N$2:$N$3138))</f>
        <v/>
      </c>
      <c r="Y2838" s="14" t="str">
        <f t="shared" si="224"/>
        <v/>
      </c>
      <c r="Z2838" s="4" t="str">
        <f t="shared" si="225"/>
        <v/>
      </c>
    </row>
    <row r="2839" spans="16:26" x14ac:dyDescent="0.25">
      <c r="P2839" s="10" t="str">
        <f>IF('[1]All Data '!AZ2844="","",'[1]All Data '!AZ2844)</f>
        <v/>
      </c>
      <c r="Q2839" s="10" t="str">
        <f>IF('[1]All Data '!BB2844="","",'[1]All Data '!BB2844)</f>
        <v/>
      </c>
      <c r="R2839" s="10" t="str">
        <f>IF('[1]All Data '!BD2844="","",'[1]All Data '!BD2844)</f>
        <v/>
      </c>
      <c r="S2839" s="11" t="str">
        <f>IF(R2839="","",'[1]All Data '!BE2844)</f>
        <v/>
      </c>
      <c r="T2839" s="12" t="str">
        <f>IF(S2839="","",[1]Inputs_Outputs!$B$8*(1-'LOCH Calc COE Calc'!S2839))</f>
        <v/>
      </c>
      <c r="U2839" s="13" t="str">
        <f t="shared" si="221"/>
        <v/>
      </c>
      <c r="V2839" s="13" t="str">
        <f t="shared" si="222"/>
        <v/>
      </c>
      <c r="W2839" s="4" t="str">
        <f t="shared" si="223"/>
        <v/>
      </c>
      <c r="X2839" t="str">
        <f>IF(W2839="","",LOOKUP(_xlfn.CONCAT(P2839,", ",Q2839),'[1]T+S Costs'!$F$2:$F$3138,'[1]T+S Costs'!$N$2:$N$3138))</f>
        <v/>
      </c>
      <c r="Y2839" s="14" t="str">
        <f t="shared" si="224"/>
        <v/>
      </c>
      <c r="Z2839" s="4" t="str">
        <f t="shared" si="225"/>
        <v/>
      </c>
    </row>
    <row r="2840" spans="16:26" x14ac:dyDescent="0.25">
      <c r="P2840" s="10" t="str">
        <f>IF('[1]All Data '!AZ2845="","",'[1]All Data '!AZ2845)</f>
        <v/>
      </c>
      <c r="Q2840" s="10" t="str">
        <f>IF('[1]All Data '!BB2845="","",'[1]All Data '!BB2845)</f>
        <v/>
      </c>
      <c r="R2840" s="10" t="str">
        <f>IF('[1]All Data '!BD2845="","",'[1]All Data '!BD2845)</f>
        <v/>
      </c>
      <c r="S2840" s="11" t="str">
        <f>IF(R2840="","",'[1]All Data '!BE2845)</f>
        <v/>
      </c>
      <c r="T2840" s="12" t="str">
        <f>IF(S2840="","",[1]Inputs_Outputs!$B$8*(1-'LOCH Calc COE Calc'!S2840))</f>
        <v/>
      </c>
      <c r="U2840" s="13" t="str">
        <f t="shared" si="221"/>
        <v/>
      </c>
      <c r="V2840" s="13" t="str">
        <f t="shared" si="222"/>
        <v/>
      </c>
      <c r="W2840" s="4" t="str">
        <f t="shared" si="223"/>
        <v/>
      </c>
      <c r="X2840" t="str">
        <f>IF(W2840="","",LOOKUP(_xlfn.CONCAT(P2840,", ",Q2840),'[1]T+S Costs'!$F$2:$F$3138,'[1]T+S Costs'!$N$2:$N$3138))</f>
        <v/>
      </c>
      <c r="Y2840" s="14" t="str">
        <f t="shared" si="224"/>
        <v/>
      </c>
      <c r="Z2840" s="4" t="str">
        <f t="shared" si="225"/>
        <v/>
      </c>
    </row>
    <row r="2841" spans="16:26" x14ac:dyDescent="0.25">
      <c r="P2841" s="10" t="str">
        <f>IF('[1]All Data '!AZ2846="","",'[1]All Data '!AZ2846)</f>
        <v/>
      </c>
      <c r="Q2841" s="10" t="str">
        <f>IF('[1]All Data '!BB2846="","",'[1]All Data '!BB2846)</f>
        <v/>
      </c>
      <c r="R2841" s="10" t="str">
        <f>IF('[1]All Data '!BD2846="","",'[1]All Data '!BD2846)</f>
        <v/>
      </c>
      <c r="S2841" s="11" t="str">
        <f>IF(R2841="","",'[1]All Data '!BE2846)</f>
        <v/>
      </c>
      <c r="T2841" s="12" t="str">
        <f>IF(S2841="","",[1]Inputs_Outputs!$B$8*(1-'LOCH Calc COE Calc'!S2841))</f>
        <v/>
      </c>
      <c r="U2841" s="13" t="str">
        <f t="shared" si="221"/>
        <v/>
      </c>
      <c r="V2841" s="13" t="str">
        <f t="shared" si="222"/>
        <v/>
      </c>
      <c r="W2841" s="4" t="str">
        <f t="shared" si="223"/>
        <v/>
      </c>
      <c r="X2841" t="str">
        <f>IF(W2841="","",LOOKUP(_xlfn.CONCAT(P2841,", ",Q2841),'[1]T+S Costs'!$F$2:$F$3138,'[1]T+S Costs'!$N$2:$N$3138))</f>
        <v/>
      </c>
      <c r="Y2841" s="14" t="str">
        <f t="shared" si="224"/>
        <v/>
      </c>
      <c r="Z2841" s="4" t="str">
        <f t="shared" si="225"/>
        <v/>
      </c>
    </row>
    <row r="2842" spans="16:26" x14ac:dyDescent="0.25">
      <c r="P2842" s="10" t="str">
        <f>IF('[1]All Data '!AZ2847="","",'[1]All Data '!AZ2847)</f>
        <v/>
      </c>
      <c r="Q2842" s="10" t="str">
        <f>IF('[1]All Data '!BB2847="","",'[1]All Data '!BB2847)</f>
        <v/>
      </c>
      <c r="R2842" s="10" t="str">
        <f>IF('[1]All Data '!BD2847="","",'[1]All Data '!BD2847)</f>
        <v/>
      </c>
      <c r="S2842" s="11" t="str">
        <f>IF(R2842="","",'[1]All Data '!BE2847)</f>
        <v/>
      </c>
      <c r="T2842" s="12" t="str">
        <f>IF(S2842="","",[1]Inputs_Outputs!$B$8*(1-'LOCH Calc COE Calc'!S2842))</f>
        <v/>
      </c>
      <c r="U2842" s="13" t="str">
        <f t="shared" si="221"/>
        <v/>
      </c>
      <c r="V2842" s="13" t="str">
        <f t="shared" si="222"/>
        <v/>
      </c>
      <c r="W2842" s="4" t="str">
        <f t="shared" si="223"/>
        <v/>
      </c>
      <c r="X2842" t="str">
        <f>IF(W2842="","",LOOKUP(_xlfn.CONCAT(P2842,", ",Q2842),'[1]T+S Costs'!$F$2:$F$3138,'[1]T+S Costs'!$N$2:$N$3138))</f>
        <v/>
      </c>
      <c r="Y2842" s="14" t="str">
        <f t="shared" si="224"/>
        <v/>
      </c>
      <c r="Z2842" s="4" t="str">
        <f t="shared" si="225"/>
        <v/>
      </c>
    </row>
    <row r="2843" spans="16:26" x14ac:dyDescent="0.25">
      <c r="P2843" s="10" t="str">
        <f>IF('[1]All Data '!AZ2848="","",'[1]All Data '!AZ2848)</f>
        <v/>
      </c>
      <c r="Q2843" s="10" t="str">
        <f>IF('[1]All Data '!BB2848="","",'[1]All Data '!BB2848)</f>
        <v/>
      </c>
      <c r="R2843" s="10" t="str">
        <f>IF('[1]All Data '!BD2848="","",'[1]All Data '!BD2848)</f>
        <v/>
      </c>
      <c r="S2843" s="11" t="str">
        <f>IF(R2843="","",'[1]All Data '!BE2848)</f>
        <v/>
      </c>
      <c r="T2843" s="12" t="str">
        <f>IF(S2843="","",[1]Inputs_Outputs!$B$8*(1-'LOCH Calc COE Calc'!S2843))</f>
        <v/>
      </c>
      <c r="U2843" s="13" t="str">
        <f t="shared" si="221"/>
        <v/>
      </c>
      <c r="V2843" s="13" t="str">
        <f t="shared" si="222"/>
        <v/>
      </c>
      <c r="W2843" s="4" t="str">
        <f t="shared" si="223"/>
        <v/>
      </c>
      <c r="X2843" t="str">
        <f>IF(W2843="","",LOOKUP(_xlfn.CONCAT(P2843,", ",Q2843),'[1]T+S Costs'!$F$2:$F$3138,'[1]T+S Costs'!$N$2:$N$3138))</f>
        <v/>
      </c>
      <c r="Y2843" s="14" t="str">
        <f t="shared" si="224"/>
        <v/>
      </c>
      <c r="Z2843" s="4" t="str">
        <f t="shared" si="225"/>
        <v/>
      </c>
    </row>
    <row r="2844" spans="16:26" x14ac:dyDescent="0.25">
      <c r="P2844" s="10" t="str">
        <f>IF('[1]All Data '!AZ2849="","",'[1]All Data '!AZ2849)</f>
        <v/>
      </c>
      <c r="Q2844" s="10" t="str">
        <f>IF('[1]All Data '!BB2849="","",'[1]All Data '!BB2849)</f>
        <v/>
      </c>
      <c r="R2844" s="10" t="str">
        <f>IF('[1]All Data '!BD2849="","",'[1]All Data '!BD2849)</f>
        <v/>
      </c>
      <c r="S2844" s="11" t="str">
        <f>IF(R2844="","",'[1]All Data '!BE2849)</f>
        <v/>
      </c>
      <c r="T2844" s="12" t="str">
        <f>IF(S2844="","",[1]Inputs_Outputs!$B$8*(1-'LOCH Calc COE Calc'!S2844))</f>
        <v/>
      </c>
      <c r="U2844" s="13" t="str">
        <f t="shared" si="221"/>
        <v/>
      </c>
      <c r="V2844" s="13" t="str">
        <f t="shared" si="222"/>
        <v/>
      </c>
      <c r="W2844" s="4" t="str">
        <f t="shared" si="223"/>
        <v/>
      </c>
      <c r="X2844" t="str">
        <f>IF(W2844="","",LOOKUP(_xlfn.CONCAT(P2844,", ",Q2844),'[1]T+S Costs'!$F$2:$F$3138,'[1]T+S Costs'!$N$2:$N$3138))</f>
        <v/>
      </c>
      <c r="Y2844" s="14" t="str">
        <f t="shared" si="224"/>
        <v/>
      </c>
      <c r="Z2844" s="4" t="str">
        <f t="shared" si="225"/>
        <v/>
      </c>
    </row>
    <row r="2845" spans="16:26" x14ac:dyDescent="0.25">
      <c r="P2845" s="10" t="str">
        <f>IF('[1]All Data '!AZ2850="","",'[1]All Data '!AZ2850)</f>
        <v/>
      </c>
      <c r="Q2845" s="10" t="str">
        <f>IF('[1]All Data '!BB2850="","",'[1]All Data '!BB2850)</f>
        <v/>
      </c>
      <c r="R2845" s="10" t="str">
        <f>IF('[1]All Data '!BD2850="","",'[1]All Data '!BD2850)</f>
        <v/>
      </c>
      <c r="S2845" s="11" t="str">
        <f>IF(R2845="","",'[1]All Data '!BE2850)</f>
        <v/>
      </c>
      <c r="T2845" s="12" t="str">
        <f>IF(S2845="","",[1]Inputs_Outputs!$B$8*(1-'LOCH Calc COE Calc'!S2845))</f>
        <v/>
      </c>
      <c r="U2845" s="13" t="str">
        <f t="shared" si="221"/>
        <v/>
      </c>
      <c r="V2845" s="13" t="str">
        <f t="shared" si="222"/>
        <v/>
      </c>
      <c r="W2845" s="4" t="str">
        <f t="shared" si="223"/>
        <v/>
      </c>
      <c r="X2845" t="str">
        <f>IF(W2845="","",LOOKUP(_xlfn.CONCAT(P2845,", ",Q2845),'[1]T+S Costs'!$F$2:$F$3138,'[1]T+S Costs'!$N$2:$N$3138))</f>
        <v/>
      </c>
      <c r="Y2845" s="14" t="str">
        <f t="shared" si="224"/>
        <v/>
      </c>
      <c r="Z2845" s="4" t="str">
        <f t="shared" si="225"/>
        <v/>
      </c>
    </row>
    <row r="2846" spans="16:26" x14ac:dyDescent="0.25">
      <c r="P2846" s="10" t="str">
        <f>IF('[1]All Data '!AZ2851="","",'[1]All Data '!AZ2851)</f>
        <v/>
      </c>
      <c r="Q2846" s="10" t="str">
        <f>IF('[1]All Data '!BB2851="","",'[1]All Data '!BB2851)</f>
        <v/>
      </c>
      <c r="R2846" s="10" t="str">
        <f>IF('[1]All Data '!BD2851="","",'[1]All Data '!BD2851)</f>
        <v/>
      </c>
      <c r="S2846" s="11" t="str">
        <f>IF(R2846="","",'[1]All Data '!BE2851)</f>
        <v/>
      </c>
      <c r="T2846" s="12" t="str">
        <f>IF(S2846="","",[1]Inputs_Outputs!$B$8*(1-'LOCH Calc COE Calc'!S2846))</f>
        <v/>
      </c>
      <c r="U2846" s="13" t="str">
        <f t="shared" si="221"/>
        <v/>
      </c>
      <c r="V2846" s="13" t="str">
        <f t="shared" si="222"/>
        <v/>
      </c>
      <c r="W2846" s="4" t="str">
        <f t="shared" si="223"/>
        <v/>
      </c>
      <c r="X2846" t="str">
        <f>IF(W2846="","",LOOKUP(_xlfn.CONCAT(P2846,", ",Q2846),'[1]T+S Costs'!$F$2:$F$3138,'[1]T+S Costs'!$N$2:$N$3138))</f>
        <v/>
      </c>
      <c r="Y2846" s="14" t="str">
        <f t="shared" si="224"/>
        <v/>
      </c>
      <c r="Z2846" s="4" t="str">
        <f t="shared" si="225"/>
        <v/>
      </c>
    </row>
    <row r="2847" spans="16:26" x14ac:dyDescent="0.25">
      <c r="P2847" s="10" t="str">
        <f>IF('[1]All Data '!AZ2852="","",'[1]All Data '!AZ2852)</f>
        <v/>
      </c>
      <c r="Q2847" s="10" t="str">
        <f>IF('[1]All Data '!BB2852="","",'[1]All Data '!BB2852)</f>
        <v/>
      </c>
      <c r="R2847" s="10" t="str">
        <f>IF('[1]All Data '!BD2852="","",'[1]All Data '!BD2852)</f>
        <v/>
      </c>
      <c r="S2847" s="11" t="str">
        <f>IF(R2847="","",'[1]All Data '!BE2852)</f>
        <v/>
      </c>
      <c r="T2847" s="12" t="str">
        <f>IF(S2847="","",[1]Inputs_Outputs!$B$8*(1-'LOCH Calc COE Calc'!S2847))</f>
        <v/>
      </c>
      <c r="U2847" s="13" t="str">
        <f t="shared" si="221"/>
        <v/>
      </c>
      <c r="V2847" s="13" t="str">
        <f t="shared" si="222"/>
        <v/>
      </c>
      <c r="W2847" s="4" t="str">
        <f t="shared" si="223"/>
        <v/>
      </c>
      <c r="X2847" t="str">
        <f>IF(W2847="","",LOOKUP(_xlfn.CONCAT(P2847,", ",Q2847),'[1]T+S Costs'!$F$2:$F$3138,'[1]T+S Costs'!$N$2:$N$3138))</f>
        <v/>
      </c>
      <c r="Y2847" s="14" t="str">
        <f t="shared" si="224"/>
        <v/>
      </c>
      <c r="Z2847" s="4" t="str">
        <f t="shared" si="225"/>
        <v/>
      </c>
    </row>
    <row r="2848" spans="16:26" x14ac:dyDescent="0.25">
      <c r="P2848" s="10" t="str">
        <f>IF('[1]All Data '!AZ2853="","",'[1]All Data '!AZ2853)</f>
        <v/>
      </c>
      <c r="Q2848" s="10" t="str">
        <f>IF('[1]All Data '!BB2853="","",'[1]All Data '!BB2853)</f>
        <v/>
      </c>
      <c r="R2848" s="10" t="str">
        <f>IF('[1]All Data '!BD2853="","",'[1]All Data '!BD2853)</f>
        <v/>
      </c>
      <c r="S2848" s="11" t="str">
        <f>IF(R2848="","",'[1]All Data '!BE2853)</f>
        <v/>
      </c>
      <c r="T2848" s="12" t="str">
        <f>IF(S2848="","",[1]Inputs_Outputs!$B$8*(1-'LOCH Calc COE Calc'!S2848))</f>
        <v/>
      </c>
      <c r="U2848" s="13" t="str">
        <f t="shared" si="221"/>
        <v/>
      </c>
      <c r="V2848" s="13" t="str">
        <f t="shared" si="222"/>
        <v/>
      </c>
      <c r="W2848" s="4" t="str">
        <f t="shared" si="223"/>
        <v/>
      </c>
      <c r="X2848" t="str">
        <f>IF(W2848="","",LOOKUP(_xlfn.CONCAT(P2848,", ",Q2848),'[1]T+S Costs'!$F$2:$F$3138,'[1]T+S Costs'!$N$2:$N$3138))</f>
        <v/>
      </c>
      <c r="Y2848" s="14" t="str">
        <f t="shared" si="224"/>
        <v/>
      </c>
      <c r="Z2848" s="4" t="str">
        <f t="shared" si="225"/>
        <v/>
      </c>
    </row>
    <row r="2849" spans="16:26" x14ac:dyDescent="0.25">
      <c r="P2849" s="10" t="str">
        <f>IF('[1]All Data '!AZ2854="","",'[1]All Data '!AZ2854)</f>
        <v/>
      </c>
      <c r="Q2849" s="10" t="str">
        <f>IF('[1]All Data '!BB2854="","",'[1]All Data '!BB2854)</f>
        <v/>
      </c>
      <c r="R2849" s="10" t="str">
        <f>IF('[1]All Data '!BD2854="","",'[1]All Data '!BD2854)</f>
        <v/>
      </c>
      <c r="S2849" s="11" t="str">
        <f>IF(R2849="","",'[1]All Data '!BE2854)</f>
        <v/>
      </c>
      <c r="T2849" s="12" t="str">
        <f>IF(S2849="","",[1]Inputs_Outputs!$B$8*(1-'LOCH Calc COE Calc'!S2849))</f>
        <v/>
      </c>
      <c r="U2849" s="13" t="str">
        <f t="shared" si="221"/>
        <v/>
      </c>
      <c r="V2849" s="13" t="str">
        <f t="shared" si="222"/>
        <v/>
      </c>
      <c r="W2849" s="4" t="str">
        <f t="shared" si="223"/>
        <v/>
      </c>
      <c r="X2849" t="str">
        <f>IF(W2849="","",LOOKUP(_xlfn.CONCAT(P2849,", ",Q2849),'[1]T+S Costs'!$F$2:$F$3138,'[1]T+S Costs'!$N$2:$N$3138))</f>
        <v/>
      </c>
      <c r="Y2849" s="14" t="str">
        <f t="shared" si="224"/>
        <v/>
      </c>
      <c r="Z2849" s="4" t="str">
        <f t="shared" si="225"/>
        <v/>
      </c>
    </row>
    <row r="2850" spans="16:26" x14ac:dyDescent="0.25">
      <c r="P2850" s="10" t="str">
        <f>IF('[1]All Data '!AZ2855="","",'[1]All Data '!AZ2855)</f>
        <v/>
      </c>
      <c r="Q2850" s="10" t="str">
        <f>IF('[1]All Data '!BB2855="","",'[1]All Data '!BB2855)</f>
        <v/>
      </c>
      <c r="R2850" s="10" t="str">
        <f>IF('[1]All Data '!BD2855="","",'[1]All Data '!BD2855)</f>
        <v/>
      </c>
      <c r="S2850" s="11" t="str">
        <f>IF(R2850="","",'[1]All Data '!BE2855)</f>
        <v/>
      </c>
      <c r="T2850" s="12" t="str">
        <f>IF(S2850="","",[1]Inputs_Outputs!$B$8*(1-'LOCH Calc COE Calc'!S2850))</f>
        <v/>
      </c>
      <c r="U2850" s="13" t="str">
        <f t="shared" si="221"/>
        <v/>
      </c>
      <c r="V2850" s="13" t="str">
        <f t="shared" si="222"/>
        <v/>
      </c>
      <c r="W2850" s="4" t="str">
        <f t="shared" si="223"/>
        <v/>
      </c>
      <c r="X2850" t="str">
        <f>IF(W2850="","",LOOKUP(_xlfn.CONCAT(P2850,", ",Q2850),'[1]T+S Costs'!$F$2:$F$3138,'[1]T+S Costs'!$N$2:$N$3138))</f>
        <v/>
      </c>
      <c r="Y2850" s="14" t="str">
        <f t="shared" si="224"/>
        <v/>
      </c>
      <c r="Z2850" s="4" t="str">
        <f t="shared" si="225"/>
        <v/>
      </c>
    </row>
    <row r="2851" spans="16:26" x14ac:dyDescent="0.25">
      <c r="P2851" s="10" t="str">
        <f>IF('[1]All Data '!AZ2856="","",'[1]All Data '!AZ2856)</f>
        <v/>
      </c>
      <c r="Q2851" s="10" t="str">
        <f>IF('[1]All Data '!BB2856="","",'[1]All Data '!BB2856)</f>
        <v/>
      </c>
      <c r="R2851" s="10" t="str">
        <f>IF('[1]All Data '!BD2856="","",'[1]All Data '!BD2856)</f>
        <v/>
      </c>
      <c r="S2851" s="11" t="str">
        <f>IF(R2851="","",'[1]All Data '!BE2856)</f>
        <v/>
      </c>
      <c r="T2851" s="12" t="str">
        <f>IF(S2851="","",[1]Inputs_Outputs!$B$8*(1-'LOCH Calc COE Calc'!S2851))</f>
        <v/>
      </c>
      <c r="U2851" s="13" t="str">
        <f t="shared" ref="U2851:U2914" si="226">IF(S2851="","",R2851*T2851*365*$B$19/100)</f>
        <v/>
      </c>
      <c r="V2851" s="13" t="str">
        <f t="shared" ref="V2851:V2914" si="227">IF(S2851="","",(U2851*$B$19)/(($B$28)*$B$19))</f>
        <v/>
      </c>
      <c r="W2851" s="4" t="str">
        <f t="shared" ref="W2851:W2914" si="228">IF(S2851="","",V2851+$C$49+$C$50+$C$51)</f>
        <v/>
      </c>
      <c r="X2851" t="str">
        <f>IF(W2851="","",LOOKUP(_xlfn.CONCAT(P2851,", ",Q2851),'[1]T+S Costs'!$F$2:$F$3138,'[1]T+S Costs'!$N$2:$N$3138))</f>
        <v/>
      </c>
      <c r="Y2851" s="14" t="str">
        <f t="shared" si="224"/>
        <v/>
      </c>
      <c r="Z2851" s="4" t="str">
        <f t="shared" si="225"/>
        <v/>
      </c>
    </row>
    <row r="2852" spans="16:26" x14ac:dyDescent="0.25">
      <c r="P2852" s="10" t="str">
        <f>IF('[1]All Data '!AZ2857="","",'[1]All Data '!AZ2857)</f>
        <v/>
      </c>
      <c r="Q2852" s="10" t="str">
        <f>IF('[1]All Data '!BB2857="","",'[1]All Data '!BB2857)</f>
        <v/>
      </c>
      <c r="R2852" s="10" t="str">
        <f>IF('[1]All Data '!BD2857="","",'[1]All Data '!BD2857)</f>
        <v/>
      </c>
      <c r="S2852" s="11" t="str">
        <f>IF(R2852="","",'[1]All Data '!BE2857)</f>
        <v/>
      </c>
      <c r="T2852" s="12" t="str">
        <f>IF(S2852="","",[1]Inputs_Outputs!$B$8*(1-'LOCH Calc COE Calc'!S2852))</f>
        <v/>
      </c>
      <c r="U2852" s="13" t="str">
        <f t="shared" si="226"/>
        <v/>
      </c>
      <c r="V2852" s="13" t="str">
        <f t="shared" si="227"/>
        <v/>
      </c>
      <c r="W2852" s="4" t="str">
        <f t="shared" si="228"/>
        <v/>
      </c>
      <c r="X2852" t="str">
        <f>IF(W2852="","",LOOKUP(_xlfn.CONCAT(P2852,", ",Q2852),'[1]T+S Costs'!$F$2:$F$3138,'[1]T+S Costs'!$N$2:$N$3138))</f>
        <v/>
      </c>
      <c r="Y2852" s="14" t="str">
        <f t="shared" si="224"/>
        <v/>
      </c>
      <c r="Z2852" s="4" t="str">
        <f t="shared" si="225"/>
        <v/>
      </c>
    </row>
    <row r="2853" spans="16:26" x14ac:dyDescent="0.25">
      <c r="P2853" s="10" t="str">
        <f>IF('[1]All Data '!AZ2858="","",'[1]All Data '!AZ2858)</f>
        <v/>
      </c>
      <c r="Q2853" s="10" t="str">
        <f>IF('[1]All Data '!BB2858="","",'[1]All Data '!BB2858)</f>
        <v/>
      </c>
      <c r="R2853" s="10" t="str">
        <f>IF('[1]All Data '!BD2858="","",'[1]All Data '!BD2858)</f>
        <v/>
      </c>
      <c r="S2853" s="11" t="str">
        <f>IF(R2853="","",'[1]All Data '!BE2858)</f>
        <v/>
      </c>
      <c r="T2853" s="12" t="str">
        <f>IF(S2853="","",[1]Inputs_Outputs!$B$8*(1-'LOCH Calc COE Calc'!S2853))</f>
        <v/>
      </c>
      <c r="U2853" s="13" t="str">
        <f t="shared" si="226"/>
        <v/>
      </c>
      <c r="V2853" s="13" t="str">
        <f t="shared" si="227"/>
        <v/>
      </c>
      <c r="W2853" s="4" t="str">
        <f t="shared" si="228"/>
        <v/>
      </c>
      <c r="X2853" t="str">
        <f>IF(W2853="","",LOOKUP(_xlfn.CONCAT(P2853,", ",Q2853),'[1]T+S Costs'!$F$2:$F$3138,'[1]T+S Costs'!$N$2:$N$3138))</f>
        <v/>
      </c>
      <c r="Y2853" s="14" t="str">
        <f t="shared" si="224"/>
        <v/>
      </c>
      <c r="Z2853" s="4" t="str">
        <f t="shared" si="225"/>
        <v/>
      </c>
    </row>
    <row r="2854" spans="16:26" x14ac:dyDescent="0.25">
      <c r="P2854" s="10" t="str">
        <f>IF('[1]All Data '!AZ2859="","",'[1]All Data '!AZ2859)</f>
        <v/>
      </c>
      <c r="Q2854" s="10" t="str">
        <f>IF('[1]All Data '!BB2859="","",'[1]All Data '!BB2859)</f>
        <v/>
      </c>
      <c r="R2854" s="10" t="str">
        <f>IF('[1]All Data '!BD2859="","",'[1]All Data '!BD2859)</f>
        <v/>
      </c>
      <c r="S2854" s="11" t="str">
        <f>IF(R2854="","",'[1]All Data '!BE2859)</f>
        <v/>
      </c>
      <c r="T2854" s="12" t="str">
        <f>IF(S2854="","",[1]Inputs_Outputs!$B$8*(1-'LOCH Calc COE Calc'!S2854))</f>
        <v/>
      </c>
      <c r="U2854" s="13" t="str">
        <f t="shared" si="226"/>
        <v/>
      </c>
      <c r="V2854" s="13" t="str">
        <f t="shared" si="227"/>
        <v/>
      </c>
      <c r="W2854" s="4" t="str">
        <f t="shared" si="228"/>
        <v/>
      </c>
      <c r="X2854" t="str">
        <f>IF(W2854="","",LOOKUP(_xlfn.CONCAT(P2854,", ",Q2854),'[1]T+S Costs'!$F$2:$F$3138,'[1]T+S Costs'!$N$2:$N$3138))</f>
        <v/>
      </c>
      <c r="Y2854" s="14" t="str">
        <f t="shared" si="224"/>
        <v/>
      </c>
      <c r="Z2854" s="4" t="str">
        <f t="shared" si="225"/>
        <v/>
      </c>
    </row>
    <row r="2855" spans="16:26" x14ac:dyDescent="0.25">
      <c r="P2855" s="10" t="str">
        <f>IF('[1]All Data '!AZ2860="","",'[1]All Data '!AZ2860)</f>
        <v/>
      </c>
      <c r="Q2855" s="10" t="str">
        <f>IF('[1]All Data '!BB2860="","",'[1]All Data '!BB2860)</f>
        <v/>
      </c>
      <c r="R2855" s="10" t="str">
        <f>IF('[1]All Data '!BD2860="","",'[1]All Data '!BD2860)</f>
        <v/>
      </c>
      <c r="S2855" s="11" t="str">
        <f>IF(R2855="","",'[1]All Data '!BE2860)</f>
        <v/>
      </c>
      <c r="T2855" s="12" t="str">
        <f>IF(S2855="","",[1]Inputs_Outputs!$B$8*(1-'LOCH Calc COE Calc'!S2855))</f>
        <v/>
      </c>
      <c r="U2855" s="13" t="str">
        <f t="shared" si="226"/>
        <v/>
      </c>
      <c r="V2855" s="13" t="str">
        <f t="shared" si="227"/>
        <v/>
      </c>
      <c r="W2855" s="4" t="str">
        <f t="shared" si="228"/>
        <v/>
      </c>
      <c r="X2855" t="str">
        <f>IF(W2855="","",LOOKUP(_xlfn.CONCAT(P2855,", ",Q2855),'[1]T+S Costs'!$F$2:$F$3138,'[1]T+S Costs'!$N$2:$N$3138))</f>
        <v/>
      </c>
      <c r="Y2855" s="14" t="str">
        <f t="shared" si="224"/>
        <v/>
      </c>
      <c r="Z2855" s="4" t="str">
        <f t="shared" si="225"/>
        <v/>
      </c>
    </row>
    <row r="2856" spans="16:26" x14ac:dyDescent="0.25">
      <c r="P2856" s="10" t="str">
        <f>IF('[1]All Data '!AZ2861="","",'[1]All Data '!AZ2861)</f>
        <v/>
      </c>
      <c r="Q2856" s="10" t="str">
        <f>IF('[1]All Data '!BB2861="","",'[1]All Data '!BB2861)</f>
        <v/>
      </c>
      <c r="R2856" s="10" t="str">
        <f>IF('[1]All Data '!BD2861="","",'[1]All Data '!BD2861)</f>
        <v/>
      </c>
      <c r="S2856" s="11" t="str">
        <f>IF(R2856="","",'[1]All Data '!BE2861)</f>
        <v/>
      </c>
      <c r="T2856" s="12" t="str">
        <f>IF(S2856="","",[1]Inputs_Outputs!$B$8*(1-'LOCH Calc COE Calc'!S2856))</f>
        <v/>
      </c>
      <c r="U2856" s="13" t="str">
        <f t="shared" si="226"/>
        <v/>
      </c>
      <c r="V2856" s="13" t="str">
        <f t="shared" si="227"/>
        <v/>
      </c>
      <c r="W2856" s="4" t="str">
        <f t="shared" si="228"/>
        <v/>
      </c>
      <c r="X2856" t="str">
        <f>IF(W2856="","",LOOKUP(_xlfn.CONCAT(P2856,", ",Q2856),'[1]T+S Costs'!$F$2:$F$3138,'[1]T+S Costs'!$N$2:$N$3138))</f>
        <v/>
      </c>
      <c r="Y2856" s="14" t="str">
        <f t="shared" si="224"/>
        <v/>
      </c>
      <c r="Z2856" s="4" t="str">
        <f t="shared" si="225"/>
        <v/>
      </c>
    </row>
    <row r="2857" spans="16:26" x14ac:dyDescent="0.25">
      <c r="P2857" s="10" t="str">
        <f>IF('[1]All Data '!AZ2862="","",'[1]All Data '!AZ2862)</f>
        <v/>
      </c>
      <c r="Q2857" s="10" t="str">
        <f>IF('[1]All Data '!BB2862="","",'[1]All Data '!BB2862)</f>
        <v/>
      </c>
      <c r="R2857" s="10" t="str">
        <f>IF('[1]All Data '!BD2862="","",'[1]All Data '!BD2862)</f>
        <v/>
      </c>
      <c r="S2857" s="11" t="str">
        <f>IF(R2857="","",'[1]All Data '!BE2862)</f>
        <v/>
      </c>
      <c r="T2857" s="12" t="str">
        <f>IF(S2857="","",[1]Inputs_Outputs!$B$8*(1-'LOCH Calc COE Calc'!S2857))</f>
        <v/>
      </c>
      <c r="U2857" s="13" t="str">
        <f t="shared" si="226"/>
        <v/>
      </c>
      <c r="V2857" s="13" t="str">
        <f t="shared" si="227"/>
        <v/>
      </c>
      <c r="W2857" s="4" t="str">
        <f t="shared" si="228"/>
        <v/>
      </c>
      <c r="X2857" t="str">
        <f>IF(W2857="","",LOOKUP(_xlfn.CONCAT(P2857,", ",Q2857),'[1]T+S Costs'!$F$2:$F$3138,'[1]T+S Costs'!$N$2:$N$3138))</f>
        <v/>
      </c>
      <c r="Y2857" s="14" t="str">
        <f t="shared" si="224"/>
        <v/>
      </c>
      <c r="Z2857" s="4" t="str">
        <f t="shared" si="225"/>
        <v/>
      </c>
    </row>
    <row r="2858" spans="16:26" x14ac:dyDescent="0.25">
      <c r="P2858" s="10" t="str">
        <f>IF('[1]All Data '!AZ2863="","",'[1]All Data '!AZ2863)</f>
        <v/>
      </c>
      <c r="Q2858" s="10" t="str">
        <f>IF('[1]All Data '!BB2863="","",'[1]All Data '!BB2863)</f>
        <v/>
      </c>
      <c r="R2858" s="10" t="str">
        <f>IF('[1]All Data '!BD2863="","",'[1]All Data '!BD2863)</f>
        <v/>
      </c>
      <c r="S2858" s="11" t="str">
        <f>IF(R2858="","",'[1]All Data '!BE2863)</f>
        <v/>
      </c>
      <c r="T2858" s="12" t="str">
        <f>IF(S2858="","",[1]Inputs_Outputs!$B$8*(1-'LOCH Calc COE Calc'!S2858))</f>
        <v/>
      </c>
      <c r="U2858" s="13" t="str">
        <f t="shared" si="226"/>
        <v/>
      </c>
      <c r="V2858" s="13" t="str">
        <f t="shared" si="227"/>
        <v/>
      </c>
      <c r="W2858" s="4" t="str">
        <f t="shared" si="228"/>
        <v/>
      </c>
      <c r="X2858" t="str">
        <f>IF(W2858="","",LOOKUP(_xlfn.CONCAT(P2858,", ",Q2858),'[1]T+S Costs'!$F$2:$F$3138,'[1]T+S Costs'!$N$2:$N$3138))</f>
        <v/>
      </c>
      <c r="Y2858" s="14" t="str">
        <f t="shared" si="224"/>
        <v/>
      </c>
      <c r="Z2858" s="4" t="str">
        <f t="shared" si="225"/>
        <v/>
      </c>
    </row>
    <row r="2859" spans="16:26" x14ac:dyDescent="0.25">
      <c r="P2859" s="10" t="str">
        <f>IF('[1]All Data '!AZ2864="","",'[1]All Data '!AZ2864)</f>
        <v/>
      </c>
      <c r="Q2859" s="10" t="str">
        <f>IF('[1]All Data '!BB2864="","",'[1]All Data '!BB2864)</f>
        <v/>
      </c>
      <c r="R2859" s="10" t="str">
        <f>IF('[1]All Data '!BD2864="","",'[1]All Data '!BD2864)</f>
        <v/>
      </c>
      <c r="S2859" s="11" t="str">
        <f>IF(R2859="","",'[1]All Data '!BE2864)</f>
        <v/>
      </c>
      <c r="T2859" s="12" t="str">
        <f>IF(S2859="","",[1]Inputs_Outputs!$B$8*(1-'LOCH Calc COE Calc'!S2859))</f>
        <v/>
      </c>
      <c r="U2859" s="13" t="str">
        <f t="shared" si="226"/>
        <v/>
      </c>
      <c r="V2859" s="13" t="str">
        <f t="shared" si="227"/>
        <v/>
      </c>
      <c r="W2859" s="4" t="str">
        <f t="shared" si="228"/>
        <v/>
      </c>
      <c r="X2859" t="str">
        <f>IF(W2859="","",LOOKUP(_xlfn.CONCAT(P2859,", ",Q2859),'[1]T+S Costs'!$F$2:$F$3138,'[1]T+S Costs'!$N$2:$N$3138))</f>
        <v/>
      </c>
      <c r="Y2859" s="14" t="str">
        <f t="shared" si="224"/>
        <v/>
      </c>
      <c r="Z2859" s="4" t="str">
        <f t="shared" si="225"/>
        <v/>
      </c>
    </row>
    <row r="2860" spans="16:26" x14ac:dyDescent="0.25">
      <c r="P2860" s="10" t="str">
        <f>IF('[1]All Data '!AZ2865="","",'[1]All Data '!AZ2865)</f>
        <v/>
      </c>
      <c r="Q2860" s="10" t="str">
        <f>IF('[1]All Data '!BB2865="","",'[1]All Data '!BB2865)</f>
        <v/>
      </c>
      <c r="R2860" s="10" t="str">
        <f>IF('[1]All Data '!BD2865="","",'[1]All Data '!BD2865)</f>
        <v/>
      </c>
      <c r="S2860" s="11" t="str">
        <f>IF(R2860="","",'[1]All Data '!BE2865)</f>
        <v/>
      </c>
      <c r="T2860" s="12" t="str">
        <f>IF(S2860="","",[1]Inputs_Outputs!$B$8*(1-'LOCH Calc COE Calc'!S2860))</f>
        <v/>
      </c>
      <c r="U2860" s="13" t="str">
        <f t="shared" si="226"/>
        <v/>
      </c>
      <c r="V2860" s="13" t="str">
        <f t="shared" si="227"/>
        <v/>
      </c>
      <c r="W2860" s="4" t="str">
        <f t="shared" si="228"/>
        <v/>
      </c>
      <c r="X2860" t="str">
        <f>IF(W2860="","",LOOKUP(_xlfn.CONCAT(P2860,", ",Q2860),'[1]T+S Costs'!$F$2:$F$3138,'[1]T+S Costs'!$N$2:$N$3138))</f>
        <v/>
      </c>
      <c r="Y2860" s="14" t="str">
        <f t="shared" si="224"/>
        <v/>
      </c>
      <c r="Z2860" s="4" t="str">
        <f t="shared" si="225"/>
        <v/>
      </c>
    </row>
    <row r="2861" spans="16:26" x14ac:dyDescent="0.25">
      <c r="P2861" s="10" t="str">
        <f>IF('[1]All Data '!AZ2866="","",'[1]All Data '!AZ2866)</f>
        <v/>
      </c>
      <c r="Q2861" s="10" t="str">
        <f>IF('[1]All Data '!BB2866="","",'[1]All Data '!BB2866)</f>
        <v/>
      </c>
      <c r="R2861" s="10" t="str">
        <f>IF('[1]All Data '!BD2866="","",'[1]All Data '!BD2866)</f>
        <v/>
      </c>
      <c r="S2861" s="11" t="str">
        <f>IF(R2861="","",'[1]All Data '!BE2866)</f>
        <v/>
      </c>
      <c r="T2861" s="12" t="str">
        <f>IF(S2861="","",[1]Inputs_Outputs!$B$8*(1-'LOCH Calc COE Calc'!S2861))</f>
        <v/>
      </c>
      <c r="U2861" s="13" t="str">
        <f t="shared" si="226"/>
        <v/>
      </c>
      <c r="V2861" s="13" t="str">
        <f t="shared" si="227"/>
        <v/>
      </c>
      <c r="W2861" s="4" t="str">
        <f t="shared" si="228"/>
        <v/>
      </c>
      <c r="X2861" t="str">
        <f>IF(W2861="","",LOOKUP(_xlfn.CONCAT(P2861,", ",Q2861),'[1]T+S Costs'!$F$2:$F$3138,'[1]T+S Costs'!$N$2:$N$3138))</f>
        <v/>
      </c>
      <c r="Y2861" s="14" t="str">
        <f t="shared" si="224"/>
        <v/>
      </c>
      <c r="Z2861" s="4" t="str">
        <f t="shared" si="225"/>
        <v/>
      </c>
    </row>
    <row r="2862" spans="16:26" x14ac:dyDescent="0.25">
      <c r="P2862" s="10" t="str">
        <f>IF('[1]All Data '!AZ2867="","",'[1]All Data '!AZ2867)</f>
        <v/>
      </c>
      <c r="Q2862" s="10" t="str">
        <f>IF('[1]All Data '!BB2867="","",'[1]All Data '!BB2867)</f>
        <v/>
      </c>
      <c r="R2862" s="10" t="str">
        <f>IF('[1]All Data '!BD2867="","",'[1]All Data '!BD2867)</f>
        <v/>
      </c>
      <c r="S2862" s="11" t="str">
        <f>IF(R2862="","",'[1]All Data '!BE2867)</f>
        <v/>
      </c>
      <c r="T2862" s="12" t="str">
        <f>IF(S2862="","",[1]Inputs_Outputs!$B$8*(1-'LOCH Calc COE Calc'!S2862))</f>
        <v/>
      </c>
      <c r="U2862" s="13" t="str">
        <f t="shared" si="226"/>
        <v/>
      </c>
      <c r="V2862" s="13" t="str">
        <f t="shared" si="227"/>
        <v/>
      </c>
      <c r="W2862" s="4" t="str">
        <f t="shared" si="228"/>
        <v/>
      </c>
      <c r="X2862" t="str">
        <f>IF(W2862="","",LOOKUP(_xlfn.CONCAT(P2862,", ",Q2862),'[1]T+S Costs'!$F$2:$F$3138,'[1]T+S Costs'!$N$2:$N$3138))</f>
        <v/>
      </c>
      <c r="Y2862" s="14" t="str">
        <f t="shared" si="224"/>
        <v/>
      </c>
      <c r="Z2862" s="4" t="str">
        <f t="shared" si="225"/>
        <v/>
      </c>
    </row>
    <row r="2863" spans="16:26" x14ac:dyDescent="0.25">
      <c r="P2863" s="10" t="str">
        <f>IF('[1]All Data '!AZ2868="","",'[1]All Data '!AZ2868)</f>
        <v/>
      </c>
      <c r="Q2863" s="10" t="str">
        <f>IF('[1]All Data '!BB2868="","",'[1]All Data '!BB2868)</f>
        <v/>
      </c>
      <c r="R2863" s="10" t="str">
        <f>IF('[1]All Data '!BD2868="","",'[1]All Data '!BD2868)</f>
        <v/>
      </c>
      <c r="S2863" s="11" t="str">
        <f>IF(R2863="","",'[1]All Data '!BE2868)</f>
        <v/>
      </c>
      <c r="T2863" s="12" t="str">
        <f>IF(S2863="","",[1]Inputs_Outputs!$B$8*(1-'LOCH Calc COE Calc'!S2863))</f>
        <v/>
      </c>
      <c r="U2863" s="13" t="str">
        <f t="shared" si="226"/>
        <v/>
      </c>
      <c r="V2863" s="13" t="str">
        <f t="shared" si="227"/>
        <v/>
      </c>
      <c r="W2863" s="4" t="str">
        <f t="shared" si="228"/>
        <v/>
      </c>
      <c r="X2863" t="str">
        <f>IF(W2863="","",LOOKUP(_xlfn.CONCAT(P2863,", ",Q2863),'[1]T+S Costs'!$F$2:$F$3138,'[1]T+S Costs'!$N$2:$N$3138))</f>
        <v/>
      </c>
      <c r="Y2863" s="14" t="str">
        <f t="shared" si="224"/>
        <v/>
      </c>
      <c r="Z2863" s="4" t="str">
        <f t="shared" si="225"/>
        <v/>
      </c>
    </row>
    <row r="2864" spans="16:26" x14ac:dyDescent="0.25">
      <c r="P2864" s="10" t="str">
        <f>IF('[1]All Data '!AZ2869="","",'[1]All Data '!AZ2869)</f>
        <v/>
      </c>
      <c r="Q2864" s="10" t="str">
        <f>IF('[1]All Data '!BB2869="","",'[1]All Data '!BB2869)</f>
        <v/>
      </c>
      <c r="R2864" s="10" t="str">
        <f>IF('[1]All Data '!BD2869="","",'[1]All Data '!BD2869)</f>
        <v/>
      </c>
      <c r="S2864" s="11" t="str">
        <f>IF(R2864="","",'[1]All Data '!BE2869)</f>
        <v/>
      </c>
      <c r="T2864" s="12" t="str">
        <f>IF(S2864="","",[1]Inputs_Outputs!$B$8*(1-'LOCH Calc COE Calc'!S2864))</f>
        <v/>
      </c>
      <c r="U2864" s="13" t="str">
        <f t="shared" si="226"/>
        <v/>
      </c>
      <c r="V2864" s="13" t="str">
        <f t="shared" si="227"/>
        <v/>
      </c>
      <c r="W2864" s="4" t="str">
        <f t="shared" si="228"/>
        <v/>
      </c>
      <c r="X2864" t="str">
        <f>IF(W2864="","",LOOKUP(_xlfn.CONCAT(P2864,", ",Q2864),'[1]T+S Costs'!$F$2:$F$3138,'[1]T+S Costs'!$N$2:$N$3138))</f>
        <v/>
      </c>
      <c r="Y2864" s="14" t="str">
        <f t="shared" si="224"/>
        <v/>
      </c>
      <c r="Z2864" s="4" t="str">
        <f t="shared" si="225"/>
        <v/>
      </c>
    </row>
    <row r="2865" spans="16:26" x14ac:dyDescent="0.25">
      <c r="P2865" s="10" t="str">
        <f>IF('[1]All Data '!AZ2870="","",'[1]All Data '!AZ2870)</f>
        <v/>
      </c>
      <c r="Q2865" s="10" t="str">
        <f>IF('[1]All Data '!BB2870="","",'[1]All Data '!BB2870)</f>
        <v/>
      </c>
      <c r="R2865" s="10" t="str">
        <f>IF('[1]All Data '!BD2870="","",'[1]All Data '!BD2870)</f>
        <v/>
      </c>
      <c r="S2865" s="11" t="str">
        <f>IF(R2865="","",'[1]All Data '!BE2870)</f>
        <v/>
      </c>
      <c r="T2865" s="12" t="str">
        <f>IF(S2865="","",[1]Inputs_Outputs!$B$8*(1-'LOCH Calc COE Calc'!S2865))</f>
        <v/>
      </c>
      <c r="U2865" s="13" t="str">
        <f t="shared" si="226"/>
        <v/>
      </c>
      <c r="V2865" s="13" t="str">
        <f t="shared" si="227"/>
        <v/>
      </c>
      <c r="W2865" s="4" t="str">
        <f t="shared" si="228"/>
        <v/>
      </c>
      <c r="X2865" t="str">
        <f>IF(W2865="","",LOOKUP(_xlfn.CONCAT(P2865,", ",Q2865),'[1]T+S Costs'!$F$2:$F$3138,'[1]T+S Costs'!$N$2:$N$3138))</f>
        <v/>
      </c>
      <c r="Y2865" s="14" t="str">
        <f t="shared" si="224"/>
        <v/>
      </c>
      <c r="Z2865" s="4" t="str">
        <f t="shared" si="225"/>
        <v/>
      </c>
    </row>
    <row r="2866" spans="16:26" x14ac:dyDescent="0.25">
      <c r="P2866" s="10" t="str">
        <f>IF('[1]All Data '!AZ2871="","",'[1]All Data '!AZ2871)</f>
        <v/>
      </c>
      <c r="Q2866" s="10" t="str">
        <f>IF('[1]All Data '!BB2871="","",'[1]All Data '!BB2871)</f>
        <v/>
      </c>
      <c r="R2866" s="10" t="str">
        <f>IF('[1]All Data '!BD2871="","",'[1]All Data '!BD2871)</f>
        <v/>
      </c>
      <c r="S2866" s="11" t="str">
        <f>IF(R2866="","",'[1]All Data '!BE2871)</f>
        <v/>
      </c>
      <c r="T2866" s="12" t="str">
        <f>IF(S2866="","",[1]Inputs_Outputs!$B$8*(1-'LOCH Calc COE Calc'!S2866))</f>
        <v/>
      </c>
      <c r="U2866" s="13" t="str">
        <f t="shared" si="226"/>
        <v/>
      </c>
      <c r="V2866" s="13" t="str">
        <f t="shared" si="227"/>
        <v/>
      </c>
      <c r="W2866" s="4" t="str">
        <f t="shared" si="228"/>
        <v/>
      </c>
      <c r="X2866" t="str">
        <f>IF(W2866="","",LOOKUP(_xlfn.CONCAT(P2866,", ",Q2866),'[1]T+S Costs'!$F$2:$F$3138,'[1]T+S Costs'!$N$2:$N$3138))</f>
        <v/>
      </c>
      <c r="Y2866" s="14" t="str">
        <f t="shared" si="224"/>
        <v/>
      </c>
      <c r="Z2866" s="4" t="str">
        <f t="shared" si="225"/>
        <v/>
      </c>
    </row>
    <row r="2867" spans="16:26" x14ac:dyDescent="0.25">
      <c r="P2867" s="10" t="str">
        <f>IF('[1]All Data '!AZ2872="","",'[1]All Data '!AZ2872)</f>
        <v/>
      </c>
      <c r="Q2867" s="10" t="str">
        <f>IF('[1]All Data '!BB2872="","",'[1]All Data '!BB2872)</f>
        <v/>
      </c>
      <c r="R2867" s="10" t="str">
        <f>IF('[1]All Data '!BD2872="","",'[1]All Data '!BD2872)</f>
        <v/>
      </c>
      <c r="S2867" s="11" t="str">
        <f>IF(R2867="","",'[1]All Data '!BE2872)</f>
        <v/>
      </c>
      <c r="T2867" s="12" t="str">
        <f>IF(S2867="","",[1]Inputs_Outputs!$B$8*(1-'LOCH Calc COE Calc'!S2867))</f>
        <v/>
      </c>
      <c r="U2867" s="13" t="str">
        <f t="shared" si="226"/>
        <v/>
      </c>
      <c r="V2867" s="13" t="str">
        <f t="shared" si="227"/>
        <v/>
      </c>
      <c r="W2867" s="4" t="str">
        <f t="shared" si="228"/>
        <v/>
      </c>
      <c r="X2867" t="str">
        <f>IF(W2867="","",LOOKUP(_xlfn.CONCAT(P2867,", ",Q2867),'[1]T+S Costs'!$F$2:$F$3138,'[1]T+S Costs'!$N$2:$N$3138))</f>
        <v/>
      </c>
      <c r="Y2867" s="14" t="str">
        <f t="shared" si="224"/>
        <v/>
      </c>
      <c r="Z2867" s="4" t="str">
        <f t="shared" si="225"/>
        <v/>
      </c>
    </row>
    <row r="2868" spans="16:26" x14ac:dyDescent="0.25">
      <c r="P2868" s="10" t="str">
        <f>IF('[1]All Data '!AZ2873="","",'[1]All Data '!AZ2873)</f>
        <v/>
      </c>
      <c r="Q2868" s="10" t="str">
        <f>IF('[1]All Data '!BB2873="","",'[1]All Data '!BB2873)</f>
        <v/>
      </c>
      <c r="R2868" s="10" t="str">
        <f>IF('[1]All Data '!BD2873="","",'[1]All Data '!BD2873)</f>
        <v/>
      </c>
      <c r="S2868" s="11" t="str">
        <f>IF(R2868="","",'[1]All Data '!BE2873)</f>
        <v/>
      </c>
      <c r="T2868" s="12" t="str">
        <f>IF(S2868="","",[1]Inputs_Outputs!$B$8*(1-'LOCH Calc COE Calc'!S2868))</f>
        <v/>
      </c>
      <c r="U2868" s="13" t="str">
        <f t="shared" si="226"/>
        <v/>
      </c>
      <c r="V2868" s="13" t="str">
        <f t="shared" si="227"/>
        <v/>
      </c>
      <c r="W2868" s="4" t="str">
        <f t="shared" si="228"/>
        <v/>
      </c>
      <c r="X2868" t="str">
        <f>IF(W2868="","",LOOKUP(_xlfn.CONCAT(P2868,", ",Q2868),'[1]T+S Costs'!$F$2:$F$3138,'[1]T+S Costs'!$N$2:$N$3138))</f>
        <v/>
      </c>
      <c r="Y2868" s="14" t="str">
        <f t="shared" si="224"/>
        <v/>
      </c>
      <c r="Z2868" s="4" t="str">
        <f t="shared" si="225"/>
        <v/>
      </c>
    </row>
    <row r="2869" spans="16:26" x14ac:dyDescent="0.25">
      <c r="P2869" s="10" t="str">
        <f>IF('[1]All Data '!AZ2874="","",'[1]All Data '!AZ2874)</f>
        <v/>
      </c>
      <c r="Q2869" s="10" t="str">
        <f>IF('[1]All Data '!BB2874="","",'[1]All Data '!BB2874)</f>
        <v/>
      </c>
      <c r="R2869" s="10" t="str">
        <f>IF('[1]All Data '!BD2874="","",'[1]All Data '!BD2874)</f>
        <v/>
      </c>
      <c r="S2869" s="11" t="str">
        <f>IF(R2869="","",'[1]All Data '!BE2874)</f>
        <v/>
      </c>
      <c r="T2869" s="12" t="str">
        <f>IF(S2869="","",[1]Inputs_Outputs!$B$8*(1-'LOCH Calc COE Calc'!S2869))</f>
        <v/>
      </c>
      <c r="U2869" s="13" t="str">
        <f t="shared" si="226"/>
        <v/>
      </c>
      <c r="V2869" s="13" t="str">
        <f t="shared" si="227"/>
        <v/>
      </c>
      <c r="W2869" s="4" t="str">
        <f t="shared" si="228"/>
        <v/>
      </c>
      <c r="X2869" t="str">
        <f>IF(W2869="","",LOOKUP(_xlfn.CONCAT(P2869,", ",Q2869),'[1]T+S Costs'!$F$2:$F$3138,'[1]T+S Costs'!$N$2:$N$3138))</f>
        <v/>
      </c>
      <c r="Y2869" s="14" t="str">
        <f t="shared" si="224"/>
        <v/>
      </c>
      <c r="Z2869" s="4" t="str">
        <f t="shared" si="225"/>
        <v/>
      </c>
    </row>
    <row r="2870" spans="16:26" x14ac:dyDescent="0.25">
      <c r="P2870" s="10" t="str">
        <f>IF('[1]All Data '!AZ2875="","",'[1]All Data '!AZ2875)</f>
        <v/>
      </c>
      <c r="Q2870" s="10" t="str">
        <f>IF('[1]All Data '!BB2875="","",'[1]All Data '!BB2875)</f>
        <v/>
      </c>
      <c r="R2870" s="10" t="str">
        <f>IF('[1]All Data '!BD2875="","",'[1]All Data '!BD2875)</f>
        <v/>
      </c>
      <c r="S2870" s="11" t="str">
        <f>IF(R2870="","",'[1]All Data '!BE2875)</f>
        <v/>
      </c>
      <c r="T2870" s="12" t="str">
        <f>IF(S2870="","",[1]Inputs_Outputs!$B$8*(1-'LOCH Calc COE Calc'!S2870))</f>
        <v/>
      </c>
      <c r="U2870" s="13" t="str">
        <f t="shared" si="226"/>
        <v/>
      </c>
      <c r="V2870" s="13" t="str">
        <f t="shared" si="227"/>
        <v/>
      </c>
      <c r="W2870" s="4" t="str">
        <f t="shared" si="228"/>
        <v/>
      </c>
      <c r="X2870" t="str">
        <f>IF(W2870="","",LOOKUP(_xlfn.CONCAT(P2870,", ",Q2870),'[1]T+S Costs'!$F$2:$F$3138,'[1]T+S Costs'!$N$2:$N$3138))</f>
        <v/>
      </c>
      <c r="Y2870" s="14" t="str">
        <f t="shared" si="224"/>
        <v/>
      </c>
      <c r="Z2870" s="4" t="str">
        <f t="shared" si="225"/>
        <v/>
      </c>
    </row>
    <row r="2871" spans="16:26" x14ac:dyDescent="0.25">
      <c r="P2871" s="10" t="str">
        <f>IF('[1]All Data '!AZ2876="","",'[1]All Data '!AZ2876)</f>
        <v/>
      </c>
      <c r="Q2871" s="10" t="str">
        <f>IF('[1]All Data '!BB2876="","",'[1]All Data '!BB2876)</f>
        <v/>
      </c>
      <c r="R2871" s="10" t="str">
        <f>IF('[1]All Data '!BD2876="","",'[1]All Data '!BD2876)</f>
        <v/>
      </c>
      <c r="S2871" s="11" t="str">
        <f>IF(R2871="","",'[1]All Data '!BE2876)</f>
        <v/>
      </c>
      <c r="T2871" s="12" t="str">
        <f>IF(S2871="","",[1]Inputs_Outputs!$B$8*(1-'LOCH Calc COE Calc'!S2871))</f>
        <v/>
      </c>
      <c r="U2871" s="13" t="str">
        <f t="shared" si="226"/>
        <v/>
      </c>
      <c r="V2871" s="13" t="str">
        <f t="shared" si="227"/>
        <v/>
      </c>
      <c r="W2871" s="4" t="str">
        <f t="shared" si="228"/>
        <v/>
      </c>
      <c r="X2871" t="str">
        <f>IF(W2871="","",LOOKUP(_xlfn.CONCAT(P2871,", ",Q2871),'[1]T+S Costs'!$F$2:$F$3138,'[1]T+S Costs'!$N$2:$N$3138))</f>
        <v/>
      </c>
      <c r="Y2871" s="14" t="str">
        <f t="shared" si="224"/>
        <v/>
      </c>
      <c r="Z2871" s="4" t="str">
        <f t="shared" si="225"/>
        <v/>
      </c>
    </row>
    <row r="2872" spans="16:26" x14ac:dyDescent="0.25">
      <c r="P2872" s="10" t="str">
        <f>IF('[1]All Data '!AZ2877="","",'[1]All Data '!AZ2877)</f>
        <v/>
      </c>
      <c r="Q2872" s="10" t="str">
        <f>IF('[1]All Data '!BB2877="","",'[1]All Data '!BB2877)</f>
        <v/>
      </c>
      <c r="R2872" s="10" t="str">
        <f>IF('[1]All Data '!BD2877="","",'[1]All Data '!BD2877)</f>
        <v/>
      </c>
      <c r="S2872" s="11" t="str">
        <f>IF(R2872="","",'[1]All Data '!BE2877)</f>
        <v/>
      </c>
      <c r="T2872" s="12" t="str">
        <f>IF(S2872="","",[1]Inputs_Outputs!$B$8*(1-'LOCH Calc COE Calc'!S2872))</f>
        <v/>
      </c>
      <c r="U2872" s="13" t="str">
        <f t="shared" si="226"/>
        <v/>
      </c>
      <c r="V2872" s="13" t="str">
        <f t="shared" si="227"/>
        <v/>
      </c>
      <c r="W2872" s="4" t="str">
        <f t="shared" si="228"/>
        <v/>
      </c>
      <c r="X2872" t="str">
        <f>IF(W2872="","",LOOKUP(_xlfn.CONCAT(P2872,", ",Q2872),'[1]T+S Costs'!$F$2:$F$3138,'[1]T+S Costs'!$N$2:$N$3138))</f>
        <v/>
      </c>
      <c r="Y2872" s="14" t="str">
        <f t="shared" si="224"/>
        <v/>
      </c>
      <c r="Z2872" s="4" t="str">
        <f t="shared" si="225"/>
        <v/>
      </c>
    </row>
    <row r="2873" spans="16:26" x14ac:dyDescent="0.25">
      <c r="P2873" s="10" t="str">
        <f>IF('[1]All Data '!AZ2878="","",'[1]All Data '!AZ2878)</f>
        <v/>
      </c>
      <c r="Q2873" s="10" t="str">
        <f>IF('[1]All Data '!BB2878="","",'[1]All Data '!BB2878)</f>
        <v/>
      </c>
      <c r="R2873" s="10" t="str">
        <f>IF('[1]All Data '!BD2878="","",'[1]All Data '!BD2878)</f>
        <v/>
      </c>
      <c r="S2873" s="11" t="str">
        <f>IF(R2873="","",'[1]All Data '!BE2878)</f>
        <v/>
      </c>
      <c r="T2873" s="12" t="str">
        <f>IF(S2873="","",[1]Inputs_Outputs!$B$8*(1-'LOCH Calc COE Calc'!S2873))</f>
        <v/>
      </c>
      <c r="U2873" s="13" t="str">
        <f t="shared" si="226"/>
        <v/>
      </c>
      <c r="V2873" s="13" t="str">
        <f t="shared" si="227"/>
        <v/>
      </c>
      <c r="W2873" s="4" t="str">
        <f t="shared" si="228"/>
        <v/>
      </c>
      <c r="X2873" t="str">
        <f>IF(W2873="","",LOOKUP(_xlfn.CONCAT(P2873,", ",Q2873),'[1]T+S Costs'!$F$2:$F$3138,'[1]T+S Costs'!$N$2:$N$3138))</f>
        <v/>
      </c>
      <c r="Y2873" s="14" t="str">
        <f t="shared" si="224"/>
        <v/>
      </c>
      <c r="Z2873" s="4" t="str">
        <f t="shared" si="225"/>
        <v/>
      </c>
    </row>
    <row r="2874" spans="16:26" x14ac:dyDescent="0.25">
      <c r="P2874" s="10" t="str">
        <f>IF('[1]All Data '!AZ2879="","",'[1]All Data '!AZ2879)</f>
        <v/>
      </c>
      <c r="Q2874" s="10" t="str">
        <f>IF('[1]All Data '!BB2879="","",'[1]All Data '!BB2879)</f>
        <v/>
      </c>
      <c r="R2874" s="10" t="str">
        <f>IF('[1]All Data '!BD2879="","",'[1]All Data '!BD2879)</f>
        <v/>
      </c>
      <c r="S2874" s="11" t="str">
        <f>IF(R2874="","",'[1]All Data '!BE2879)</f>
        <v/>
      </c>
      <c r="T2874" s="12" t="str">
        <f>IF(S2874="","",[1]Inputs_Outputs!$B$8*(1-'LOCH Calc COE Calc'!S2874))</f>
        <v/>
      </c>
      <c r="U2874" s="13" t="str">
        <f t="shared" si="226"/>
        <v/>
      </c>
      <c r="V2874" s="13" t="str">
        <f t="shared" si="227"/>
        <v/>
      </c>
      <c r="W2874" s="4" t="str">
        <f t="shared" si="228"/>
        <v/>
      </c>
      <c r="X2874" t="str">
        <f>IF(W2874="","",LOOKUP(_xlfn.CONCAT(P2874,", ",Q2874),'[1]T+S Costs'!$F$2:$F$3138,'[1]T+S Costs'!$N$2:$N$3138))</f>
        <v/>
      </c>
      <c r="Y2874" s="14" t="str">
        <f t="shared" si="224"/>
        <v/>
      </c>
      <c r="Z2874" s="4" t="str">
        <f t="shared" si="225"/>
        <v/>
      </c>
    </row>
    <row r="2875" spans="16:26" x14ac:dyDescent="0.25">
      <c r="P2875" s="10" t="str">
        <f>IF('[1]All Data '!AZ2880="","",'[1]All Data '!AZ2880)</f>
        <v/>
      </c>
      <c r="Q2875" s="10" t="str">
        <f>IF('[1]All Data '!BB2880="","",'[1]All Data '!BB2880)</f>
        <v/>
      </c>
      <c r="R2875" s="10" t="str">
        <f>IF('[1]All Data '!BD2880="","",'[1]All Data '!BD2880)</f>
        <v/>
      </c>
      <c r="S2875" s="11" t="str">
        <f>IF(R2875="","",'[1]All Data '!BE2880)</f>
        <v/>
      </c>
      <c r="T2875" s="12" t="str">
        <f>IF(S2875="","",[1]Inputs_Outputs!$B$8*(1-'LOCH Calc COE Calc'!S2875))</f>
        <v/>
      </c>
      <c r="U2875" s="13" t="str">
        <f t="shared" si="226"/>
        <v/>
      </c>
      <c r="V2875" s="13" t="str">
        <f t="shared" si="227"/>
        <v/>
      </c>
      <c r="W2875" s="4" t="str">
        <f t="shared" si="228"/>
        <v/>
      </c>
      <c r="X2875" t="str">
        <f>IF(W2875="","",LOOKUP(_xlfn.CONCAT(P2875,", ",Q2875),'[1]T+S Costs'!$F$2:$F$3138,'[1]T+S Costs'!$N$2:$N$3138))</f>
        <v/>
      </c>
      <c r="Y2875" s="14" t="str">
        <f t="shared" si="224"/>
        <v/>
      </c>
      <c r="Z2875" s="4" t="str">
        <f t="shared" si="225"/>
        <v/>
      </c>
    </row>
    <row r="2876" spans="16:26" x14ac:dyDescent="0.25">
      <c r="P2876" s="10" t="str">
        <f>IF('[1]All Data '!AZ2881="","",'[1]All Data '!AZ2881)</f>
        <v/>
      </c>
      <c r="Q2876" s="10" t="str">
        <f>IF('[1]All Data '!BB2881="","",'[1]All Data '!BB2881)</f>
        <v/>
      </c>
      <c r="R2876" s="10" t="str">
        <f>IF('[1]All Data '!BD2881="","",'[1]All Data '!BD2881)</f>
        <v/>
      </c>
      <c r="S2876" s="11" t="str">
        <f>IF(R2876="","",'[1]All Data '!BE2881)</f>
        <v/>
      </c>
      <c r="T2876" s="12" t="str">
        <f>IF(S2876="","",[1]Inputs_Outputs!$B$8*(1-'LOCH Calc COE Calc'!S2876))</f>
        <v/>
      </c>
      <c r="U2876" s="13" t="str">
        <f t="shared" si="226"/>
        <v/>
      </c>
      <c r="V2876" s="13" t="str">
        <f t="shared" si="227"/>
        <v/>
      </c>
      <c r="W2876" s="4" t="str">
        <f t="shared" si="228"/>
        <v/>
      </c>
      <c r="X2876" t="str">
        <f>IF(W2876="","",LOOKUP(_xlfn.CONCAT(P2876,", ",Q2876),'[1]T+S Costs'!$F$2:$F$3138,'[1]T+S Costs'!$N$2:$N$3138))</f>
        <v/>
      </c>
      <c r="Y2876" s="14" t="str">
        <f t="shared" si="224"/>
        <v/>
      </c>
      <c r="Z2876" s="4" t="str">
        <f t="shared" si="225"/>
        <v/>
      </c>
    </row>
    <row r="2877" spans="16:26" x14ac:dyDescent="0.25">
      <c r="P2877" s="10" t="str">
        <f>IF('[1]All Data '!AZ2882="","",'[1]All Data '!AZ2882)</f>
        <v/>
      </c>
      <c r="Q2877" s="10" t="str">
        <f>IF('[1]All Data '!BB2882="","",'[1]All Data '!BB2882)</f>
        <v/>
      </c>
      <c r="R2877" s="10" t="str">
        <f>IF('[1]All Data '!BD2882="","",'[1]All Data '!BD2882)</f>
        <v/>
      </c>
      <c r="S2877" s="11" t="str">
        <f>IF(R2877="","",'[1]All Data '!BE2882)</f>
        <v/>
      </c>
      <c r="T2877" s="12" t="str">
        <f>IF(S2877="","",[1]Inputs_Outputs!$B$8*(1-'LOCH Calc COE Calc'!S2877))</f>
        <v/>
      </c>
      <c r="U2877" s="13" t="str">
        <f t="shared" si="226"/>
        <v/>
      </c>
      <c r="V2877" s="13" t="str">
        <f t="shared" si="227"/>
        <v/>
      </c>
      <c r="W2877" s="4" t="str">
        <f t="shared" si="228"/>
        <v/>
      </c>
      <c r="X2877" t="str">
        <f>IF(W2877="","",LOOKUP(_xlfn.CONCAT(P2877,", ",Q2877),'[1]T+S Costs'!$F$2:$F$3138,'[1]T+S Costs'!$N$2:$N$3138))</f>
        <v/>
      </c>
      <c r="Y2877" s="14" t="str">
        <f t="shared" si="224"/>
        <v/>
      </c>
      <c r="Z2877" s="4" t="str">
        <f t="shared" si="225"/>
        <v/>
      </c>
    </row>
    <row r="2878" spans="16:26" x14ac:dyDescent="0.25">
      <c r="P2878" s="10" t="str">
        <f>IF('[1]All Data '!AZ2883="","",'[1]All Data '!AZ2883)</f>
        <v/>
      </c>
      <c r="Q2878" s="10" t="str">
        <f>IF('[1]All Data '!BB2883="","",'[1]All Data '!BB2883)</f>
        <v/>
      </c>
      <c r="R2878" s="10" t="str">
        <f>IF('[1]All Data '!BD2883="","",'[1]All Data '!BD2883)</f>
        <v/>
      </c>
      <c r="S2878" s="11" t="str">
        <f>IF(R2878="","",'[1]All Data '!BE2883)</f>
        <v/>
      </c>
      <c r="T2878" s="12" t="str">
        <f>IF(S2878="","",[1]Inputs_Outputs!$B$8*(1-'LOCH Calc COE Calc'!S2878))</f>
        <v/>
      </c>
      <c r="U2878" s="13" t="str">
        <f t="shared" si="226"/>
        <v/>
      </c>
      <c r="V2878" s="13" t="str">
        <f t="shared" si="227"/>
        <v/>
      </c>
      <c r="W2878" s="4" t="str">
        <f t="shared" si="228"/>
        <v/>
      </c>
      <c r="X2878" t="str">
        <f>IF(W2878="","",LOOKUP(_xlfn.CONCAT(P2878,", ",Q2878),'[1]T+S Costs'!$F$2:$F$3138,'[1]T+S Costs'!$N$2:$N$3138))</f>
        <v/>
      </c>
      <c r="Y2878" s="14" t="str">
        <f t="shared" si="224"/>
        <v/>
      </c>
      <c r="Z2878" s="4" t="str">
        <f t="shared" si="225"/>
        <v/>
      </c>
    </row>
    <row r="2879" spans="16:26" x14ac:dyDescent="0.25">
      <c r="P2879" s="10" t="str">
        <f>IF('[1]All Data '!AZ2884="","",'[1]All Data '!AZ2884)</f>
        <v/>
      </c>
      <c r="Q2879" s="10" t="str">
        <f>IF('[1]All Data '!BB2884="","",'[1]All Data '!BB2884)</f>
        <v/>
      </c>
      <c r="R2879" s="10" t="str">
        <f>IF('[1]All Data '!BD2884="","",'[1]All Data '!BD2884)</f>
        <v/>
      </c>
      <c r="S2879" s="11" t="str">
        <f>IF(R2879="","",'[1]All Data '!BE2884)</f>
        <v/>
      </c>
      <c r="T2879" s="12" t="str">
        <f>IF(S2879="","",[1]Inputs_Outputs!$B$8*(1-'LOCH Calc COE Calc'!S2879))</f>
        <v/>
      </c>
      <c r="U2879" s="13" t="str">
        <f t="shared" si="226"/>
        <v/>
      </c>
      <c r="V2879" s="13" t="str">
        <f t="shared" si="227"/>
        <v/>
      </c>
      <c r="W2879" s="4" t="str">
        <f t="shared" si="228"/>
        <v/>
      </c>
      <c r="X2879" t="str">
        <f>IF(W2879="","",LOOKUP(_xlfn.CONCAT(P2879,", ",Q2879),'[1]T+S Costs'!$F$2:$F$3138,'[1]T+S Costs'!$N$2:$N$3138))</f>
        <v/>
      </c>
      <c r="Y2879" s="14" t="str">
        <f t="shared" si="224"/>
        <v/>
      </c>
      <c r="Z2879" s="4" t="str">
        <f t="shared" si="225"/>
        <v/>
      </c>
    </row>
    <row r="2880" spans="16:26" x14ac:dyDescent="0.25">
      <c r="P2880" s="10" t="str">
        <f>IF('[1]All Data '!AZ2885="","",'[1]All Data '!AZ2885)</f>
        <v/>
      </c>
      <c r="Q2880" s="10" t="str">
        <f>IF('[1]All Data '!BB2885="","",'[1]All Data '!BB2885)</f>
        <v/>
      </c>
      <c r="R2880" s="10" t="str">
        <f>IF('[1]All Data '!BD2885="","",'[1]All Data '!BD2885)</f>
        <v/>
      </c>
      <c r="S2880" s="11" t="str">
        <f>IF(R2880="","",'[1]All Data '!BE2885)</f>
        <v/>
      </c>
      <c r="T2880" s="12" t="str">
        <f>IF(S2880="","",[1]Inputs_Outputs!$B$8*(1-'LOCH Calc COE Calc'!S2880))</f>
        <v/>
      </c>
      <c r="U2880" s="13" t="str">
        <f t="shared" si="226"/>
        <v/>
      </c>
      <c r="V2880" s="13" t="str">
        <f t="shared" si="227"/>
        <v/>
      </c>
      <c r="W2880" s="4" t="str">
        <f t="shared" si="228"/>
        <v/>
      </c>
      <c r="X2880" t="str">
        <f>IF(W2880="","",LOOKUP(_xlfn.CONCAT(P2880,", ",Q2880),'[1]T+S Costs'!$F$2:$F$3138,'[1]T+S Costs'!$N$2:$N$3138))</f>
        <v/>
      </c>
      <c r="Y2880" s="14" t="str">
        <f t="shared" si="224"/>
        <v/>
      </c>
      <c r="Z2880" s="4" t="str">
        <f t="shared" si="225"/>
        <v/>
      </c>
    </row>
    <row r="2881" spans="16:26" x14ac:dyDescent="0.25">
      <c r="P2881" s="10" t="str">
        <f>IF('[1]All Data '!AZ2886="","",'[1]All Data '!AZ2886)</f>
        <v/>
      </c>
      <c r="Q2881" s="10" t="str">
        <f>IF('[1]All Data '!BB2886="","",'[1]All Data '!BB2886)</f>
        <v/>
      </c>
      <c r="R2881" s="10" t="str">
        <f>IF('[1]All Data '!BD2886="","",'[1]All Data '!BD2886)</f>
        <v/>
      </c>
      <c r="S2881" s="11" t="str">
        <f>IF(R2881="","",'[1]All Data '!BE2886)</f>
        <v/>
      </c>
      <c r="T2881" s="12" t="str">
        <f>IF(S2881="","",[1]Inputs_Outputs!$B$8*(1-'LOCH Calc COE Calc'!S2881))</f>
        <v/>
      </c>
      <c r="U2881" s="13" t="str">
        <f t="shared" si="226"/>
        <v/>
      </c>
      <c r="V2881" s="13" t="str">
        <f t="shared" si="227"/>
        <v/>
      </c>
      <c r="W2881" s="4" t="str">
        <f t="shared" si="228"/>
        <v/>
      </c>
      <c r="X2881" t="str">
        <f>IF(W2881="","",LOOKUP(_xlfn.CONCAT(P2881,", ",Q2881),'[1]T+S Costs'!$F$2:$F$3138,'[1]T+S Costs'!$N$2:$N$3138))</f>
        <v/>
      </c>
      <c r="Y2881" s="14" t="str">
        <f t="shared" si="224"/>
        <v/>
      </c>
      <c r="Z2881" s="4" t="str">
        <f t="shared" si="225"/>
        <v/>
      </c>
    </row>
    <row r="2882" spans="16:26" x14ac:dyDescent="0.25">
      <c r="P2882" s="10" t="str">
        <f>IF('[1]All Data '!AZ2887="","",'[1]All Data '!AZ2887)</f>
        <v/>
      </c>
      <c r="Q2882" s="10" t="str">
        <f>IF('[1]All Data '!BB2887="","",'[1]All Data '!BB2887)</f>
        <v/>
      </c>
      <c r="R2882" s="10" t="str">
        <f>IF('[1]All Data '!BD2887="","",'[1]All Data '!BD2887)</f>
        <v/>
      </c>
      <c r="S2882" s="11" t="str">
        <f>IF(R2882="","",'[1]All Data '!BE2887)</f>
        <v/>
      </c>
      <c r="T2882" s="12" t="str">
        <f>IF(S2882="","",[1]Inputs_Outputs!$B$8*(1-'LOCH Calc COE Calc'!S2882))</f>
        <v/>
      </c>
      <c r="U2882" s="13" t="str">
        <f t="shared" si="226"/>
        <v/>
      </c>
      <c r="V2882" s="13" t="str">
        <f t="shared" si="227"/>
        <v/>
      </c>
      <c r="W2882" s="4" t="str">
        <f t="shared" si="228"/>
        <v/>
      </c>
      <c r="X2882" t="str">
        <f>IF(W2882="","",LOOKUP(_xlfn.CONCAT(P2882,", ",Q2882),'[1]T+S Costs'!$F$2:$F$3138,'[1]T+S Costs'!$N$2:$N$3138))</f>
        <v/>
      </c>
      <c r="Y2882" s="14" t="str">
        <f t="shared" si="224"/>
        <v/>
      </c>
      <c r="Z2882" s="4" t="str">
        <f t="shared" si="225"/>
        <v/>
      </c>
    </row>
    <row r="2883" spans="16:26" x14ac:dyDescent="0.25">
      <c r="P2883" s="10" t="str">
        <f>IF('[1]All Data '!AZ2888="","",'[1]All Data '!AZ2888)</f>
        <v/>
      </c>
      <c r="Q2883" s="10" t="str">
        <f>IF('[1]All Data '!BB2888="","",'[1]All Data '!BB2888)</f>
        <v/>
      </c>
      <c r="R2883" s="10" t="str">
        <f>IF('[1]All Data '!BD2888="","",'[1]All Data '!BD2888)</f>
        <v/>
      </c>
      <c r="S2883" s="11" t="str">
        <f>IF(R2883="","",'[1]All Data '!BE2888)</f>
        <v/>
      </c>
      <c r="T2883" s="12" t="str">
        <f>IF(S2883="","",[1]Inputs_Outputs!$B$8*(1-'LOCH Calc COE Calc'!S2883))</f>
        <v/>
      </c>
      <c r="U2883" s="13" t="str">
        <f t="shared" si="226"/>
        <v/>
      </c>
      <c r="V2883" s="13" t="str">
        <f t="shared" si="227"/>
        <v/>
      </c>
      <c r="W2883" s="4" t="str">
        <f t="shared" si="228"/>
        <v/>
      </c>
      <c r="X2883" t="str">
        <f>IF(W2883="","",LOOKUP(_xlfn.CONCAT(P2883,", ",Q2883),'[1]T+S Costs'!$F$2:$F$3138,'[1]T+S Costs'!$N$2:$N$3138))</f>
        <v/>
      </c>
      <c r="Y2883" s="14" t="str">
        <f t="shared" ref="Y2883:Y2946" si="229">IF(X2883="","",((X2883*$B$60/$B$59)*$C$44)/$C$28)</f>
        <v/>
      </c>
      <c r="Z2883" s="4" t="str">
        <f t="shared" ref="Z2883:Z2946" si="230">IF(Y2883="","",W2883+Y2883)</f>
        <v/>
      </c>
    </row>
    <row r="2884" spans="16:26" x14ac:dyDescent="0.25">
      <c r="P2884" s="10" t="str">
        <f>IF('[1]All Data '!AZ2889="","",'[1]All Data '!AZ2889)</f>
        <v/>
      </c>
      <c r="Q2884" s="10" t="str">
        <f>IF('[1]All Data '!BB2889="","",'[1]All Data '!BB2889)</f>
        <v/>
      </c>
      <c r="R2884" s="10" t="str">
        <f>IF('[1]All Data '!BD2889="","",'[1]All Data '!BD2889)</f>
        <v/>
      </c>
      <c r="S2884" s="11" t="str">
        <f>IF(R2884="","",'[1]All Data '!BE2889)</f>
        <v/>
      </c>
      <c r="T2884" s="12" t="str">
        <f>IF(S2884="","",[1]Inputs_Outputs!$B$8*(1-'LOCH Calc COE Calc'!S2884))</f>
        <v/>
      </c>
      <c r="U2884" s="13" t="str">
        <f t="shared" si="226"/>
        <v/>
      </c>
      <c r="V2884" s="13" t="str">
        <f t="shared" si="227"/>
        <v/>
      </c>
      <c r="W2884" s="4" t="str">
        <f t="shared" si="228"/>
        <v/>
      </c>
      <c r="X2884" t="str">
        <f>IF(W2884="","",LOOKUP(_xlfn.CONCAT(P2884,", ",Q2884),'[1]T+S Costs'!$F$2:$F$3138,'[1]T+S Costs'!$N$2:$N$3138))</f>
        <v/>
      </c>
      <c r="Y2884" s="14" t="str">
        <f t="shared" si="229"/>
        <v/>
      </c>
      <c r="Z2884" s="4" t="str">
        <f t="shared" si="230"/>
        <v/>
      </c>
    </row>
    <row r="2885" spans="16:26" x14ac:dyDescent="0.25">
      <c r="P2885" s="10" t="str">
        <f>IF('[1]All Data '!AZ2890="","",'[1]All Data '!AZ2890)</f>
        <v/>
      </c>
      <c r="Q2885" s="10" t="str">
        <f>IF('[1]All Data '!BB2890="","",'[1]All Data '!BB2890)</f>
        <v/>
      </c>
      <c r="R2885" s="10" t="str">
        <f>IF('[1]All Data '!BD2890="","",'[1]All Data '!BD2890)</f>
        <v/>
      </c>
      <c r="S2885" s="11" t="str">
        <f>IF(R2885="","",'[1]All Data '!BE2890)</f>
        <v/>
      </c>
      <c r="T2885" s="12" t="str">
        <f>IF(S2885="","",[1]Inputs_Outputs!$B$8*(1-'LOCH Calc COE Calc'!S2885))</f>
        <v/>
      </c>
      <c r="U2885" s="13" t="str">
        <f t="shared" si="226"/>
        <v/>
      </c>
      <c r="V2885" s="13" t="str">
        <f t="shared" si="227"/>
        <v/>
      </c>
      <c r="W2885" s="4" t="str">
        <f t="shared" si="228"/>
        <v/>
      </c>
      <c r="X2885" t="str">
        <f>IF(W2885="","",LOOKUP(_xlfn.CONCAT(P2885,", ",Q2885),'[1]T+S Costs'!$F$2:$F$3138,'[1]T+S Costs'!$N$2:$N$3138))</f>
        <v/>
      </c>
      <c r="Y2885" s="14" t="str">
        <f t="shared" si="229"/>
        <v/>
      </c>
      <c r="Z2885" s="4" t="str">
        <f t="shared" si="230"/>
        <v/>
      </c>
    </row>
    <row r="2886" spans="16:26" x14ac:dyDescent="0.25">
      <c r="P2886" s="10" t="str">
        <f>IF('[1]All Data '!AZ2891="","",'[1]All Data '!AZ2891)</f>
        <v/>
      </c>
      <c r="Q2886" s="10" t="str">
        <f>IF('[1]All Data '!BB2891="","",'[1]All Data '!BB2891)</f>
        <v/>
      </c>
      <c r="R2886" s="10" t="str">
        <f>IF('[1]All Data '!BD2891="","",'[1]All Data '!BD2891)</f>
        <v/>
      </c>
      <c r="S2886" s="11" t="str">
        <f>IF(R2886="","",'[1]All Data '!BE2891)</f>
        <v/>
      </c>
      <c r="T2886" s="12" t="str">
        <f>IF(S2886="","",[1]Inputs_Outputs!$B$8*(1-'LOCH Calc COE Calc'!S2886))</f>
        <v/>
      </c>
      <c r="U2886" s="13" t="str">
        <f t="shared" si="226"/>
        <v/>
      </c>
      <c r="V2886" s="13" t="str">
        <f t="shared" si="227"/>
        <v/>
      </c>
      <c r="W2886" s="4" t="str">
        <f t="shared" si="228"/>
        <v/>
      </c>
      <c r="X2886" t="str">
        <f>IF(W2886="","",LOOKUP(_xlfn.CONCAT(P2886,", ",Q2886),'[1]T+S Costs'!$F$2:$F$3138,'[1]T+S Costs'!$N$2:$N$3138))</f>
        <v/>
      </c>
      <c r="Y2886" s="14" t="str">
        <f t="shared" si="229"/>
        <v/>
      </c>
      <c r="Z2886" s="4" t="str">
        <f t="shared" si="230"/>
        <v/>
      </c>
    </row>
    <row r="2887" spans="16:26" x14ac:dyDescent="0.25">
      <c r="P2887" s="10" t="str">
        <f>IF('[1]All Data '!AZ2892="","",'[1]All Data '!AZ2892)</f>
        <v/>
      </c>
      <c r="Q2887" s="10" t="str">
        <f>IF('[1]All Data '!BB2892="","",'[1]All Data '!BB2892)</f>
        <v/>
      </c>
      <c r="R2887" s="10" t="str">
        <f>IF('[1]All Data '!BD2892="","",'[1]All Data '!BD2892)</f>
        <v/>
      </c>
      <c r="S2887" s="11" t="str">
        <f>IF(R2887="","",'[1]All Data '!BE2892)</f>
        <v/>
      </c>
      <c r="T2887" s="12" t="str">
        <f>IF(S2887="","",[1]Inputs_Outputs!$B$8*(1-'LOCH Calc COE Calc'!S2887))</f>
        <v/>
      </c>
      <c r="U2887" s="13" t="str">
        <f t="shared" si="226"/>
        <v/>
      </c>
      <c r="V2887" s="13" t="str">
        <f t="shared" si="227"/>
        <v/>
      </c>
      <c r="W2887" s="4" t="str">
        <f t="shared" si="228"/>
        <v/>
      </c>
      <c r="X2887" t="str">
        <f>IF(W2887="","",LOOKUP(_xlfn.CONCAT(P2887,", ",Q2887),'[1]T+S Costs'!$F$2:$F$3138,'[1]T+S Costs'!$N$2:$N$3138))</f>
        <v/>
      </c>
      <c r="Y2887" s="14" t="str">
        <f t="shared" si="229"/>
        <v/>
      </c>
      <c r="Z2887" s="4" t="str">
        <f t="shared" si="230"/>
        <v/>
      </c>
    </row>
    <row r="2888" spans="16:26" x14ac:dyDescent="0.25">
      <c r="P2888" s="10" t="str">
        <f>IF('[1]All Data '!AZ2893="","",'[1]All Data '!AZ2893)</f>
        <v/>
      </c>
      <c r="Q2888" s="10" t="str">
        <f>IF('[1]All Data '!BB2893="","",'[1]All Data '!BB2893)</f>
        <v/>
      </c>
      <c r="R2888" s="10" t="str">
        <f>IF('[1]All Data '!BD2893="","",'[1]All Data '!BD2893)</f>
        <v/>
      </c>
      <c r="S2888" s="11" t="str">
        <f>IF(R2888="","",'[1]All Data '!BE2893)</f>
        <v/>
      </c>
      <c r="T2888" s="12" t="str">
        <f>IF(S2888="","",[1]Inputs_Outputs!$B$8*(1-'LOCH Calc COE Calc'!S2888))</f>
        <v/>
      </c>
      <c r="U2888" s="13" t="str">
        <f t="shared" si="226"/>
        <v/>
      </c>
      <c r="V2888" s="13" t="str">
        <f t="shared" si="227"/>
        <v/>
      </c>
      <c r="W2888" s="4" t="str">
        <f t="shared" si="228"/>
        <v/>
      </c>
      <c r="X2888" t="str">
        <f>IF(W2888="","",LOOKUP(_xlfn.CONCAT(P2888,", ",Q2888),'[1]T+S Costs'!$F$2:$F$3138,'[1]T+S Costs'!$N$2:$N$3138))</f>
        <v/>
      </c>
      <c r="Y2888" s="14" t="str">
        <f t="shared" si="229"/>
        <v/>
      </c>
      <c r="Z2888" s="4" t="str">
        <f t="shared" si="230"/>
        <v/>
      </c>
    </row>
    <row r="2889" spans="16:26" x14ac:dyDescent="0.25">
      <c r="P2889" s="10" t="str">
        <f>IF('[1]All Data '!AZ2894="","",'[1]All Data '!AZ2894)</f>
        <v/>
      </c>
      <c r="Q2889" s="10" t="str">
        <f>IF('[1]All Data '!BB2894="","",'[1]All Data '!BB2894)</f>
        <v/>
      </c>
      <c r="R2889" s="10" t="str">
        <f>IF('[1]All Data '!BD2894="","",'[1]All Data '!BD2894)</f>
        <v/>
      </c>
      <c r="S2889" s="11" t="str">
        <f>IF(R2889="","",'[1]All Data '!BE2894)</f>
        <v/>
      </c>
      <c r="T2889" s="12" t="str">
        <f>IF(S2889="","",[1]Inputs_Outputs!$B$8*(1-'LOCH Calc COE Calc'!S2889))</f>
        <v/>
      </c>
      <c r="U2889" s="13" t="str">
        <f t="shared" si="226"/>
        <v/>
      </c>
      <c r="V2889" s="13" t="str">
        <f t="shared" si="227"/>
        <v/>
      </c>
      <c r="W2889" s="4" t="str">
        <f t="shared" si="228"/>
        <v/>
      </c>
      <c r="X2889" t="str">
        <f>IF(W2889="","",LOOKUP(_xlfn.CONCAT(P2889,", ",Q2889),'[1]T+S Costs'!$F$2:$F$3138,'[1]T+S Costs'!$N$2:$N$3138))</f>
        <v/>
      </c>
      <c r="Y2889" s="14" t="str">
        <f t="shared" si="229"/>
        <v/>
      </c>
      <c r="Z2889" s="4" t="str">
        <f t="shared" si="230"/>
        <v/>
      </c>
    </row>
    <row r="2890" spans="16:26" x14ac:dyDescent="0.25">
      <c r="P2890" s="10" t="str">
        <f>IF('[1]All Data '!AZ2895="","",'[1]All Data '!AZ2895)</f>
        <v/>
      </c>
      <c r="Q2890" s="10" t="str">
        <f>IF('[1]All Data '!BB2895="","",'[1]All Data '!BB2895)</f>
        <v/>
      </c>
      <c r="R2890" s="10" t="str">
        <f>IF('[1]All Data '!BD2895="","",'[1]All Data '!BD2895)</f>
        <v/>
      </c>
      <c r="S2890" s="11" t="str">
        <f>IF(R2890="","",'[1]All Data '!BE2895)</f>
        <v/>
      </c>
      <c r="T2890" s="12" t="str">
        <f>IF(S2890="","",[1]Inputs_Outputs!$B$8*(1-'LOCH Calc COE Calc'!S2890))</f>
        <v/>
      </c>
      <c r="U2890" s="13" t="str">
        <f t="shared" si="226"/>
        <v/>
      </c>
      <c r="V2890" s="13" t="str">
        <f t="shared" si="227"/>
        <v/>
      </c>
      <c r="W2890" s="4" t="str">
        <f t="shared" si="228"/>
        <v/>
      </c>
      <c r="X2890" t="str">
        <f>IF(W2890="","",LOOKUP(_xlfn.CONCAT(P2890,", ",Q2890),'[1]T+S Costs'!$F$2:$F$3138,'[1]T+S Costs'!$N$2:$N$3138))</f>
        <v/>
      </c>
      <c r="Y2890" s="14" t="str">
        <f t="shared" si="229"/>
        <v/>
      </c>
      <c r="Z2890" s="4" t="str">
        <f t="shared" si="230"/>
        <v/>
      </c>
    </row>
    <row r="2891" spans="16:26" x14ac:dyDescent="0.25">
      <c r="P2891" s="10" t="str">
        <f>IF('[1]All Data '!AZ2896="","",'[1]All Data '!AZ2896)</f>
        <v/>
      </c>
      <c r="Q2891" s="10" t="str">
        <f>IF('[1]All Data '!BB2896="","",'[1]All Data '!BB2896)</f>
        <v/>
      </c>
      <c r="R2891" s="10" t="str">
        <f>IF('[1]All Data '!BD2896="","",'[1]All Data '!BD2896)</f>
        <v/>
      </c>
      <c r="S2891" s="11" t="str">
        <f>IF(R2891="","",'[1]All Data '!BE2896)</f>
        <v/>
      </c>
      <c r="T2891" s="12" t="str">
        <f>IF(S2891="","",[1]Inputs_Outputs!$B$8*(1-'LOCH Calc COE Calc'!S2891))</f>
        <v/>
      </c>
      <c r="U2891" s="13" t="str">
        <f t="shared" si="226"/>
        <v/>
      </c>
      <c r="V2891" s="13" t="str">
        <f t="shared" si="227"/>
        <v/>
      </c>
      <c r="W2891" s="4" t="str">
        <f t="shared" si="228"/>
        <v/>
      </c>
      <c r="X2891" t="str">
        <f>IF(W2891="","",LOOKUP(_xlfn.CONCAT(P2891,", ",Q2891),'[1]T+S Costs'!$F$2:$F$3138,'[1]T+S Costs'!$N$2:$N$3138))</f>
        <v/>
      </c>
      <c r="Y2891" s="14" t="str">
        <f t="shared" si="229"/>
        <v/>
      </c>
      <c r="Z2891" s="4" t="str">
        <f t="shared" si="230"/>
        <v/>
      </c>
    </row>
    <row r="2892" spans="16:26" x14ac:dyDescent="0.25">
      <c r="P2892" s="10" t="str">
        <f>IF('[1]All Data '!AZ2897="","",'[1]All Data '!AZ2897)</f>
        <v/>
      </c>
      <c r="Q2892" s="10" t="str">
        <f>IF('[1]All Data '!BB2897="","",'[1]All Data '!BB2897)</f>
        <v/>
      </c>
      <c r="R2892" s="10" t="str">
        <f>IF('[1]All Data '!BD2897="","",'[1]All Data '!BD2897)</f>
        <v/>
      </c>
      <c r="S2892" s="11" t="str">
        <f>IF(R2892="","",'[1]All Data '!BE2897)</f>
        <v/>
      </c>
      <c r="T2892" s="12" t="str">
        <f>IF(S2892="","",[1]Inputs_Outputs!$B$8*(1-'LOCH Calc COE Calc'!S2892))</f>
        <v/>
      </c>
      <c r="U2892" s="13" t="str">
        <f t="shared" si="226"/>
        <v/>
      </c>
      <c r="V2892" s="13" t="str">
        <f t="shared" si="227"/>
        <v/>
      </c>
      <c r="W2892" s="4" t="str">
        <f t="shared" si="228"/>
        <v/>
      </c>
      <c r="X2892" t="str">
        <f>IF(W2892="","",LOOKUP(_xlfn.CONCAT(P2892,", ",Q2892),'[1]T+S Costs'!$F$2:$F$3138,'[1]T+S Costs'!$N$2:$N$3138))</f>
        <v/>
      </c>
      <c r="Y2892" s="14" t="str">
        <f t="shared" si="229"/>
        <v/>
      </c>
      <c r="Z2892" s="4" t="str">
        <f t="shared" si="230"/>
        <v/>
      </c>
    </row>
    <row r="2893" spans="16:26" x14ac:dyDescent="0.25">
      <c r="P2893" s="10" t="str">
        <f>IF('[1]All Data '!AZ2898="","",'[1]All Data '!AZ2898)</f>
        <v/>
      </c>
      <c r="Q2893" s="10" t="str">
        <f>IF('[1]All Data '!BB2898="","",'[1]All Data '!BB2898)</f>
        <v/>
      </c>
      <c r="R2893" s="10" t="str">
        <f>IF('[1]All Data '!BD2898="","",'[1]All Data '!BD2898)</f>
        <v/>
      </c>
      <c r="S2893" s="11" t="str">
        <f>IF(R2893="","",'[1]All Data '!BE2898)</f>
        <v/>
      </c>
      <c r="T2893" s="12" t="str">
        <f>IF(S2893="","",[1]Inputs_Outputs!$B$8*(1-'LOCH Calc COE Calc'!S2893))</f>
        <v/>
      </c>
      <c r="U2893" s="13" t="str">
        <f t="shared" si="226"/>
        <v/>
      </c>
      <c r="V2893" s="13" t="str">
        <f t="shared" si="227"/>
        <v/>
      </c>
      <c r="W2893" s="4" t="str">
        <f t="shared" si="228"/>
        <v/>
      </c>
      <c r="X2893" t="str">
        <f>IF(W2893="","",LOOKUP(_xlfn.CONCAT(P2893,", ",Q2893),'[1]T+S Costs'!$F$2:$F$3138,'[1]T+S Costs'!$N$2:$N$3138))</f>
        <v/>
      </c>
      <c r="Y2893" s="14" t="str">
        <f t="shared" si="229"/>
        <v/>
      </c>
      <c r="Z2893" s="4" t="str">
        <f t="shared" si="230"/>
        <v/>
      </c>
    </row>
    <row r="2894" spans="16:26" x14ac:dyDescent="0.25">
      <c r="P2894" s="10" t="str">
        <f>IF('[1]All Data '!AZ2899="","",'[1]All Data '!AZ2899)</f>
        <v/>
      </c>
      <c r="Q2894" s="10" t="str">
        <f>IF('[1]All Data '!BB2899="","",'[1]All Data '!BB2899)</f>
        <v/>
      </c>
      <c r="R2894" s="10" t="str">
        <f>IF('[1]All Data '!BD2899="","",'[1]All Data '!BD2899)</f>
        <v/>
      </c>
      <c r="S2894" s="11" t="str">
        <f>IF(R2894="","",'[1]All Data '!BE2899)</f>
        <v/>
      </c>
      <c r="T2894" s="12" t="str">
        <f>IF(S2894="","",[1]Inputs_Outputs!$B$8*(1-'LOCH Calc COE Calc'!S2894))</f>
        <v/>
      </c>
      <c r="U2894" s="13" t="str">
        <f t="shared" si="226"/>
        <v/>
      </c>
      <c r="V2894" s="13" t="str">
        <f t="shared" si="227"/>
        <v/>
      </c>
      <c r="W2894" s="4" t="str">
        <f t="shared" si="228"/>
        <v/>
      </c>
      <c r="X2894" t="str">
        <f>IF(W2894="","",LOOKUP(_xlfn.CONCAT(P2894,", ",Q2894),'[1]T+S Costs'!$F$2:$F$3138,'[1]T+S Costs'!$N$2:$N$3138))</f>
        <v/>
      </c>
      <c r="Y2894" s="14" t="str">
        <f t="shared" si="229"/>
        <v/>
      </c>
      <c r="Z2894" s="4" t="str">
        <f t="shared" si="230"/>
        <v/>
      </c>
    </row>
    <row r="2895" spans="16:26" x14ac:dyDescent="0.25">
      <c r="P2895" s="10" t="str">
        <f>IF('[1]All Data '!AZ2900="","",'[1]All Data '!AZ2900)</f>
        <v/>
      </c>
      <c r="Q2895" s="10" t="str">
        <f>IF('[1]All Data '!BB2900="","",'[1]All Data '!BB2900)</f>
        <v/>
      </c>
      <c r="R2895" s="10" t="str">
        <f>IF('[1]All Data '!BD2900="","",'[1]All Data '!BD2900)</f>
        <v/>
      </c>
      <c r="S2895" s="11" t="str">
        <f>IF(R2895="","",'[1]All Data '!BE2900)</f>
        <v/>
      </c>
      <c r="T2895" s="12" t="str">
        <f>IF(S2895="","",[1]Inputs_Outputs!$B$8*(1-'LOCH Calc COE Calc'!S2895))</f>
        <v/>
      </c>
      <c r="U2895" s="13" t="str">
        <f t="shared" si="226"/>
        <v/>
      </c>
      <c r="V2895" s="13" t="str">
        <f t="shared" si="227"/>
        <v/>
      </c>
      <c r="W2895" s="4" t="str">
        <f t="shared" si="228"/>
        <v/>
      </c>
      <c r="X2895" t="str">
        <f>IF(W2895="","",LOOKUP(_xlfn.CONCAT(P2895,", ",Q2895),'[1]T+S Costs'!$F$2:$F$3138,'[1]T+S Costs'!$N$2:$N$3138))</f>
        <v/>
      </c>
      <c r="Y2895" s="14" t="str">
        <f t="shared" si="229"/>
        <v/>
      </c>
      <c r="Z2895" s="4" t="str">
        <f t="shared" si="230"/>
        <v/>
      </c>
    </row>
    <row r="2896" spans="16:26" x14ac:dyDescent="0.25">
      <c r="P2896" s="10" t="str">
        <f>IF('[1]All Data '!AZ2901="","",'[1]All Data '!AZ2901)</f>
        <v/>
      </c>
      <c r="Q2896" s="10" t="str">
        <f>IF('[1]All Data '!BB2901="","",'[1]All Data '!BB2901)</f>
        <v/>
      </c>
      <c r="R2896" s="10" t="str">
        <f>IF('[1]All Data '!BD2901="","",'[1]All Data '!BD2901)</f>
        <v/>
      </c>
      <c r="S2896" s="11" t="str">
        <f>IF(R2896="","",'[1]All Data '!BE2901)</f>
        <v/>
      </c>
      <c r="T2896" s="12" t="str">
        <f>IF(S2896="","",[1]Inputs_Outputs!$B$8*(1-'LOCH Calc COE Calc'!S2896))</f>
        <v/>
      </c>
      <c r="U2896" s="13" t="str">
        <f t="shared" si="226"/>
        <v/>
      </c>
      <c r="V2896" s="13" t="str">
        <f t="shared" si="227"/>
        <v/>
      </c>
      <c r="W2896" s="4" t="str">
        <f t="shared" si="228"/>
        <v/>
      </c>
      <c r="X2896" t="str">
        <f>IF(W2896="","",LOOKUP(_xlfn.CONCAT(P2896,", ",Q2896),'[1]T+S Costs'!$F$2:$F$3138,'[1]T+S Costs'!$N$2:$N$3138))</f>
        <v/>
      </c>
      <c r="Y2896" s="14" t="str">
        <f t="shared" si="229"/>
        <v/>
      </c>
      <c r="Z2896" s="4" t="str">
        <f t="shared" si="230"/>
        <v/>
      </c>
    </row>
    <row r="2897" spans="16:26" x14ac:dyDescent="0.25">
      <c r="P2897" s="10" t="str">
        <f>IF('[1]All Data '!AZ2902="","",'[1]All Data '!AZ2902)</f>
        <v/>
      </c>
      <c r="Q2897" s="10" t="str">
        <f>IF('[1]All Data '!BB2902="","",'[1]All Data '!BB2902)</f>
        <v/>
      </c>
      <c r="R2897" s="10" t="str">
        <f>IF('[1]All Data '!BD2902="","",'[1]All Data '!BD2902)</f>
        <v/>
      </c>
      <c r="S2897" s="11" t="str">
        <f>IF(R2897="","",'[1]All Data '!BE2902)</f>
        <v/>
      </c>
      <c r="T2897" s="12" t="str">
        <f>IF(S2897="","",[1]Inputs_Outputs!$B$8*(1-'LOCH Calc COE Calc'!S2897))</f>
        <v/>
      </c>
      <c r="U2897" s="13" t="str">
        <f t="shared" si="226"/>
        <v/>
      </c>
      <c r="V2897" s="13" t="str">
        <f t="shared" si="227"/>
        <v/>
      </c>
      <c r="W2897" s="4" t="str">
        <f t="shared" si="228"/>
        <v/>
      </c>
      <c r="X2897" t="str">
        <f>IF(W2897="","",LOOKUP(_xlfn.CONCAT(P2897,", ",Q2897),'[1]T+S Costs'!$F$2:$F$3138,'[1]T+S Costs'!$N$2:$N$3138))</f>
        <v/>
      </c>
      <c r="Y2897" s="14" t="str">
        <f t="shared" si="229"/>
        <v/>
      </c>
      <c r="Z2897" s="4" t="str">
        <f t="shared" si="230"/>
        <v/>
      </c>
    </row>
    <row r="2898" spans="16:26" x14ac:dyDescent="0.25">
      <c r="P2898" s="10" t="str">
        <f>IF('[1]All Data '!AZ2903="","",'[1]All Data '!AZ2903)</f>
        <v/>
      </c>
      <c r="Q2898" s="10" t="str">
        <f>IF('[1]All Data '!BB2903="","",'[1]All Data '!BB2903)</f>
        <v/>
      </c>
      <c r="R2898" s="10" t="str">
        <f>IF('[1]All Data '!BD2903="","",'[1]All Data '!BD2903)</f>
        <v/>
      </c>
      <c r="S2898" s="11" t="str">
        <f>IF(R2898="","",'[1]All Data '!BE2903)</f>
        <v/>
      </c>
      <c r="T2898" s="12" t="str">
        <f>IF(S2898="","",[1]Inputs_Outputs!$B$8*(1-'LOCH Calc COE Calc'!S2898))</f>
        <v/>
      </c>
      <c r="U2898" s="13" t="str">
        <f t="shared" si="226"/>
        <v/>
      </c>
      <c r="V2898" s="13" t="str">
        <f t="shared" si="227"/>
        <v/>
      </c>
      <c r="W2898" s="4" t="str">
        <f t="shared" si="228"/>
        <v/>
      </c>
      <c r="X2898" t="str">
        <f>IF(W2898="","",LOOKUP(_xlfn.CONCAT(P2898,", ",Q2898),'[1]T+S Costs'!$F$2:$F$3138,'[1]T+S Costs'!$N$2:$N$3138))</f>
        <v/>
      </c>
      <c r="Y2898" s="14" t="str">
        <f t="shared" si="229"/>
        <v/>
      </c>
      <c r="Z2898" s="4" t="str">
        <f t="shared" si="230"/>
        <v/>
      </c>
    </row>
    <row r="2899" spans="16:26" x14ac:dyDescent="0.25">
      <c r="P2899" s="10" t="str">
        <f>IF('[1]All Data '!AZ2904="","",'[1]All Data '!AZ2904)</f>
        <v/>
      </c>
      <c r="Q2899" s="10" t="str">
        <f>IF('[1]All Data '!BB2904="","",'[1]All Data '!BB2904)</f>
        <v/>
      </c>
      <c r="R2899" s="10" t="str">
        <f>IF('[1]All Data '!BD2904="","",'[1]All Data '!BD2904)</f>
        <v/>
      </c>
      <c r="S2899" s="11" t="str">
        <f>IF(R2899="","",'[1]All Data '!BE2904)</f>
        <v/>
      </c>
      <c r="T2899" s="12" t="str">
        <f>IF(S2899="","",[1]Inputs_Outputs!$B$8*(1-'LOCH Calc COE Calc'!S2899))</f>
        <v/>
      </c>
      <c r="U2899" s="13" t="str">
        <f t="shared" si="226"/>
        <v/>
      </c>
      <c r="V2899" s="13" t="str">
        <f t="shared" si="227"/>
        <v/>
      </c>
      <c r="W2899" s="4" t="str">
        <f t="shared" si="228"/>
        <v/>
      </c>
      <c r="X2899" t="str">
        <f>IF(W2899="","",LOOKUP(_xlfn.CONCAT(P2899,", ",Q2899),'[1]T+S Costs'!$F$2:$F$3138,'[1]T+S Costs'!$N$2:$N$3138))</f>
        <v/>
      </c>
      <c r="Y2899" s="14" t="str">
        <f t="shared" si="229"/>
        <v/>
      </c>
      <c r="Z2899" s="4" t="str">
        <f t="shared" si="230"/>
        <v/>
      </c>
    </row>
    <row r="2900" spans="16:26" x14ac:dyDescent="0.25">
      <c r="P2900" s="10" t="str">
        <f>IF('[1]All Data '!AZ2905="","",'[1]All Data '!AZ2905)</f>
        <v/>
      </c>
      <c r="Q2900" s="10" t="str">
        <f>IF('[1]All Data '!BB2905="","",'[1]All Data '!BB2905)</f>
        <v/>
      </c>
      <c r="R2900" s="10" t="str">
        <f>IF('[1]All Data '!BD2905="","",'[1]All Data '!BD2905)</f>
        <v/>
      </c>
      <c r="S2900" s="11" t="str">
        <f>IF(R2900="","",'[1]All Data '!BE2905)</f>
        <v/>
      </c>
      <c r="T2900" s="12" t="str">
        <f>IF(S2900="","",[1]Inputs_Outputs!$B$8*(1-'LOCH Calc COE Calc'!S2900))</f>
        <v/>
      </c>
      <c r="U2900" s="13" t="str">
        <f t="shared" si="226"/>
        <v/>
      </c>
      <c r="V2900" s="13" t="str">
        <f t="shared" si="227"/>
        <v/>
      </c>
      <c r="W2900" s="4" t="str">
        <f t="shared" si="228"/>
        <v/>
      </c>
      <c r="X2900" t="str">
        <f>IF(W2900="","",LOOKUP(_xlfn.CONCAT(P2900,", ",Q2900),'[1]T+S Costs'!$F$2:$F$3138,'[1]T+S Costs'!$N$2:$N$3138))</f>
        <v/>
      </c>
      <c r="Y2900" s="14" t="str">
        <f t="shared" si="229"/>
        <v/>
      </c>
      <c r="Z2900" s="4" t="str">
        <f t="shared" si="230"/>
        <v/>
      </c>
    </row>
    <row r="2901" spans="16:26" x14ac:dyDescent="0.25">
      <c r="P2901" s="10" t="str">
        <f>IF('[1]All Data '!AZ2906="","",'[1]All Data '!AZ2906)</f>
        <v/>
      </c>
      <c r="Q2901" s="10" t="str">
        <f>IF('[1]All Data '!BB2906="","",'[1]All Data '!BB2906)</f>
        <v/>
      </c>
      <c r="R2901" s="10" t="str">
        <f>IF('[1]All Data '!BD2906="","",'[1]All Data '!BD2906)</f>
        <v/>
      </c>
      <c r="S2901" s="11" t="str">
        <f>IF(R2901="","",'[1]All Data '!BE2906)</f>
        <v/>
      </c>
      <c r="T2901" s="12" t="str">
        <f>IF(S2901="","",[1]Inputs_Outputs!$B$8*(1-'LOCH Calc COE Calc'!S2901))</f>
        <v/>
      </c>
      <c r="U2901" s="13" t="str">
        <f t="shared" si="226"/>
        <v/>
      </c>
      <c r="V2901" s="13" t="str">
        <f t="shared" si="227"/>
        <v/>
      </c>
      <c r="W2901" s="4" t="str">
        <f t="shared" si="228"/>
        <v/>
      </c>
      <c r="X2901" t="str">
        <f>IF(W2901="","",LOOKUP(_xlfn.CONCAT(P2901,", ",Q2901),'[1]T+S Costs'!$F$2:$F$3138,'[1]T+S Costs'!$N$2:$N$3138))</f>
        <v/>
      </c>
      <c r="Y2901" s="14" t="str">
        <f t="shared" si="229"/>
        <v/>
      </c>
      <c r="Z2901" s="4" t="str">
        <f t="shared" si="230"/>
        <v/>
      </c>
    </row>
    <row r="2902" spans="16:26" x14ac:dyDescent="0.25">
      <c r="P2902" s="10" t="str">
        <f>IF('[1]All Data '!AZ2907="","",'[1]All Data '!AZ2907)</f>
        <v/>
      </c>
      <c r="Q2902" s="10" t="str">
        <f>IF('[1]All Data '!BB2907="","",'[1]All Data '!BB2907)</f>
        <v/>
      </c>
      <c r="R2902" s="10" t="str">
        <f>IF('[1]All Data '!BD2907="","",'[1]All Data '!BD2907)</f>
        <v/>
      </c>
      <c r="S2902" s="11" t="str">
        <f>IF(R2902="","",'[1]All Data '!BE2907)</f>
        <v/>
      </c>
      <c r="T2902" s="12" t="str">
        <f>IF(S2902="","",[1]Inputs_Outputs!$B$8*(1-'LOCH Calc COE Calc'!S2902))</f>
        <v/>
      </c>
      <c r="U2902" s="13" t="str">
        <f t="shared" si="226"/>
        <v/>
      </c>
      <c r="V2902" s="13" t="str">
        <f t="shared" si="227"/>
        <v/>
      </c>
      <c r="W2902" s="4" t="str">
        <f t="shared" si="228"/>
        <v/>
      </c>
      <c r="X2902" t="str">
        <f>IF(W2902="","",LOOKUP(_xlfn.CONCAT(P2902,", ",Q2902),'[1]T+S Costs'!$F$2:$F$3138,'[1]T+S Costs'!$N$2:$N$3138))</f>
        <v/>
      </c>
      <c r="Y2902" s="14" t="str">
        <f t="shared" si="229"/>
        <v/>
      </c>
      <c r="Z2902" s="4" t="str">
        <f t="shared" si="230"/>
        <v/>
      </c>
    </row>
    <row r="2903" spans="16:26" x14ac:dyDescent="0.25">
      <c r="P2903" s="10" t="str">
        <f>IF('[1]All Data '!AZ2908="","",'[1]All Data '!AZ2908)</f>
        <v/>
      </c>
      <c r="Q2903" s="10" t="str">
        <f>IF('[1]All Data '!BB2908="","",'[1]All Data '!BB2908)</f>
        <v/>
      </c>
      <c r="R2903" s="10" t="str">
        <f>IF('[1]All Data '!BD2908="","",'[1]All Data '!BD2908)</f>
        <v/>
      </c>
      <c r="S2903" s="11" t="str">
        <f>IF(R2903="","",'[1]All Data '!BE2908)</f>
        <v/>
      </c>
      <c r="T2903" s="12" t="str">
        <f>IF(S2903="","",[1]Inputs_Outputs!$B$8*(1-'LOCH Calc COE Calc'!S2903))</f>
        <v/>
      </c>
      <c r="U2903" s="13" t="str">
        <f t="shared" si="226"/>
        <v/>
      </c>
      <c r="V2903" s="13" t="str">
        <f t="shared" si="227"/>
        <v/>
      </c>
      <c r="W2903" s="4" t="str">
        <f t="shared" si="228"/>
        <v/>
      </c>
      <c r="X2903" t="str">
        <f>IF(W2903="","",LOOKUP(_xlfn.CONCAT(P2903,", ",Q2903),'[1]T+S Costs'!$F$2:$F$3138,'[1]T+S Costs'!$N$2:$N$3138))</f>
        <v/>
      </c>
      <c r="Y2903" s="14" t="str">
        <f t="shared" si="229"/>
        <v/>
      </c>
      <c r="Z2903" s="4" t="str">
        <f t="shared" si="230"/>
        <v/>
      </c>
    </row>
    <row r="2904" spans="16:26" x14ac:dyDescent="0.25">
      <c r="P2904" s="10" t="str">
        <f>IF('[1]All Data '!AZ2909="","",'[1]All Data '!AZ2909)</f>
        <v/>
      </c>
      <c r="Q2904" s="10" t="str">
        <f>IF('[1]All Data '!BB2909="","",'[1]All Data '!BB2909)</f>
        <v/>
      </c>
      <c r="R2904" s="10" t="str">
        <f>IF('[1]All Data '!BD2909="","",'[1]All Data '!BD2909)</f>
        <v/>
      </c>
      <c r="S2904" s="11" t="str">
        <f>IF(R2904="","",'[1]All Data '!BE2909)</f>
        <v/>
      </c>
      <c r="T2904" s="12" t="str">
        <f>IF(S2904="","",[1]Inputs_Outputs!$B$8*(1-'LOCH Calc COE Calc'!S2904))</f>
        <v/>
      </c>
      <c r="U2904" s="13" t="str">
        <f t="shared" si="226"/>
        <v/>
      </c>
      <c r="V2904" s="13" t="str">
        <f t="shared" si="227"/>
        <v/>
      </c>
      <c r="W2904" s="4" t="str">
        <f t="shared" si="228"/>
        <v/>
      </c>
      <c r="X2904" t="str">
        <f>IF(W2904="","",LOOKUP(_xlfn.CONCAT(P2904,", ",Q2904),'[1]T+S Costs'!$F$2:$F$3138,'[1]T+S Costs'!$N$2:$N$3138))</f>
        <v/>
      </c>
      <c r="Y2904" s="14" t="str">
        <f t="shared" si="229"/>
        <v/>
      </c>
      <c r="Z2904" s="4" t="str">
        <f t="shared" si="230"/>
        <v/>
      </c>
    </row>
    <row r="2905" spans="16:26" x14ac:dyDescent="0.25">
      <c r="P2905" s="10" t="str">
        <f>IF('[1]All Data '!AZ2910="","",'[1]All Data '!AZ2910)</f>
        <v/>
      </c>
      <c r="Q2905" s="10" t="str">
        <f>IF('[1]All Data '!BB2910="","",'[1]All Data '!BB2910)</f>
        <v/>
      </c>
      <c r="R2905" s="10" t="str">
        <f>IF('[1]All Data '!BD2910="","",'[1]All Data '!BD2910)</f>
        <v/>
      </c>
      <c r="S2905" s="11" t="str">
        <f>IF(R2905="","",'[1]All Data '!BE2910)</f>
        <v/>
      </c>
      <c r="T2905" s="12" t="str">
        <f>IF(S2905="","",[1]Inputs_Outputs!$B$8*(1-'LOCH Calc COE Calc'!S2905))</f>
        <v/>
      </c>
      <c r="U2905" s="13" t="str">
        <f t="shared" si="226"/>
        <v/>
      </c>
      <c r="V2905" s="13" t="str">
        <f t="shared" si="227"/>
        <v/>
      </c>
      <c r="W2905" s="4" t="str">
        <f t="shared" si="228"/>
        <v/>
      </c>
      <c r="X2905" t="str">
        <f>IF(W2905="","",LOOKUP(_xlfn.CONCAT(P2905,", ",Q2905),'[1]T+S Costs'!$F$2:$F$3138,'[1]T+S Costs'!$N$2:$N$3138))</f>
        <v/>
      </c>
      <c r="Y2905" s="14" t="str">
        <f t="shared" si="229"/>
        <v/>
      </c>
      <c r="Z2905" s="4" t="str">
        <f t="shared" si="230"/>
        <v/>
      </c>
    </row>
    <row r="2906" spans="16:26" x14ac:dyDescent="0.25">
      <c r="P2906" s="10" t="str">
        <f>IF('[1]All Data '!AZ2911="","",'[1]All Data '!AZ2911)</f>
        <v/>
      </c>
      <c r="Q2906" s="10" t="str">
        <f>IF('[1]All Data '!BB2911="","",'[1]All Data '!BB2911)</f>
        <v/>
      </c>
      <c r="R2906" s="10" t="str">
        <f>IF('[1]All Data '!BD2911="","",'[1]All Data '!BD2911)</f>
        <v/>
      </c>
      <c r="S2906" s="11" t="str">
        <f>IF(R2906="","",'[1]All Data '!BE2911)</f>
        <v/>
      </c>
      <c r="T2906" s="12" t="str">
        <f>IF(S2906="","",[1]Inputs_Outputs!$B$8*(1-'LOCH Calc COE Calc'!S2906))</f>
        <v/>
      </c>
      <c r="U2906" s="13" t="str">
        <f t="shared" si="226"/>
        <v/>
      </c>
      <c r="V2906" s="13" t="str">
        <f t="shared" si="227"/>
        <v/>
      </c>
      <c r="W2906" s="4" t="str">
        <f t="shared" si="228"/>
        <v/>
      </c>
      <c r="X2906" t="str">
        <f>IF(W2906="","",LOOKUP(_xlfn.CONCAT(P2906,", ",Q2906),'[1]T+S Costs'!$F$2:$F$3138,'[1]T+S Costs'!$N$2:$N$3138))</f>
        <v/>
      </c>
      <c r="Y2906" s="14" t="str">
        <f t="shared" si="229"/>
        <v/>
      </c>
      <c r="Z2906" s="4" t="str">
        <f t="shared" si="230"/>
        <v/>
      </c>
    </row>
    <row r="2907" spans="16:26" x14ac:dyDescent="0.25">
      <c r="P2907" s="10" t="str">
        <f>IF('[1]All Data '!AZ2912="","",'[1]All Data '!AZ2912)</f>
        <v/>
      </c>
      <c r="Q2907" s="10" t="str">
        <f>IF('[1]All Data '!BB2912="","",'[1]All Data '!BB2912)</f>
        <v/>
      </c>
      <c r="R2907" s="10" t="str">
        <f>IF('[1]All Data '!BD2912="","",'[1]All Data '!BD2912)</f>
        <v/>
      </c>
      <c r="S2907" s="11" t="str">
        <f>IF(R2907="","",'[1]All Data '!BE2912)</f>
        <v/>
      </c>
      <c r="T2907" s="12" t="str">
        <f>IF(S2907="","",[1]Inputs_Outputs!$B$8*(1-'LOCH Calc COE Calc'!S2907))</f>
        <v/>
      </c>
      <c r="U2907" s="13" t="str">
        <f t="shared" si="226"/>
        <v/>
      </c>
      <c r="V2907" s="13" t="str">
        <f t="shared" si="227"/>
        <v/>
      </c>
      <c r="W2907" s="4" t="str">
        <f t="shared" si="228"/>
        <v/>
      </c>
      <c r="X2907" t="str">
        <f>IF(W2907="","",LOOKUP(_xlfn.CONCAT(P2907,", ",Q2907),'[1]T+S Costs'!$F$2:$F$3138,'[1]T+S Costs'!$N$2:$N$3138))</f>
        <v/>
      </c>
      <c r="Y2907" s="14" t="str">
        <f t="shared" si="229"/>
        <v/>
      </c>
      <c r="Z2907" s="4" t="str">
        <f t="shared" si="230"/>
        <v/>
      </c>
    </row>
    <row r="2908" spans="16:26" x14ac:dyDescent="0.25">
      <c r="P2908" s="10" t="str">
        <f>IF('[1]All Data '!AZ2913="","",'[1]All Data '!AZ2913)</f>
        <v/>
      </c>
      <c r="Q2908" s="10" t="str">
        <f>IF('[1]All Data '!BB2913="","",'[1]All Data '!BB2913)</f>
        <v/>
      </c>
      <c r="R2908" s="10" t="str">
        <f>IF('[1]All Data '!BD2913="","",'[1]All Data '!BD2913)</f>
        <v/>
      </c>
      <c r="S2908" s="11" t="str">
        <f>IF(R2908="","",'[1]All Data '!BE2913)</f>
        <v/>
      </c>
      <c r="T2908" s="12" t="str">
        <f>IF(S2908="","",[1]Inputs_Outputs!$B$8*(1-'LOCH Calc COE Calc'!S2908))</f>
        <v/>
      </c>
      <c r="U2908" s="13" t="str">
        <f t="shared" si="226"/>
        <v/>
      </c>
      <c r="V2908" s="13" t="str">
        <f t="shared" si="227"/>
        <v/>
      </c>
      <c r="W2908" s="4" t="str">
        <f t="shared" si="228"/>
        <v/>
      </c>
      <c r="X2908" t="str">
        <f>IF(W2908="","",LOOKUP(_xlfn.CONCAT(P2908,", ",Q2908),'[1]T+S Costs'!$F$2:$F$3138,'[1]T+S Costs'!$N$2:$N$3138))</f>
        <v/>
      </c>
      <c r="Y2908" s="14" t="str">
        <f t="shared" si="229"/>
        <v/>
      </c>
      <c r="Z2908" s="4" t="str">
        <f t="shared" si="230"/>
        <v/>
      </c>
    </row>
    <row r="2909" spans="16:26" x14ac:dyDescent="0.25">
      <c r="P2909" s="10" t="str">
        <f>IF('[1]All Data '!AZ2914="","",'[1]All Data '!AZ2914)</f>
        <v/>
      </c>
      <c r="Q2909" s="10" t="str">
        <f>IF('[1]All Data '!BB2914="","",'[1]All Data '!BB2914)</f>
        <v/>
      </c>
      <c r="R2909" s="10" t="str">
        <f>IF('[1]All Data '!BD2914="","",'[1]All Data '!BD2914)</f>
        <v/>
      </c>
      <c r="S2909" s="11" t="str">
        <f>IF(R2909="","",'[1]All Data '!BE2914)</f>
        <v/>
      </c>
      <c r="T2909" s="12" t="str">
        <f>IF(S2909="","",[1]Inputs_Outputs!$B$8*(1-'LOCH Calc COE Calc'!S2909))</f>
        <v/>
      </c>
      <c r="U2909" s="13" t="str">
        <f t="shared" si="226"/>
        <v/>
      </c>
      <c r="V2909" s="13" t="str">
        <f t="shared" si="227"/>
        <v/>
      </c>
      <c r="W2909" s="4" t="str">
        <f t="shared" si="228"/>
        <v/>
      </c>
      <c r="X2909" t="str">
        <f>IF(W2909="","",LOOKUP(_xlfn.CONCAT(P2909,", ",Q2909),'[1]T+S Costs'!$F$2:$F$3138,'[1]T+S Costs'!$N$2:$N$3138))</f>
        <v/>
      </c>
      <c r="Y2909" s="14" t="str">
        <f t="shared" si="229"/>
        <v/>
      </c>
      <c r="Z2909" s="4" t="str">
        <f t="shared" si="230"/>
        <v/>
      </c>
    </row>
    <row r="2910" spans="16:26" x14ac:dyDescent="0.25">
      <c r="P2910" s="10" t="str">
        <f>IF('[1]All Data '!AZ2915="","",'[1]All Data '!AZ2915)</f>
        <v/>
      </c>
      <c r="Q2910" s="10" t="str">
        <f>IF('[1]All Data '!BB2915="","",'[1]All Data '!BB2915)</f>
        <v/>
      </c>
      <c r="R2910" s="10" t="str">
        <f>IF('[1]All Data '!BD2915="","",'[1]All Data '!BD2915)</f>
        <v/>
      </c>
      <c r="S2910" s="11" t="str">
        <f>IF(R2910="","",'[1]All Data '!BE2915)</f>
        <v/>
      </c>
      <c r="T2910" s="12" t="str">
        <f>IF(S2910="","",[1]Inputs_Outputs!$B$8*(1-'LOCH Calc COE Calc'!S2910))</f>
        <v/>
      </c>
      <c r="U2910" s="13" t="str">
        <f t="shared" si="226"/>
        <v/>
      </c>
      <c r="V2910" s="13" t="str">
        <f t="shared" si="227"/>
        <v/>
      </c>
      <c r="W2910" s="4" t="str">
        <f t="shared" si="228"/>
        <v/>
      </c>
      <c r="X2910" t="str">
        <f>IF(W2910="","",LOOKUP(_xlfn.CONCAT(P2910,", ",Q2910),'[1]T+S Costs'!$F$2:$F$3138,'[1]T+S Costs'!$N$2:$N$3138))</f>
        <v/>
      </c>
      <c r="Y2910" s="14" t="str">
        <f t="shared" si="229"/>
        <v/>
      </c>
      <c r="Z2910" s="4" t="str">
        <f t="shared" si="230"/>
        <v/>
      </c>
    </row>
    <row r="2911" spans="16:26" x14ac:dyDescent="0.25">
      <c r="P2911" s="10" t="str">
        <f>IF('[1]All Data '!AZ2916="","",'[1]All Data '!AZ2916)</f>
        <v/>
      </c>
      <c r="Q2911" s="10" t="str">
        <f>IF('[1]All Data '!BB2916="","",'[1]All Data '!BB2916)</f>
        <v/>
      </c>
      <c r="R2911" s="10" t="str">
        <f>IF('[1]All Data '!BD2916="","",'[1]All Data '!BD2916)</f>
        <v/>
      </c>
      <c r="S2911" s="11" t="str">
        <f>IF(R2911="","",'[1]All Data '!BE2916)</f>
        <v/>
      </c>
      <c r="T2911" s="12" t="str">
        <f>IF(S2911="","",[1]Inputs_Outputs!$B$8*(1-'LOCH Calc COE Calc'!S2911))</f>
        <v/>
      </c>
      <c r="U2911" s="13" t="str">
        <f t="shared" si="226"/>
        <v/>
      </c>
      <c r="V2911" s="13" t="str">
        <f t="shared" si="227"/>
        <v/>
      </c>
      <c r="W2911" s="4" t="str">
        <f t="shared" si="228"/>
        <v/>
      </c>
      <c r="X2911" t="str">
        <f>IF(W2911="","",LOOKUP(_xlfn.CONCAT(P2911,", ",Q2911),'[1]T+S Costs'!$F$2:$F$3138,'[1]T+S Costs'!$N$2:$N$3138))</f>
        <v/>
      </c>
      <c r="Y2911" s="14" t="str">
        <f t="shared" si="229"/>
        <v/>
      </c>
      <c r="Z2911" s="4" t="str">
        <f t="shared" si="230"/>
        <v/>
      </c>
    </row>
    <row r="2912" spans="16:26" x14ac:dyDescent="0.25">
      <c r="P2912" s="10" t="str">
        <f>IF('[1]All Data '!AZ2917="","",'[1]All Data '!AZ2917)</f>
        <v/>
      </c>
      <c r="Q2912" s="10" t="str">
        <f>IF('[1]All Data '!BB2917="","",'[1]All Data '!BB2917)</f>
        <v/>
      </c>
      <c r="R2912" s="10" t="str">
        <f>IF('[1]All Data '!BD2917="","",'[1]All Data '!BD2917)</f>
        <v/>
      </c>
      <c r="S2912" s="11" t="str">
        <f>IF(R2912="","",'[1]All Data '!BE2917)</f>
        <v/>
      </c>
      <c r="T2912" s="12" t="str">
        <f>IF(S2912="","",[1]Inputs_Outputs!$B$8*(1-'LOCH Calc COE Calc'!S2912))</f>
        <v/>
      </c>
      <c r="U2912" s="13" t="str">
        <f t="shared" si="226"/>
        <v/>
      </c>
      <c r="V2912" s="13" t="str">
        <f t="shared" si="227"/>
        <v/>
      </c>
      <c r="W2912" s="4" t="str">
        <f t="shared" si="228"/>
        <v/>
      </c>
      <c r="X2912" t="str">
        <f>IF(W2912="","",LOOKUP(_xlfn.CONCAT(P2912,", ",Q2912),'[1]T+S Costs'!$F$2:$F$3138,'[1]T+S Costs'!$N$2:$N$3138))</f>
        <v/>
      </c>
      <c r="Y2912" s="14" t="str">
        <f t="shared" si="229"/>
        <v/>
      </c>
      <c r="Z2912" s="4" t="str">
        <f t="shared" si="230"/>
        <v/>
      </c>
    </row>
    <row r="2913" spans="16:26" x14ac:dyDescent="0.25">
      <c r="P2913" s="10" t="str">
        <f>IF('[1]All Data '!AZ2918="","",'[1]All Data '!AZ2918)</f>
        <v/>
      </c>
      <c r="Q2913" s="10" t="str">
        <f>IF('[1]All Data '!BB2918="","",'[1]All Data '!BB2918)</f>
        <v/>
      </c>
      <c r="R2913" s="10" t="str">
        <f>IF('[1]All Data '!BD2918="","",'[1]All Data '!BD2918)</f>
        <v/>
      </c>
      <c r="S2913" s="11" t="str">
        <f>IF(R2913="","",'[1]All Data '!BE2918)</f>
        <v/>
      </c>
      <c r="T2913" s="12" t="str">
        <f>IF(S2913="","",[1]Inputs_Outputs!$B$8*(1-'LOCH Calc COE Calc'!S2913))</f>
        <v/>
      </c>
      <c r="U2913" s="13" t="str">
        <f t="shared" si="226"/>
        <v/>
      </c>
      <c r="V2913" s="13" t="str">
        <f t="shared" si="227"/>
        <v/>
      </c>
      <c r="W2913" s="4" t="str">
        <f t="shared" si="228"/>
        <v/>
      </c>
      <c r="X2913" t="str">
        <f>IF(W2913="","",LOOKUP(_xlfn.CONCAT(P2913,", ",Q2913),'[1]T+S Costs'!$F$2:$F$3138,'[1]T+S Costs'!$N$2:$N$3138))</f>
        <v/>
      </c>
      <c r="Y2913" s="14" t="str">
        <f t="shared" si="229"/>
        <v/>
      </c>
      <c r="Z2913" s="4" t="str">
        <f t="shared" si="230"/>
        <v/>
      </c>
    </row>
    <row r="2914" spans="16:26" x14ac:dyDescent="0.25">
      <c r="P2914" s="10" t="str">
        <f>IF('[1]All Data '!AZ2919="","",'[1]All Data '!AZ2919)</f>
        <v/>
      </c>
      <c r="Q2914" s="10" t="str">
        <f>IF('[1]All Data '!BB2919="","",'[1]All Data '!BB2919)</f>
        <v/>
      </c>
      <c r="R2914" s="10" t="str">
        <f>IF('[1]All Data '!BD2919="","",'[1]All Data '!BD2919)</f>
        <v/>
      </c>
      <c r="S2914" s="11" t="str">
        <f>IF(R2914="","",'[1]All Data '!BE2919)</f>
        <v/>
      </c>
      <c r="T2914" s="12" t="str">
        <f>IF(S2914="","",[1]Inputs_Outputs!$B$8*(1-'LOCH Calc COE Calc'!S2914))</f>
        <v/>
      </c>
      <c r="U2914" s="13" t="str">
        <f t="shared" si="226"/>
        <v/>
      </c>
      <c r="V2914" s="13" t="str">
        <f t="shared" si="227"/>
        <v/>
      </c>
      <c r="W2914" s="4" t="str">
        <f t="shared" si="228"/>
        <v/>
      </c>
      <c r="X2914" t="str">
        <f>IF(W2914="","",LOOKUP(_xlfn.CONCAT(P2914,", ",Q2914),'[1]T+S Costs'!$F$2:$F$3138,'[1]T+S Costs'!$N$2:$N$3138))</f>
        <v/>
      </c>
      <c r="Y2914" s="14" t="str">
        <f t="shared" si="229"/>
        <v/>
      </c>
      <c r="Z2914" s="4" t="str">
        <f t="shared" si="230"/>
        <v/>
      </c>
    </row>
    <row r="2915" spans="16:26" x14ac:dyDescent="0.25">
      <c r="P2915" s="10" t="str">
        <f>IF('[1]All Data '!AZ2920="","",'[1]All Data '!AZ2920)</f>
        <v/>
      </c>
      <c r="Q2915" s="10" t="str">
        <f>IF('[1]All Data '!BB2920="","",'[1]All Data '!BB2920)</f>
        <v/>
      </c>
      <c r="R2915" s="10" t="str">
        <f>IF('[1]All Data '!BD2920="","",'[1]All Data '!BD2920)</f>
        <v/>
      </c>
      <c r="S2915" s="11" t="str">
        <f>IF(R2915="","",'[1]All Data '!BE2920)</f>
        <v/>
      </c>
      <c r="T2915" s="12" t="str">
        <f>IF(S2915="","",[1]Inputs_Outputs!$B$8*(1-'LOCH Calc COE Calc'!S2915))</f>
        <v/>
      </c>
      <c r="U2915" s="13" t="str">
        <f t="shared" ref="U2915:U2978" si="231">IF(S2915="","",R2915*T2915*365*$B$19/100)</f>
        <v/>
      </c>
      <c r="V2915" s="13" t="str">
        <f t="shared" ref="V2915:V2978" si="232">IF(S2915="","",(U2915*$B$19)/(($B$28)*$B$19))</f>
        <v/>
      </c>
      <c r="W2915" s="4" t="str">
        <f t="shared" ref="W2915:W2978" si="233">IF(S2915="","",V2915+$C$49+$C$50+$C$51)</f>
        <v/>
      </c>
      <c r="X2915" t="str">
        <f>IF(W2915="","",LOOKUP(_xlfn.CONCAT(P2915,", ",Q2915),'[1]T+S Costs'!$F$2:$F$3138,'[1]T+S Costs'!$N$2:$N$3138))</f>
        <v/>
      </c>
      <c r="Y2915" s="14" t="str">
        <f t="shared" si="229"/>
        <v/>
      </c>
      <c r="Z2915" s="4" t="str">
        <f t="shared" si="230"/>
        <v/>
      </c>
    </row>
    <row r="2916" spans="16:26" x14ac:dyDescent="0.25">
      <c r="P2916" s="10" t="str">
        <f>IF('[1]All Data '!AZ2921="","",'[1]All Data '!AZ2921)</f>
        <v/>
      </c>
      <c r="Q2916" s="10" t="str">
        <f>IF('[1]All Data '!BB2921="","",'[1]All Data '!BB2921)</f>
        <v/>
      </c>
      <c r="R2916" s="10" t="str">
        <f>IF('[1]All Data '!BD2921="","",'[1]All Data '!BD2921)</f>
        <v/>
      </c>
      <c r="S2916" s="11" t="str">
        <f>IF(R2916="","",'[1]All Data '!BE2921)</f>
        <v/>
      </c>
      <c r="T2916" s="12" t="str">
        <f>IF(S2916="","",[1]Inputs_Outputs!$B$8*(1-'LOCH Calc COE Calc'!S2916))</f>
        <v/>
      </c>
      <c r="U2916" s="13" t="str">
        <f t="shared" si="231"/>
        <v/>
      </c>
      <c r="V2916" s="13" t="str">
        <f t="shared" si="232"/>
        <v/>
      </c>
      <c r="W2916" s="4" t="str">
        <f t="shared" si="233"/>
        <v/>
      </c>
      <c r="X2916" t="str">
        <f>IF(W2916="","",LOOKUP(_xlfn.CONCAT(P2916,", ",Q2916),'[1]T+S Costs'!$F$2:$F$3138,'[1]T+S Costs'!$N$2:$N$3138))</f>
        <v/>
      </c>
      <c r="Y2916" s="14" t="str">
        <f t="shared" si="229"/>
        <v/>
      </c>
      <c r="Z2916" s="4" t="str">
        <f t="shared" si="230"/>
        <v/>
      </c>
    </row>
    <row r="2917" spans="16:26" x14ac:dyDescent="0.25">
      <c r="P2917" s="10" t="str">
        <f>IF('[1]All Data '!AZ2922="","",'[1]All Data '!AZ2922)</f>
        <v/>
      </c>
      <c r="Q2917" s="10" t="str">
        <f>IF('[1]All Data '!BB2922="","",'[1]All Data '!BB2922)</f>
        <v/>
      </c>
      <c r="R2917" s="10" t="str">
        <f>IF('[1]All Data '!BD2922="","",'[1]All Data '!BD2922)</f>
        <v/>
      </c>
      <c r="S2917" s="11" t="str">
        <f>IF(R2917="","",'[1]All Data '!BE2922)</f>
        <v/>
      </c>
      <c r="T2917" s="12" t="str">
        <f>IF(S2917="","",[1]Inputs_Outputs!$B$8*(1-'LOCH Calc COE Calc'!S2917))</f>
        <v/>
      </c>
      <c r="U2917" s="13" t="str">
        <f t="shared" si="231"/>
        <v/>
      </c>
      <c r="V2917" s="13" t="str">
        <f t="shared" si="232"/>
        <v/>
      </c>
      <c r="W2917" s="4" t="str">
        <f t="shared" si="233"/>
        <v/>
      </c>
      <c r="X2917" t="str">
        <f>IF(W2917="","",LOOKUP(_xlfn.CONCAT(P2917,", ",Q2917),'[1]T+S Costs'!$F$2:$F$3138,'[1]T+S Costs'!$N$2:$N$3138))</f>
        <v/>
      </c>
      <c r="Y2917" s="14" t="str">
        <f t="shared" si="229"/>
        <v/>
      </c>
      <c r="Z2917" s="4" t="str">
        <f t="shared" si="230"/>
        <v/>
      </c>
    </row>
    <row r="2918" spans="16:26" x14ac:dyDescent="0.25">
      <c r="P2918" s="10" t="str">
        <f>IF('[1]All Data '!AZ2923="","",'[1]All Data '!AZ2923)</f>
        <v/>
      </c>
      <c r="Q2918" s="10" t="str">
        <f>IF('[1]All Data '!BB2923="","",'[1]All Data '!BB2923)</f>
        <v/>
      </c>
      <c r="R2918" s="10" t="str">
        <f>IF('[1]All Data '!BD2923="","",'[1]All Data '!BD2923)</f>
        <v/>
      </c>
      <c r="S2918" s="11" t="str">
        <f>IF(R2918="","",'[1]All Data '!BE2923)</f>
        <v/>
      </c>
      <c r="T2918" s="12" t="str">
        <f>IF(S2918="","",[1]Inputs_Outputs!$B$8*(1-'LOCH Calc COE Calc'!S2918))</f>
        <v/>
      </c>
      <c r="U2918" s="13" t="str">
        <f t="shared" si="231"/>
        <v/>
      </c>
      <c r="V2918" s="13" t="str">
        <f t="shared" si="232"/>
        <v/>
      </c>
      <c r="W2918" s="4" t="str">
        <f t="shared" si="233"/>
        <v/>
      </c>
      <c r="X2918" t="str">
        <f>IF(W2918="","",LOOKUP(_xlfn.CONCAT(P2918,", ",Q2918),'[1]T+S Costs'!$F$2:$F$3138,'[1]T+S Costs'!$N$2:$N$3138))</f>
        <v/>
      </c>
      <c r="Y2918" s="14" t="str">
        <f t="shared" si="229"/>
        <v/>
      </c>
      <c r="Z2918" s="4" t="str">
        <f t="shared" si="230"/>
        <v/>
      </c>
    </row>
    <row r="2919" spans="16:26" x14ac:dyDescent="0.25">
      <c r="P2919" s="10" t="str">
        <f>IF('[1]All Data '!AZ2924="","",'[1]All Data '!AZ2924)</f>
        <v/>
      </c>
      <c r="Q2919" s="10" t="str">
        <f>IF('[1]All Data '!BB2924="","",'[1]All Data '!BB2924)</f>
        <v/>
      </c>
      <c r="R2919" s="10" t="str">
        <f>IF('[1]All Data '!BD2924="","",'[1]All Data '!BD2924)</f>
        <v/>
      </c>
      <c r="S2919" s="11" t="str">
        <f>IF(R2919="","",'[1]All Data '!BE2924)</f>
        <v/>
      </c>
      <c r="T2919" s="12" t="str">
        <f>IF(S2919="","",[1]Inputs_Outputs!$B$8*(1-'LOCH Calc COE Calc'!S2919))</f>
        <v/>
      </c>
      <c r="U2919" s="13" t="str">
        <f t="shared" si="231"/>
        <v/>
      </c>
      <c r="V2919" s="13" t="str">
        <f t="shared" si="232"/>
        <v/>
      </c>
      <c r="W2919" s="4" t="str">
        <f t="shared" si="233"/>
        <v/>
      </c>
      <c r="X2919" t="str">
        <f>IF(W2919="","",LOOKUP(_xlfn.CONCAT(P2919,", ",Q2919),'[1]T+S Costs'!$F$2:$F$3138,'[1]T+S Costs'!$N$2:$N$3138))</f>
        <v/>
      </c>
      <c r="Y2919" s="14" t="str">
        <f t="shared" si="229"/>
        <v/>
      </c>
      <c r="Z2919" s="4" t="str">
        <f t="shared" si="230"/>
        <v/>
      </c>
    </row>
    <row r="2920" spans="16:26" x14ac:dyDescent="0.25">
      <c r="P2920" s="10" t="str">
        <f>IF('[1]All Data '!AZ2925="","",'[1]All Data '!AZ2925)</f>
        <v/>
      </c>
      <c r="Q2920" s="10" t="str">
        <f>IF('[1]All Data '!BB2925="","",'[1]All Data '!BB2925)</f>
        <v/>
      </c>
      <c r="R2920" s="10" t="str">
        <f>IF('[1]All Data '!BD2925="","",'[1]All Data '!BD2925)</f>
        <v/>
      </c>
      <c r="S2920" s="11" t="str">
        <f>IF(R2920="","",'[1]All Data '!BE2925)</f>
        <v/>
      </c>
      <c r="T2920" s="12" t="str">
        <f>IF(S2920="","",[1]Inputs_Outputs!$B$8*(1-'LOCH Calc COE Calc'!S2920))</f>
        <v/>
      </c>
      <c r="U2920" s="13" t="str">
        <f t="shared" si="231"/>
        <v/>
      </c>
      <c r="V2920" s="13" t="str">
        <f t="shared" si="232"/>
        <v/>
      </c>
      <c r="W2920" s="4" t="str">
        <f t="shared" si="233"/>
        <v/>
      </c>
      <c r="X2920" t="str">
        <f>IF(W2920="","",LOOKUP(_xlfn.CONCAT(P2920,", ",Q2920),'[1]T+S Costs'!$F$2:$F$3138,'[1]T+S Costs'!$N$2:$N$3138))</f>
        <v/>
      </c>
      <c r="Y2920" s="14" t="str">
        <f t="shared" si="229"/>
        <v/>
      </c>
      <c r="Z2920" s="4" t="str">
        <f t="shared" si="230"/>
        <v/>
      </c>
    </row>
    <row r="2921" spans="16:26" x14ac:dyDescent="0.25">
      <c r="P2921" s="10" t="str">
        <f>IF('[1]All Data '!AZ2926="","",'[1]All Data '!AZ2926)</f>
        <v/>
      </c>
      <c r="Q2921" s="10" t="str">
        <f>IF('[1]All Data '!BB2926="","",'[1]All Data '!BB2926)</f>
        <v/>
      </c>
      <c r="R2921" s="10" t="str">
        <f>IF('[1]All Data '!BD2926="","",'[1]All Data '!BD2926)</f>
        <v/>
      </c>
      <c r="S2921" s="11" t="str">
        <f>IF(R2921="","",'[1]All Data '!BE2926)</f>
        <v/>
      </c>
      <c r="T2921" s="12" t="str">
        <f>IF(S2921="","",[1]Inputs_Outputs!$B$8*(1-'LOCH Calc COE Calc'!S2921))</f>
        <v/>
      </c>
      <c r="U2921" s="13" t="str">
        <f t="shared" si="231"/>
        <v/>
      </c>
      <c r="V2921" s="13" t="str">
        <f t="shared" si="232"/>
        <v/>
      </c>
      <c r="W2921" s="4" t="str">
        <f t="shared" si="233"/>
        <v/>
      </c>
      <c r="X2921" t="str">
        <f>IF(W2921="","",LOOKUP(_xlfn.CONCAT(P2921,", ",Q2921),'[1]T+S Costs'!$F$2:$F$3138,'[1]T+S Costs'!$N$2:$N$3138))</f>
        <v/>
      </c>
      <c r="Y2921" s="14" t="str">
        <f t="shared" si="229"/>
        <v/>
      </c>
      <c r="Z2921" s="4" t="str">
        <f t="shared" si="230"/>
        <v/>
      </c>
    </row>
    <row r="2922" spans="16:26" x14ac:dyDescent="0.25">
      <c r="P2922" s="10" t="str">
        <f>IF('[1]All Data '!AZ2927="","",'[1]All Data '!AZ2927)</f>
        <v/>
      </c>
      <c r="Q2922" s="10" t="str">
        <f>IF('[1]All Data '!BB2927="","",'[1]All Data '!BB2927)</f>
        <v/>
      </c>
      <c r="R2922" s="10" t="str">
        <f>IF('[1]All Data '!BD2927="","",'[1]All Data '!BD2927)</f>
        <v/>
      </c>
      <c r="S2922" s="11" t="str">
        <f>IF(R2922="","",'[1]All Data '!BE2927)</f>
        <v/>
      </c>
      <c r="T2922" s="12" t="str">
        <f>IF(S2922="","",[1]Inputs_Outputs!$B$8*(1-'LOCH Calc COE Calc'!S2922))</f>
        <v/>
      </c>
      <c r="U2922" s="13" t="str">
        <f t="shared" si="231"/>
        <v/>
      </c>
      <c r="V2922" s="13" t="str">
        <f t="shared" si="232"/>
        <v/>
      </c>
      <c r="W2922" s="4" t="str">
        <f t="shared" si="233"/>
        <v/>
      </c>
      <c r="X2922" t="str">
        <f>IF(W2922="","",LOOKUP(_xlfn.CONCAT(P2922,", ",Q2922),'[1]T+S Costs'!$F$2:$F$3138,'[1]T+S Costs'!$N$2:$N$3138))</f>
        <v/>
      </c>
      <c r="Y2922" s="14" t="str">
        <f t="shared" si="229"/>
        <v/>
      </c>
      <c r="Z2922" s="4" t="str">
        <f t="shared" si="230"/>
        <v/>
      </c>
    </row>
    <row r="2923" spans="16:26" x14ac:dyDescent="0.25">
      <c r="P2923" s="10" t="str">
        <f>IF('[1]All Data '!AZ2928="","",'[1]All Data '!AZ2928)</f>
        <v/>
      </c>
      <c r="Q2923" s="10" t="str">
        <f>IF('[1]All Data '!BB2928="","",'[1]All Data '!BB2928)</f>
        <v/>
      </c>
      <c r="R2923" s="10" t="str">
        <f>IF('[1]All Data '!BD2928="","",'[1]All Data '!BD2928)</f>
        <v/>
      </c>
      <c r="S2923" s="11" t="str">
        <f>IF(R2923="","",'[1]All Data '!BE2928)</f>
        <v/>
      </c>
      <c r="T2923" s="12" t="str">
        <f>IF(S2923="","",[1]Inputs_Outputs!$B$8*(1-'LOCH Calc COE Calc'!S2923))</f>
        <v/>
      </c>
      <c r="U2923" s="13" t="str">
        <f t="shared" si="231"/>
        <v/>
      </c>
      <c r="V2923" s="13" t="str">
        <f t="shared" si="232"/>
        <v/>
      </c>
      <c r="W2923" s="4" t="str">
        <f t="shared" si="233"/>
        <v/>
      </c>
      <c r="X2923" t="str">
        <f>IF(W2923="","",LOOKUP(_xlfn.CONCAT(P2923,", ",Q2923),'[1]T+S Costs'!$F$2:$F$3138,'[1]T+S Costs'!$N$2:$N$3138))</f>
        <v/>
      </c>
      <c r="Y2923" s="14" t="str">
        <f t="shared" si="229"/>
        <v/>
      </c>
      <c r="Z2923" s="4" t="str">
        <f t="shared" si="230"/>
        <v/>
      </c>
    </row>
    <row r="2924" spans="16:26" x14ac:dyDescent="0.25">
      <c r="P2924" s="10" t="str">
        <f>IF('[1]All Data '!AZ2929="","",'[1]All Data '!AZ2929)</f>
        <v/>
      </c>
      <c r="Q2924" s="10" t="str">
        <f>IF('[1]All Data '!BB2929="","",'[1]All Data '!BB2929)</f>
        <v/>
      </c>
      <c r="R2924" s="10" t="str">
        <f>IF('[1]All Data '!BD2929="","",'[1]All Data '!BD2929)</f>
        <v/>
      </c>
      <c r="S2924" s="11" t="str">
        <f>IF(R2924="","",'[1]All Data '!BE2929)</f>
        <v/>
      </c>
      <c r="T2924" s="12" t="str">
        <f>IF(S2924="","",[1]Inputs_Outputs!$B$8*(1-'LOCH Calc COE Calc'!S2924))</f>
        <v/>
      </c>
      <c r="U2924" s="13" t="str">
        <f t="shared" si="231"/>
        <v/>
      </c>
      <c r="V2924" s="13" t="str">
        <f t="shared" si="232"/>
        <v/>
      </c>
      <c r="W2924" s="4" t="str">
        <f t="shared" si="233"/>
        <v/>
      </c>
      <c r="X2924" t="str">
        <f>IF(W2924="","",LOOKUP(_xlfn.CONCAT(P2924,", ",Q2924),'[1]T+S Costs'!$F$2:$F$3138,'[1]T+S Costs'!$N$2:$N$3138))</f>
        <v/>
      </c>
      <c r="Y2924" s="14" t="str">
        <f t="shared" si="229"/>
        <v/>
      </c>
      <c r="Z2924" s="4" t="str">
        <f t="shared" si="230"/>
        <v/>
      </c>
    </row>
    <row r="2925" spans="16:26" x14ac:dyDescent="0.25">
      <c r="P2925" s="10" t="str">
        <f>IF('[1]All Data '!AZ2930="","",'[1]All Data '!AZ2930)</f>
        <v/>
      </c>
      <c r="Q2925" s="10" t="str">
        <f>IF('[1]All Data '!BB2930="","",'[1]All Data '!BB2930)</f>
        <v/>
      </c>
      <c r="R2925" s="10" t="str">
        <f>IF('[1]All Data '!BD2930="","",'[1]All Data '!BD2930)</f>
        <v/>
      </c>
      <c r="S2925" s="11" t="str">
        <f>IF(R2925="","",'[1]All Data '!BE2930)</f>
        <v/>
      </c>
      <c r="T2925" s="12" t="str">
        <f>IF(S2925="","",[1]Inputs_Outputs!$B$8*(1-'LOCH Calc COE Calc'!S2925))</f>
        <v/>
      </c>
      <c r="U2925" s="13" t="str">
        <f t="shared" si="231"/>
        <v/>
      </c>
      <c r="V2925" s="13" t="str">
        <f t="shared" si="232"/>
        <v/>
      </c>
      <c r="W2925" s="4" t="str">
        <f t="shared" si="233"/>
        <v/>
      </c>
      <c r="X2925" t="str">
        <f>IF(W2925="","",LOOKUP(_xlfn.CONCAT(P2925,", ",Q2925),'[1]T+S Costs'!$F$2:$F$3138,'[1]T+S Costs'!$N$2:$N$3138))</f>
        <v/>
      </c>
      <c r="Y2925" s="14" t="str">
        <f t="shared" si="229"/>
        <v/>
      </c>
      <c r="Z2925" s="4" t="str">
        <f t="shared" si="230"/>
        <v/>
      </c>
    </row>
    <row r="2926" spans="16:26" x14ac:dyDescent="0.25">
      <c r="P2926" s="10" t="str">
        <f>IF('[1]All Data '!AZ2931="","",'[1]All Data '!AZ2931)</f>
        <v/>
      </c>
      <c r="Q2926" s="10" t="str">
        <f>IF('[1]All Data '!BB2931="","",'[1]All Data '!BB2931)</f>
        <v/>
      </c>
      <c r="R2926" s="10" t="str">
        <f>IF('[1]All Data '!BD2931="","",'[1]All Data '!BD2931)</f>
        <v/>
      </c>
      <c r="S2926" s="11" t="str">
        <f>IF(R2926="","",'[1]All Data '!BE2931)</f>
        <v/>
      </c>
      <c r="T2926" s="12" t="str">
        <f>IF(S2926="","",[1]Inputs_Outputs!$B$8*(1-'LOCH Calc COE Calc'!S2926))</f>
        <v/>
      </c>
      <c r="U2926" s="13" t="str">
        <f t="shared" si="231"/>
        <v/>
      </c>
      <c r="V2926" s="13" t="str">
        <f t="shared" si="232"/>
        <v/>
      </c>
      <c r="W2926" s="4" t="str">
        <f t="shared" si="233"/>
        <v/>
      </c>
      <c r="X2926" t="str">
        <f>IF(W2926="","",LOOKUP(_xlfn.CONCAT(P2926,", ",Q2926),'[1]T+S Costs'!$F$2:$F$3138,'[1]T+S Costs'!$N$2:$N$3138))</f>
        <v/>
      </c>
      <c r="Y2926" s="14" t="str">
        <f t="shared" si="229"/>
        <v/>
      </c>
      <c r="Z2926" s="4" t="str">
        <f t="shared" si="230"/>
        <v/>
      </c>
    </row>
    <row r="2927" spans="16:26" x14ac:dyDescent="0.25">
      <c r="P2927" s="10" t="str">
        <f>IF('[1]All Data '!AZ2932="","",'[1]All Data '!AZ2932)</f>
        <v/>
      </c>
      <c r="Q2927" s="10" t="str">
        <f>IF('[1]All Data '!BB2932="","",'[1]All Data '!BB2932)</f>
        <v/>
      </c>
      <c r="R2927" s="10" t="str">
        <f>IF('[1]All Data '!BD2932="","",'[1]All Data '!BD2932)</f>
        <v/>
      </c>
      <c r="S2927" s="11" t="str">
        <f>IF(R2927="","",'[1]All Data '!BE2932)</f>
        <v/>
      </c>
      <c r="T2927" s="12" t="str">
        <f>IF(S2927="","",[1]Inputs_Outputs!$B$8*(1-'LOCH Calc COE Calc'!S2927))</f>
        <v/>
      </c>
      <c r="U2927" s="13" t="str">
        <f t="shared" si="231"/>
        <v/>
      </c>
      <c r="V2927" s="13" t="str">
        <f t="shared" si="232"/>
        <v/>
      </c>
      <c r="W2927" s="4" t="str">
        <f t="shared" si="233"/>
        <v/>
      </c>
      <c r="X2927" t="str">
        <f>IF(W2927="","",LOOKUP(_xlfn.CONCAT(P2927,", ",Q2927),'[1]T+S Costs'!$F$2:$F$3138,'[1]T+S Costs'!$N$2:$N$3138))</f>
        <v/>
      </c>
      <c r="Y2927" s="14" t="str">
        <f t="shared" si="229"/>
        <v/>
      </c>
      <c r="Z2927" s="4" t="str">
        <f t="shared" si="230"/>
        <v/>
      </c>
    </row>
    <row r="2928" spans="16:26" x14ac:dyDescent="0.25">
      <c r="P2928" s="10" t="str">
        <f>IF('[1]All Data '!AZ2933="","",'[1]All Data '!AZ2933)</f>
        <v/>
      </c>
      <c r="Q2928" s="10" t="str">
        <f>IF('[1]All Data '!BB2933="","",'[1]All Data '!BB2933)</f>
        <v/>
      </c>
      <c r="R2928" s="10" t="str">
        <f>IF('[1]All Data '!BD2933="","",'[1]All Data '!BD2933)</f>
        <v/>
      </c>
      <c r="S2928" s="11" t="str">
        <f>IF(R2928="","",'[1]All Data '!BE2933)</f>
        <v/>
      </c>
      <c r="T2928" s="12" t="str">
        <f>IF(S2928="","",[1]Inputs_Outputs!$B$8*(1-'LOCH Calc COE Calc'!S2928))</f>
        <v/>
      </c>
      <c r="U2928" s="13" t="str">
        <f t="shared" si="231"/>
        <v/>
      </c>
      <c r="V2928" s="13" t="str">
        <f t="shared" si="232"/>
        <v/>
      </c>
      <c r="W2928" s="4" t="str">
        <f t="shared" si="233"/>
        <v/>
      </c>
      <c r="X2928" t="str">
        <f>IF(W2928="","",LOOKUP(_xlfn.CONCAT(P2928,", ",Q2928),'[1]T+S Costs'!$F$2:$F$3138,'[1]T+S Costs'!$N$2:$N$3138))</f>
        <v/>
      </c>
      <c r="Y2928" s="14" t="str">
        <f t="shared" si="229"/>
        <v/>
      </c>
      <c r="Z2928" s="4" t="str">
        <f t="shared" si="230"/>
        <v/>
      </c>
    </row>
    <row r="2929" spans="16:26" x14ac:dyDescent="0.25">
      <c r="P2929" s="10" t="str">
        <f>IF('[1]All Data '!AZ2934="","",'[1]All Data '!AZ2934)</f>
        <v/>
      </c>
      <c r="Q2929" s="10" t="str">
        <f>IF('[1]All Data '!BB2934="","",'[1]All Data '!BB2934)</f>
        <v/>
      </c>
      <c r="R2929" s="10" t="str">
        <f>IF('[1]All Data '!BD2934="","",'[1]All Data '!BD2934)</f>
        <v/>
      </c>
      <c r="S2929" s="11" t="str">
        <f>IF(R2929="","",'[1]All Data '!BE2934)</f>
        <v/>
      </c>
      <c r="T2929" s="12" t="str">
        <f>IF(S2929="","",[1]Inputs_Outputs!$B$8*(1-'LOCH Calc COE Calc'!S2929))</f>
        <v/>
      </c>
      <c r="U2929" s="13" t="str">
        <f t="shared" si="231"/>
        <v/>
      </c>
      <c r="V2929" s="13" t="str">
        <f t="shared" si="232"/>
        <v/>
      </c>
      <c r="W2929" s="4" t="str">
        <f t="shared" si="233"/>
        <v/>
      </c>
      <c r="X2929" t="str">
        <f>IF(W2929="","",LOOKUP(_xlfn.CONCAT(P2929,", ",Q2929),'[1]T+S Costs'!$F$2:$F$3138,'[1]T+S Costs'!$N$2:$N$3138))</f>
        <v/>
      </c>
      <c r="Y2929" s="14" t="str">
        <f t="shared" si="229"/>
        <v/>
      </c>
      <c r="Z2929" s="4" t="str">
        <f t="shared" si="230"/>
        <v/>
      </c>
    </row>
    <row r="2930" spans="16:26" x14ac:dyDescent="0.25">
      <c r="P2930" s="10" t="str">
        <f>IF('[1]All Data '!AZ2935="","",'[1]All Data '!AZ2935)</f>
        <v/>
      </c>
      <c r="Q2930" s="10" t="str">
        <f>IF('[1]All Data '!BB2935="","",'[1]All Data '!BB2935)</f>
        <v/>
      </c>
      <c r="R2930" s="10" t="str">
        <f>IF('[1]All Data '!BD2935="","",'[1]All Data '!BD2935)</f>
        <v/>
      </c>
      <c r="S2930" s="11" t="str">
        <f>IF(R2930="","",'[1]All Data '!BE2935)</f>
        <v/>
      </c>
      <c r="T2930" s="12" t="str">
        <f>IF(S2930="","",[1]Inputs_Outputs!$B$8*(1-'LOCH Calc COE Calc'!S2930))</f>
        <v/>
      </c>
      <c r="U2930" s="13" t="str">
        <f t="shared" si="231"/>
        <v/>
      </c>
      <c r="V2930" s="13" t="str">
        <f t="shared" si="232"/>
        <v/>
      </c>
      <c r="W2930" s="4" t="str">
        <f t="shared" si="233"/>
        <v/>
      </c>
      <c r="X2930" t="str">
        <f>IF(W2930="","",LOOKUP(_xlfn.CONCAT(P2930,", ",Q2930),'[1]T+S Costs'!$F$2:$F$3138,'[1]T+S Costs'!$N$2:$N$3138))</f>
        <v/>
      </c>
      <c r="Y2930" s="14" t="str">
        <f t="shared" si="229"/>
        <v/>
      </c>
      <c r="Z2930" s="4" t="str">
        <f t="shared" si="230"/>
        <v/>
      </c>
    </row>
    <row r="2931" spans="16:26" x14ac:dyDescent="0.25">
      <c r="P2931" s="10" t="str">
        <f>IF('[1]All Data '!AZ2936="","",'[1]All Data '!AZ2936)</f>
        <v/>
      </c>
      <c r="Q2931" s="10" t="str">
        <f>IF('[1]All Data '!BB2936="","",'[1]All Data '!BB2936)</f>
        <v/>
      </c>
      <c r="R2931" s="10" t="str">
        <f>IF('[1]All Data '!BD2936="","",'[1]All Data '!BD2936)</f>
        <v/>
      </c>
      <c r="S2931" s="11" t="str">
        <f>IF(R2931="","",'[1]All Data '!BE2936)</f>
        <v/>
      </c>
      <c r="T2931" s="12" t="str">
        <f>IF(S2931="","",[1]Inputs_Outputs!$B$8*(1-'LOCH Calc COE Calc'!S2931))</f>
        <v/>
      </c>
      <c r="U2931" s="13" t="str">
        <f t="shared" si="231"/>
        <v/>
      </c>
      <c r="V2931" s="13" t="str">
        <f t="shared" si="232"/>
        <v/>
      </c>
      <c r="W2931" s="4" t="str">
        <f t="shared" si="233"/>
        <v/>
      </c>
      <c r="X2931" t="str">
        <f>IF(W2931="","",LOOKUP(_xlfn.CONCAT(P2931,", ",Q2931),'[1]T+S Costs'!$F$2:$F$3138,'[1]T+S Costs'!$N$2:$N$3138))</f>
        <v/>
      </c>
      <c r="Y2931" s="14" t="str">
        <f t="shared" si="229"/>
        <v/>
      </c>
      <c r="Z2931" s="4" t="str">
        <f t="shared" si="230"/>
        <v/>
      </c>
    </row>
    <row r="2932" spans="16:26" x14ac:dyDescent="0.25">
      <c r="P2932" s="10" t="str">
        <f>IF('[1]All Data '!AZ2937="","",'[1]All Data '!AZ2937)</f>
        <v/>
      </c>
      <c r="Q2932" s="10" t="str">
        <f>IF('[1]All Data '!BB2937="","",'[1]All Data '!BB2937)</f>
        <v/>
      </c>
      <c r="R2932" s="10" t="str">
        <f>IF('[1]All Data '!BD2937="","",'[1]All Data '!BD2937)</f>
        <v/>
      </c>
      <c r="S2932" s="11" t="str">
        <f>IF(R2932="","",'[1]All Data '!BE2937)</f>
        <v/>
      </c>
      <c r="T2932" s="12" t="str">
        <f>IF(S2932="","",[1]Inputs_Outputs!$B$8*(1-'LOCH Calc COE Calc'!S2932))</f>
        <v/>
      </c>
      <c r="U2932" s="13" t="str">
        <f t="shared" si="231"/>
        <v/>
      </c>
      <c r="V2932" s="13" t="str">
        <f t="shared" si="232"/>
        <v/>
      </c>
      <c r="W2932" s="4" t="str">
        <f t="shared" si="233"/>
        <v/>
      </c>
      <c r="X2932" t="str">
        <f>IF(W2932="","",LOOKUP(_xlfn.CONCAT(P2932,", ",Q2932),'[1]T+S Costs'!$F$2:$F$3138,'[1]T+S Costs'!$N$2:$N$3138))</f>
        <v/>
      </c>
      <c r="Y2932" s="14" t="str">
        <f t="shared" si="229"/>
        <v/>
      </c>
      <c r="Z2932" s="4" t="str">
        <f t="shared" si="230"/>
        <v/>
      </c>
    </row>
    <row r="2933" spans="16:26" x14ac:dyDescent="0.25">
      <c r="P2933" s="10" t="str">
        <f>IF('[1]All Data '!AZ2938="","",'[1]All Data '!AZ2938)</f>
        <v/>
      </c>
      <c r="Q2933" s="10" t="str">
        <f>IF('[1]All Data '!BB2938="","",'[1]All Data '!BB2938)</f>
        <v/>
      </c>
      <c r="R2933" s="10" t="str">
        <f>IF('[1]All Data '!BD2938="","",'[1]All Data '!BD2938)</f>
        <v/>
      </c>
      <c r="S2933" s="11" t="str">
        <f>IF(R2933="","",'[1]All Data '!BE2938)</f>
        <v/>
      </c>
      <c r="T2933" s="12" t="str">
        <f>IF(S2933="","",[1]Inputs_Outputs!$B$8*(1-'LOCH Calc COE Calc'!S2933))</f>
        <v/>
      </c>
      <c r="U2933" s="13" t="str">
        <f t="shared" si="231"/>
        <v/>
      </c>
      <c r="V2933" s="13" t="str">
        <f t="shared" si="232"/>
        <v/>
      </c>
      <c r="W2933" s="4" t="str">
        <f t="shared" si="233"/>
        <v/>
      </c>
      <c r="X2933" t="str">
        <f>IF(W2933="","",LOOKUP(_xlfn.CONCAT(P2933,", ",Q2933),'[1]T+S Costs'!$F$2:$F$3138,'[1]T+S Costs'!$N$2:$N$3138))</f>
        <v/>
      </c>
      <c r="Y2933" s="14" t="str">
        <f t="shared" si="229"/>
        <v/>
      </c>
      <c r="Z2933" s="4" t="str">
        <f t="shared" si="230"/>
        <v/>
      </c>
    </row>
    <row r="2934" spans="16:26" x14ac:dyDescent="0.25">
      <c r="P2934" s="10" t="str">
        <f>IF('[1]All Data '!AZ2939="","",'[1]All Data '!AZ2939)</f>
        <v/>
      </c>
      <c r="Q2934" s="10" t="str">
        <f>IF('[1]All Data '!BB2939="","",'[1]All Data '!BB2939)</f>
        <v/>
      </c>
      <c r="R2934" s="10" t="str">
        <f>IF('[1]All Data '!BD2939="","",'[1]All Data '!BD2939)</f>
        <v/>
      </c>
      <c r="S2934" s="11" t="str">
        <f>IF(R2934="","",'[1]All Data '!BE2939)</f>
        <v/>
      </c>
      <c r="T2934" s="12" t="str">
        <f>IF(S2934="","",[1]Inputs_Outputs!$B$8*(1-'LOCH Calc COE Calc'!S2934))</f>
        <v/>
      </c>
      <c r="U2934" s="13" t="str">
        <f t="shared" si="231"/>
        <v/>
      </c>
      <c r="V2934" s="13" t="str">
        <f t="shared" si="232"/>
        <v/>
      </c>
      <c r="W2934" s="4" t="str">
        <f t="shared" si="233"/>
        <v/>
      </c>
      <c r="X2934" t="str">
        <f>IF(W2934="","",LOOKUP(_xlfn.CONCAT(P2934,", ",Q2934),'[1]T+S Costs'!$F$2:$F$3138,'[1]T+S Costs'!$N$2:$N$3138))</f>
        <v/>
      </c>
      <c r="Y2934" s="14" t="str">
        <f t="shared" si="229"/>
        <v/>
      </c>
      <c r="Z2934" s="4" t="str">
        <f t="shared" si="230"/>
        <v/>
      </c>
    </row>
    <row r="2935" spans="16:26" x14ac:dyDescent="0.25">
      <c r="P2935" s="10" t="str">
        <f>IF('[1]All Data '!AZ2940="","",'[1]All Data '!AZ2940)</f>
        <v/>
      </c>
      <c r="Q2935" s="10" t="str">
        <f>IF('[1]All Data '!BB2940="","",'[1]All Data '!BB2940)</f>
        <v/>
      </c>
      <c r="R2935" s="10" t="str">
        <f>IF('[1]All Data '!BD2940="","",'[1]All Data '!BD2940)</f>
        <v/>
      </c>
      <c r="S2935" s="11" t="str">
        <f>IF(R2935="","",'[1]All Data '!BE2940)</f>
        <v/>
      </c>
      <c r="T2935" s="12" t="str">
        <f>IF(S2935="","",[1]Inputs_Outputs!$B$8*(1-'LOCH Calc COE Calc'!S2935))</f>
        <v/>
      </c>
      <c r="U2935" s="13" t="str">
        <f t="shared" si="231"/>
        <v/>
      </c>
      <c r="V2935" s="13" t="str">
        <f t="shared" si="232"/>
        <v/>
      </c>
      <c r="W2935" s="4" t="str">
        <f t="shared" si="233"/>
        <v/>
      </c>
      <c r="X2935" t="str">
        <f>IF(W2935="","",LOOKUP(_xlfn.CONCAT(P2935,", ",Q2935),'[1]T+S Costs'!$F$2:$F$3138,'[1]T+S Costs'!$N$2:$N$3138))</f>
        <v/>
      </c>
      <c r="Y2935" s="14" t="str">
        <f t="shared" si="229"/>
        <v/>
      </c>
      <c r="Z2935" s="4" t="str">
        <f t="shared" si="230"/>
        <v/>
      </c>
    </row>
    <row r="2936" spans="16:26" x14ac:dyDescent="0.25">
      <c r="P2936" s="10" t="str">
        <f>IF('[1]All Data '!AZ2941="","",'[1]All Data '!AZ2941)</f>
        <v/>
      </c>
      <c r="Q2936" s="10" t="str">
        <f>IF('[1]All Data '!BB2941="","",'[1]All Data '!BB2941)</f>
        <v/>
      </c>
      <c r="R2936" s="10" t="str">
        <f>IF('[1]All Data '!BD2941="","",'[1]All Data '!BD2941)</f>
        <v/>
      </c>
      <c r="S2936" s="11" t="str">
        <f>IF(R2936="","",'[1]All Data '!BE2941)</f>
        <v/>
      </c>
      <c r="T2936" s="12" t="str">
        <f>IF(S2936="","",[1]Inputs_Outputs!$B$8*(1-'LOCH Calc COE Calc'!S2936))</f>
        <v/>
      </c>
      <c r="U2936" s="13" t="str">
        <f t="shared" si="231"/>
        <v/>
      </c>
      <c r="V2936" s="13" t="str">
        <f t="shared" si="232"/>
        <v/>
      </c>
      <c r="W2936" s="4" t="str">
        <f t="shared" si="233"/>
        <v/>
      </c>
      <c r="X2936" t="str">
        <f>IF(W2936="","",LOOKUP(_xlfn.CONCAT(P2936,", ",Q2936),'[1]T+S Costs'!$F$2:$F$3138,'[1]T+S Costs'!$N$2:$N$3138))</f>
        <v/>
      </c>
      <c r="Y2936" s="14" t="str">
        <f t="shared" si="229"/>
        <v/>
      </c>
      <c r="Z2936" s="4" t="str">
        <f t="shared" si="230"/>
        <v/>
      </c>
    </row>
    <row r="2937" spans="16:26" x14ac:dyDescent="0.25">
      <c r="P2937" s="10" t="str">
        <f>IF('[1]All Data '!AZ2942="","",'[1]All Data '!AZ2942)</f>
        <v/>
      </c>
      <c r="Q2937" s="10" t="str">
        <f>IF('[1]All Data '!BB2942="","",'[1]All Data '!BB2942)</f>
        <v/>
      </c>
      <c r="R2937" s="10" t="str">
        <f>IF('[1]All Data '!BD2942="","",'[1]All Data '!BD2942)</f>
        <v/>
      </c>
      <c r="S2937" s="11" t="str">
        <f>IF(R2937="","",'[1]All Data '!BE2942)</f>
        <v/>
      </c>
      <c r="T2937" s="12" t="str">
        <f>IF(S2937="","",[1]Inputs_Outputs!$B$8*(1-'LOCH Calc COE Calc'!S2937))</f>
        <v/>
      </c>
      <c r="U2937" s="13" t="str">
        <f t="shared" si="231"/>
        <v/>
      </c>
      <c r="V2937" s="13" t="str">
        <f t="shared" si="232"/>
        <v/>
      </c>
      <c r="W2937" s="4" t="str">
        <f t="shared" si="233"/>
        <v/>
      </c>
      <c r="X2937" t="str">
        <f>IF(W2937="","",LOOKUP(_xlfn.CONCAT(P2937,", ",Q2937),'[1]T+S Costs'!$F$2:$F$3138,'[1]T+S Costs'!$N$2:$N$3138))</f>
        <v/>
      </c>
      <c r="Y2937" s="14" t="str">
        <f t="shared" si="229"/>
        <v/>
      </c>
      <c r="Z2937" s="4" t="str">
        <f t="shared" si="230"/>
        <v/>
      </c>
    </row>
    <row r="2938" spans="16:26" x14ac:dyDescent="0.25">
      <c r="P2938" s="10" t="str">
        <f>IF('[1]All Data '!AZ2943="","",'[1]All Data '!AZ2943)</f>
        <v/>
      </c>
      <c r="Q2938" s="10" t="str">
        <f>IF('[1]All Data '!BB2943="","",'[1]All Data '!BB2943)</f>
        <v/>
      </c>
      <c r="R2938" s="10" t="str">
        <f>IF('[1]All Data '!BD2943="","",'[1]All Data '!BD2943)</f>
        <v/>
      </c>
      <c r="S2938" s="11" t="str">
        <f>IF(R2938="","",'[1]All Data '!BE2943)</f>
        <v/>
      </c>
      <c r="T2938" s="12" t="str">
        <f>IF(S2938="","",[1]Inputs_Outputs!$B$8*(1-'LOCH Calc COE Calc'!S2938))</f>
        <v/>
      </c>
      <c r="U2938" s="13" t="str">
        <f t="shared" si="231"/>
        <v/>
      </c>
      <c r="V2938" s="13" t="str">
        <f t="shared" si="232"/>
        <v/>
      </c>
      <c r="W2938" s="4" t="str">
        <f t="shared" si="233"/>
        <v/>
      </c>
      <c r="X2938" t="str">
        <f>IF(W2938="","",LOOKUP(_xlfn.CONCAT(P2938,", ",Q2938),'[1]T+S Costs'!$F$2:$F$3138,'[1]T+S Costs'!$N$2:$N$3138))</f>
        <v/>
      </c>
      <c r="Y2938" s="14" t="str">
        <f t="shared" si="229"/>
        <v/>
      </c>
      <c r="Z2938" s="4" t="str">
        <f t="shared" si="230"/>
        <v/>
      </c>
    </row>
    <row r="2939" spans="16:26" x14ac:dyDescent="0.25">
      <c r="P2939" s="10" t="str">
        <f>IF('[1]All Data '!AZ2944="","",'[1]All Data '!AZ2944)</f>
        <v/>
      </c>
      <c r="Q2939" s="10" t="str">
        <f>IF('[1]All Data '!BB2944="","",'[1]All Data '!BB2944)</f>
        <v/>
      </c>
      <c r="R2939" s="10" t="str">
        <f>IF('[1]All Data '!BD2944="","",'[1]All Data '!BD2944)</f>
        <v/>
      </c>
      <c r="S2939" s="11" t="str">
        <f>IF(R2939="","",'[1]All Data '!BE2944)</f>
        <v/>
      </c>
      <c r="T2939" s="12" t="str">
        <f>IF(S2939="","",[1]Inputs_Outputs!$B$8*(1-'LOCH Calc COE Calc'!S2939))</f>
        <v/>
      </c>
      <c r="U2939" s="13" t="str">
        <f t="shared" si="231"/>
        <v/>
      </c>
      <c r="V2939" s="13" t="str">
        <f t="shared" si="232"/>
        <v/>
      </c>
      <c r="W2939" s="4" t="str">
        <f t="shared" si="233"/>
        <v/>
      </c>
      <c r="X2939" t="str">
        <f>IF(W2939="","",LOOKUP(_xlfn.CONCAT(P2939,", ",Q2939),'[1]T+S Costs'!$F$2:$F$3138,'[1]T+S Costs'!$N$2:$N$3138))</f>
        <v/>
      </c>
      <c r="Y2939" s="14" t="str">
        <f t="shared" si="229"/>
        <v/>
      </c>
      <c r="Z2939" s="4" t="str">
        <f t="shared" si="230"/>
        <v/>
      </c>
    </row>
    <row r="2940" spans="16:26" x14ac:dyDescent="0.25">
      <c r="P2940" s="10" t="str">
        <f>IF('[1]All Data '!AZ2945="","",'[1]All Data '!AZ2945)</f>
        <v/>
      </c>
      <c r="Q2940" s="10" t="str">
        <f>IF('[1]All Data '!BB2945="","",'[1]All Data '!BB2945)</f>
        <v/>
      </c>
      <c r="R2940" s="10" t="str">
        <f>IF('[1]All Data '!BD2945="","",'[1]All Data '!BD2945)</f>
        <v/>
      </c>
      <c r="S2940" s="11" t="str">
        <f>IF(R2940="","",'[1]All Data '!BE2945)</f>
        <v/>
      </c>
      <c r="T2940" s="12" t="str">
        <f>IF(S2940="","",[1]Inputs_Outputs!$B$8*(1-'LOCH Calc COE Calc'!S2940))</f>
        <v/>
      </c>
      <c r="U2940" s="13" t="str">
        <f t="shared" si="231"/>
        <v/>
      </c>
      <c r="V2940" s="13" t="str">
        <f t="shared" si="232"/>
        <v/>
      </c>
      <c r="W2940" s="4" t="str">
        <f t="shared" si="233"/>
        <v/>
      </c>
      <c r="X2940" t="str">
        <f>IF(W2940="","",LOOKUP(_xlfn.CONCAT(P2940,", ",Q2940),'[1]T+S Costs'!$F$2:$F$3138,'[1]T+S Costs'!$N$2:$N$3138))</f>
        <v/>
      </c>
      <c r="Y2940" s="14" t="str">
        <f t="shared" si="229"/>
        <v/>
      </c>
      <c r="Z2940" s="4" t="str">
        <f t="shared" si="230"/>
        <v/>
      </c>
    </row>
    <row r="2941" spans="16:26" x14ac:dyDescent="0.25">
      <c r="P2941" s="10" t="str">
        <f>IF('[1]All Data '!AZ2946="","",'[1]All Data '!AZ2946)</f>
        <v/>
      </c>
      <c r="Q2941" s="10" t="str">
        <f>IF('[1]All Data '!BB2946="","",'[1]All Data '!BB2946)</f>
        <v/>
      </c>
      <c r="R2941" s="10" t="str">
        <f>IF('[1]All Data '!BD2946="","",'[1]All Data '!BD2946)</f>
        <v/>
      </c>
      <c r="S2941" s="11" t="str">
        <f>IF(R2941="","",'[1]All Data '!BE2946)</f>
        <v/>
      </c>
      <c r="T2941" s="12" t="str">
        <f>IF(S2941="","",[1]Inputs_Outputs!$B$8*(1-'LOCH Calc COE Calc'!S2941))</f>
        <v/>
      </c>
      <c r="U2941" s="13" t="str">
        <f t="shared" si="231"/>
        <v/>
      </c>
      <c r="V2941" s="13" t="str">
        <f t="shared" si="232"/>
        <v/>
      </c>
      <c r="W2941" s="4" t="str">
        <f t="shared" si="233"/>
        <v/>
      </c>
      <c r="X2941" t="str">
        <f>IF(W2941="","",LOOKUP(_xlfn.CONCAT(P2941,", ",Q2941),'[1]T+S Costs'!$F$2:$F$3138,'[1]T+S Costs'!$N$2:$N$3138))</f>
        <v/>
      </c>
      <c r="Y2941" s="14" t="str">
        <f t="shared" si="229"/>
        <v/>
      </c>
      <c r="Z2941" s="4" t="str">
        <f t="shared" si="230"/>
        <v/>
      </c>
    </row>
    <row r="2942" spans="16:26" x14ac:dyDescent="0.25">
      <c r="P2942" s="10" t="str">
        <f>IF('[1]All Data '!AZ2947="","",'[1]All Data '!AZ2947)</f>
        <v/>
      </c>
      <c r="Q2942" s="10" t="str">
        <f>IF('[1]All Data '!BB2947="","",'[1]All Data '!BB2947)</f>
        <v/>
      </c>
      <c r="R2942" s="10" t="str">
        <f>IF('[1]All Data '!BD2947="","",'[1]All Data '!BD2947)</f>
        <v/>
      </c>
      <c r="S2942" s="11" t="str">
        <f>IF(R2942="","",'[1]All Data '!BE2947)</f>
        <v/>
      </c>
      <c r="T2942" s="12" t="str">
        <f>IF(S2942="","",[1]Inputs_Outputs!$B$8*(1-'LOCH Calc COE Calc'!S2942))</f>
        <v/>
      </c>
      <c r="U2942" s="13" t="str">
        <f t="shared" si="231"/>
        <v/>
      </c>
      <c r="V2942" s="13" t="str">
        <f t="shared" si="232"/>
        <v/>
      </c>
      <c r="W2942" s="4" t="str">
        <f t="shared" si="233"/>
        <v/>
      </c>
      <c r="X2942" t="str">
        <f>IF(W2942="","",LOOKUP(_xlfn.CONCAT(P2942,", ",Q2942),'[1]T+S Costs'!$F$2:$F$3138,'[1]T+S Costs'!$N$2:$N$3138))</f>
        <v/>
      </c>
      <c r="Y2942" s="14" t="str">
        <f t="shared" si="229"/>
        <v/>
      </c>
      <c r="Z2942" s="4" t="str">
        <f t="shared" si="230"/>
        <v/>
      </c>
    </row>
    <row r="2943" spans="16:26" x14ac:dyDescent="0.25">
      <c r="P2943" s="10" t="str">
        <f>IF('[1]All Data '!AZ2948="","",'[1]All Data '!AZ2948)</f>
        <v/>
      </c>
      <c r="Q2943" s="10" t="str">
        <f>IF('[1]All Data '!BB2948="","",'[1]All Data '!BB2948)</f>
        <v/>
      </c>
      <c r="R2943" s="10" t="str">
        <f>IF('[1]All Data '!BD2948="","",'[1]All Data '!BD2948)</f>
        <v/>
      </c>
      <c r="S2943" s="11" t="str">
        <f>IF(R2943="","",'[1]All Data '!BE2948)</f>
        <v/>
      </c>
      <c r="T2943" s="12" t="str">
        <f>IF(S2943="","",[1]Inputs_Outputs!$B$8*(1-'LOCH Calc COE Calc'!S2943))</f>
        <v/>
      </c>
      <c r="U2943" s="13" t="str">
        <f t="shared" si="231"/>
        <v/>
      </c>
      <c r="V2943" s="13" t="str">
        <f t="shared" si="232"/>
        <v/>
      </c>
      <c r="W2943" s="4" t="str">
        <f t="shared" si="233"/>
        <v/>
      </c>
      <c r="X2943" t="str">
        <f>IF(W2943="","",LOOKUP(_xlfn.CONCAT(P2943,", ",Q2943),'[1]T+S Costs'!$F$2:$F$3138,'[1]T+S Costs'!$N$2:$N$3138))</f>
        <v/>
      </c>
      <c r="Y2943" s="14" t="str">
        <f t="shared" si="229"/>
        <v/>
      </c>
      <c r="Z2943" s="4" t="str">
        <f t="shared" si="230"/>
        <v/>
      </c>
    </row>
    <row r="2944" spans="16:26" x14ac:dyDescent="0.25">
      <c r="P2944" s="10" t="str">
        <f>IF('[1]All Data '!AZ2949="","",'[1]All Data '!AZ2949)</f>
        <v/>
      </c>
      <c r="Q2944" s="10" t="str">
        <f>IF('[1]All Data '!BB2949="","",'[1]All Data '!BB2949)</f>
        <v/>
      </c>
      <c r="R2944" s="10" t="str">
        <f>IF('[1]All Data '!BD2949="","",'[1]All Data '!BD2949)</f>
        <v/>
      </c>
      <c r="S2944" s="11" t="str">
        <f>IF(R2944="","",'[1]All Data '!BE2949)</f>
        <v/>
      </c>
      <c r="T2944" s="12" t="str">
        <f>IF(S2944="","",[1]Inputs_Outputs!$B$8*(1-'LOCH Calc COE Calc'!S2944))</f>
        <v/>
      </c>
      <c r="U2944" s="13" t="str">
        <f t="shared" si="231"/>
        <v/>
      </c>
      <c r="V2944" s="13" t="str">
        <f t="shared" si="232"/>
        <v/>
      </c>
      <c r="W2944" s="4" t="str">
        <f t="shared" si="233"/>
        <v/>
      </c>
      <c r="X2944" t="str">
        <f>IF(W2944="","",LOOKUP(_xlfn.CONCAT(P2944,", ",Q2944),'[1]T+S Costs'!$F$2:$F$3138,'[1]T+S Costs'!$N$2:$N$3138))</f>
        <v/>
      </c>
      <c r="Y2944" s="14" t="str">
        <f t="shared" si="229"/>
        <v/>
      </c>
      <c r="Z2944" s="4" t="str">
        <f t="shared" si="230"/>
        <v/>
      </c>
    </row>
    <row r="2945" spans="16:26" x14ac:dyDescent="0.25">
      <c r="P2945" s="10" t="str">
        <f>IF('[1]All Data '!AZ2950="","",'[1]All Data '!AZ2950)</f>
        <v/>
      </c>
      <c r="Q2945" s="10" t="str">
        <f>IF('[1]All Data '!BB2950="","",'[1]All Data '!BB2950)</f>
        <v/>
      </c>
      <c r="R2945" s="10" t="str">
        <f>IF('[1]All Data '!BD2950="","",'[1]All Data '!BD2950)</f>
        <v/>
      </c>
      <c r="S2945" s="11" t="str">
        <f>IF(R2945="","",'[1]All Data '!BE2950)</f>
        <v/>
      </c>
      <c r="T2945" s="12" t="str">
        <f>IF(S2945="","",[1]Inputs_Outputs!$B$8*(1-'LOCH Calc COE Calc'!S2945))</f>
        <v/>
      </c>
      <c r="U2945" s="13" t="str">
        <f t="shared" si="231"/>
        <v/>
      </c>
      <c r="V2945" s="13" t="str">
        <f t="shared" si="232"/>
        <v/>
      </c>
      <c r="W2945" s="4" t="str">
        <f t="shared" si="233"/>
        <v/>
      </c>
      <c r="X2945" t="str">
        <f>IF(W2945="","",LOOKUP(_xlfn.CONCAT(P2945,", ",Q2945),'[1]T+S Costs'!$F$2:$F$3138,'[1]T+S Costs'!$N$2:$N$3138))</f>
        <v/>
      </c>
      <c r="Y2945" s="14" t="str">
        <f t="shared" si="229"/>
        <v/>
      </c>
      <c r="Z2945" s="4" t="str">
        <f t="shared" si="230"/>
        <v/>
      </c>
    </row>
    <row r="2946" spans="16:26" x14ac:dyDescent="0.25">
      <c r="P2946" s="10" t="str">
        <f>IF('[1]All Data '!AZ2951="","",'[1]All Data '!AZ2951)</f>
        <v/>
      </c>
      <c r="Q2946" s="10" t="str">
        <f>IF('[1]All Data '!BB2951="","",'[1]All Data '!BB2951)</f>
        <v/>
      </c>
      <c r="R2946" s="10" t="str">
        <f>IF('[1]All Data '!BD2951="","",'[1]All Data '!BD2951)</f>
        <v/>
      </c>
      <c r="S2946" s="11" t="str">
        <f>IF(R2946="","",'[1]All Data '!BE2951)</f>
        <v/>
      </c>
      <c r="T2946" s="12" t="str">
        <f>IF(S2946="","",[1]Inputs_Outputs!$B$8*(1-'LOCH Calc COE Calc'!S2946))</f>
        <v/>
      </c>
      <c r="U2946" s="13" t="str">
        <f t="shared" si="231"/>
        <v/>
      </c>
      <c r="V2946" s="13" t="str">
        <f t="shared" si="232"/>
        <v/>
      </c>
      <c r="W2946" s="4" t="str">
        <f t="shared" si="233"/>
        <v/>
      </c>
      <c r="X2946" t="str">
        <f>IF(W2946="","",LOOKUP(_xlfn.CONCAT(P2946,", ",Q2946),'[1]T+S Costs'!$F$2:$F$3138,'[1]T+S Costs'!$N$2:$N$3138))</f>
        <v/>
      </c>
      <c r="Y2946" s="14" t="str">
        <f t="shared" si="229"/>
        <v/>
      </c>
      <c r="Z2946" s="4" t="str">
        <f t="shared" si="230"/>
        <v/>
      </c>
    </row>
    <row r="2947" spans="16:26" x14ac:dyDescent="0.25">
      <c r="P2947" s="10" t="str">
        <f>IF('[1]All Data '!AZ2952="","",'[1]All Data '!AZ2952)</f>
        <v/>
      </c>
      <c r="Q2947" s="10" t="str">
        <f>IF('[1]All Data '!BB2952="","",'[1]All Data '!BB2952)</f>
        <v/>
      </c>
      <c r="R2947" s="10" t="str">
        <f>IF('[1]All Data '!BD2952="","",'[1]All Data '!BD2952)</f>
        <v/>
      </c>
      <c r="S2947" s="11" t="str">
        <f>IF(R2947="","",'[1]All Data '!BE2952)</f>
        <v/>
      </c>
      <c r="T2947" s="12" t="str">
        <f>IF(S2947="","",[1]Inputs_Outputs!$B$8*(1-'LOCH Calc COE Calc'!S2947))</f>
        <v/>
      </c>
      <c r="U2947" s="13" t="str">
        <f t="shared" si="231"/>
        <v/>
      </c>
      <c r="V2947" s="13" t="str">
        <f t="shared" si="232"/>
        <v/>
      </c>
      <c r="W2947" s="4" t="str">
        <f t="shared" si="233"/>
        <v/>
      </c>
      <c r="X2947" t="str">
        <f>IF(W2947="","",LOOKUP(_xlfn.CONCAT(P2947,", ",Q2947),'[1]T+S Costs'!$F$2:$F$3138,'[1]T+S Costs'!$N$2:$N$3138))</f>
        <v/>
      </c>
      <c r="Y2947" s="14" t="str">
        <f t="shared" ref="Y2947:Y3010" si="234">IF(X2947="","",((X2947*$B$60/$B$59)*$C$44)/$C$28)</f>
        <v/>
      </c>
      <c r="Z2947" s="4" t="str">
        <f t="shared" ref="Z2947:Z3010" si="235">IF(Y2947="","",W2947+Y2947)</f>
        <v/>
      </c>
    </row>
    <row r="2948" spans="16:26" x14ac:dyDescent="0.25">
      <c r="P2948" s="10" t="str">
        <f>IF('[1]All Data '!AZ2953="","",'[1]All Data '!AZ2953)</f>
        <v/>
      </c>
      <c r="Q2948" s="10" t="str">
        <f>IF('[1]All Data '!BB2953="","",'[1]All Data '!BB2953)</f>
        <v/>
      </c>
      <c r="R2948" s="10" t="str">
        <f>IF('[1]All Data '!BD2953="","",'[1]All Data '!BD2953)</f>
        <v/>
      </c>
      <c r="S2948" s="11" t="str">
        <f>IF(R2948="","",'[1]All Data '!BE2953)</f>
        <v/>
      </c>
      <c r="T2948" s="12" t="str">
        <f>IF(S2948="","",[1]Inputs_Outputs!$B$8*(1-'LOCH Calc COE Calc'!S2948))</f>
        <v/>
      </c>
      <c r="U2948" s="13" t="str">
        <f t="shared" si="231"/>
        <v/>
      </c>
      <c r="V2948" s="13" t="str">
        <f t="shared" si="232"/>
        <v/>
      </c>
      <c r="W2948" s="4" t="str">
        <f t="shared" si="233"/>
        <v/>
      </c>
      <c r="X2948" t="str">
        <f>IF(W2948="","",LOOKUP(_xlfn.CONCAT(P2948,", ",Q2948),'[1]T+S Costs'!$F$2:$F$3138,'[1]T+S Costs'!$N$2:$N$3138))</f>
        <v/>
      </c>
      <c r="Y2948" s="14" t="str">
        <f t="shared" si="234"/>
        <v/>
      </c>
      <c r="Z2948" s="4" t="str">
        <f t="shared" si="235"/>
        <v/>
      </c>
    </row>
    <row r="2949" spans="16:26" x14ac:dyDescent="0.25">
      <c r="P2949" s="10" t="str">
        <f>IF('[1]All Data '!AZ2954="","",'[1]All Data '!AZ2954)</f>
        <v/>
      </c>
      <c r="Q2949" s="10" t="str">
        <f>IF('[1]All Data '!BB2954="","",'[1]All Data '!BB2954)</f>
        <v/>
      </c>
      <c r="R2949" s="10" t="str">
        <f>IF('[1]All Data '!BD2954="","",'[1]All Data '!BD2954)</f>
        <v/>
      </c>
      <c r="S2949" s="11" t="str">
        <f>IF(R2949="","",'[1]All Data '!BE2954)</f>
        <v/>
      </c>
      <c r="T2949" s="12" t="str">
        <f>IF(S2949="","",[1]Inputs_Outputs!$B$8*(1-'LOCH Calc COE Calc'!S2949))</f>
        <v/>
      </c>
      <c r="U2949" s="13" t="str">
        <f t="shared" si="231"/>
        <v/>
      </c>
      <c r="V2949" s="13" t="str">
        <f t="shared" si="232"/>
        <v/>
      </c>
      <c r="W2949" s="4" t="str">
        <f t="shared" si="233"/>
        <v/>
      </c>
      <c r="X2949" t="str">
        <f>IF(W2949="","",LOOKUP(_xlfn.CONCAT(P2949,", ",Q2949),'[1]T+S Costs'!$F$2:$F$3138,'[1]T+S Costs'!$N$2:$N$3138))</f>
        <v/>
      </c>
      <c r="Y2949" s="14" t="str">
        <f t="shared" si="234"/>
        <v/>
      </c>
      <c r="Z2949" s="4" t="str">
        <f t="shared" si="235"/>
        <v/>
      </c>
    </row>
    <row r="2950" spans="16:26" x14ac:dyDescent="0.25">
      <c r="P2950" s="10" t="str">
        <f>IF('[1]All Data '!AZ2955="","",'[1]All Data '!AZ2955)</f>
        <v/>
      </c>
      <c r="Q2950" s="10" t="str">
        <f>IF('[1]All Data '!BB2955="","",'[1]All Data '!BB2955)</f>
        <v/>
      </c>
      <c r="R2950" s="10" t="str">
        <f>IF('[1]All Data '!BD2955="","",'[1]All Data '!BD2955)</f>
        <v/>
      </c>
      <c r="S2950" s="11" t="str">
        <f>IF(R2950="","",'[1]All Data '!BE2955)</f>
        <v/>
      </c>
      <c r="T2950" s="12" t="str">
        <f>IF(S2950="","",[1]Inputs_Outputs!$B$8*(1-'LOCH Calc COE Calc'!S2950))</f>
        <v/>
      </c>
      <c r="U2950" s="13" t="str">
        <f t="shared" si="231"/>
        <v/>
      </c>
      <c r="V2950" s="13" t="str">
        <f t="shared" si="232"/>
        <v/>
      </c>
      <c r="W2950" s="4" t="str">
        <f t="shared" si="233"/>
        <v/>
      </c>
      <c r="X2950" t="str">
        <f>IF(W2950="","",LOOKUP(_xlfn.CONCAT(P2950,", ",Q2950),'[1]T+S Costs'!$F$2:$F$3138,'[1]T+S Costs'!$N$2:$N$3138))</f>
        <v/>
      </c>
      <c r="Y2950" s="14" t="str">
        <f t="shared" si="234"/>
        <v/>
      </c>
      <c r="Z2950" s="4" t="str">
        <f t="shared" si="235"/>
        <v/>
      </c>
    </row>
    <row r="2951" spans="16:26" x14ac:dyDescent="0.25">
      <c r="P2951" s="10" t="str">
        <f>IF('[1]All Data '!AZ2956="","",'[1]All Data '!AZ2956)</f>
        <v/>
      </c>
      <c r="Q2951" s="10" t="str">
        <f>IF('[1]All Data '!BB2956="","",'[1]All Data '!BB2956)</f>
        <v/>
      </c>
      <c r="R2951" s="10" t="str">
        <f>IF('[1]All Data '!BD2956="","",'[1]All Data '!BD2956)</f>
        <v/>
      </c>
      <c r="S2951" s="11" t="str">
        <f>IF(R2951="","",'[1]All Data '!BE2956)</f>
        <v/>
      </c>
      <c r="T2951" s="12" t="str">
        <f>IF(S2951="","",[1]Inputs_Outputs!$B$8*(1-'LOCH Calc COE Calc'!S2951))</f>
        <v/>
      </c>
      <c r="U2951" s="13" t="str">
        <f t="shared" si="231"/>
        <v/>
      </c>
      <c r="V2951" s="13" t="str">
        <f t="shared" si="232"/>
        <v/>
      </c>
      <c r="W2951" s="4" t="str">
        <f t="shared" si="233"/>
        <v/>
      </c>
      <c r="X2951" t="str">
        <f>IF(W2951="","",LOOKUP(_xlfn.CONCAT(P2951,", ",Q2951),'[1]T+S Costs'!$F$2:$F$3138,'[1]T+S Costs'!$N$2:$N$3138))</f>
        <v/>
      </c>
      <c r="Y2951" s="14" t="str">
        <f t="shared" si="234"/>
        <v/>
      </c>
      <c r="Z2951" s="4" t="str">
        <f t="shared" si="235"/>
        <v/>
      </c>
    </row>
    <row r="2952" spans="16:26" x14ac:dyDescent="0.25">
      <c r="P2952" s="10" t="str">
        <f>IF('[1]All Data '!AZ2957="","",'[1]All Data '!AZ2957)</f>
        <v/>
      </c>
      <c r="Q2952" s="10" t="str">
        <f>IF('[1]All Data '!BB2957="","",'[1]All Data '!BB2957)</f>
        <v/>
      </c>
      <c r="R2952" s="10" t="str">
        <f>IF('[1]All Data '!BD2957="","",'[1]All Data '!BD2957)</f>
        <v/>
      </c>
      <c r="S2952" s="11" t="str">
        <f>IF(R2952="","",'[1]All Data '!BE2957)</f>
        <v/>
      </c>
      <c r="T2952" s="12" t="str">
        <f>IF(S2952="","",[1]Inputs_Outputs!$B$8*(1-'LOCH Calc COE Calc'!S2952))</f>
        <v/>
      </c>
      <c r="U2952" s="13" t="str">
        <f t="shared" si="231"/>
        <v/>
      </c>
      <c r="V2952" s="13" t="str">
        <f t="shared" si="232"/>
        <v/>
      </c>
      <c r="W2952" s="4" t="str">
        <f t="shared" si="233"/>
        <v/>
      </c>
      <c r="X2952" t="str">
        <f>IF(W2952="","",LOOKUP(_xlfn.CONCAT(P2952,", ",Q2952),'[1]T+S Costs'!$F$2:$F$3138,'[1]T+S Costs'!$N$2:$N$3138))</f>
        <v/>
      </c>
      <c r="Y2952" s="14" t="str">
        <f t="shared" si="234"/>
        <v/>
      </c>
      <c r="Z2952" s="4" t="str">
        <f t="shared" si="235"/>
        <v/>
      </c>
    </row>
    <row r="2953" spans="16:26" x14ac:dyDescent="0.25">
      <c r="P2953" s="10" t="str">
        <f>IF('[1]All Data '!AZ2958="","",'[1]All Data '!AZ2958)</f>
        <v/>
      </c>
      <c r="Q2953" s="10" t="str">
        <f>IF('[1]All Data '!BB2958="","",'[1]All Data '!BB2958)</f>
        <v/>
      </c>
      <c r="R2953" s="10" t="str">
        <f>IF('[1]All Data '!BD2958="","",'[1]All Data '!BD2958)</f>
        <v/>
      </c>
      <c r="S2953" s="11" t="str">
        <f>IF(R2953="","",'[1]All Data '!BE2958)</f>
        <v/>
      </c>
      <c r="T2953" s="12" t="str">
        <f>IF(S2953="","",[1]Inputs_Outputs!$B$8*(1-'LOCH Calc COE Calc'!S2953))</f>
        <v/>
      </c>
      <c r="U2953" s="13" t="str">
        <f t="shared" si="231"/>
        <v/>
      </c>
      <c r="V2953" s="13" t="str">
        <f t="shared" si="232"/>
        <v/>
      </c>
      <c r="W2953" s="4" t="str">
        <f t="shared" si="233"/>
        <v/>
      </c>
      <c r="X2953" t="str">
        <f>IF(W2953="","",LOOKUP(_xlfn.CONCAT(P2953,", ",Q2953),'[1]T+S Costs'!$F$2:$F$3138,'[1]T+S Costs'!$N$2:$N$3138))</f>
        <v/>
      </c>
      <c r="Y2953" s="14" t="str">
        <f t="shared" si="234"/>
        <v/>
      </c>
      <c r="Z2953" s="4" t="str">
        <f t="shared" si="235"/>
        <v/>
      </c>
    </row>
    <row r="2954" spans="16:26" x14ac:dyDescent="0.25">
      <c r="P2954" s="10" t="str">
        <f>IF('[1]All Data '!AZ2959="","",'[1]All Data '!AZ2959)</f>
        <v/>
      </c>
      <c r="Q2954" s="10" t="str">
        <f>IF('[1]All Data '!BB2959="","",'[1]All Data '!BB2959)</f>
        <v/>
      </c>
      <c r="R2954" s="10" t="str">
        <f>IF('[1]All Data '!BD2959="","",'[1]All Data '!BD2959)</f>
        <v/>
      </c>
      <c r="S2954" s="11" t="str">
        <f>IF(R2954="","",'[1]All Data '!BE2959)</f>
        <v/>
      </c>
      <c r="T2954" s="12" t="str">
        <f>IF(S2954="","",[1]Inputs_Outputs!$B$8*(1-'LOCH Calc COE Calc'!S2954))</f>
        <v/>
      </c>
      <c r="U2954" s="13" t="str">
        <f t="shared" si="231"/>
        <v/>
      </c>
      <c r="V2954" s="13" t="str">
        <f t="shared" si="232"/>
        <v/>
      </c>
      <c r="W2954" s="4" t="str">
        <f t="shared" si="233"/>
        <v/>
      </c>
      <c r="X2954" t="str">
        <f>IF(W2954="","",LOOKUP(_xlfn.CONCAT(P2954,", ",Q2954),'[1]T+S Costs'!$F$2:$F$3138,'[1]T+S Costs'!$N$2:$N$3138))</f>
        <v/>
      </c>
      <c r="Y2954" s="14" t="str">
        <f t="shared" si="234"/>
        <v/>
      </c>
      <c r="Z2954" s="4" t="str">
        <f t="shared" si="235"/>
        <v/>
      </c>
    </row>
    <row r="2955" spans="16:26" x14ac:dyDescent="0.25">
      <c r="P2955" s="10" t="str">
        <f>IF('[1]All Data '!AZ2960="","",'[1]All Data '!AZ2960)</f>
        <v/>
      </c>
      <c r="Q2955" s="10" t="str">
        <f>IF('[1]All Data '!BB2960="","",'[1]All Data '!BB2960)</f>
        <v/>
      </c>
      <c r="R2955" s="10" t="str">
        <f>IF('[1]All Data '!BD2960="","",'[1]All Data '!BD2960)</f>
        <v/>
      </c>
      <c r="S2955" s="11" t="str">
        <f>IF(R2955="","",'[1]All Data '!BE2960)</f>
        <v/>
      </c>
      <c r="T2955" s="12" t="str">
        <f>IF(S2955="","",[1]Inputs_Outputs!$B$8*(1-'LOCH Calc COE Calc'!S2955))</f>
        <v/>
      </c>
      <c r="U2955" s="13" t="str">
        <f t="shared" si="231"/>
        <v/>
      </c>
      <c r="V2955" s="13" t="str">
        <f t="shared" si="232"/>
        <v/>
      </c>
      <c r="W2955" s="4" t="str">
        <f t="shared" si="233"/>
        <v/>
      </c>
      <c r="X2955" t="str">
        <f>IF(W2955="","",LOOKUP(_xlfn.CONCAT(P2955,", ",Q2955),'[1]T+S Costs'!$F$2:$F$3138,'[1]T+S Costs'!$N$2:$N$3138))</f>
        <v/>
      </c>
      <c r="Y2955" s="14" t="str">
        <f t="shared" si="234"/>
        <v/>
      </c>
      <c r="Z2955" s="4" t="str">
        <f t="shared" si="235"/>
        <v/>
      </c>
    </row>
    <row r="2956" spans="16:26" x14ac:dyDescent="0.25">
      <c r="P2956" s="10" t="str">
        <f>IF('[1]All Data '!AZ2961="","",'[1]All Data '!AZ2961)</f>
        <v/>
      </c>
      <c r="Q2956" s="10" t="str">
        <f>IF('[1]All Data '!BB2961="","",'[1]All Data '!BB2961)</f>
        <v/>
      </c>
      <c r="R2956" s="10" t="str">
        <f>IF('[1]All Data '!BD2961="","",'[1]All Data '!BD2961)</f>
        <v/>
      </c>
      <c r="S2956" s="11" t="str">
        <f>IF(R2956="","",'[1]All Data '!BE2961)</f>
        <v/>
      </c>
      <c r="T2956" s="12" t="str">
        <f>IF(S2956="","",[1]Inputs_Outputs!$B$8*(1-'LOCH Calc COE Calc'!S2956))</f>
        <v/>
      </c>
      <c r="U2956" s="13" t="str">
        <f t="shared" si="231"/>
        <v/>
      </c>
      <c r="V2956" s="13" t="str">
        <f t="shared" si="232"/>
        <v/>
      </c>
      <c r="W2956" s="4" t="str">
        <f t="shared" si="233"/>
        <v/>
      </c>
      <c r="X2956" t="str">
        <f>IF(W2956="","",LOOKUP(_xlfn.CONCAT(P2956,", ",Q2956),'[1]T+S Costs'!$F$2:$F$3138,'[1]T+S Costs'!$N$2:$N$3138))</f>
        <v/>
      </c>
      <c r="Y2956" s="14" t="str">
        <f t="shared" si="234"/>
        <v/>
      </c>
      <c r="Z2956" s="4" t="str">
        <f t="shared" si="235"/>
        <v/>
      </c>
    </row>
    <row r="2957" spans="16:26" x14ac:dyDescent="0.25">
      <c r="P2957" s="10" t="str">
        <f>IF('[1]All Data '!AZ2962="","",'[1]All Data '!AZ2962)</f>
        <v/>
      </c>
      <c r="Q2957" s="10" t="str">
        <f>IF('[1]All Data '!BB2962="","",'[1]All Data '!BB2962)</f>
        <v/>
      </c>
      <c r="R2957" s="10" t="str">
        <f>IF('[1]All Data '!BD2962="","",'[1]All Data '!BD2962)</f>
        <v/>
      </c>
      <c r="S2957" s="11" t="str">
        <f>IF(R2957="","",'[1]All Data '!BE2962)</f>
        <v/>
      </c>
      <c r="T2957" s="12" t="str">
        <f>IF(S2957="","",[1]Inputs_Outputs!$B$8*(1-'LOCH Calc COE Calc'!S2957))</f>
        <v/>
      </c>
      <c r="U2957" s="13" t="str">
        <f t="shared" si="231"/>
        <v/>
      </c>
      <c r="V2957" s="13" t="str">
        <f t="shared" si="232"/>
        <v/>
      </c>
      <c r="W2957" s="4" t="str">
        <f t="shared" si="233"/>
        <v/>
      </c>
      <c r="X2957" t="str">
        <f>IF(W2957="","",LOOKUP(_xlfn.CONCAT(P2957,", ",Q2957),'[1]T+S Costs'!$F$2:$F$3138,'[1]T+S Costs'!$N$2:$N$3138))</f>
        <v/>
      </c>
      <c r="Y2957" s="14" t="str">
        <f t="shared" si="234"/>
        <v/>
      </c>
      <c r="Z2957" s="4" t="str">
        <f t="shared" si="235"/>
        <v/>
      </c>
    </row>
    <row r="2958" spans="16:26" x14ac:dyDescent="0.25">
      <c r="P2958" s="10" t="str">
        <f>IF('[1]All Data '!AZ2963="","",'[1]All Data '!AZ2963)</f>
        <v/>
      </c>
      <c r="Q2958" s="10" t="str">
        <f>IF('[1]All Data '!BB2963="","",'[1]All Data '!BB2963)</f>
        <v/>
      </c>
      <c r="R2958" s="10" t="str">
        <f>IF('[1]All Data '!BD2963="","",'[1]All Data '!BD2963)</f>
        <v/>
      </c>
      <c r="S2958" s="11" t="str">
        <f>IF(R2958="","",'[1]All Data '!BE2963)</f>
        <v/>
      </c>
      <c r="T2958" s="12" t="str">
        <f>IF(S2958="","",[1]Inputs_Outputs!$B$8*(1-'LOCH Calc COE Calc'!S2958))</f>
        <v/>
      </c>
      <c r="U2958" s="13" t="str">
        <f t="shared" si="231"/>
        <v/>
      </c>
      <c r="V2958" s="13" t="str">
        <f t="shared" si="232"/>
        <v/>
      </c>
      <c r="W2958" s="4" t="str">
        <f t="shared" si="233"/>
        <v/>
      </c>
      <c r="X2958" t="str">
        <f>IF(W2958="","",LOOKUP(_xlfn.CONCAT(P2958,", ",Q2958),'[1]T+S Costs'!$F$2:$F$3138,'[1]T+S Costs'!$N$2:$N$3138))</f>
        <v/>
      </c>
      <c r="Y2958" s="14" t="str">
        <f t="shared" si="234"/>
        <v/>
      </c>
      <c r="Z2958" s="4" t="str">
        <f t="shared" si="235"/>
        <v/>
      </c>
    </row>
    <row r="2959" spans="16:26" x14ac:dyDescent="0.25">
      <c r="P2959" s="10" t="str">
        <f>IF('[1]All Data '!AZ2964="","",'[1]All Data '!AZ2964)</f>
        <v/>
      </c>
      <c r="Q2959" s="10" t="str">
        <f>IF('[1]All Data '!BB2964="","",'[1]All Data '!BB2964)</f>
        <v/>
      </c>
      <c r="R2959" s="10" t="str">
        <f>IF('[1]All Data '!BD2964="","",'[1]All Data '!BD2964)</f>
        <v/>
      </c>
      <c r="S2959" s="11" t="str">
        <f>IF(R2959="","",'[1]All Data '!BE2964)</f>
        <v/>
      </c>
      <c r="T2959" s="12" t="str">
        <f>IF(S2959="","",[1]Inputs_Outputs!$B$8*(1-'LOCH Calc COE Calc'!S2959))</f>
        <v/>
      </c>
      <c r="U2959" s="13" t="str">
        <f t="shared" si="231"/>
        <v/>
      </c>
      <c r="V2959" s="13" t="str">
        <f t="shared" si="232"/>
        <v/>
      </c>
      <c r="W2959" s="4" t="str">
        <f t="shared" si="233"/>
        <v/>
      </c>
      <c r="X2959" t="str">
        <f>IF(W2959="","",LOOKUP(_xlfn.CONCAT(P2959,", ",Q2959),'[1]T+S Costs'!$F$2:$F$3138,'[1]T+S Costs'!$N$2:$N$3138))</f>
        <v/>
      </c>
      <c r="Y2959" s="14" t="str">
        <f t="shared" si="234"/>
        <v/>
      </c>
      <c r="Z2959" s="4" t="str">
        <f t="shared" si="235"/>
        <v/>
      </c>
    </row>
    <row r="2960" spans="16:26" x14ac:dyDescent="0.25">
      <c r="P2960" s="10" t="str">
        <f>IF('[1]All Data '!AZ2965="","",'[1]All Data '!AZ2965)</f>
        <v/>
      </c>
      <c r="Q2960" s="10" t="str">
        <f>IF('[1]All Data '!BB2965="","",'[1]All Data '!BB2965)</f>
        <v/>
      </c>
      <c r="R2960" s="10" t="str">
        <f>IF('[1]All Data '!BD2965="","",'[1]All Data '!BD2965)</f>
        <v/>
      </c>
      <c r="S2960" s="11" t="str">
        <f>IF(R2960="","",'[1]All Data '!BE2965)</f>
        <v/>
      </c>
      <c r="T2960" s="12" t="str">
        <f>IF(S2960="","",[1]Inputs_Outputs!$B$8*(1-'LOCH Calc COE Calc'!S2960))</f>
        <v/>
      </c>
      <c r="U2960" s="13" t="str">
        <f t="shared" si="231"/>
        <v/>
      </c>
      <c r="V2960" s="13" t="str">
        <f t="shared" si="232"/>
        <v/>
      </c>
      <c r="W2960" s="4" t="str">
        <f t="shared" si="233"/>
        <v/>
      </c>
      <c r="X2960" t="str">
        <f>IF(W2960="","",LOOKUP(_xlfn.CONCAT(P2960,", ",Q2960),'[1]T+S Costs'!$F$2:$F$3138,'[1]T+S Costs'!$N$2:$N$3138))</f>
        <v/>
      </c>
      <c r="Y2960" s="14" t="str">
        <f t="shared" si="234"/>
        <v/>
      </c>
      <c r="Z2960" s="4" t="str">
        <f t="shared" si="235"/>
        <v/>
      </c>
    </row>
    <row r="2961" spans="16:26" x14ac:dyDescent="0.25">
      <c r="P2961" s="10" t="str">
        <f>IF('[1]All Data '!AZ2966="","",'[1]All Data '!AZ2966)</f>
        <v/>
      </c>
      <c r="Q2961" s="10" t="str">
        <f>IF('[1]All Data '!BB2966="","",'[1]All Data '!BB2966)</f>
        <v/>
      </c>
      <c r="R2961" s="10" t="str">
        <f>IF('[1]All Data '!BD2966="","",'[1]All Data '!BD2966)</f>
        <v/>
      </c>
      <c r="S2961" s="11" t="str">
        <f>IF(R2961="","",'[1]All Data '!BE2966)</f>
        <v/>
      </c>
      <c r="T2961" s="12" t="str">
        <f>IF(S2961="","",[1]Inputs_Outputs!$B$8*(1-'LOCH Calc COE Calc'!S2961))</f>
        <v/>
      </c>
      <c r="U2961" s="13" t="str">
        <f t="shared" si="231"/>
        <v/>
      </c>
      <c r="V2961" s="13" t="str">
        <f t="shared" si="232"/>
        <v/>
      </c>
      <c r="W2961" s="4" t="str">
        <f t="shared" si="233"/>
        <v/>
      </c>
      <c r="X2961" t="str">
        <f>IF(W2961="","",LOOKUP(_xlfn.CONCAT(P2961,", ",Q2961),'[1]T+S Costs'!$F$2:$F$3138,'[1]T+S Costs'!$N$2:$N$3138))</f>
        <v/>
      </c>
      <c r="Y2961" s="14" t="str">
        <f t="shared" si="234"/>
        <v/>
      </c>
      <c r="Z2961" s="4" t="str">
        <f t="shared" si="235"/>
        <v/>
      </c>
    </row>
    <row r="2962" spans="16:26" x14ac:dyDescent="0.25">
      <c r="P2962" s="10" t="str">
        <f>IF('[1]All Data '!AZ2967="","",'[1]All Data '!AZ2967)</f>
        <v/>
      </c>
      <c r="Q2962" s="10" t="str">
        <f>IF('[1]All Data '!BB2967="","",'[1]All Data '!BB2967)</f>
        <v/>
      </c>
      <c r="R2962" s="10" t="str">
        <f>IF('[1]All Data '!BD2967="","",'[1]All Data '!BD2967)</f>
        <v/>
      </c>
      <c r="S2962" s="11" t="str">
        <f>IF(R2962="","",'[1]All Data '!BE2967)</f>
        <v/>
      </c>
      <c r="T2962" s="12" t="str">
        <f>IF(S2962="","",[1]Inputs_Outputs!$B$8*(1-'LOCH Calc COE Calc'!S2962))</f>
        <v/>
      </c>
      <c r="U2962" s="13" t="str">
        <f t="shared" si="231"/>
        <v/>
      </c>
      <c r="V2962" s="13" t="str">
        <f t="shared" si="232"/>
        <v/>
      </c>
      <c r="W2962" s="4" t="str">
        <f t="shared" si="233"/>
        <v/>
      </c>
      <c r="X2962" t="str">
        <f>IF(W2962="","",LOOKUP(_xlfn.CONCAT(P2962,", ",Q2962),'[1]T+S Costs'!$F$2:$F$3138,'[1]T+S Costs'!$N$2:$N$3138))</f>
        <v/>
      </c>
      <c r="Y2962" s="14" t="str">
        <f t="shared" si="234"/>
        <v/>
      </c>
      <c r="Z2962" s="4" t="str">
        <f t="shared" si="235"/>
        <v/>
      </c>
    </row>
    <row r="2963" spans="16:26" x14ac:dyDescent="0.25">
      <c r="P2963" s="10" t="str">
        <f>IF('[1]All Data '!AZ2968="","",'[1]All Data '!AZ2968)</f>
        <v/>
      </c>
      <c r="Q2963" s="10" t="str">
        <f>IF('[1]All Data '!BB2968="","",'[1]All Data '!BB2968)</f>
        <v/>
      </c>
      <c r="R2963" s="10" t="str">
        <f>IF('[1]All Data '!BD2968="","",'[1]All Data '!BD2968)</f>
        <v/>
      </c>
      <c r="S2963" s="11" t="str">
        <f>IF(R2963="","",'[1]All Data '!BE2968)</f>
        <v/>
      </c>
      <c r="T2963" s="12" t="str">
        <f>IF(S2963="","",[1]Inputs_Outputs!$B$8*(1-'LOCH Calc COE Calc'!S2963))</f>
        <v/>
      </c>
      <c r="U2963" s="13" t="str">
        <f t="shared" si="231"/>
        <v/>
      </c>
      <c r="V2963" s="13" t="str">
        <f t="shared" si="232"/>
        <v/>
      </c>
      <c r="W2963" s="4" t="str">
        <f t="shared" si="233"/>
        <v/>
      </c>
      <c r="X2963" t="str">
        <f>IF(W2963="","",LOOKUP(_xlfn.CONCAT(P2963,", ",Q2963),'[1]T+S Costs'!$F$2:$F$3138,'[1]T+S Costs'!$N$2:$N$3138))</f>
        <v/>
      </c>
      <c r="Y2963" s="14" t="str">
        <f t="shared" si="234"/>
        <v/>
      </c>
      <c r="Z2963" s="4" t="str">
        <f t="shared" si="235"/>
        <v/>
      </c>
    </row>
    <row r="2964" spans="16:26" x14ac:dyDescent="0.25">
      <c r="P2964" s="10" t="str">
        <f>IF('[1]All Data '!AZ2969="","",'[1]All Data '!AZ2969)</f>
        <v/>
      </c>
      <c r="Q2964" s="10" t="str">
        <f>IF('[1]All Data '!BB2969="","",'[1]All Data '!BB2969)</f>
        <v/>
      </c>
      <c r="R2964" s="10" t="str">
        <f>IF('[1]All Data '!BD2969="","",'[1]All Data '!BD2969)</f>
        <v/>
      </c>
      <c r="S2964" s="11" t="str">
        <f>IF(R2964="","",'[1]All Data '!BE2969)</f>
        <v/>
      </c>
      <c r="T2964" s="12" t="str">
        <f>IF(S2964="","",[1]Inputs_Outputs!$B$8*(1-'LOCH Calc COE Calc'!S2964))</f>
        <v/>
      </c>
      <c r="U2964" s="13" t="str">
        <f t="shared" si="231"/>
        <v/>
      </c>
      <c r="V2964" s="13" t="str">
        <f t="shared" si="232"/>
        <v/>
      </c>
      <c r="W2964" s="4" t="str">
        <f t="shared" si="233"/>
        <v/>
      </c>
      <c r="X2964" t="str">
        <f>IF(W2964="","",LOOKUP(_xlfn.CONCAT(P2964,", ",Q2964),'[1]T+S Costs'!$F$2:$F$3138,'[1]T+S Costs'!$N$2:$N$3138))</f>
        <v/>
      </c>
      <c r="Y2964" s="14" t="str">
        <f t="shared" si="234"/>
        <v/>
      </c>
      <c r="Z2964" s="4" t="str">
        <f t="shared" si="235"/>
        <v/>
      </c>
    </row>
    <row r="2965" spans="16:26" x14ac:dyDescent="0.25">
      <c r="P2965" s="10" t="str">
        <f>IF('[1]All Data '!AZ2970="","",'[1]All Data '!AZ2970)</f>
        <v/>
      </c>
      <c r="Q2965" s="10" t="str">
        <f>IF('[1]All Data '!BB2970="","",'[1]All Data '!BB2970)</f>
        <v/>
      </c>
      <c r="R2965" s="10" t="str">
        <f>IF('[1]All Data '!BD2970="","",'[1]All Data '!BD2970)</f>
        <v/>
      </c>
      <c r="S2965" s="11" t="str">
        <f>IF(R2965="","",'[1]All Data '!BE2970)</f>
        <v/>
      </c>
      <c r="T2965" s="12" t="str">
        <f>IF(S2965="","",[1]Inputs_Outputs!$B$8*(1-'LOCH Calc COE Calc'!S2965))</f>
        <v/>
      </c>
      <c r="U2965" s="13" t="str">
        <f t="shared" si="231"/>
        <v/>
      </c>
      <c r="V2965" s="13" t="str">
        <f t="shared" si="232"/>
        <v/>
      </c>
      <c r="W2965" s="4" t="str">
        <f t="shared" si="233"/>
        <v/>
      </c>
      <c r="X2965" t="str">
        <f>IF(W2965="","",LOOKUP(_xlfn.CONCAT(P2965,", ",Q2965),'[1]T+S Costs'!$F$2:$F$3138,'[1]T+S Costs'!$N$2:$N$3138))</f>
        <v/>
      </c>
      <c r="Y2965" s="14" t="str">
        <f t="shared" si="234"/>
        <v/>
      </c>
      <c r="Z2965" s="4" t="str">
        <f t="shared" si="235"/>
        <v/>
      </c>
    </row>
    <row r="2966" spans="16:26" x14ac:dyDescent="0.25">
      <c r="P2966" s="10" t="str">
        <f>IF('[1]All Data '!AZ2971="","",'[1]All Data '!AZ2971)</f>
        <v/>
      </c>
      <c r="Q2966" s="10" t="str">
        <f>IF('[1]All Data '!BB2971="","",'[1]All Data '!BB2971)</f>
        <v/>
      </c>
      <c r="R2966" s="10" t="str">
        <f>IF('[1]All Data '!BD2971="","",'[1]All Data '!BD2971)</f>
        <v/>
      </c>
      <c r="S2966" s="11" t="str">
        <f>IF(R2966="","",'[1]All Data '!BE2971)</f>
        <v/>
      </c>
      <c r="T2966" s="12" t="str">
        <f>IF(S2966="","",[1]Inputs_Outputs!$B$8*(1-'LOCH Calc COE Calc'!S2966))</f>
        <v/>
      </c>
      <c r="U2966" s="13" t="str">
        <f t="shared" si="231"/>
        <v/>
      </c>
      <c r="V2966" s="13" t="str">
        <f t="shared" si="232"/>
        <v/>
      </c>
      <c r="W2966" s="4" t="str">
        <f t="shared" si="233"/>
        <v/>
      </c>
      <c r="X2966" t="str">
        <f>IF(W2966="","",LOOKUP(_xlfn.CONCAT(P2966,", ",Q2966),'[1]T+S Costs'!$F$2:$F$3138,'[1]T+S Costs'!$N$2:$N$3138))</f>
        <v/>
      </c>
      <c r="Y2966" s="14" t="str">
        <f t="shared" si="234"/>
        <v/>
      </c>
      <c r="Z2966" s="4" t="str">
        <f t="shared" si="235"/>
        <v/>
      </c>
    </row>
    <row r="2967" spans="16:26" x14ac:dyDescent="0.25">
      <c r="P2967" s="10" t="str">
        <f>IF('[1]All Data '!AZ2972="","",'[1]All Data '!AZ2972)</f>
        <v/>
      </c>
      <c r="Q2967" s="10" t="str">
        <f>IF('[1]All Data '!BB2972="","",'[1]All Data '!BB2972)</f>
        <v/>
      </c>
      <c r="R2967" s="10" t="str">
        <f>IF('[1]All Data '!BD2972="","",'[1]All Data '!BD2972)</f>
        <v/>
      </c>
      <c r="S2967" s="11" t="str">
        <f>IF(R2967="","",'[1]All Data '!BE2972)</f>
        <v/>
      </c>
      <c r="T2967" s="12" t="str">
        <f>IF(S2967="","",[1]Inputs_Outputs!$B$8*(1-'LOCH Calc COE Calc'!S2967))</f>
        <v/>
      </c>
      <c r="U2967" s="13" t="str">
        <f t="shared" si="231"/>
        <v/>
      </c>
      <c r="V2967" s="13" t="str">
        <f t="shared" si="232"/>
        <v/>
      </c>
      <c r="W2967" s="4" t="str">
        <f t="shared" si="233"/>
        <v/>
      </c>
      <c r="X2967" t="str">
        <f>IF(W2967="","",LOOKUP(_xlfn.CONCAT(P2967,", ",Q2967),'[1]T+S Costs'!$F$2:$F$3138,'[1]T+S Costs'!$N$2:$N$3138))</f>
        <v/>
      </c>
      <c r="Y2967" s="14" t="str">
        <f t="shared" si="234"/>
        <v/>
      </c>
      <c r="Z2967" s="4" t="str">
        <f t="shared" si="235"/>
        <v/>
      </c>
    </row>
    <row r="2968" spans="16:26" x14ac:dyDescent="0.25">
      <c r="P2968" s="10" t="str">
        <f>IF('[1]All Data '!AZ2973="","",'[1]All Data '!AZ2973)</f>
        <v/>
      </c>
      <c r="Q2968" s="10" t="str">
        <f>IF('[1]All Data '!BB2973="","",'[1]All Data '!BB2973)</f>
        <v/>
      </c>
      <c r="R2968" s="10" t="str">
        <f>IF('[1]All Data '!BD2973="","",'[1]All Data '!BD2973)</f>
        <v/>
      </c>
      <c r="S2968" s="11" t="str">
        <f>IF(R2968="","",'[1]All Data '!BE2973)</f>
        <v/>
      </c>
      <c r="T2968" s="12" t="str">
        <f>IF(S2968="","",[1]Inputs_Outputs!$B$8*(1-'LOCH Calc COE Calc'!S2968))</f>
        <v/>
      </c>
      <c r="U2968" s="13" t="str">
        <f t="shared" si="231"/>
        <v/>
      </c>
      <c r="V2968" s="13" t="str">
        <f t="shared" si="232"/>
        <v/>
      </c>
      <c r="W2968" s="4" t="str">
        <f t="shared" si="233"/>
        <v/>
      </c>
      <c r="X2968" t="str">
        <f>IF(W2968="","",LOOKUP(_xlfn.CONCAT(P2968,", ",Q2968),'[1]T+S Costs'!$F$2:$F$3138,'[1]T+S Costs'!$N$2:$N$3138))</f>
        <v/>
      </c>
      <c r="Y2968" s="14" t="str">
        <f t="shared" si="234"/>
        <v/>
      </c>
      <c r="Z2968" s="4" t="str">
        <f t="shared" si="235"/>
        <v/>
      </c>
    </row>
    <row r="2969" spans="16:26" x14ac:dyDescent="0.25">
      <c r="P2969" s="10" t="str">
        <f>IF('[1]All Data '!AZ2974="","",'[1]All Data '!AZ2974)</f>
        <v/>
      </c>
      <c r="Q2969" s="10" t="str">
        <f>IF('[1]All Data '!BB2974="","",'[1]All Data '!BB2974)</f>
        <v/>
      </c>
      <c r="R2969" s="10" t="str">
        <f>IF('[1]All Data '!BD2974="","",'[1]All Data '!BD2974)</f>
        <v/>
      </c>
      <c r="S2969" s="11" t="str">
        <f>IF(R2969="","",'[1]All Data '!BE2974)</f>
        <v/>
      </c>
      <c r="T2969" s="12" t="str">
        <f>IF(S2969="","",[1]Inputs_Outputs!$B$8*(1-'LOCH Calc COE Calc'!S2969))</f>
        <v/>
      </c>
      <c r="U2969" s="13" t="str">
        <f t="shared" si="231"/>
        <v/>
      </c>
      <c r="V2969" s="13" t="str">
        <f t="shared" si="232"/>
        <v/>
      </c>
      <c r="W2969" s="4" t="str">
        <f t="shared" si="233"/>
        <v/>
      </c>
      <c r="X2969" t="str">
        <f>IF(W2969="","",LOOKUP(_xlfn.CONCAT(P2969,", ",Q2969),'[1]T+S Costs'!$F$2:$F$3138,'[1]T+S Costs'!$N$2:$N$3138))</f>
        <v/>
      </c>
      <c r="Y2969" s="14" t="str">
        <f t="shared" si="234"/>
        <v/>
      </c>
      <c r="Z2969" s="4" t="str">
        <f t="shared" si="235"/>
        <v/>
      </c>
    </row>
    <row r="2970" spans="16:26" x14ac:dyDescent="0.25">
      <c r="P2970" s="10" t="str">
        <f>IF('[1]All Data '!AZ2975="","",'[1]All Data '!AZ2975)</f>
        <v/>
      </c>
      <c r="Q2970" s="10" t="str">
        <f>IF('[1]All Data '!BB2975="","",'[1]All Data '!BB2975)</f>
        <v/>
      </c>
      <c r="R2970" s="10" t="str">
        <f>IF('[1]All Data '!BD2975="","",'[1]All Data '!BD2975)</f>
        <v/>
      </c>
      <c r="S2970" s="11" t="str">
        <f>IF(R2970="","",'[1]All Data '!BE2975)</f>
        <v/>
      </c>
      <c r="T2970" s="12" t="str">
        <f>IF(S2970="","",[1]Inputs_Outputs!$B$8*(1-'LOCH Calc COE Calc'!S2970))</f>
        <v/>
      </c>
      <c r="U2970" s="13" t="str">
        <f t="shared" si="231"/>
        <v/>
      </c>
      <c r="V2970" s="13" t="str">
        <f t="shared" si="232"/>
        <v/>
      </c>
      <c r="W2970" s="4" t="str">
        <f t="shared" si="233"/>
        <v/>
      </c>
      <c r="X2970" t="str">
        <f>IF(W2970="","",LOOKUP(_xlfn.CONCAT(P2970,", ",Q2970),'[1]T+S Costs'!$F$2:$F$3138,'[1]T+S Costs'!$N$2:$N$3138))</f>
        <v/>
      </c>
      <c r="Y2970" s="14" t="str">
        <f t="shared" si="234"/>
        <v/>
      </c>
      <c r="Z2970" s="4" t="str">
        <f t="shared" si="235"/>
        <v/>
      </c>
    </row>
    <row r="2971" spans="16:26" x14ac:dyDescent="0.25">
      <c r="P2971" s="10" t="str">
        <f>IF('[1]All Data '!AZ2976="","",'[1]All Data '!AZ2976)</f>
        <v/>
      </c>
      <c r="Q2971" s="10" t="str">
        <f>IF('[1]All Data '!BB2976="","",'[1]All Data '!BB2976)</f>
        <v/>
      </c>
      <c r="R2971" s="10" t="str">
        <f>IF('[1]All Data '!BD2976="","",'[1]All Data '!BD2976)</f>
        <v/>
      </c>
      <c r="S2971" s="11" t="str">
        <f>IF(R2971="","",'[1]All Data '!BE2976)</f>
        <v/>
      </c>
      <c r="T2971" s="12" t="str">
        <f>IF(S2971="","",[1]Inputs_Outputs!$B$8*(1-'LOCH Calc COE Calc'!S2971))</f>
        <v/>
      </c>
      <c r="U2971" s="13" t="str">
        <f t="shared" si="231"/>
        <v/>
      </c>
      <c r="V2971" s="13" t="str">
        <f t="shared" si="232"/>
        <v/>
      </c>
      <c r="W2971" s="4" t="str">
        <f t="shared" si="233"/>
        <v/>
      </c>
      <c r="X2971" t="str">
        <f>IF(W2971="","",LOOKUP(_xlfn.CONCAT(P2971,", ",Q2971),'[1]T+S Costs'!$F$2:$F$3138,'[1]T+S Costs'!$N$2:$N$3138))</f>
        <v/>
      </c>
      <c r="Y2971" s="14" t="str">
        <f t="shared" si="234"/>
        <v/>
      </c>
      <c r="Z2971" s="4" t="str">
        <f t="shared" si="235"/>
        <v/>
      </c>
    </row>
    <row r="2972" spans="16:26" x14ac:dyDescent="0.25">
      <c r="P2972" s="10" t="str">
        <f>IF('[1]All Data '!AZ2977="","",'[1]All Data '!AZ2977)</f>
        <v/>
      </c>
      <c r="Q2972" s="10" t="str">
        <f>IF('[1]All Data '!BB2977="","",'[1]All Data '!BB2977)</f>
        <v/>
      </c>
      <c r="R2972" s="10" t="str">
        <f>IF('[1]All Data '!BD2977="","",'[1]All Data '!BD2977)</f>
        <v/>
      </c>
      <c r="S2972" s="11" t="str">
        <f>IF(R2972="","",'[1]All Data '!BE2977)</f>
        <v/>
      </c>
      <c r="T2972" s="12" t="str">
        <f>IF(S2972="","",[1]Inputs_Outputs!$B$8*(1-'LOCH Calc COE Calc'!S2972))</f>
        <v/>
      </c>
      <c r="U2972" s="13" t="str">
        <f t="shared" si="231"/>
        <v/>
      </c>
      <c r="V2972" s="13" t="str">
        <f t="shared" si="232"/>
        <v/>
      </c>
      <c r="W2972" s="4" t="str">
        <f t="shared" si="233"/>
        <v/>
      </c>
      <c r="X2972" t="str">
        <f>IF(W2972="","",LOOKUP(_xlfn.CONCAT(P2972,", ",Q2972),'[1]T+S Costs'!$F$2:$F$3138,'[1]T+S Costs'!$N$2:$N$3138))</f>
        <v/>
      </c>
      <c r="Y2972" s="14" t="str">
        <f t="shared" si="234"/>
        <v/>
      </c>
      <c r="Z2972" s="4" t="str">
        <f t="shared" si="235"/>
        <v/>
      </c>
    </row>
    <row r="2973" spans="16:26" x14ac:dyDescent="0.25">
      <c r="P2973" s="10" t="str">
        <f>IF('[1]All Data '!AZ2978="","",'[1]All Data '!AZ2978)</f>
        <v/>
      </c>
      <c r="Q2973" s="10" t="str">
        <f>IF('[1]All Data '!BB2978="","",'[1]All Data '!BB2978)</f>
        <v/>
      </c>
      <c r="R2973" s="10" t="str">
        <f>IF('[1]All Data '!BD2978="","",'[1]All Data '!BD2978)</f>
        <v/>
      </c>
      <c r="S2973" s="11" t="str">
        <f>IF(R2973="","",'[1]All Data '!BE2978)</f>
        <v/>
      </c>
      <c r="T2973" s="12" t="str">
        <f>IF(S2973="","",[1]Inputs_Outputs!$B$8*(1-'LOCH Calc COE Calc'!S2973))</f>
        <v/>
      </c>
      <c r="U2973" s="13" t="str">
        <f t="shared" si="231"/>
        <v/>
      </c>
      <c r="V2973" s="13" t="str">
        <f t="shared" si="232"/>
        <v/>
      </c>
      <c r="W2973" s="4" t="str">
        <f t="shared" si="233"/>
        <v/>
      </c>
      <c r="X2973" t="str">
        <f>IF(W2973="","",LOOKUP(_xlfn.CONCAT(P2973,", ",Q2973),'[1]T+S Costs'!$F$2:$F$3138,'[1]T+S Costs'!$N$2:$N$3138))</f>
        <v/>
      </c>
      <c r="Y2973" s="14" t="str">
        <f t="shared" si="234"/>
        <v/>
      </c>
      <c r="Z2973" s="4" t="str">
        <f t="shared" si="235"/>
        <v/>
      </c>
    </row>
    <row r="2974" spans="16:26" x14ac:dyDescent="0.25">
      <c r="P2974" s="10" t="str">
        <f>IF('[1]All Data '!AZ2979="","",'[1]All Data '!AZ2979)</f>
        <v/>
      </c>
      <c r="Q2974" s="10" t="str">
        <f>IF('[1]All Data '!BB2979="","",'[1]All Data '!BB2979)</f>
        <v/>
      </c>
      <c r="R2974" s="10" t="str">
        <f>IF('[1]All Data '!BD2979="","",'[1]All Data '!BD2979)</f>
        <v/>
      </c>
      <c r="S2974" s="11" t="str">
        <f>IF(R2974="","",'[1]All Data '!BE2979)</f>
        <v/>
      </c>
      <c r="T2974" s="12" t="str">
        <f>IF(S2974="","",[1]Inputs_Outputs!$B$8*(1-'LOCH Calc COE Calc'!S2974))</f>
        <v/>
      </c>
      <c r="U2974" s="13" t="str">
        <f t="shared" si="231"/>
        <v/>
      </c>
      <c r="V2974" s="13" t="str">
        <f t="shared" si="232"/>
        <v/>
      </c>
      <c r="W2974" s="4" t="str">
        <f t="shared" si="233"/>
        <v/>
      </c>
      <c r="X2974" t="str">
        <f>IF(W2974="","",LOOKUP(_xlfn.CONCAT(P2974,", ",Q2974),'[1]T+S Costs'!$F$2:$F$3138,'[1]T+S Costs'!$N$2:$N$3138))</f>
        <v/>
      </c>
      <c r="Y2974" s="14" t="str">
        <f t="shared" si="234"/>
        <v/>
      </c>
      <c r="Z2974" s="4" t="str">
        <f t="shared" si="235"/>
        <v/>
      </c>
    </row>
    <row r="2975" spans="16:26" x14ac:dyDescent="0.25">
      <c r="P2975" s="10" t="str">
        <f>IF('[1]All Data '!AZ2980="","",'[1]All Data '!AZ2980)</f>
        <v/>
      </c>
      <c r="Q2975" s="10" t="str">
        <f>IF('[1]All Data '!BB2980="","",'[1]All Data '!BB2980)</f>
        <v/>
      </c>
      <c r="R2975" s="10" t="str">
        <f>IF('[1]All Data '!BD2980="","",'[1]All Data '!BD2980)</f>
        <v/>
      </c>
      <c r="S2975" s="11" t="str">
        <f>IF(R2975="","",'[1]All Data '!BE2980)</f>
        <v/>
      </c>
      <c r="T2975" s="12" t="str">
        <f>IF(S2975="","",[1]Inputs_Outputs!$B$8*(1-'LOCH Calc COE Calc'!S2975))</f>
        <v/>
      </c>
      <c r="U2975" s="13" t="str">
        <f t="shared" si="231"/>
        <v/>
      </c>
      <c r="V2975" s="13" t="str">
        <f t="shared" si="232"/>
        <v/>
      </c>
      <c r="W2975" s="4" t="str">
        <f t="shared" si="233"/>
        <v/>
      </c>
      <c r="X2975" t="str">
        <f>IF(W2975="","",LOOKUP(_xlfn.CONCAT(P2975,", ",Q2975),'[1]T+S Costs'!$F$2:$F$3138,'[1]T+S Costs'!$N$2:$N$3138))</f>
        <v/>
      </c>
      <c r="Y2975" s="14" t="str">
        <f t="shared" si="234"/>
        <v/>
      </c>
      <c r="Z2975" s="4" t="str">
        <f t="shared" si="235"/>
        <v/>
      </c>
    </row>
    <row r="2976" spans="16:26" x14ac:dyDescent="0.25">
      <c r="P2976" s="10" t="str">
        <f>IF('[1]All Data '!AZ2981="","",'[1]All Data '!AZ2981)</f>
        <v/>
      </c>
      <c r="Q2976" s="10" t="str">
        <f>IF('[1]All Data '!BB2981="","",'[1]All Data '!BB2981)</f>
        <v/>
      </c>
      <c r="R2976" s="10" t="str">
        <f>IF('[1]All Data '!BD2981="","",'[1]All Data '!BD2981)</f>
        <v/>
      </c>
      <c r="S2976" s="11" t="str">
        <f>IF(R2976="","",'[1]All Data '!BE2981)</f>
        <v/>
      </c>
      <c r="T2976" s="12" t="str">
        <f>IF(S2976="","",[1]Inputs_Outputs!$B$8*(1-'LOCH Calc COE Calc'!S2976))</f>
        <v/>
      </c>
      <c r="U2976" s="13" t="str">
        <f t="shared" si="231"/>
        <v/>
      </c>
      <c r="V2976" s="13" t="str">
        <f t="shared" si="232"/>
        <v/>
      </c>
      <c r="W2976" s="4" t="str">
        <f t="shared" si="233"/>
        <v/>
      </c>
      <c r="X2976" t="str">
        <f>IF(W2976="","",LOOKUP(_xlfn.CONCAT(P2976,", ",Q2976),'[1]T+S Costs'!$F$2:$F$3138,'[1]T+S Costs'!$N$2:$N$3138))</f>
        <v/>
      </c>
      <c r="Y2976" s="14" t="str">
        <f t="shared" si="234"/>
        <v/>
      </c>
      <c r="Z2976" s="4" t="str">
        <f t="shared" si="235"/>
        <v/>
      </c>
    </row>
    <row r="2977" spans="16:26" x14ac:dyDescent="0.25">
      <c r="P2977" s="10" t="str">
        <f>IF('[1]All Data '!AZ2982="","",'[1]All Data '!AZ2982)</f>
        <v/>
      </c>
      <c r="Q2977" s="10" t="str">
        <f>IF('[1]All Data '!BB2982="","",'[1]All Data '!BB2982)</f>
        <v/>
      </c>
      <c r="R2977" s="10" t="str">
        <f>IF('[1]All Data '!BD2982="","",'[1]All Data '!BD2982)</f>
        <v/>
      </c>
      <c r="S2977" s="11" t="str">
        <f>IF(R2977="","",'[1]All Data '!BE2982)</f>
        <v/>
      </c>
      <c r="T2977" s="12" t="str">
        <f>IF(S2977="","",[1]Inputs_Outputs!$B$8*(1-'LOCH Calc COE Calc'!S2977))</f>
        <v/>
      </c>
      <c r="U2977" s="13" t="str">
        <f t="shared" si="231"/>
        <v/>
      </c>
      <c r="V2977" s="13" t="str">
        <f t="shared" si="232"/>
        <v/>
      </c>
      <c r="W2977" s="4" t="str">
        <f t="shared" si="233"/>
        <v/>
      </c>
      <c r="X2977" t="str">
        <f>IF(W2977="","",LOOKUP(_xlfn.CONCAT(P2977,", ",Q2977),'[1]T+S Costs'!$F$2:$F$3138,'[1]T+S Costs'!$N$2:$N$3138))</f>
        <v/>
      </c>
      <c r="Y2977" s="14" t="str">
        <f t="shared" si="234"/>
        <v/>
      </c>
      <c r="Z2977" s="4" t="str">
        <f t="shared" si="235"/>
        <v/>
      </c>
    </row>
    <row r="2978" spans="16:26" x14ac:dyDescent="0.25">
      <c r="P2978" s="10" t="str">
        <f>IF('[1]All Data '!AZ2983="","",'[1]All Data '!AZ2983)</f>
        <v/>
      </c>
      <c r="Q2978" s="10" t="str">
        <f>IF('[1]All Data '!BB2983="","",'[1]All Data '!BB2983)</f>
        <v/>
      </c>
      <c r="R2978" s="10" t="str">
        <f>IF('[1]All Data '!BD2983="","",'[1]All Data '!BD2983)</f>
        <v/>
      </c>
      <c r="S2978" s="11" t="str">
        <f>IF(R2978="","",'[1]All Data '!BE2983)</f>
        <v/>
      </c>
      <c r="T2978" s="12" t="str">
        <f>IF(S2978="","",[1]Inputs_Outputs!$B$8*(1-'LOCH Calc COE Calc'!S2978))</f>
        <v/>
      </c>
      <c r="U2978" s="13" t="str">
        <f t="shared" si="231"/>
        <v/>
      </c>
      <c r="V2978" s="13" t="str">
        <f t="shared" si="232"/>
        <v/>
      </c>
      <c r="W2978" s="4" t="str">
        <f t="shared" si="233"/>
        <v/>
      </c>
      <c r="X2978" t="str">
        <f>IF(W2978="","",LOOKUP(_xlfn.CONCAT(P2978,", ",Q2978),'[1]T+S Costs'!$F$2:$F$3138,'[1]T+S Costs'!$N$2:$N$3138))</f>
        <v/>
      </c>
      <c r="Y2978" s="14" t="str">
        <f t="shared" si="234"/>
        <v/>
      </c>
      <c r="Z2978" s="4" t="str">
        <f t="shared" si="235"/>
        <v/>
      </c>
    </row>
    <row r="2979" spans="16:26" x14ac:dyDescent="0.25">
      <c r="P2979" s="10" t="str">
        <f>IF('[1]All Data '!AZ2984="","",'[1]All Data '!AZ2984)</f>
        <v/>
      </c>
      <c r="Q2979" s="10" t="str">
        <f>IF('[1]All Data '!BB2984="","",'[1]All Data '!BB2984)</f>
        <v/>
      </c>
      <c r="R2979" s="10" t="str">
        <f>IF('[1]All Data '!BD2984="","",'[1]All Data '!BD2984)</f>
        <v/>
      </c>
      <c r="S2979" s="11" t="str">
        <f>IF(R2979="","",'[1]All Data '!BE2984)</f>
        <v/>
      </c>
      <c r="T2979" s="12" t="str">
        <f>IF(S2979="","",[1]Inputs_Outputs!$B$8*(1-'LOCH Calc COE Calc'!S2979))</f>
        <v/>
      </c>
      <c r="U2979" s="13" t="str">
        <f t="shared" ref="U2979:U3042" si="236">IF(S2979="","",R2979*T2979*365*$B$19/100)</f>
        <v/>
      </c>
      <c r="V2979" s="13" t="str">
        <f t="shared" ref="V2979:V3042" si="237">IF(S2979="","",(U2979*$B$19)/(($B$28)*$B$19))</f>
        <v/>
      </c>
      <c r="W2979" s="4" t="str">
        <f t="shared" ref="W2979:W3042" si="238">IF(S2979="","",V2979+$C$49+$C$50+$C$51)</f>
        <v/>
      </c>
      <c r="X2979" t="str">
        <f>IF(W2979="","",LOOKUP(_xlfn.CONCAT(P2979,", ",Q2979),'[1]T+S Costs'!$F$2:$F$3138,'[1]T+S Costs'!$N$2:$N$3138))</f>
        <v/>
      </c>
      <c r="Y2979" s="14" t="str">
        <f t="shared" si="234"/>
        <v/>
      </c>
      <c r="Z2979" s="4" t="str">
        <f t="shared" si="235"/>
        <v/>
      </c>
    </row>
    <row r="2980" spans="16:26" x14ac:dyDescent="0.25">
      <c r="P2980" s="10" t="str">
        <f>IF('[1]All Data '!AZ2985="","",'[1]All Data '!AZ2985)</f>
        <v/>
      </c>
      <c r="Q2980" s="10" t="str">
        <f>IF('[1]All Data '!BB2985="","",'[1]All Data '!BB2985)</f>
        <v/>
      </c>
      <c r="R2980" s="10" t="str">
        <f>IF('[1]All Data '!BD2985="","",'[1]All Data '!BD2985)</f>
        <v/>
      </c>
      <c r="S2980" s="11" t="str">
        <f>IF(R2980="","",'[1]All Data '!BE2985)</f>
        <v/>
      </c>
      <c r="T2980" s="12" t="str">
        <f>IF(S2980="","",[1]Inputs_Outputs!$B$8*(1-'LOCH Calc COE Calc'!S2980))</f>
        <v/>
      </c>
      <c r="U2980" s="13" t="str">
        <f t="shared" si="236"/>
        <v/>
      </c>
      <c r="V2980" s="13" t="str">
        <f t="shared" si="237"/>
        <v/>
      </c>
      <c r="W2980" s="4" t="str">
        <f t="shared" si="238"/>
        <v/>
      </c>
      <c r="X2980" t="str">
        <f>IF(W2980="","",LOOKUP(_xlfn.CONCAT(P2980,", ",Q2980),'[1]T+S Costs'!$F$2:$F$3138,'[1]T+S Costs'!$N$2:$N$3138))</f>
        <v/>
      </c>
      <c r="Y2980" s="14" t="str">
        <f t="shared" si="234"/>
        <v/>
      </c>
      <c r="Z2980" s="4" t="str">
        <f t="shared" si="235"/>
        <v/>
      </c>
    </row>
    <row r="2981" spans="16:26" x14ac:dyDescent="0.25">
      <c r="P2981" s="10" t="str">
        <f>IF('[1]All Data '!AZ2986="","",'[1]All Data '!AZ2986)</f>
        <v/>
      </c>
      <c r="Q2981" s="10" t="str">
        <f>IF('[1]All Data '!BB2986="","",'[1]All Data '!BB2986)</f>
        <v/>
      </c>
      <c r="R2981" s="10" t="str">
        <f>IF('[1]All Data '!BD2986="","",'[1]All Data '!BD2986)</f>
        <v/>
      </c>
      <c r="S2981" s="11" t="str">
        <f>IF(R2981="","",'[1]All Data '!BE2986)</f>
        <v/>
      </c>
      <c r="T2981" s="12" t="str">
        <f>IF(S2981="","",[1]Inputs_Outputs!$B$8*(1-'LOCH Calc COE Calc'!S2981))</f>
        <v/>
      </c>
      <c r="U2981" s="13" t="str">
        <f t="shared" si="236"/>
        <v/>
      </c>
      <c r="V2981" s="13" t="str">
        <f t="shared" si="237"/>
        <v/>
      </c>
      <c r="W2981" s="4" t="str">
        <f t="shared" si="238"/>
        <v/>
      </c>
      <c r="X2981" t="str">
        <f>IF(W2981="","",LOOKUP(_xlfn.CONCAT(P2981,", ",Q2981),'[1]T+S Costs'!$F$2:$F$3138,'[1]T+S Costs'!$N$2:$N$3138))</f>
        <v/>
      </c>
      <c r="Y2981" s="14" t="str">
        <f t="shared" si="234"/>
        <v/>
      </c>
      <c r="Z2981" s="4" t="str">
        <f t="shared" si="235"/>
        <v/>
      </c>
    </row>
    <row r="2982" spans="16:26" x14ac:dyDescent="0.25">
      <c r="P2982" s="10" t="str">
        <f>IF('[1]All Data '!AZ2987="","",'[1]All Data '!AZ2987)</f>
        <v/>
      </c>
      <c r="Q2982" s="10" t="str">
        <f>IF('[1]All Data '!BB2987="","",'[1]All Data '!BB2987)</f>
        <v/>
      </c>
      <c r="R2982" s="10" t="str">
        <f>IF('[1]All Data '!BD2987="","",'[1]All Data '!BD2987)</f>
        <v/>
      </c>
      <c r="S2982" s="11" t="str">
        <f>IF(R2982="","",'[1]All Data '!BE2987)</f>
        <v/>
      </c>
      <c r="T2982" s="12" t="str">
        <f>IF(S2982="","",[1]Inputs_Outputs!$B$8*(1-'LOCH Calc COE Calc'!S2982))</f>
        <v/>
      </c>
      <c r="U2982" s="13" t="str">
        <f t="shared" si="236"/>
        <v/>
      </c>
      <c r="V2982" s="13" t="str">
        <f t="shared" si="237"/>
        <v/>
      </c>
      <c r="W2982" s="4" t="str">
        <f t="shared" si="238"/>
        <v/>
      </c>
      <c r="X2982" t="str">
        <f>IF(W2982="","",LOOKUP(_xlfn.CONCAT(P2982,", ",Q2982),'[1]T+S Costs'!$F$2:$F$3138,'[1]T+S Costs'!$N$2:$N$3138))</f>
        <v/>
      </c>
      <c r="Y2982" s="14" t="str">
        <f t="shared" si="234"/>
        <v/>
      </c>
      <c r="Z2982" s="4" t="str">
        <f t="shared" si="235"/>
        <v/>
      </c>
    </row>
    <row r="2983" spans="16:26" x14ac:dyDescent="0.25">
      <c r="P2983" s="10" t="str">
        <f>IF('[1]All Data '!AZ2988="","",'[1]All Data '!AZ2988)</f>
        <v/>
      </c>
      <c r="Q2983" s="10" t="str">
        <f>IF('[1]All Data '!BB2988="","",'[1]All Data '!BB2988)</f>
        <v/>
      </c>
      <c r="R2983" s="10" t="str">
        <f>IF('[1]All Data '!BD2988="","",'[1]All Data '!BD2988)</f>
        <v/>
      </c>
      <c r="S2983" s="11" t="str">
        <f>IF(R2983="","",'[1]All Data '!BE2988)</f>
        <v/>
      </c>
      <c r="T2983" s="12" t="str">
        <f>IF(S2983="","",[1]Inputs_Outputs!$B$8*(1-'LOCH Calc COE Calc'!S2983))</f>
        <v/>
      </c>
      <c r="U2983" s="13" t="str">
        <f t="shared" si="236"/>
        <v/>
      </c>
      <c r="V2983" s="13" t="str">
        <f t="shared" si="237"/>
        <v/>
      </c>
      <c r="W2983" s="4" t="str">
        <f t="shared" si="238"/>
        <v/>
      </c>
      <c r="X2983" t="str">
        <f>IF(W2983="","",LOOKUP(_xlfn.CONCAT(P2983,", ",Q2983),'[1]T+S Costs'!$F$2:$F$3138,'[1]T+S Costs'!$N$2:$N$3138))</f>
        <v/>
      </c>
      <c r="Y2983" s="14" t="str">
        <f t="shared" si="234"/>
        <v/>
      </c>
      <c r="Z2983" s="4" t="str">
        <f t="shared" si="235"/>
        <v/>
      </c>
    </row>
    <row r="2984" spans="16:26" x14ac:dyDescent="0.25">
      <c r="P2984" s="10" t="str">
        <f>IF('[1]All Data '!AZ2989="","",'[1]All Data '!AZ2989)</f>
        <v/>
      </c>
      <c r="Q2984" s="10" t="str">
        <f>IF('[1]All Data '!BB2989="","",'[1]All Data '!BB2989)</f>
        <v/>
      </c>
      <c r="R2984" s="10" t="str">
        <f>IF('[1]All Data '!BD2989="","",'[1]All Data '!BD2989)</f>
        <v/>
      </c>
      <c r="S2984" s="11" t="str">
        <f>IF(R2984="","",'[1]All Data '!BE2989)</f>
        <v/>
      </c>
      <c r="T2984" s="12" t="str">
        <f>IF(S2984="","",[1]Inputs_Outputs!$B$8*(1-'LOCH Calc COE Calc'!S2984))</f>
        <v/>
      </c>
      <c r="U2984" s="13" t="str">
        <f t="shared" si="236"/>
        <v/>
      </c>
      <c r="V2984" s="13" t="str">
        <f t="shared" si="237"/>
        <v/>
      </c>
      <c r="W2984" s="4" t="str">
        <f t="shared" si="238"/>
        <v/>
      </c>
      <c r="X2984" t="str">
        <f>IF(W2984="","",LOOKUP(_xlfn.CONCAT(P2984,", ",Q2984),'[1]T+S Costs'!$F$2:$F$3138,'[1]T+S Costs'!$N$2:$N$3138))</f>
        <v/>
      </c>
      <c r="Y2984" s="14" t="str">
        <f t="shared" si="234"/>
        <v/>
      </c>
      <c r="Z2984" s="4" t="str">
        <f t="shared" si="235"/>
        <v/>
      </c>
    </row>
    <row r="2985" spans="16:26" x14ac:dyDescent="0.25">
      <c r="P2985" s="10" t="str">
        <f>IF('[1]All Data '!AZ2990="","",'[1]All Data '!AZ2990)</f>
        <v/>
      </c>
      <c r="Q2985" s="10" t="str">
        <f>IF('[1]All Data '!BB2990="","",'[1]All Data '!BB2990)</f>
        <v/>
      </c>
      <c r="R2985" s="10" t="str">
        <f>IF('[1]All Data '!BD2990="","",'[1]All Data '!BD2990)</f>
        <v/>
      </c>
      <c r="S2985" s="11" t="str">
        <f>IF(R2985="","",'[1]All Data '!BE2990)</f>
        <v/>
      </c>
      <c r="T2985" s="12" t="str">
        <f>IF(S2985="","",[1]Inputs_Outputs!$B$8*(1-'LOCH Calc COE Calc'!S2985))</f>
        <v/>
      </c>
      <c r="U2985" s="13" t="str">
        <f t="shared" si="236"/>
        <v/>
      </c>
      <c r="V2985" s="13" t="str">
        <f t="shared" si="237"/>
        <v/>
      </c>
      <c r="W2985" s="4" t="str">
        <f t="shared" si="238"/>
        <v/>
      </c>
      <c r="X2985" t="str">
        <f>IF(W2985="","",LOOKUP(_xlfn.CONCAT(P2985,", ",Q2985),'[1]T+S Costs'!$F$2:$F$3138,'[1]T+S Costs'!$N$2:$N$3138))</f>
        <v/>
      </c>
      <c r="Y2985" s="14" t="str">
        <f t="shared" si="234"/>
        <v/>
      </c>
      <c r="Z2985" s="4" t="str">
        <f t="shared" si="235"/>
        <v/>
      </c>
    </row>
    <row r="2986" spans="16:26" x14ac:dyDescent="0.25">
      <c r="P2986" s="10" t="str">
        <f>IF('[1]All Data '!AZ2991="","",'[1]All Data '!AZ2991)</f>
        <v/>
      </c>
      <c r="Q2986" s="10" t="str">
        <f>IF('[1]All Data '!BB2991="","",'[1]All Data '!BB2991)</f>
        <v/>
      </c>
      <c r="R2986" s="10" t="str">
        <f>IF('[1]All Data '!BD2991="","",'[1]All Data '!BD2991)</f>
        <v/>
      </c>
      <c r="S2986" s="11" t="str">
        <f>IF(R2986="","",'[1]All Data '!BE2991)</f>
        <v/>
      </c>
      <c r="T2986" s="12" t="str">
        <f>IF(S2986="","",[1]Inputs_Outputs!$B$8*(1-'LOCH Calc COE Calc'!S2986))</f>
        <v/>
      </c>
      <c r="U2986" s="13" t="str">
        <f t="shared" si="236"/>
        <v/>
      </c>
      <c r="V2986" s="13" t="str">
        <f t="shared" si="237"/>
        <v/>
      </c>
      <c r="W2986" s="4" t="str">
        <f t="shared" si="238"/>
        <v/>
      </c>
      <c r="X2986" t="str">
        <f>IF(W2986="","",LOOKUP(_xlfn.CONCAT(P2986,", ",Q2986),'[1]T+S Costs'!$F$2:$F$3138,'[1]T+S Costs'!$N$2:$N$3138))</f>
        <v/>
      </c>
      <c r="Y2986" s="14" t="str">
        <f t="shared" si="234"/>
        <v/>
      </c>
      <c r="Z2986" s="4" t="str">
        <f t="shared" si="235"/>
        <v/>
      </c>
    </row>
    <row r="2987" spans="16:26" x14ac:dyDescent="0.25">
      <c r="P2987" s="10" t="str">
        <f>IF('[1]All Data '!AZ2992="","",'[1]All Data '!AZ2992)</f>
        <v/>
      </c>
      <c r="Q2987" s="10" t="str">
        <f>IF('[1]All Data '!BB2992="","",'[1]All Data '!BB2992)</f>
        <v/>
      </c>
      <c r="R2987" s="10" t="str">
        <f>IF('[1]All Data '!BD2992="","",'[1]All Data '!BD2992)</f>
        <v/>
      </c>
      <c r="S2987" s="11" t="str">
        <f>IF(R2987="","",'[1]All Data '!BE2992)</f>
        <v/>
      </c>
      <c r="T2987" s="12" t="str">
        <f>IF(S2987="","",[1]Inputs_Outputs!$B$8*(1-'LOCH Calc COE Calc'!S2987))</f>
        <v/>
      </c>
      <c r="U2987" s="13" t="str">
        <f t="shared" si="236"/>
        <v/>
      </c>
      <c r="V2987" s="13" t="str">
        <f t="shared" si="237"/>
        <v/>
      </c>
      <c r="W2987" s="4" t="str">
        <f t="shared" si="238"/>
        <v/>
      </c>
      <c r="X2987" t="str">
        <f>IF(W2987="","",LOOKUP(_xlfn.CONCAT(P2987,", ",Q2987),'[1]T+S Costs'!$F$2:$F$3138,'[1]T+S Costs'!$N$2:$N$3138))</f>
        <v/>
      </c>
      <c r="Y2987" s="14" t="str">
        <f t="shared" si="234"/>
        <v/>
      </c>
      <c r="Z2987" s="4" t="str">
        <f t="shared" si="235"/>
        <v/>
      </c>
    </row>
    <row r="2988" spans="16:26" x14ac:dyDescent="0.25">
      <c r="P2988" s="10" t="str">
        <f>IF('[1]All Data '!AZ2993="","",'[1]All Data '!AZ2993)</f>
        <v/>
      </c>
      <c r="Q2988" s="10" t="str">
        <f>IF('[1]All Data '!BB2993="","",'[1]All Data '!BB2993)</f>
        <v/>
      </c>
      <c r="R2988" s="10" t="str">
        <f>IF('[1]All Data '!BD2993="","",'[1]All Data '!BD2993)</f>
        <v/>
      </c>
      <c r="S2988" s="11" t="str">
        <f>IF(R2988="","",'[1]All Data '!BE2993)</f>
        <v/>
      </c>
      <c r="T2988" s="12" t="str">
        <f>IF(S2988="","",[1]Inputs_Outputs!$B$8*(1-'LOCH Calc COE Calc'!S2988))</f>
        <v/>
      </c>
      <c r="U2988" s="13" t="str">
        <f t="shared" si="236"/>
        <v/>
      </c>
      <c r="V2988" s="13" t="str">
        <f t="shared" si="237"/>
        <v/>
      </c>
      <c r="W2988" s="4" t="str">
        <f t="shared" si="238"/>
        <v/>
      </c>
      <c r="X2988" t="str">
        <f>IF(W2988="","",LOOKUP(_xlfn.CONCAT(P2988,", ",Q2988),'[1]T+S Costs'!$F$2:$F$3138,'[1]T+S Costs'!$N$2:$N$3138))</f>
        <v/>
      </c>
      <c r="Y2988" s="14" t="str">
        <f t="shared" si="234"/>
        <v/>
      </c>
      <c r="Z2988" s="4" t="str">
        <f t="shared" si="235"/>
        <v/>
      </c>
    </row>
    <row r="2989" spans="16:26" x14ac:dyDescent="0.25">
      <c r="P2989" s="10" t="str">
        <f>IF('[1]All Data '!AZ2994="","",'[1]All Data '!AZ2994)</f>
        <v/>
      </c>
      <c r="Q2989" s="10" t="str">
        <f>IF('[1]All Data '!BB2994="","",'[1]All Data '!BB2994)</f>
        <v/>
      </c>
      <c r="R2989" s="10" t="str">
        <f>IF('[1]All Data '!BD2994="","",'[1]All Data '!BD2994)</f>
        <v/>
      </c>
      <c r="S2989" s="11" t="str">
        <f>IF(R2989="","",'[1]All Data '!BE2994)</f>
        <v/>
      </c>
      <c r="T2989" s="12" t="str">
        <f>IF(S2989="","",[1]Inputs_Outputs!$B$8*(1-'LOCH Calc COE Calc'!S2989))</f>
        <v/>
      </c>
      <c r="U2989" s="13" t="str">
        <f t="shared" si="236"/>
        <v/>
      </c>
      <c r="V2989" s="13" t="str">
        <f t="shared" si="237"/>
        <v/>
      </c>
      <c r="W2989" s="4" t="str">
        <f t="shared" si="238"/>
        <v/>
      </c>
      <c r="X2989" t="str">
        <f>IF(W2989="","",LOOKUP(_xlfn.CONCAT(P2989,", ",Q2989),'[1]T+S Costs'!$F$2:$F$3138,'[1]T+S Costs'!$N$2:$N$3138))</f>
        <v/>
      </c>
      <c r="Y2989" s="14" t="str">
        <f t="shared" si="234"/>
        <v/>
      </c>
      <c r="Z2989" s="4" t="str">
        <f t="shared" si="235"/>
        <v/>
      </c>
    </row>
    <row r="2990" spans="16:26" x14ac:dyDescent="0.25">
      <c r="P2990" s="10" t="str">
        <f>IF('[1]All Data '!AZ2995="","",'[1]All Data '!AZ2995)</f>
        <v/>
      </c>
      <c r="Q2990" s="10" t="str">
        <f>IF('[1]All Data '!BB2995="","",'[1]All Data '!BB2995)</f>
        <v/>
      </c>
      <c r="R2990" s="10" t="str">
        <f>IF('[1]All Data '!BD2995="","",'[1]All Data '!BD2995)</f>
        <v/>
      </c>
      <c r="S2990" s="11" t="str">
        <f>IF(R2990="","",'[1]All Data '!BE2995)</f>
        <v/>
      </c>
      <c r="T2990" s="12" t="str">
        <f>IF(S2990="","",[1]Inputs_Outputs!$B$8*(1-'LOCH Calc COE Calc'!S2990))</f>
        <v/>
      </c>
      <c r="U2990" s="13" t="str">
        <f t="shared" si="236"/>
        <v/>
      </c>
      <c r="V2990" s="13" t="str">
        <f t="shared" si="237"/>
        <v/>
      </c>
      <c r="W2990" s="4" t="str">
        <f t="shared" si="238"/>
        <v/>
      </c>
      <c r="X2990" t="str">
        <f>IF(W2990="","",LOOKUP(_xlfn.CONCAT(P2990,", ",Q2990),'[1]T+S Costs'!$F$2:$F$3138,'[1]T+S Costs'!$N$2:$N$3138))</f>
        <v/>
      </c>
      <c r="Y2990" s="14" t="str">
        <f t="shared" si="234"/>
        <v/>
      </c>
      <c r="Z2990" s="4" t="str">
        <f t="shared" si="235"/>
        <v/>
      </c>
    </row>
    <row r="2991" spans="16:26" x14ac:dyDescent="0.25">
      <c r="P2991" s="10" t="str">
        <f>IF('[1]All Data '!AZ2996="","",'[1]All Data '!AZ2996)</f>
        <v/>
      </c>
      <c r="Q2991" s="10" t="str">
        <f>IF('[1]All Data '!BB2996="","",'[1]All Data '!BB2996)</f>
        <v/>
      </c>
      <c r="R2991" s="10" t="str">
        <f>IF('[1]All Data '!BD2996="","",'[1]All Data '!BD2996)</f>
        <v/>
      </c>
      <c r="S2991" s="11" t="str">
        <f>IF(R2991="","",'[1]All Data '!BE2996)</f>
        <v/>
      </c>
      <c r="T2991" s="12" t="str">
        <f>IF(S2991="","",[1]Inputs_Outputs!$B$8*(1-'LOCH Calc COE Calc'!S2991))</f>
        <v/>
      </c>
      <c r="U2991" s="13" t="str">
        <f t="shared" si="236"/>
        <v/>
      </c>
      <c r="V2991" s="13" t="str">
        <f t="shared" si="237"/>
        <v/>
      </c>
      <c r="W2991" s="4" t="str">
        <f t="shared" si="238"/>
        <v/>
      </c>
      <c r="X2991" t="str">
        <f>IF(W2991="","",LOOKUP(_xlfn.CONCAT(P2991,", ",Q2991),'[1]T+S Costs'!$F$2:$F$3138,'[1]T+S Costs'!$N$2:$N$3138))</f>
        <v/>
      </c>
      <c r="Y2991" s="14" t="str">
        <f t="shared" si="234"/>
        <v/>
      </c>
      <c r="Z2991" s="4" t="str">
        <f t="shared" si="235"/>
        <v/>
      </c>
    </row>
    <row r="2992" spans="16:26" x14ac:dyDescent="0.25">
      <c r="P2992" s="10" t="str">
        <f>IF('[1]All Data '!AZ2997="","",'[1]All Data '!AZ2997)</f>
        <v/>
      </c>
      <c r="Q2992" s="10" t="str">
        <f>IF('[1]All Data '!BB2997="","",'[1]All Data '!BB2997)</f>
        <v/>
      </c>
      <c r="R2992" s="10" t="str">
        <f>IF('[1]All Data '!BD2997="","",'[1]All Data '!BD2997)</f>
        <v/>
      </c>
      <c r="S2992" s="11" t="str">
        <f>IF(R2992="","",'[1]All Data '!BE2997)</f>
        <v/>
      </c>
      <c r="T2992" s="12" t="str">
        <f>IF(S2992="","",[1]Inputs_Outputs!$B$8*(1-'LOCH Calc COE Calc'!S2992))</f>
        <v/>
      </c>
      <c r="U2992" s="13" t="str">
        <f t="shared" si="236"/>
        <v/>
      </c>
      <c r="V2992" s="13" t="str">
        <f t="shared" si="237"/>
        <v/>
      </c>
      <c r="W2992" s="4" t="str">
        <f t="shared" si="238"/>
        <v/>
      </c>
      <c r="X2992" t="str">
        <f>IF(W2992="","",LOOKUP(_xlfn.CONCAT(P2992,", ",Q2992),'[1]T+S Costs'!$F$2:$F$3138,'[1]T+S Costs'!$N$2:$N$3138))</f>
        <v/>
      </c>
      <c r="Y2992" s="14" t="str">
        <f t="shared" si="234"/>
        <v/>
      </c>
      <c r="Z2992" s="4" t="str">
        <f t="shared" si="235"/>
        <v/>
      </c>
    </row>
    <row r="2993" spans="16:26" x14ac:dyDescent="0.25">
      <c r="P2993" s="10" t="str">
        <f>IF('[1]All Data '!AZ2998="","",'[1]All Data '!AZ2998)</f>
        <v/>
      </c>
      <c r="Q2993" s="10" t="str">
        <f>IF('[1]All Data '!BB2998="","",'[1]All Data '!BB2998)</f>
        <v/>
      </c>
      <c r="R2993" s="10" t="str">
        <f>IF('[1]All Data '!BD2998="","",'[1]All Data '!BD2998)</f>
        <v/>
      </c>
      <c r="S2993" s="11" t="str">
        <f>IF(R2993="","",'[1]All Data '!BE2998)</f>
        <v/>
      </c>
      <c r="T2993" s="12" t="str">
        <f>IF(S2993="","",[1]Inputs_Outputs!$B$8*(1-'LOCH Calc COE Calc'!S2993))</f>
        <v/>
      </c>
      <c r="U2993" s="13" t="str">
        <f t="shared" si="236"/>
        <v/>
      </c>
      <c r="V2993" s="13" t="str">
        <f t="shared" si="237"/>
        <v/>
      </c>
      <c r="W2993" s="4" t="str">
        <f t="shared" si="238"/>
        <v/>
      </c>
      <c r="X2993" t="str">
        <f>IF(W2993="","",LOOKUP(_xlfn.CONCAT(P2993,", ",Q2993),'[1]T+S Costs'!$F$2:$F$3138,'[1]T+S Costs'!$N$2:$N$3138))</f>
        <v/>
      </c>
      <c r="Y2993" s="14" t="str">
        <f t="shared" si="234"/>
        <v/>
      </c>
      <c r="Z2993" s="4" t="str">
        <f t="shared" si="235"/>
        <v/>
      </c>
    </row>
    <row r="2994" spans="16:26" x14ac:dyDescent="0.25">
      <c r="P2994" s="10" t="str">
        <f>IF('[1]All Data '!AZ2999="","",'[1]All Data '!AZ2999)</f>
        <v/>
      </c>
      <c r="Q2994" s="10" t="str">
        <f>IF('[1]All Data '!BB2999="","",'[1]All Data '!BB2999)</f>
        <v/>
      </c>
      <c r="R2994" s="10" t="str">
        <f>IF('[1]All Data '!BD2999="","",'[1]All Data '!BD2999)</f>
        <v/>
      </c>
      <c r="S2994" s="11" t="str">
        <f>IF(R2994="","",'[1]All Data '!BE2999)</f>
        <v/>
      </c>
      <c r="T2994" s="12" t="str">
        <f>IF(S2994="","",[1]Inputs_Outputs!$B$8*(1-'LOCH Calc COE Calc'!S2994))</f>
        <v/>
      </c>
      <c r="U2994" s="13" t="str">
        <f t="shared" si="236"/>
        <v/>
      </c>
      <c r="V2994" s="13" t="str">
        <f t="shared" si="237"/>
        <v/>
      </c>
      <c r="W2994" s="4" t="str">
        <f t="shared" si="238"/>
        <v/>
      </c>
      <c r="X2994" t="str">
        <f>IF(W2994="","",LOOKUP(_xlfn.CONCAT(P2994,", ",Q2994),'[1]T+S Costs'!$F$2:$F$3138,'[1]T+S Costs'!$N$2:$N$3138))</f>
        <v/>
      </c>
      <c r="Y2994" s="14" t="str">
        <f t="shared" si="234"/>
        <v/>
      </c>
      <c r="Z2994" s="4" t="str">
        <f t="shared" si="235"/>
        <v/>
      </c>
    </row>
    <row r="2995" spans="16:26" x14ac:dyDescent="0.25">
      <c r="P2995" s="10" t="str">
        <f>IF('[1]All Data '!AZ3000="","",'[1]All Data '!AZ3000)</f>
        <v/>
      </c>
      <c r="Q2995" s="10" t="str">
        <f>IF('[1]All Data '!BB3000="","",'[1]All Data '!BB3000)</f>
        <v/>
      </c>
      <c r="R2995" s="10" t="str">
        <f>IF('[1]All Data '!BD3000="","",'[1]All Data '!BD3000)</f>
        <v/>
      </c>
      <c r="S2995" s="11" t="str">
        <f>IF(R2995="","",'[1]All Data '!BE3000)</f>
        <v/>
      </c>
      <c r="T2995" s="12" t="str">
        <f>IF(S2995="","",[1]Inputs_Outputs!$B$8*(1-'LOCH Calc COE Calc'!S2995))</f>
        <v/>
      </c>
      <c r="U2995" s="13" t="str">
        <f t="shared" si="236"/>
        <v/>
      </c>
      <c r="V2995" s="13" t="str">
        <f t="shared" si="237"/>
        <v/>
      </c>
      <c r="W2995" s="4" t="str">
        <f t="shared" si="238"/>
        <v/>
      </c>
      <c r="X2995" t="str">
        <f>IF(W2995="","",LOOKUP(_xlfn.CONCAT(P2995,", ",Q2995),'[1]T+S Costs'!$F$2:$F$3138,'[1]T+S Costs'!$N$2:$N$3138))</f>
        <v/>
      </c>
      <c r="Y2995" s="14" t="str">
        <f t="shared" si="234"/>
        <v/>
      </c>
      <c r="Z2995" s="4" t="str">
        <f t="shared" si="235"/>
        <v/>
      </c>
    </row>
    <row r="2996" spans="16:26" x14ac:dyDescent="0.25">
      <c r="P2996" s="10" t="str">
        <f>IF('[1]All Data '!AZ3001="","",'[1]All Data '!AZ3001)</f>
        <v/>
      </c>
      <c r="Q2996" s="10" t="str">
        <f>IF('[1]All Data '!BB3001="","",'[1]All Data '!BB3001)</f>
        <v/>
      </c>
      <c r="R2996" s="10" t="str">
        <f>IF('[1]All Data '!BD3001="","",'[1]All Data '!BD3001)</f>
        <v/>
      </c>
      <c r="S2996" s="11" t="str">
        <f>IF(R2996="","",'[1]All Data '!BE3001)</f>
        <v/>
      </c>
      <c r="T2996" s="12" t="str">
        <f>IF(S2996="","",[1]Inputs_Outputs!$B$8*(1-'LOCH Calc COE Calc'!S2996))</f>
        <v/>
      </c>
      <c r="U2996" s="13" t="str">
        <f t="shared" si="236"/>
        <v/>
      </c>
      <c r="V2996" s="13" t="str">
        <f t="shared" si="237"/>
        <v/>
      </c>
      <c r="W2996" s="4" t="str">
        <f t="shared" si="238"/>
        <v/>
      </c>
      <c r="X2996" t="str">
        <f>IF(W2996="","",LOOKUP(_xlfn.CONCAT(P2996,", ",Q2996),'[1]T+S Costs'!$F$2:$F$3138,'[1]T+S Costs'!$N$2:$N$3138))</f>
        <v/>
      </c>
      <c r="Y2996" s="14" t="str">
        <f t="shared" si="234"/>
        <v/>
      </c>
      <c r="Z2996" s="4" t="str">
        <f t="shared" si="235"/>
        <v/>
      </c>
    </row>
    <row r="2997" spans="16:26" x14ac:dyDescent="0.25">
      <c r="P2997" s="10" t="str">
        <f>IF('[1]All Data '!AZ3002="","",'[1]All Data '!AZ3002)</f>
        <v/>
      </c>
      <c r="Q2997" s="10" t="str">
        <f>IF('[1]All Data '!BB3002="","",'[1]All Data '!BB3002)</f>
        <v/>
      </c>
      <c r="R2997" s="10" t="str">
        <f>IF('[1]All Data '!BD3002="","",'[1]All Data '!BD3002)</f>
        <v/>
      </c>
      <c r="S2997" s="11" t="str">
        <f>IF(R2997="","",'[1]All Data '!BE3002)</f>
        <v/>
      </c>
      <c r="T2997" s="12" t="str">
        <f>IF(S2997="","",[1]Inputs_Outputs!$B$8*(1-'LOCH Calc COE Calc'!S2997))</f>
        <v/>
      </c>
      <c r="U2997" s="13" t="str">
        <f t="shared" si="236"/>
        <v/>
      </c>
      <c r="V2997" s="13" t="str">
        <f t="shared" si="237"/>
        <v/>
      </c>
      <c r="W2997" s="4" t="str">
        <f t="shared" si="238"/>
        <v/>
      </c>
      <c r="X2997" t="str">
        <f>IF(W2997="","",LOOKUP(_xlfn.CONCAT(P2997,", ",Q2997),'[1]T+S Costs'!$F$2:$F$3138,'[1]T+S Costs'!$N$2:$N$3138))</f>
        <v/>
      </c>
      <c r="Y2997" s="14" t="str">
        <f t="shared" si="234"/>
        <v/>
      </c>
      <c r="Z2997" s="4" t="str">
        <f t="shared" si="235"/>
        <v/>
      </c>
    </row>
    <row r="2998" spans="16:26" x14ac:dyDescent="0.25">
      <c r="P2998" s="10" t="str">
        <f>IF('[1]All Data '!AZ3003="","",'[1]All Data '!AZ3003)</f>
        <v/>
      </c>
      <c r="Q2998" s="10" t="str">
        <f>IF('[1]All Data '!BB3003="","",'[1]All Data '!BB3003)</f>
        <v/>
      </c>
      <c r="R2998" s="10" t="str">
        <f>IF('[1]All Data '!BD3003="","",'[1]All Data '!BD3003)</f>
        <v/>
      </c>
      <c r="S2998" s="11" t="str">
        <f>IF(R2998="","",'[1]All Data '!BE3003)</f>
        <v/>
      </c>
      <c r="T2998" s="12" t="str">
        <f>IF(S2998="","",[1]Inputs_Outputs!$B$8*(1-'LOCH Calc COE Calc'!S2998))</f>
        <v/>
      </c>
      <c r="U2998" s="13" t="str">
        <f t="shared" si="236"/>
        <v/>
      </c>
      <c r="V2998" s="13" t="str">
        <f t="shared" si="237"/>
        <v/>
      </c>
      <c r="W2998" s="4" t="str">
        <f t="shared" si="238"/>
        <v/>
      </c>
      <c r="X2998" t="str">
        <f>IF(W2998="","",LOOKUP(_xlfn.CONCAT(P2998,", ",Q2998),'[1]T+S Costs'!$F$2:$F$3138,'[1]T+S Costs'!$N$2:$N$3138))</f>
        <v/>
      </c>
      <c r="Y2998" s="14" t="str">
        <f t="shared" si="234"/>
        <v/>
      </c>
      <c r="Z2998" s="4" t="str">
        <f t="shared" si="235"/>
        <v/>
      </c>
    </row>
    <row r="2999" spans="16:26" x14ac:dyDescent="0.25">
      <c r="P2999" s="10" t="str">
        <f>IF('[1]All Data '!AZ3004="","",'[1]All Data '!AZ3004)</f>
        <v/>
      </c>
      <c r="Q2999" s="10" t="str">
        <f>IF('[1]All Data '!BB3004="","",'[1]All Data '!BB3004)</f>
        <v/>
      </c>
      <c r="R2999" s="10" t="str">
        <f>IF('[1]All Data '!BD3004="","",'[1]All Data '!BD3004)</f>
        <v/>
      </c>
      <c r="S2999" s="11" t="str">
        <f>IF(R2999="","",'[1]All Data '!BE3004)</f>
        <v/>
      </c>
      <c r="T2999" s="12" t="str">
        <f>IF(S2999="","",[1]Inputs_Outputs!$B$8*(1-'LOCH Calc COE Calc'!S2999))</f>
        <v/>
      </c>
      <c r="U2999" s="13" t="str">
        <f t="shared" si="236"/>
        <v/>
      </c>
      <c r="V2999" s="13" t="str">
        <f t="shared" si="237"/>
        <v/>
      </c>
      <c r="W2999" s="4" t="str">
        <f t="shared" si="238"/>
        <v/>
      </c>
      <c r="X2999" t="str">
        <f>IF(W2999="","",LOOKUP(_xlfn.CONCAT(P2999,", ",Q2999),'[1]T+S Costs'!$F$2:$F$3138,'[1]T+S Costs'!$N$2:$N$3138))</f>
        <v/>
      </c>
      <c r="Y2999" s="14" t="str">
        <f t="shared" si="234"/>
        <v/>
      </c>
      <c r="Z2999" s="4" t="str">
        <f t="shared" si="235"/>
        <v/>
      </c>
    </row>
    <row r="3000" spans="16:26" x14ac:dyDescent="0.25">
      <c r="P3000" s="10" t="str">
        <f>IF('[1]All Data '!AZ3005="","",'[1]All Data '!AZ3005)</f>
        <v/>
      </c>
      <c r="Q3000" s="10" t="str">
        <f>IF('[1]All Data '!BB3005="","",'[1]All Data '!BB3005)</f>
        <v/>
      </c>
      <c r="R3000" s="10" t="str">
        <f>IF('[1]All Data '!BD3005="","",'[1]All Data '!BD3005)</f>
        <v/>
      </c>
      <c r="S3000" s="11" t="str">
        <f>IF(R3000="","",'[1]All Data '!BE3005)</f>
        <v/>
      </c>
      <c r="T3000" s="12" t="str">
        <f>IF(S3000="","",[1]Inputs_Outputs!$B$8*(1-'LOCH Calc COE Calc'!S3000))</f>
        <v/>
      </c>
      <c r="U3000" s="13" t="str">
        <f t="shared" si="236"/>
        <v/>
      </c>
      <c r="V3000" s="13" t="str">
        <f t="shared" si="237"/>
        <v/>
      </c>
      <c r="W3000" s="4" t="str">
        <f t="shared" si="238"/>
        <v/>
      </c>
      <c r="X3000" t="str">
        <f>IF(W3000="","",LOOKUP(_xlfn.CONCAT(P3000,", ",Q3000),'[1]T+S Costs'!$F$2:$F$3138,'[1]T+S Costs'!$N$2:$N$3138))</f>
        <v/>
      </c>
      <c r="Y3000" s="14" t="str">
        <f t="shared" si="234"/>
        <v/>
      </c>
      <c r="Z3000" s="4" t="str">
        <f t="shared" si="235"/>
        <v/>
      </c>
    </row>
    <row r="3001" spans="16:26" x14ac:dyDescent="0.25">
      <c r="P3001" s="10" t="str">
        <f>IF('[1]All Data '!AZ3006="","",'[1]All Data '!AZ3006)</f>
        <v/>
      </c>
      <c r="Q3001" s="10" t="str">
        <f>IF('[1]All Data '!BB3006="","",'[1]All Data '!BB3006)</f>
        <v/>
      </c>
      <c r="R3001" s="10" t="str">
        <f>IF('[1]All Data '!BD3006="","",'[1]All Data '!BD3006)</f>
        <v/>
      </c>
      <c r="S3001" s="11" t="str">
        <f>IF(R3001="","",'[1]All Data '!BE3006)</f>
        <v/>
      </c>
      <c r="T3001" s="12" t="str">
        <f>IF(S3001="","",[1]Inputs_Outputs!$B$8*(1-'LOCH Calc COE Calc'!S3001))</f>
        <v/>
      </c>
      <c r="U3001" s="13" t="str">
        <f t="shared" si="236"/>
        <v/>
      </c>
      <c r="V3001" s="13" t="str">
        <f t="shared" si="237"/>
        <v/>
      </c>
      <c r="W3001" s="4" t="str">
        <f t="shared" si="238"/>
        <v/>
      </c>
      <c r="X3001" t="str">
        <f>IF(W3001="","",LOOKUP(_xlfn.CONCAT(P3001,", ",Q3001),'[1]T+S Costs'!$F$2:$F$3138,'[1]T+S Costs'!$N$2:$N$3138))</f>
        <v/>
      </c>
      <c r="Y3001" s="14" t="str">
        <f t="shared" si="234"/>
        <v/>
      </c>
      <c r="Z3001" s="4" t="str">
        <f t="shared" si="235"/>
        <v/>
      </c>
    </row>
    <row r="3002" spans="16:26" x14ac:dyDescent="0.25">
      <c r="P3002" s="10" t="str">
        <f>IF('[1]All Data '!AZ3007="","",'[1]All Data '!AZ3007)</f>
        <v/>
      </c>
      <c r="Q3002" s="10" t="str">
        <f>IF('[1]All Data '!BB3007="","",'[1]All Data '!BB3007)</f>
        <v/>
      </c>
      <c r="R3002" s="10" t="str">
        <f>IF('[1]All Data '!BD3007="","",'[1]All Data '!BD3007)</f>
        <v/>
      </c>
      <c r="S3002" s="11" t="str">
        <f>IF(R3002="","",'[1]All Data '!BE3007)</f>
        <v/>
      </c>
      <c r="T3002" s="12" t="str">
        <f>IF(S3002="","",[1]Inputs_Outputs!$B$8*(1-'LOCH Calc COE Calc'!S3002))</f>
        <v/>
      </c>
      <c r="U3002" s="13" t="str">
        <f t="shared" si="236"/>
        <v/>
      </c>
      <c r="V3002" s="13" t="str">
        <f t="shared" si="237"/>
        <v/>
      </c>
      <c r="W3002" s="4" t="str">
        <f t="shared" si="238"/>
        <v/>
      </c>
      <c r="X3002" t="str">
        <f>IF(W3002="","",LOOKUP(_xlfn.CONCAT(P3002,", ",Q3002),'[1]T+S Costs'!$F$2:$F$3138,'[1]T+S Costs'!$N$2:$N$3138))</f>
        <v/>
      </c>
      <c r="Y3002" s="14" t="str">
        <f t="shared" si="234"/>
        <v/>
      </c>
      <c r="Z3002" s="4" t="str">
        <f t="shared" si="235"/>
        <v/>
      </c>
    </row>
    <row r="3003" spans="16:26" x14ac:dyDescent="0.25">
      <c r="P3003" s="10" t="str">
        <f>IF('[1]All Data '!AZ3008="","",'[1]All Data '!AZ3008)</f>
        <v/>
      </c>
      <c r="Q3003" s="10" t="str">
        <f>IF('[1]All Data '!BB3008="","",'[1]All Data '!BB3008)</f>
        <v/>
      </c>
      <c r="R3003" s="10" t="str">
        <f>IF('[1]All Data '!BD3008="","",'[1]All Data '!BD3008)</f>
        <v/>
      </c>
      <c r="S3003" s="11" t="str">
        <f>IF(R3003="","",'[1]All Data '!BE3008)</f>
        <v/>
      </c>
      <c r="T3003" s="12" t="str">
        <f>IF(S3003="","",[1]Inputs_Outputs!$B$8*(1-'LOCH Calc COE Calc'!S3003))</f>
        <v/>
      </c>
      <c r="U3003" s="13" t="str">
        <f t="shared" si="236"/>
        <v/>
      </c>
      <c r="V3003" s="13" t="str">
        <f t="shared" si="237"/>
        <v/>
      </c>
      <c r="W3003" s="4" t="str">
        <f t="shared" si="238"/>
        <v/>
      </c>
      <c r="X3003" t="str">
        <f>IF(W3003="","",LOOKUP(_xlfn.CONCAT(P3003,", ",Q3003),'[1]T+S Costs'!$F$2:$F$3138,'[1]T+S Costs'!$N$2:$N$3138))</f>
        <v/>
      </c>
      <c r="Y3003" s="14" t="str">
        <f t="shared" si="234"/>
        <v/>
      </c>
      <c r="Z3003" s="4" t="str">
        <f t="shared" si="235"/>
        <v/>
      </c>
    </row>
    <row r="3004" spans="16:26" x14ac:dyDescent="0.25">
      <c r="P3004" s="10" t="str">
        <f>IF('[1]All Data '!AZ3009="","",'[1]All Data '!AZ3009)</f>
        <v/>
      </c>
      <c r="Q3004" s="10" t="str">
        <f>IF('[1]All Data '!BB3009="","",'[1]All Data '!BB3009)</f>
        <v/>
      </c>
      <c r="R3004" s="10" t="str">
        <f>IF('[1]All Data '!BD3009="","",'[1]All Data '!BD3009)</f>
        <v/>
      </c>
      <c r="S3004" s="11" t="str">
        <f>IF(R3004="","",'[1]All Data '!BE3009)</f>
        <v/>
      </c>
      <c r="T3004" s="12" t="str">
        <f>IF(S3004="","",[1]Inputs_Outputs!$B$8*(1-'LOCH Calc COE Calc'!S3004))</f>
        <v/>
      </c>
      <c r="U3004" s="13" t="str">
        <f t="shared" si="236"/>
        <v/>
      </c>
      <c r="V3004" s="13" t="str">
        <f t="shared" si="237"/>
        <v/>
      </c>
      <c r="W3004" s="4" t="str">
        <f t="shared" si="238"/>
        <v/>
      </c>
      <c r="X3004" t="str">
        <f>IF(W3004="","",LOOKUP(_xlfn.CONCAT(P3004,", ",Q3004),'[1]T+S Costs'!$F$2:$F$3138,'[1]T+S Costs'!$N$2:$N$3138))</f>
        <v/>
      </c>
      <c r="Y3004" s="14" t="str">
        <f t="shared" si="234"/>
        <v/>
      </c>
      <c r="Z3004" s="4" t="str">
        <f t="shared" si="235"/>
        <v/>
      </c>
    </row>
    <row r="3005" spans="16:26" x14ac:dyDescent="0.25">
      <c r="P3005" s="10" t="str">
        <f>IF('[1]All Data '!AZ3010="","",'[1]All Data '!AZ3010)</f>
        <v/>
      </c>
      <c r="Q3005" s="10" t="str">
        <f>IF('[1]All Data '!BB3010="","",'[1]All Data '!BB3010)</f>
        <v/>
      </c>
      <c r="R3005" s="10" t="str">
        <f>IF('[1]All Data '!BD3010="","",'[1]All Data '!BD3010)</f>
        <v/>
      </c>
      <c r="S3005" s="11" t="str">
        <f>IF(R3005="","",'[1]All Data '!BE3010)</f>
        <v/>
      </c>
      <c r="T3005" s="12" t="str">
        <f>IF(S3005="","",[1]Inputs_Outputs!$B$8*(1-'LOCH Calc COE Calc'!S3005))</f>
        <v/>
      </c>
      <c r="U3005" s="13" t="str">
        <f t="shared" si="236"/>
        <v/>
      </c>
      <c r="V3005" s="13" t="str">
        <f t="shared" si="237"/>
        <v/>
      </c>
      <c r="W3005" s="4" t="str">
        <f t="shared" si="238"/>
        <v/>
      </c>
      <c r="X3005" t="str">
        <f>IF(W3005="","",LOOKUP(_xlfn.CONCAT(P3005,", ",Q3005),'[1]T+S Costs'!$F$2:$F$3138,'[1]T+S Costs'!$N$2:$N$3138))</f>
        <v/>
      </c>
      <c r="Y3005" s="14" t="str">
        <f t="shared" si="234"/>
        <v/>
      </c>
      <c r="Z3005" s="4" t="str">
        <f t="shared" si="235"/>
        <v/>
      </c>
    </row>
    <row r="3006" spans="16:26" x14ac:dyDescent="0.25">
      <c r="P3006" s="10" t="str">
        <f>IF('[1]All Data '!AZ3011="","",'[1]All Data '!AZ3011)</f>
        <v/>
      </c>
      <c r="Q3006" s="10" t="str">
        <f>IF('[1]All Data '!BB3011="","",'[1]All Data '!BB3011)</f>
        <v/>
      </c>
      <c r="R3006" s="10" t="str">
        <f>IF('[1]All Data '!BD3011="","",'[1]All Data '!BD3011)</f>
        <v/>
      </c>
      <c r="S3006" s="11" t="str">
        <f>IF(R3006="","",'[1]All Data '!BE3011)</f>
        <v/>
      </c>
      <c r="T3006" s="12" t="str">
        <f>IF(S3006="","",[1]Inputs_Outputs!$B$8*(1-'LOCH Calc COE Calc'!S3006))</f>
        <v/>
      </c>
      <c r="U3006" s="13" t="str">
        <f t="shared" si="236"/>
        <v/>
      </c>
      <c r="V3006" s="13" t="str">
        <f t="shared" si="237"/>
        <v/>
      </c>
      <c r="W3006" s="4" t="str">
        <f t="shared" si="238"/>
        <v/>
      </c>
      <c r="X3006" t="str">
        <f>IF(W3006="","",LOOKUP(_xlfn.CONCAT(P3006,", ",Q3006),'[1]T+S Costs'!$F$2:$F$3138,'[1]T+S Costs'!$N$2:$N$3138))</f>
        <v/>
      </c>
      <c r="Y3006" s="14" t="str">
        <f t="shared" si="234"/>
        <v/>
      </c>
      <c r="Z3006" s="4" t="str">
        <f t="shared" si="235"/>
        <v/>
      </c>
    </row>
    <row r="3007" spans="16:26" x14ac:dyDescent="0.25">
      <c r="P3007" s="10" t="str">
        <f>IF('[1]All Data '!AZ3012="","",'[1]All Data '!AZ3012)</f>
        <v/>
      </c>
      <c r="Q3007" s="10" t="str">
        <f>IF('[1]All Data '!BB3012="","",'[1]All Data '!BB3012)</f>
        <v/>
      </c>
      <c r="R3007" s="10" t="str">
        <f>IF('[1]All Data '!BD3012="","",'[1]All Data '!BD3012)</f>
        <v/>
      </c>
      <c r="S3007" s="11" t="str">
        <f>IF(R3007="","",'[1]All Data '!BE3012)</f>
        <v/>
      </c>
      <c r="T3007" s="12" t="str">
        <f>IF(S3007="","",[1]Inputs_Outputs!$B$8*(1-'LOCH Calc COE Calc'!S3007))</f>
        <v/>
      </c>
      <c r="U3007" s="13" t="str">
        <f t="shared" si="236"/>
        <v/>
      </c>
      <c r="V3007" s="13" t="str">
        <f t="shared" si="237"/>
        <v/>
      </c>
      <c r="W3007" s="4" t="str">
        <f t="shared" si="238"/>
        <v/>
      </c>
      <c r="X3007" t="str">
        <f>IF(W3007="","",LOOKUP(_xlfn.CONCAT(P3007,", ",Q3007),'[1]T+S Costs'!$F$2:$F$3138,'[1]T+S Costs'!$N$2:$N$3138))</f>
        <v/>
      </c>
      <c r="Y3007" s="14" t="str">
        <f t="shared" si="234"/>
        <v/>
      </c>
      <c r="Z3007" s="4" t="str">
        <f t="shared" si="235"/>
        <v/>
      </c>
    </row>
    <row r="3008" spans="16:26" x14ac:dyDescent="0.25">
      <c r="P3008" s="10" t="str">
        <f>IF('[1]All Data '!AZ3013="","",'[1]All Data '!AZ3013)</f>
        <v/>
      </c>
      <c r="Q3008" s="10" t="str">
        <f>IF('[1]All Data '!BB3013="","",'[1]All Data '!BB3013)</f>
        <v/>
      </c>
      <c r="R3008" s="10" t="str">
        <f>IF('[1]All Data '!BD3013="","",'[1]All Data '!BD3013)</f>
        <v/>
      </c>
      <c r="S3008" s="11" t="str">
        <f>IF(R3008="","",'[1]All Data '!BE3013)</f>
        <v/>
      </c>
      <c r="T3008" s="12" t="str">
        <f>IF(S3008="","",[1]Inputs_Outputs!$B$8*(1-'LOCH Calc COE Calc'!S3008))</f>
        <v/>
      </c>
      <c r="U3008" s="13" t="str">
        <f t="shared" si="236"/>
        <v/>
      </c>
      <c r="V3008" s="13" t="str">
        <f t="shared" si="237"/>
        <v/>
      </c>
      <c r="W3008" s="4" t="str">
        <f t="shared" si="238"/>
        <v/>
      </c>
      <c r="X3008" t="str">
        <f>IF(W3008="","",LOOKUP(_xlfn.CONCAT(P3008,", ",Q3008),'[1]T+S Costs'!$F$2:$F$3138,'[1]T+S Costs'!$N$2:$N$3138))</f>
        <v/>
      </c>
      <c r="Y3008" s="14" t="str">
        <f t="shared" si="234"/>
        <v/>
      </c>
      <c r="Z3008" s="4" t="str">
        <f t="shared" si="235"/>
        <v/>
      </c>
    </row>
    <row r="3009" spans="16:26" x14ac:dyDescent="0.25">
      <c r="P3009" s="10" t="str">
        <f>IF('[1]All Data '!AZ3014="","",'[1]All Data '!AZ3014)</f>
        <v/>
      </c>
      <c r="Q3009" s="10" t="str">
        <f>IF('[1]All Data '!BB3014="","",'[1]All Data '!BB3014)</f>
        <v/>
      </c>
      <c r="R3009" s="10" t="str">
        <f>IF('[1]All Data '!BD3014="","",'[1]All Data '!BD3014)</f>
        <v/>
      </c>
      <c r="S3009" s="11" t="str">
        <f>IF(R3009="","",'[1]All Data '!BE3014)</f>
        <v/>
      </c>
      <c r="T3009" s="12" t="str">
        <f>IF(S3009="","",[1]Inputs_Outputs!$B$8*(1-'LOCH Calc COE Calc'!S3009))</f>
        <v/>
      </c>
      <c r="U3009" s="13" t="str">
        <f t="shared" si="236"/>
        <v/>
      </c>
      <c r="V3009" s="13" t="str">
        <f t="shared" si="237"/>
        <v/>
      </c>
      <c r="W3009" s="4" t="str">
        <f t="shared" si="238"/>
        <v/>
      </c>
      <c r="X3009" t="str">
        <f>IF(W3009="","",LOOKUP(_xlfn.CONCAT(P3009,", ",Q3009),'[1]T+S Costs'!$F$2:$F$3138,'[1]T+S Costs'!$N$2:$N$3138))</f>
        <v/>
      </c>
      <c r="Y3009" s="14" t="str">
        <f t="shared" si="234"/>
        <v/>
      </c>
      <c r="Z3009" s="4" t="str">
        <f t="shared" si="235"/>
        <v/>
      </c>
    </row>
    <row r="3010" spans="16:26" x14ac:dyDescent="0.25">
      <c r="P3010" s="10" t="str">
        <f>IF('[1]All Data '!AZ3015="","",'[1]All Data '!AZ3015)</f>
        <v/>
      </c>
      <c r="Q3010" s="10" t="str">
        <f>IF('[1]All Data '!BB3015="","",'[1]All Data '!BB3015)</f>
        <v/>
      </c>
      <c r="R3010" s="10" t="str">
        <f>IF('[1]All Data '!BD3015="","",'[1]All Data '!BD3015)</f>
        <v/>
      </c>
      <c r="S3010" s="11" t="str">
        <f>IF(R3010="","",'[1]All Data '!BE3015)</f>
        <v/>
      </c>
      <c r="T3010" s="12" t="str">
        <f>IF(S3010="","",[1]Inputs_Outputs!$B$8*(1-'LOCH Calc COE Calc'!S3010))</f>
        <v/>
      </c>
      <c r="U3010" s="13" t="str">
        <f t="shared" si="236"/>
        <v/>
      </c>
      <c r="V3010" s="13" t="str">
        <f t="shared" si="237"/>
        <v/>
      </c>
      <c r="W3010" s="4" t="str">
        <f t="shared" si="238"/>
        <v/>
      </c>
      <c r="X3010" t="str">
        <f>IF(W3010="","",LOOKUP(_xlfn.CONCAT(P3010,", ",Q3010),'[1]T+S Costs'!$F$2:$F$3138,'[1]T+S Costs'!$N$2:$N$3138))</f>
        <v/>
      </c>
      <c r="Y3010" s="14" t="str">
        <f t="shared" si="234"/>
        <v/>
      </c>
      <c r="Z3010" s="4" t="str">
        <f t="shared" si="235"/>
        <v/>
      </c>
    </row>
    <row r="3011" spans="16:26" x14ac:dyDescent="0.25">
      <c r="P3011" s="10" t="str">
        <f>IF('[1]All Data '!AZ3016="","",'[1]All Data '!AZ3016)</f>
        <v/>
      </c>
      <c r="Q3011" s="10" t="str">
        <f>IF('[1]All Data '!BB3016="","",'[1]All Data '!BB3016)</f>
        <v/>
      </c>
      <c r="R3011" s="10" t="str">
        <f>IF('[1]All Data '!BD3016="","",'[1]All Data '!BD3016)</f>
        <v/>
      </c>
      <c r="S3011" s="11" t="str">
        <f>IF(R3011="","",'[1]All Data '!BE3016)</f>
        <v/>
      </c>
      <c r="T3011" s="12" t="str">
        <f>IF(S3011="","",[1]Inputs_Outputs!$B$8*(1-'LOCH Calc COE Calc'!S3011))</f>
        <v/>
      </c>
      <c r="U3011" s="13" t="str">
        <f t="shared" si="236"/>
        <v/>
      </c>
      <c r="V3011" s="13" t="str">
        <f t="shared" si="237"/>
        <v/>
      </c>
      <c r="W3011" s="4" t="str">
        <f t="shared" si="238"/>
        <v/>
      </c>
      <c r="X3011" t="str">
        <f>IF(W3011="","",LOOKUP(_xlfn.CONCAT(P3011,", ",Q3011),'[1]T+S Costs'!$F$2:$F$3138,'[1]T+S Costs'!$N$2:$N$3138))</f>
        <v/>
      </c>
      <c r="Y3011" s="14" t="str">
        <f t="shared" ref="Y3011:Y3074" si="239">IF(X3011="","",((X3011*$B$60/$B$59)*$C$44)/$C$28)</f>
        <v/>
      </c>
      <c r="Z3011" s="4" t="str">
        <f t="shared" ref="Z3011:Z3074" si="240">IF(Y3011="","",W3011+Y3011)</f>
        <v/>
      </c>
    </row>
    <row r="3012" spans="16:26" x14ac:dyDescent="0.25">
      <c r="P3012" s="10" t="str">
        <f>IF('[1]All Data '!AZ3017="","",'[1]All Data '!AZ3017)</f>
        <v/>
      </c>
      <c r="Q3012" s="10" t="str">
        <f>IF('[1]All Data '!BB3017="","",'[1]All Data '!BB3017)</f>
        <v/>
      </c>
      <c r="R3012" s="10" t="str">
        <f>IF('[1]All Data '!BD3017="","",'[1]All Data '!BD3017)</f>
        <v/>
      </c>
      <c r="S3012" s="11" t="str">
        <f>IF(R3012="","",'[1]All Data '!BE3017)</f>
        <v/>
      </c>
      <c r="T3012" s="12" t="str">
        <f>IF(S3012="","",[1]Inputs_Outputs!$B$8*(1-'LOCH Calc COE Calc'!S3012))</f>
        <v/>
      </c>
      <c r="U3012" s="13" t="str">
        <f t="shared" si="236"/>
        <v/>
      </c>
      <c r="V3012" s="13" t="str">
        <f t="shared" si="237"/>
        <v/>
      </c>
      <c r="W3012" s="4" t="str">
        <f t="shared" si="238"/>
        <v/>
      </c>
      <c r="X3012" t="str">
        <f>IF(W3012="","",LOOKUP(_xlfn.CONCAT(P3012,", ",Q3012),'[1]T+S Costs'!$F$2:$F$3138,'[1]T+S Costs'!$N$2:$N$3138))</f>
        <v/>
      </c>
      <c r="Y3012" s="14" t="str">
        <f t="shared" si="239"/>
        <v/>
      </c>
      <c r="Z3012" s="4" t="str">
        <f t="shared" si="240"/>
        <v/>
      </c>
    </row>
    <row r="3013" spans="16:26" x14ac:dyDescent="0.25">
      <c r="P3013" s="10" t="str">
        <f>IF('[1]All Data '!AZ3018="","",'[1]All Data '!AZ3018)</f>
        <v/>
      </c>
      <c r="Q3013" s="10" t="str">
        <f>IF('[1]All Data '!BB3018="","",'[1]All Data '!BB3018)</f>
        <v/>
      </c>
      <c r="R3013" s="10" t="str">
        <f>IF('[1]All Data '!BD3018="","",'[1]All Data '!BD3018)</f>
        <v/>
      </c>
      <c r="S3013" s="11" t="str">
        <f>IF(R3013="","",'[1]All Data '!BE3018)</f>
        <v/>
      </c>
      <c r="T3013" s="12" t="str">
        <f>IF(S3013="","",[1]Inputs_Outputs!$B$8*(1-'LOCH Calc COE Calc'!S3013))</f>
        <v/>
      </c>
      <c r="U3013" s="13" t="str">
        <f t="shared" si="236"/>
        <v/>
      </c>
      <c r="V3013" s="13" t="str">
        <f t="shared" si="237"/>
        <v/>
      </c>
      <c r="W3013" s="4" t="str">
        <f t="shared" si="238"/>
        <v/>
      </c>
      <c r="X3013" t="str">
        <f>IF(W3013="","",LOOKUP(_xlfn.CONCAT(P3013,", ",Q3013),'[1]T+S Costs'!$F$2:$F$3138,'[1]T+S Costs'!$N$2:$N$3138))</f>
        <v/>
      </c>
      <c r="Y3013" s="14" t="str">
        <f t="shared" si="239"/>
        <v/>
      </c>
      <c r="Z3013" s="4" t="str">
        <f t="shared" si="240"/>
        <v/>
      </c>
    </row>
    <row r="3014" spans="16:26" x14ac:dyDescent="0.25">
      <c r="P3014" s="10" t="str">
        <f>IF('[1]All Data '!AZ3019="","",'[1]All Data '!AZ3019)</f>
        <v/>
      </c>
      <c r="Q3014" s="10" t="str">
        <f>IF('[1]All Data '!BB3019="","",'[1]All Data '!BB3019)</f>
        <v/>
      </c>
      <c r="R3014" s="10" t="str">
        <f>IF('[1]All Data '!BD3019="","",'[1]All Data '!BD3019)</f>
        <v/>
      </c>
      <c r="S3014" s="11" t="str">
        <f>IF(R3014="","",'[1]All Data '!BE3019)</f>
        <v/>
      </c>
      <c r="T3014" s="12" t="str">
        <f>IF(S3014="","",[1]Inputs_Outputs!$B$8*(1-'LOCH Calc COE Calc'!S3014))</f>
        <v/>
      </c>
      <c r="U3014" s="13" t="str">
        <f t="shared" si="236"/>
        <v/>
      </c>
      <c r="V3014" s="13" t="str">
        <f t="shared" si="237"/>
        <v/>
      </c>
      <c r="W3014" s="4" t="str">
        <f t="shared" si="238"/>
        <v/>
      </c>
      <c r="X3014" t="str">
        <f>IF(W3014="","",LOOKUP(_xlfn.CONCAT(P3014,", ",Q3014),'[1]T+S Costs'!$F$2:$F$3138,'[1]T+S Costs'!$N$2:$N$3138))</f>
        <v/>
      </c>
      <c r="Y3014" s="14" t="str">
        <f t="shared" si="239"/>
        <v/>
      </c>
      <c r="Z3014" s="4" t="str">
        <f t="shared" si="240"/>
        <v/>
      </c>
    </row>
    <row r="3015" spans="16:26" x14ac:dyDescent="0.25">
      <c r="P3015" s="10" t="str">
        <f>IF('[1]All Data '!AZ3020="","",'[1]All Data '!AZ3020)</f>
        <v/>
      </c>
      <c r="Q3015" s="10" t="str">
        <f>IF('[1]All Data '!BB3020="","",'[1]All Data '!BB3020)</f>
        <v/>
      </c>
      <c r="R3015" s="10" t="str">
        <f>IF('[1]All Data '!BD3020="","",'[1]All Data '!BD3020)</f>
        <v/>
      </c>
      <c r="S3015" s="11" t="str">
        <f>IF(R3015="","",'[1]All Data '!BE3020)</f>
        <v/>
      </c>
      <c r="T3015" s="12" t="str">
        <f>IF(S3015="","",[1]Inputs_Outputs!$B$8*(1-'LOCH Calc COE Calc'!S3015))</f>
        <v/>
      </c>
      <c r="U3015" s="13" t="str">
        <f t="shared" si="236"/>
        <v/>
      </c>
      <c r="V3015" s="13" t="str">
        <f t="shared" si="237"/>
        <v/>
      </c>
      <c r="W3015" s="4" t="str">
        <f t="shared" si="238"/>
        <v/>
      </c>
      <c r="X3015" t="str">
        <f>IF(W3015="","",LOOKUP(_xlfn.CONCAT(P3015,", ",Q3015),'[1]T+S Costs'!$F$2:$F$3138,'[1]T+S Costs'!$N$2:$N$3138))</f>
        <v/>
      </c>
      <c r="Y3015" s="14" t="str">
        <f t="shared" si="239"/>
        <v/>
      </c>
      <c r="Z3015" s="4" t="str">
        <f t="shared" si="240"/>
        <v/>
      </c>
    </row>
    <row r="3016" spans="16:26" x14ac:dyDescent="0.25">
      <c r="P3016" s="10" t="str">
        <f>IF('[1]All Data '!AZ3021="","",'[1]All Data '!AZ3021)</f>
        <v/>
      </c>
      <c r="Q3016" s="10" t="str">
        <f>IF('[1]All Data '!BB3021="","",'[1]All Data '!BB3021)</f>
        <v/>
      </c>
      <c r="R3016" s="10" t="str">
        <f>IF('[1]All Data '!BD3021="","",'[1]All Data '!BD3021)</f>
        <v/>
      </c>
      <c r="S3016" s="11" t="str">
        <f>IF(R3016="","",'[1]All Data '!BE3021)</f>
        <v/>
      </c>
      <c r="T3016" s="12" t="str">
        <f>IF(S3016="","",[1]Inputs_Outputs!$B$8*(1-'LOCH Calc COE Calc'!S3016))</f>
        <v/>
      </c>
      <c r="U3016" s="13" t="str">
        <f t="shared" si="236"/>
        <v/>
      </c>
      <c r="V3016" s="13" t="str">
        <f t="shared" si="237"/>
        <v/>
      </c>
      <c r="W3016" s="4" t="str">
        <f t="shared" si="238"/>
        <v/>
      </c>
      <c r="X3016" t="str">
        <f>IF(W3016="","",LOOKUP(_xlfn.CONCAT(P3016,", ",Q3016),'[1]T+S Costs'!$F$2:$F$3138,'[1]T+S Costs'!$N$2:$N$3138))</f>
        <v/>
      </c>
      <c r="Y3016" s="14" t="str">
        <f t="shared" si="239"/>
        <v/>
      </c>
      <c r="Z3016" s="4" t="str">
        <f t="shared" si="240"/>
        <v/>
      </c>
    </row>
    <row r="3017" spans="16:26" x14ac:dyDescent="0.25">
      <c r="P3017" s="10" t="str">
        <f>IF('[1]All Data '!AZ3022="","",'[1]All Data '!AZ3022)</f>
        <v/>
      </c>
      <c r="Q3017" s="10" t="str">
        <f>IF('[1]All Data '!BB3022="","",'[1]All Data '!BB3022)</f>
        <v/>
      </c>
      <c r="R3017" s="10" t="str">
        <f>IF('[1]All Data '!BD3022="","",'[1]All Data '!BD3022)</f>
        <v/>
      </c>
      <c r="S3017" s="11" t="str">
        <f>IF(R3017="","",'[1]All Data '!BE3022)</f>
        <v/>
      </c>
      <c r="T3017" s="12" t="str">
        <f>IF(S3017="","",[1]Inputs_Outputs!$B$8*(1-'LOCH Calc COE Calc'!S3017))</f>
        <v/>
      </c>
      <c r="U3017" s="13" t="str">
        <f t="shared" si="236"/>
        <v/>
      </c>
      <c r="V3017" s="13" t="str">
        <f t="shared" si="237"/>
        <v/>
      </c>
      <c r="W3017" s="4" t="str">
        <f t="shared" si="238"/>
        <v/>
      </c>
      <c r="X3017" t="str">
        <f>IF(W3017="","",LOOKUP(_xlfn.CONCAT(P3017,", ",Q3017),'[1]T+S Costs'!$F$2:$F$3138,'[1]T+S Costs'!$N$2:$N$3138))</f>
        <v/>
      </c>
      <c r="Y3017" s="14" t="str">
        <f t="shared" si="239"/>
        <v/>
      </c>
      <c r="Z3017" s="4" t="str">
        <f t="shared" si="240"/>
        <v/>
      </c>
    </row>
    <row r="3018" spans="16:26" x14ac:dyDescent="0.25">
      <c r="P3018" s="10" t="str">
        <f>IF('[1]All Data '!AZ3023="","",'[1]All Data '!AZ3023)</f>
        <v/>
      </c>
      <c r="Q3018" s="10" t="str">
        <f>IF('[1]All Data '!BB3023="","",'[1]All Data '!BB3023)</f>
        <v/>
      </c>
      <c r="R3018" s="10" t="str">
        <f>IF('[1]All Data '!BD3023="","",'[1]All Data '!BD3023)</f>
        <v/>
      </c>
      <c r="S3018" s="11" t="str">
        <f>IF(R3018="","",'[1]All Data '!BE3023)</f>
        <v/>
      </c>
      <c r="T3018" s="12" t="str">
        <f>IF(S3018="","",[1]Inputs_Outputs!$B$8*(1-'LOCH Calc COE Calc'!S3018))</f>
        <v/>
      </c>
      <c r="U3018" s="13" t="str">
        <f t="shared" si="236"/>
        <v/>
      </c>
      <c r="V3018" s="13" t="str">
        <f t="shared" si="237"/>
        <v/>
      </c>
      <c r="W3018" s="4" t="str">
        <f t="shared" si="238"/>
        <v/>
      </c>
      <c r="X3018" t="str">
        <f>IF(W3018="","",LOOKUP(_xlfn.CONCAT(P3018,", ",Q3018),'[1]T+S Costs'!$F$2:$F$3138,'[1]T+S Costs'!$N$2:$N$3138))</f>
        <v/>
      </c>
      <c r="Y3018" s="14" t="str">
        <f t="shared" si="239"/>
        <v/>
      </c>
      <c r="Z3018" s="4" t="str">
        <f t="shared" si="240"/>
        <v/>
      </c>
    </row>
    <row r="3019" spans="16:26" x14ac:dyDescent="0.25">
      <c r="P3019" s="10" t="str">
        <f>IF('[1]All Data '!AZ3024="","",'[1]All Data '!AZ3024)</f>
        <v/>
      </c>
      <c r="Q3019" s="10" t="str">
        <f>IF('[1]All Data '!BB3024="","",'[1]All Data '!BB3024)</f>
        <v/>
      </c>
      <c r="R3019" s="10" t="str">
        <f>IF('[1]All Data '!BD3024="","",'[1]All Data '!BD3024)</f>
        <v/>
      </c>
      <c r="S3019" s="11" t="str">
        <f>IF(R3019="","",'[1]All Data '!BE3024)</f>
        <v/>
      </c>
      <c r="T3019" s="12" t="str">
        <f>IF(S3019="","",[1]Inputs_Outputs!$B$8*(1-'LOCH Calc COE Calc'!S3019))</f>
        <v/>
      </c>
      <c r="U3019" s="13" t="str">
        <f t="shared" si="236"/>
        <v/>
      </c>
      <c r="V3019" s="13" t="str">
        <f t="shared" si="237"/>
        <v/>
      </c>
      <c r="W3019" s="4" t="str">
        <f t="shared" si="238"/>
        <v/>
      </c>
      <c r="X3019" t="str">
        <f>IF(W3019="","",LOOKUP(_xlfn.CONCAT(P3019,", ",Q3019),'[1]T+S Costs'!$F$2:$F$3138,'[1]T+S Costs'!$N$2:$N$3138))</f>
        <v/>
      </c>
      <c r="Y3019" s="14" t="str">
        <f t="shared" si="239"/>
        <v/>
      </c>
      <c r="Z3019" s="4" t="str">
        <f t="shared" si="240"/>
        <v/>
      </c>
    </row>
    <row r="3020" spans="16:26" x14ac:dyDescent="0.25">
      <c r="P3020" s="10" t="str">
        <f>IF('[1]All Data '!AZ3025="","",'[1]All Data '!AZ3025)</f>
        <v/>
      </c>
      <c r="Q3020" s="10" t="str">
        <f>IF('[1]All Data '!BB3025="","",'[1]All Data '!BB3025)</f>
        <v/>
      </c>
      <c r="R3020" s="10" t="str">
        <f>IF('[1]All Data '!BD3025="","",'[1]All Data '!BD3025)</f>
        <v/>
      </c>
      <c r="S3020" s="11" t="str">
        <f>IF(R3020="","",'[1]All Data '!BE3025)</f>
        <v/>
      </c>
      <c r="T3020" s="12" t="str">
        <f>IF(S3020="","",[1]Inputs_Outputs!$B$8*(1-'LOCH Calc COE Calc'!S3020))</f>
        <v/>
      </c>
      <c r="U3020" s="13" t="str">
        <f t="shared" si="236"/>
        <v/>
      </c>
      <c r="V3020" s="13" t="str">
        <f t="shared" si="237"/>
        <v/>
      </c>
      <c r="W3020" s="4" t="str">
        <f t="shared" si="238"/>
        <v/>
      </c>
      <c r="X3020" t="str">
        <f>IF(W3020="","",LOOKUP(_xlfn.CONCAT(P3020,", ",Q3020),'[1]T+S Costs'!$F$2:$F$3138,'[1]T+S Costs'!$N$2:$N$3138))</f>
        <v/>
      </c>
      <c r="Y3020" s="14" t="str">
        <f t="shared" si="239"/>
        <v/>
      </c>
      <c r="Z3020" s="4" t="str">
        <f t="shared" si="240"/>
        <v/>
      </c>
    </row>
    <row r="3021" spans="16:26" x14ac:dyDescent="0.25">
      <c r="P3021" s="10" t="str">
        <f>IF('[1]All Data '!AZ3026="","",'[1]All Data '!AZ3026)</f>
        <v/>
      </c>
      <c r="Q3021" s="10" t="str">
        <f>IF('[1]All Data '!BB3026="","",'[1]All Data '!BB3026)</f>
        <v/>
      </c>
      <c r="R3021" s="10" t="str">
        <f>IF('[1]All Data '!BD3026="","",'[1]All Data '!BD3026)</f>
        <v/>
      </c>
      <c r="S3021" s="11" t="str">
        <f>IF(R3021="","",'[1]All Data '!BE3026)</f>
        <v/>
      </c>
      <c r="T3021" s="12" t="str">
        <f>IF(S3021="","",[1]Inputs_Outputs!$B$8*(1-'LOCH Calc COE Calc'!S3021))</f>
        <v/>
      </c>
      <c r="U3021" s="13" t="str">
        <f t="shared" si="236"/>
        <v/>
      </c>
      <c r="V3021" s="13" t="str">
        <f t="shared" si="237"/>
        <v/>
      </c>
      <c r="W3021" s="4" t="str">
        <f t="shared" si="238"/>
        <v/>
      </c>
      <c r="X3021" t="str">
        <f>IF(W3021="","",LOOKUP(_xlfn.CONCAT(P3021,", ",Q3021),'[1]T+S Costs'!$F$2:$F$3138,'[1]T+S Costs'!$N$2:$N$3138))</f>
        <v/>
      </c>
      <c r="Y3021" s="14" t="str">
        <f t="shared" si="239"/>
        <v/>
      </c>
      <c r="Z3021" s="4" t="str">
        <f t="shared" si="240"/>
        <v/>
      </c>
    </row>
    <row r="3022" spans="16:26" x14ac:dyDescent="0.25">
      <c r="P3022" s="10" t="str">
        <f>IF('[1]All Data '!AZ3027="","",'[1]All Data '!AZ3027)</f>
        <v/>
      </c>
      <c r="Q3022" s="10" t="str">
        <f>IF('[1]All Data '!BB3027="","",'[1]All Data '!BB3027)</f>
        <v/>
      </c>
      <c r="R3022" s="10" t="str">
        <f>IF('[1]All Data '!BD3027="","",'[1]All Data '!BD3027)</f>
        <v/>
      </c>
      <c r="S3022" s="11" t="str">
        <f>IF(R3022="","",'[1]All Data '!BE3027)</f>
        <v/>
      </c>
      <c r="T3022" s="12" t="str">
        <f>IF(S3022="","",[1]Inputs_Outputs!$B$8*(1-'LOCH Calc COE Calc'!S3022))</f>
        <v/>
      </c>
      <c r="U3022" s="13" t="str">
        <f t="shared" si="236"/>
        <v/>
      </c>
      <c r="V3022" s="13" t="str">
        <f t="shared" si="237"/>
        <v/>
      </c>
      <c r="W3022" s="4" t="str">
        <f t="shared" si="238"/>
        <v/>
      </c>
      <c r="X3022" t="str">
        <f>IF(W3022="","",LOOKUP(_xlfn.CONCAT(P3022,", ",Q3022),'[1]T+S Costs'!$F$2:$F$3138,'[1]T+S Costs'!$N$2:$N$3138))</f>
        <v/>
      </c>
      <c r="Y3022" s="14" t="str">
        <f t="shared" si="239"/>
        <v/>
      </c>
      <c r="Z3022" s="4" t="str">
        <f t="shared" si="240"/>
        <v/>
      </c>
    </row>
    <row r="3023" spans="16:26" x14ac:dyDescent="0.25">
      <c r="P3023" s="10" t="str">
        <f>IF('[1]All Data '!AZ3028="","",'[1]All Data '!AZ3028)</f>
        <v/>
      </c>
      <c r="Q3023" s="10" t="str">
        <f>IF('[1]All Data '!BB3028="","",'[1]All Data '!BB3028)</f>
        <v/>
      </c>
      <c r="R3023" s="10" t="str">
        <f>IF('[1]All Data '!BD3028="","",'[1]All Data '!BD3028)</f>
        <v/>
      </c>
      <c r="S3023" s="11" t="str">
        <f>IF(R3023="","",'[1]All Data '!BE3028)</f>
        <v/>
      </c>
      <c r="T3023" s="12" t="str">
        <f>IF(S3023="","",[1]Inputs_Outputs!$B$8*(1-'LOCH Calc COE Calc'!S3023))</f>
        <v/>
      </c>
      <c r="U3023" s="13" t="str">
        <f t="shared" si="236"/>
        <v/>
      </c>
      <c r="V3023" s="13" t="str">
        <f t="shared" si="237"/>
        <v/>
      </c>
      <c r="W3023" s="4" t="str">
        <f t="shared" si="238"/>
        <v/>
      </c>
      <c r="X3023" t="str">
        <f>IF(W3023="","",LOOKUP(_xlfn.CONCAT(P3023,", ",Q3023),'[1]T+S Costs'!$F$2:$F$3138,'[1]T+S Costs'!$N$2:$N$3138))</f>
        <v/>
      </c>
      <c r="Y3023" s="14" t="str">
        <f t="shared" si="239"/>
        <v/>
      </c>
      <c r="Z3023" s="4" t="str">
        <f t="shared" si="240"/>
        <v/>
      </c>
    </row>
    <row r="3024" spans="16:26" x14ac:dyDescent="0.25">
      <c r="P3024" s="10" t="str">
        <f>IF('[1]All Data '!AZ3029="","",'[1]All Data '!AZ3029)</f>
        <v/>
      </c>
      <c r="Q3024" s="10" t="str">
        <f>IF('[1]All Data '!BB3029="","",'[1]All Data '!BB3029)</f>
        <v/>
      </c>
      <c r="R3024" s="10" t="str">
        <f>IF('[1]All Data '!BD3029="","",'[1]All Data '!BD3029)</f>
        <v/>
      </c>
      <c r="S3024" s="11" t="str">
        <f>IF(R3024="","",'[1]All Data '!BE3029)</f>
        <v/>
      </c>
      <c r="T3024" s="12" t="str">
        <f>IF(S3024="","",[1]Inputs_Outputs!$B$8*(1-'LOCH Calc COE Calc'!S3024))</f>
        <v/>
      </c>
      <c r="U3024" s="13" t="str">
        <f t="shared" si="236"/>
        <v/>
      </c>
      <c r="V3024" s="13" t="str">
        <f t="shared" si="237"/>
        <v/>
      </c>
      <c r="W3024" s="4" t="str">
        <f t="shared" si="238"/>
        <v/>
      </c>
      <c r="X3024" t="str">
        <f>IF(W3024="","",LOOKUP(_xlfn.CONCAT(P3024,", ",Q3024),'[1]T+S Costs'!$F$2:$F$3138,'[1]T+S Costs'!$N$2:$N$3138))</f>
        <v/>
      </c>
      <c r="Y3024" s="14" t="str">
        <f t="shared" si="239"/>
        <v/>
      </c>
      <c r="Z3024" s="4" t="str">
        <f t="shared" si="240"/>
        <v/>
      </c>
    </row>
    <row r="3025" spans="16:26" x14ac:dyDescent="0.25">
      <c r="P3025" s="10" t="str">
        <f>IF('[1]All Data '!AZ3030="","",'[1]All Data '!AZ3030)</f>
        <v/>
      </c>
      <c r="Q3025" s="10" t="str">
        <f>IF('[1]All Data '!BB3030="","",'[1]All Data '!BB3030)</f>
        <v/>
      </c>
      <c r="R3025" s="10" t="str">
        <f>IF('[1]All Data '!BD3030="","",'[1]All Data '!BD3030)</f>
        <v/>
      </c>
      <c r="S3025" s="11" t="str">
        <f>IF(R3025="","",'[1]All Data '!BE3030)</f>
        <v/>
      </c>
      <c r="T3025" s="12" t="str">
        <f>IF(S3025="","",[1]Inputs_Outputs!$B$8*(1-'LOCH Calc COE Calc'!S3025))</f>
        <v/>
      </c>
      <c r="U3025" s="13" t="str">
        <f t="shared" si="236"/>
        <v/>
      </c>
      <c r="V3025" s="13" t="str">
        <f t="shared" si="237"/>
        <v/>
      </c>
      <c r="W3025" s="4" t="str">
        <f t="shared" si="238"/>
        <v/>
      </c>
      <c r="X3025" t="str">
        <f>IF(W3025="","",LOOKUP(_xlfn.CONCAT(P3025,", ",Q3025),'[1]T+S Costs'!$F$2:$F$3138,'[1]T+S Costs'!$N$2:$N$3138))</f>
        <v/>
      </c>
      <c r="Y3025" s="14" t="str">
        <f t="shared" si="239"/>
        <v/>
      </c>
      <c r="Z3025" s="4" t="str">
        <f t="shared" si="240"/>
        <v/>
      </c>
    </row>
    <row r="3026" spans="16:26" x14ac:dyDescent="0.25">
      <c r="P3026" s="10" t="str">
        <f>IF('[1]All Data '!AZ3031="","",'[1]All Data '!AZ3031)</f>
        <v/>
      </c>
      <c r="Q3026" s="10" t="str">
        <f>IF('[1]All Data '!BB3031="","",'[1]All Data '!BB3031)</f>
        <v/>
      </c>
      <c r="R3026" s="10" t="str">
        <f>IF('[1]All Data '!BD3031="","",'[1]All Data '!BD3031)</f>
        <v/>
      </c>
      <c r="S3026" s="11" t="str">
        <f>IF(R3026="","",'[1]All Data '!BE3031)</f>
        <v/>
      </c>
      <c r="T3026" s="12" t="str">
        <f>IF(S3026="","",[1]Inputs_Outputs!$B$8*(1-'LOCH Calc COE Calc'!S3026))</f>
        <v/>
      </c>
      <c r="U3026" s="13" t="str">
        <f t="shared" si="236"/>
        <v/>
      </c>
      <c r="V3026" s="13" t="str">
        <f t="shared" si="237"/>
        <v/>
      </c>
      <c r="W3026" s="4" t="str">
        <f t="shared" si="238"/>
        <v/>
      </c>
      <c r="X3026" t="str">
        <f>IF(W3026="","",LOOKUP(_xlfn.CONCAT(P3026,", ",Q3026),'[1]T+S Costs'!$F$2:$F$3138,'[1]T+S Costs'!$N$2:$N$3138))</f>
        <v/>
      </c>
      <c r="Y3026" s="14" t="str">
        <f t="shared" si="239"/>
        <v/>
      </c>
      <c r="Z3026" s="4" t="str">
        <f t="shared" si="240"/>
        <v/>
      </c>
    </row>
    <row r="3027" spans="16:26" x14ac:dyDescent="0.25">
      <c r="P3027" s="10" t="str">
        <f>IF('[1]All Data '!AZ3032="","",'[1]All Data '!AZ3032)</f>
        <v/>
      </c>
      <c r="Q3027" s="10" t="str">
        <f>IF('[1]All Data '!BB3032="","",'[1]All Data '!BB3032)</f>
        <v/>
      </c>
      <c r="R3027" s="10" t="str">
        <f>IF('[1]All Data '!BD3032="","",'[1]All Data '!BD3032)</f>
        <v/>
      </c>
      <c r="S3027" s="11" t="str">
        <f>IF(R3027="","",'[1]All Data '!BE3032)</f>
        <v/>
      </c>
      <c r="T3027" s="12" t="str">
        <f>IF(S3027="","",[1]Inputs_Outputs!$B$8*(1-'LOCH Calc COE Calc'!S3027))</f>
        <v/>
      </c>
      <c r="U3027" s="13" t="str">
        <f t="shared" si="236"/>
        <v/>
      </c>
      <c r="V3027" s="13" t="str">
        <f t="shared" si="237"/>
        <v/>
      </c>
      <c r="W3027" s="4" t="str">
        <f t="shared" si="238"/>
        <v/>
      </c>
      <c r="X3027" t="str">
        <f>IF(W3027="","",LOOKUP(_xlfn.CONCAT(P3027,", ",Q3027),'[1]T+S Costs'!$F$2:$F$3138,'[1]T+S Costs'!$N$2:$N$3138))</f>
        <v/>
      </c>
      <c r="Y3027" s="14" t="str">
        <f t="shared" si="239"/>
        <v/>
      </c>
      <c r="Z3027" s="4" t="str">
        <f t="shared" si="240"/>
        <v/>
      </c>
    </row>
    <row r="3028" spans="16:26" x14ac:dyDescent="0.25">
      <c r="P3028" s="10" t="str">
        <f>IF('[1]All Data '!AZ3033="","",'[1]All Data '!AZ3033)</f>
        <v/>
      </c>
      <c r="Q3028" s="10" t="str">
        <f>IF('[1]All Data '!BB3033="","",'[1]All Data '!BB3033)</f>
        <v/>
      </c>
      <c r="R3028" s="10" t="str">
        <f>IF('[1]All Data '!BD3033="","",'[1]All Data '!BD3033)</f>
        <v/>
      </c>
      <c r="S3028" s="11" t="str">
        <f>IF(R3028="","",'[1]All Data '!BE3033)</f>
        <v/>
      </c>
      <c r="T3028" s="12" t="str">
        <f>IF(S3028="","",[1]Inputs_Outputs!$B$8*(1-'LOCH Calc COE Calc'!S3028))</f>
        <v/>
      </c>
      <c r="U3028" s="13" t="str">
        <f t="shared" si="236"/>
        <v/>
      </c>
      <c r="V3028" s="13" t="str">
        <f t="shared" si="237"/>
        <v/>
      </c>
      <c r="W3028" s="4" t="str">
        <f t="shared" si="238"/>
        <v/>
      </c>
      <c r="X3028" t="str">
        <f>IF(W3028="","",LOOKUP(_xlfn.CONCAT(P3028,", ",Q3028),'[1]T+S Costs'!$F$2:$F$3138,'[1]T+S Costs'!$N$2:$N$3138))</f>
        <v/>
      </c>
      <c r="Y3028" s="14" t="str">
        <f t="shared" si="239"/>
        <v/>
      </c>
      <c r="Z3028" s="4" t="str">
        <f t="shared" si="240"/>
        <v/>
      </c>
    </row>
    <row r="3029" spans="16:26" x14ac:dyDescent="0.25">
      <c r="P3029" s="10" t="str">
        <f>IF('[1]All Data '!AZ3034="","",'[1]All Data '!AZ3034)</f>
        <v/>
      </c>
      <c r="Q3029" s="10" t="str">
        <f>IF('[1]All Data '!BB3034="","",'[1]All Data '!BB3034)</f>
        <v/>
      </c>
      <c r="R3029" s="10" t="str">
        <f>IF('[1]All Data '!BD3034="","",'[1]All Data '!BD3034)</f>
        <v/>
      </c>
      <c r="S3029" s="11" t="str">
        <f>IF(R3029="","",'[1]All Data '!BE3034)</f>
        <v/>
      </c>
      <c r="T3029" s="12" t="str">
        <f>IF(S3029="","",[1]Inputs_Outputs!$B$8*(1-'LOCH Calc COE Calc'!S3029))</f>
        <v/>
      </c>
      <c r="U3029" s="13" t="str">
        <f t="shared" si="236"/>
        <v/>
      </c>
      <c r="V3029" s="13" t="str">
        <f t="shared" si="237"/>
        <v/>
      </c>
      <c r="W3029" s="4" t="str">
        <f t="shared" si="238"/>
        <v/>
      </c>
      <c r="X3029" t="str">
        <f>IF(W3029="","",LOOKUP(_xlfn.CONCAT(P3029,", ",Q3029),'[1]T+S Costs'!$F$2:$F$3138,'[1]T+S Costs'!$N$2:$N$3138))</f>
        <v/>
      </c>
      <c r="Y3029" s="14" t="str">
        <f t="shared" si="239"/>
        <v/>
      </c>
      <c r="Z3029" s="4" t="str">
        <f t="shared" si="240"/>
        <v/>
      </c>
    </row>
    <row r="3030" spans="16:26" x14ac:dyDescent="0.25">
      <c r="P3030" s="10" t="str">
        <f>IF('[1]All Data '!AZ3035="","",'[1]All Data '!AZ3035)</f>
        <v/>
      </c>
      <c r="Q3030" s="10" t="str">
        <f>IF('[1]All Data '!BB3035="","",'[1]All Data '!BB3035)</f>
        <v/>
      </c>
      <c r="R3030" s="10" t="str">
        <f>IF('[1]All Data '!BD3035="","",'[1]All Data '!BD3035)</f>
        <v/>
      </c>
      <c r="S3030" s="11" t="str">
        <f>IF(R3030="","",'[1]All Data '!BE3035)</f>
        <v/>
      </c>
      <c r="T3030" s="12" t="str">
        <f>IF(S3030="","",[1]Inputs_Outputs!$B$8*(1-'LOCH Calc COE Calc'!S3030))</f>
        <v/>
      </c>
      <c r="U3030" s="13" t="str">
        <f t="shared" si="236"/>
        <v/>
      </c>
      <c r="V3030" s="13" t="str">
        <f t="shared" si="237"/>
        <v/>
      </c>
      <c r="W3030" s="4" t="str">
        <f t="shared" si="238"/>
        <v/>
      </c>
      <c r="X3030" t="str">
        <f>IF(W3030="","",LOOKUP(_xlfn.CONCAT(P3030,", ",Q3030),'[1]T+S Costs'!$F$2:$F$3138,'[1]T+S Costs'!$N$2:$N$3138))</f>
        <v/>
      </c>
      <c r="Y3030" s="14" t="str">
        <f t="shared" si="239"/>
        <v/>
      </c>
      <c r="Z3030" s="4" t="str">
        <f t="shared" si="240"/>
        <v/>
      </c>
    </row>
    <row r="3031" spans="16:26" x14ac:dyDescent="0.25">
      <c r="P3031" s="10" t="str">
        <f>IF('[1]All Data '!AZ3036="","",'[1]All Data '!AZ3036)</f>
        <v/>
      </c>
      <c r="Q3031" s="10" t="str">
        <f>IF('[1]All Data '!BB3036="","",'[1]All Data '!BB3036)</f>
        <v/>
      </c>
      <c r="R3031" s="10" t="str">
        <f>IF('[1]All Data '!BD3036="","",'[1]All Data '!BD3036)</f>
        <v/>
      </c>
      <c r="S3031" s="11" t="str">
        <f>IF(R3031="","",'[1]All Data '!BE3036)</f>
        <v/>
      </c>
      <c r="T3031" s="12" t="str">
        <f>IF(S3031="","",[1]Inputs_Outputs!$B$8*(1-'LOCH Calc COE Calc'!S3031))</f>
        <v/>
      </c>
      <c r="U3031" s="13" t="str">
        <f t="shared" si="236"/>
        <v/>
      </c>
      <c r="V3031" s="13" t="str">
        <f t="shared" si="237"/>
        <v/>
      </c>
      <c r="W3031" s="4" t="str">
        <f t="shared" si="238"/>
        <v/>
      </c>
      <c r="X3031" t="str">
        <f>IF(W3031="","",LOOKUP(_xlfn.CONCAT(P3031,", ",Q3031),'[1]T+S Costs'!$F$2:$F$3138,'[1]T+S Costs'!$N$2:$N$3138))</f>
        <v/>
      </c>
      <c r="Y3031" s="14" t="str">
        <f t="shared" si="239"/>
        <v/>
      </c>
      <c r="Z3031" s="4" t="str">
        <f t="shared" si="240"/>
        <v/>
      </c>
    </row>
    <row r="3032" spans="16:26" x14ac:dyDescent="0.25">
      <c r="P3032" s="10" t="str">
        <f>IF('[1]All Data '!AZ3037="","",'[1]All Data '!AZ3037)</f>
        <v/>
      </c>
      <c r="Q3032" s="10" t="str">
        <f>IF('[1]All Data '!BB3037="","",'[1]All Data '!BB3037)</f>
        <v/>
      </c>
      <c r="R3032" s="10" t="str">
        <f>IF('[1]All Data '!BD3037="","",'[1]All Data '!BD3037)</f>
        <v/>
      </c>
      <c r="S3032" s="11" t="str">
        <f>IF(R3032="","",'[1]All Data '!BE3037)</f>
        <v/>
      </c>
      <c r="T3032" s="12" t="str">
        <f>IF(S3032="","",[1]Inputs_Outputs!$B$8*(1-'LOCH Calc COE Calc'!S3032))</f>
        <v/>
      </c>
      <c r="U3032" s="13" t="str">
        <f t="shared" si="236"/>
        <v/>
      </c>
      <c r="V3032" s="13" t="str">
        <f t="shared" si="237"/>
        <v/>
      </c>
      <c r="W3032" s="4" t="str">
        <f t="shared" si="238"/>
        <v/>
      </c>
      <c r="X3032" t="str">
        <f>IF(W3032="","",LOOKUP(_xlfn.CONCAT(P3032,", ",Q3032),'[1]T+S Costs'!$F$2:$F$3138,'[1]T+S Costs'!$N$2:$N$3138))</f>
        <v/>
      </c>
      <c r="Y3032" s="14" t="str">
        <f t="shared" si="239"/>
        <v/>
      </c>
      <c r="Z3032" s="4" t="str">
        <f t="shared" si="240"/>
        <v/>
      </c>
    </row>
    <row r="3033" spans="16:26" x14ac:dyDescent="0.25">
      <c r="P3033" s="10" t="str">
        <f>IF('[1]All Data '!AZ3038="","",'[1]All Data '!AZ3038)</f>
        <v/>
      </c>
      <c r="Q3033" s="10" t="str">
        <f>IF('[1]All Data '!BB3038="","",'[1]All Data '!BB3038)</f>
        <v/>
      </c>
      <c r="R3033" s="10" t="str">
        <f>IF('[1]All Data '!BD3038="","",'[1]All Data '!BD3038)</f>
        <v/>
      </c>
      <c r="S3033" s="11" t="str">
        <f>IF(R3033="","",'[1]All Data '!BE3038)</f>
        <v/>
      </c>
      <c r="T3033" s="12" t="str">
        <f>IF(S3033="","",[1]Inputs_Outputs!$B$8*(1-'LOCH Calc COE Calc'!S3033))</f>
        <v/>
      </c>
      <c r="U3033" s="13" t="str">
        <f t="shared" si="236"/>
        <v/>
      </c>
      <c r="V3033" s="13" t="str">
        <f t="shared" si="237"/>
        <v/>
      </c>
      <c r="W3033" s="4" t="str">
        <f t="shared" si="238"/>
        <v/>
      </c>
      <c r="X3033" t="str">
        <f>IF(W3033="","",LOOKUP(_xlfn.CONCAT(P3033,", ",Q3033),'[1]T+S Costs'!$F$2:$F$3138,'[1]T+S Costs'!$N$2:$N$3138))</f>
        <v/>
      </c>
      <c r="Y3033" s="14" t="str">
        <f t="shared" si="239"/>
        <v/>
      </c>
      <c r="Z3033" s="4" t="str">
        <f t="shared" si="240"/>
        <v/>
      </c>
    </row>
    <row r="3034" spans="16:26" x14ac:dyDescent="0.25">
      <c r="P3034" s="10" t="str">
        <f>IF('[1]All Data '!AZ3039="","",'[1]All Data '!AZ3039)</f>
        <v/>
      </c>
      <c r="Q3034" s="10" t="str">
        <f>IF('[1]All Data '!BB3039="","",'[1]All Data '!BB3039)</f>
        <v/>
      </c>
      <c r="R3034" s="10" t="str">
        <f>IF('[1]All Data '!BD3039="","",'[1]All Data '!BD3039)</f>
        <v/>
      </c>
      <c r="S3034" s="11" t="str">
        <f>IF(R3034="","",'[1]All Data '!BE3039)</f>
        <v/>
      </c>
      <c r="T3034" s="12" t="str">
        <f>IF(S3034="","",[1]Inputs_Outputs!$B$8*(1-'LOCH Calc COE Calc'!S3034))</f>
        <v/>
      </c>
      <c r="U3034" s="13" t="str">
        <f t="shared" si="236"/>
        <v/>
      </c>
      <c r="V3034" s="13" t="str">
        <f t="shared" si="237"/>
        <v/>
      </c>
      <c r="W3034" s="4" t="str">
        <f t="shared" si="238"/>
        <v/>
      </c>
      <c r="X3034" t="str">
        <f>IF(W3034="","",LOOKUP(_xlfn.CONCAT(P3034,", ",Q3034),'[1]T+S Costs'!$F$2:$F$3138,'[1]T+S Costs'!$N$2:$N$3138))</f>
        <v/>
      </c>
      <c r="Y3034" s="14" t="str">
        <f t="shared" si="239"/>
        <v/>
      </c>
      <c r="Z3034" s="4" t="str">
        <f t="shared" si="240"/>
        <v/>
      </c>
    </row>
    <row r="3035" spans="16:26" x14ac:dyDescent="0.25">
      <c r="P3035" s="10" t="str">
        <f>IF('[1]All Data '!AZ3040="","",'[1]All Data '!AZ3040)</f>
        <v/>
      </c>
      <c r="Q3035" s="10" t="str">
        <f>IF('[1]All Data '!BB3040="","",'[1]All Data '!BB3040)</f>
        <v/>
      </c>
      <c r="R3035" s="10" t="str">
        <f>IF('[1]All Data '!BD3040="","",'[1]All Data '!BD3040)</f>
        <v/>
      </c>
      <c r="S3035" s="11" t="str">
        <f>IF(R3035="","",'[1]All Data '!BE3040)</f>
        <v/>
      </c>
      <c r="T3035" s="12" t="str">
        <f>IF(S3035="","",[1]Inputs_Outputs!$B$8*(1-'LOCH Calc COE Calc'!S3035))</f>
        <v/>
      </c>
      <c r="U3035" s="13" t="str">
        <f t="shared" si="236"/>
        <v/>
      </c>
      <c r="V3035" s="13" t="str">
        <f t="shared" si="237"/>
        <v/>
      </c>
      <c r="W3035" s="4" t="str">
        <f t="shared" si="238"/>
        <v/>
      </c>
      <c r="X3035" t="str">
        <f>IF(W3035="","",LOOKUP(_xlfn.CONCAT(P3035,", ",Q3035),'[1]T+S Costs'!$F$2:$F$3138,'[1]T+S Costs'!$N$2:$N$3138))</f>
        <v/>
      </c>
      <c r="Y3035" s="14" t="str">
        <f t="shared" si="239"/>
        <v/>
      </c>
      <c r="Z3035" s="4" t="str">
        <f t="shared" si="240"/>
        <v/>
      </c>
    </row>
    <row r="3036" spans="16:26" x14ac:dyDescent="0.25">
      <c r="P3036" s="10" t="str">
        <f>IF('[1]All Data '!AZ3041="","",'[1]All Data '!AZ3041)</f>
        <v/>
      </c>
      <c r="Q3036" s="10" t="str">
        <f>IF('[1]All Data '!BB3041="","",'[1]All Data '!BB3041)</f>
        <v/>
      </c>
      <c r="R3036" s="10" t="str">
        <f>IF('[1]All Data '!BD3041="","",'[1]All Data '!BD3041)</f>
        <v/>
      </c>
      <c r="S3036" s="11" t="str">
        <f>IF(R3036="","",'[1]All Data '!BE3041)</f>
        <v/>
      </c>
      <c r="T3036" s="12" t="str">
        <f>IF(S3036="","",[1]Inputs_Outputs!$B$8*(1-'LOCH Calc COE Calc'!S3036))</f>
        <v/>
      </c>
      <c r="U3036" s="13" t="str">
        <f t="shared" si="236"/>
        <v/>
      </c>
      <c r="V3036" s="13" t="str">
        <f t="shared" si="237"/>
        <v/>
      </c>
      <c r="W3036" s="4" t="str">
        <f t="shared" si="238"/>
        <v/>
      </c>
      <c r="X3036" t="str">
        <f>IF(W3036="","",LOOKUP(_xlfn.CONCAT(P3036,", ",Q3036),'[1]T+S Costs'!$F$2:$F$3138,'[1]T+S Costs'!$N$2:$N$3138))</f>
        <v/>
      </c>
      <c r="Y3036" s="14" t="str">
        <f t="shared" si="239"/>
        <v/>
      </c>
      <c r="Z3036" s="4" t="str">
        <f t="shared" si="240"/>
        <v/>
      </c>
    </row>
    <row r="3037" spans="16:26" x14ac:dyDescent="0.25">
      <c r="P3037" s="10" t="str">
        <f>IF('[1]All Data '!AZ3042="","",'[1]All Data '!AZ3042)</f>
        <v/>
      </c>
      <c r="Q3037" s="10" t="str">
        <f>IF('[1]All Data '!BB3042="","",'[1]All Data '!BB3042)</f>
        <v/>
      </c>
      <c r="R3037" s="10" t="str">
        <f>IF('[1]All Data '!BD3042="","",'[1]All Data '!BD3042)</f>
        <v/>
      </c>
      <c r="S3037" s="11" t="str">
        <f>IF(R3037="","",'[1]All Data '!BE3042)</f>
        <v/>
      </c>
      <c r="T3037" s="12" t="str">
        <f>IF(S3037="","",[1]Inputs_Outputs!$B$8*(1-'LOCH Calc COE Calc'!S3037))</f>
        <v/>
      </c>
      <c r="U3037" s="13" t="str">
        <f t="shared" si="236"/>
        <v/>
      </c>
      <c r="V3037" s="13" t="str">
        <f t="shared" si="237"/>
        <v/>
      </c>
      <c r="W3037" s="4" t="str">
        <f t="shared" si="238"/>
        <v/>
      </c>
      <c r="X3037" t="str">
        <f>IF(W3037="","",LOOKUP(_xlfn.CONCAT(P3037,", ",Q3037),'[1]T+S Costs'!$F$2:$F$3138,'[1]T+S Costs'!$N$2:$N$3138))</f>
        <v/>
      </c>
      <c r="Y3037" s="14" t="str">
        <f t="shared" si="239"/>
        <v/>
      </c>
      <c r="Z3037" s="4" t="str">
        <f t="shared" si="240"/>
        <v/>
      </c>
    </row>
    <row r="3038" spans="16:26" x14ac:dyDescent="0.25">
      <c r="P3038" s="10" t="str">
        <f>IF('[1]All Data '!AZ3043="","",'[1]All Data '!AZ3043)</f>
        <v/>
      </c>
      <c r="Q3038" s="10" t="str">
        <f>IF('[1]All Data '!BB3043="","",'[1]All Data '!BB3043)</f>
        <v/>
      </c>
      <c r="R3038" s="10" t="str">
        <f>IF('[1]All Data '!BD3043="","",'[1]All Data '!BD3043)</f>
        <v/>
      </c>
      <c r="S3038" s="11" t="str">
        <f>IF(R3038="","",'[1]All Data '!BE3043)</f>
        <v/>
      </c>
      <c r="T3038" s="12" t="str">
        <f>IF(S3038="","",[1]Inputs_Outputs!$B$8*(1-'LOCH Calc COE Calc'!S3038))</f>
        <v/>
      </c>
      <c r="U3038" s="13" t="str">
        <f t="shared" si="236"/>
        <v/>
      </c>
      <c r="V3038" s="13" t="str">
        <f t="shared" si="237"/>
        <v/>
      </c>
      <c r="W3038" s="4" t="str">
        <f t="shared" si="238"/>
        <v/>
      </c>
      <c r="X3038" t="str">
        <f>IF(W3038="","",LOOKUP(_xlfn.CONCAT(P3038,", ",Q3038),'[1]T+S Costs'!$F$2:$F$3138,'[1]T+S Costs'!$N$2:$N$3138))</f>
        <v/>
      </c>
      <c r="Y3038" s="14" t="str">
        <f t="shared" si="239"/>
        <v/>
      </c>
      <c r="Z3038" s="4" t="str">
        <f t="shared" si="240"/>
        <v/>
      </c>
    </row>
    <row r="3039" spans="16:26" x14ac:dyDescent="0.25">
      <c r="P3039" s="10" t="str">
        <f>IF('[1]All Data '!AZ3044="","",'[1]All Data '!AZ3044)</f>
        <v/>
      </c>
      <c r="Q3039" s="10" t="str">
        <f>IF('[1]All Data '!BB3044="","",'[1]All Data '!BB3044)</f>
        <v/>
      </c>
      <c r="R3039" s="10" t="str">
        <f>IF('[1]All Data '!BD3044="","",'[1]All Data '!BD3044)</f>
        <v/>
      </c>
      <c r="S3039" s="11" t="str">
        <f>IF(R3039="","",'[1]All Data '!BE3044)</f>
        <v/>
      </c>
      <c r="T3039" s="12" t="str">
        <f>IF(S3039="","",[1]Inputs_Outputs!$B$8*(1-'LOCH Calc COE Calc'!S3039))</f>
        <v/>
      </c>
      <c r="U3039" s="13" t="str">
        <f t="shared" si="236"/>
        <v/>
      </c>
      <c r="V3039" s="13" t="str">
        <f t="shared" si="237"/>
        <v/>
      </c>
      <c r="W3039" s="4" t="str">
        <f t="shared" si="238"/>
        <v/>
      </c>
      <c r="X3039" t="str">
        <f>IF(W3039="","",LOOKUP(_xlfn.CONCAT(P3039,", ",Q3039),'[1]T+S Costs'!$F$2:$F$3138,'[1]T+S Costs'!$N$2:$N$3138))</f>
        <v/>
      </c>
      <c r="Y3039" s="14" t="str">
        <f t="shared" si="239"/>
        <v/>
      </c>
      <c r="Z3039" s="4" t="str">
        <f t="shared" si="240"/>
        <v/>
      </c>
    </row>
    <row r="3040" spans="16:26" x14ac:dyDescent="0.25">
      <c r="P3040" s="10" t="str">
        <f>IF('[1]All Data '!AZ3045="","",'[1]All Data '!AZ3045)</f>
        <v/>
      </c>
      <c r="Q3040" s="10" t="str">
        <f>IF('[1]All Data '!BB3045="","",'[1]All Data '!BB3045)</f>
        <v/>
      </c>
      <c r="R3040" s="10" t="str">
        <f>IF('[1]All Data '!BD3045="","",'[1]All Data '!BD3045)</f>
        <v/>
      </c>
      <c r="S3040" s="11" t="str">
        <f>IF(R3040="","",'[1]All Data '!BE3045)</f>
        <v/>
      </c>
      <c r="T3040" s="12" t="str">
        <f>IF(S3040="","",[1]Inputs_Outputs!$B$8*(1-'LOCH Calc COE Calc'!S3040))</f>
        <v/>
      </c>
      <c r="U3040" s="13" t="str">
        <f t="shared" si="236"/>
        <v/>
      </c>
      <c r="V3040" s="13" t="str">
        <f t="shared" si="237"/>
        <v/>
      </c>
      <c r="W3040" s="4" t="str">
        <f t="shared" si="238"/>
        <v/>
      </c>
      <c r="X3040" t="str">
        <f>IF(W3040="","",LOOKUP(_xlfn.CONCAT(P3040,", ",Q3040),'[1]T+S Costs'!$F$2:$F$3138,'[1]T+S Costs'!$N$2:$N$3138))</f>
        <v/>
      </c>
      <c r="Y3040" s="14" t="str">
        <f t="shared" si="239"/>
        <v/>
      </c>
      <c r="Z3040" s="4" t="str">
        <f t="shared" si="240"/>
        <v/>
      </c>
    </row>
    <row r="3041" spans="16:26" x14ac:dyDescent="0.25">
      <c r="P3041" s="10" t="str">
        <f>IF('[1]All Data '!AZ3046="","",'[1]All Data '!AZ3046)</f>
        <v/>
      </c>
      <c r="Q3041" s="10" t="str">
        <f>IF('[1]All Data '!BB3046="","",'[1]All Data '!BB3046)</f>
        <v/>
      </c>
      <c r="R3041" s="10" t="str">
        <f>IF('[1]All Data '!BD3046="","",'[1]All Data '!BD3046)</f>
        <v/>
      </c>
      <c r="S3041" s="11" t="str">
        <f>IF(R3041="","",'[1]All Data '!BE3046)</f>
        <v/>
      </c>
      <c r="T3041" s="12" t="str">
        <f>IF(S3041="","",[1]Inputs_Outputs!$B$8*(1-'LOCH Calc COE Calc'!S3041))</f>
        <v/>
      </c>
      <c r="U3041" s="13" t="str">
        <f t="shared" si="236"/>
        <v/>
      </c>
      <c r="V3041" s="13" t="str">
        <f t="shared" si="237"/>
        <v/>
      </c>
      <c r="W3041" s="4" t="str">
        <f t="shared" si="238"/>
        <v/>
      </c>
      <c r="X3041" t="str">
        <f>IF(W3041="","",LOOKUP(_xlfn.CONCAT(P3041,", ",Q3041),'[1]T+S Costs'!$F$2:$F$3138,'[1]T+S Costs'!$N$2:$N$3138))</f>
        <v/>
      </c>
      <c r="Y3041" s="14" t="str">
        <f t="shared" si="239"/>
        <v/>
      </c>
      <c r="Z3041" s="4" t="str">
        <f t="shared" si="240"/>
        <v/>
      </c>
    </row>
    <row r="3042" spans="16:26" x14ac:dyDescent="0.25">
      <c r="P3042" s="10" t="str">
        <f>IF('[1]All Data '!AZ3047="","",'[1]All Data '!AZ3047)</f>
        <v/>
      </c>
      <c r="Q3042" s="10" t="str">
        <f>IF('[1]All Data '!BB3047="","",'[1]All Data '!BB3047)</f>
        <v/>
      </c>
      <c r="R3042" s="10" t="str">
        <f>IF('[1]All Data '!BD3047="","",'[1]All Data '!BD3047)</f>
        <v/>
      </c>
      <c r="S3042" s="11" t="str">
        <f>IF(R3042="","",'[1]All Data '!BE3047)</f>
        <v/>
      </c>
      <c r="T3042" s="12" t="str">
        <f>IF(S3042="","",[1]Inputs_Outputs!$B$8*(1-'LOCH Calc COE Calc'!S3042))</f>
        <v/>
      </c>
      <c r="U3042" s="13" t="str">
        <f t="shared" si="236"/>
        <v/>
      </c>
      <c r="V3042" s="13" t="str">
        <f t="shared" si="237"/>
        <v/>
      </c>
      <c r="W3042" s="4" t="str">
        <f t="shared" si="238"/>
        <v/>
      </c>
      <c r="X3042" t="str">
        <f>IF(W3042="","",LOOKUP(_xlfn.CONCAT(P3042,", ",Q3042),'[1]T+S Costs'!$F$2:$F$3138,'[1]T+S Costs'!$N$2:$N$3138))</f>
        <v/>
      </c>
      <c r="Y3042" s="14" t="str">
        <f t="shared" si="239"/>
        <v/>
      </c>
      <c r="Z3042" s="4" t="str">
        <f t="shared" si="240"/>
        <v/>
      </c>
    </row>
    <row r="3043" spans="16:26" x14ac:dyDescent="0.25">
      <c r="P3043" s="10" t="str">
        <f>IF('[1]All Data '!AZ3048="","",'[1]All Data '!AZ3048)</f>
        <v/>
      </c>
      <c r="Q3043" s="10" t="str">
        <f>IF('[1]All Data '!BB3048="","",'[1]All Data '!BB3048)</f>
        <v/>
      </c>
      <c r="R3043" s="10" t="str">
        <f>IF('[1]All Data '!BD3048="","",'[1]All Data '!BD3048)</f>
        <v/>
      </c>
      <c r="S3043" s="11" t="str">
        <f>IF(R3043="","",'[1]All Data '!BE3048)</f>
        <v/>
      </c>
      <c r="T3043" s="12" t="str">
        <f>IF(S3043="","",[1]Inputs_Outputs!$B$8*(1-'LOCH Calc COE Calc'!S3043))</f>
        <v/>
      </c>
      <c r="U3043" s="13" t="str">
        <f t="shared" ref="U3043:U3106" si="241">IF(S3043="","",R3043*T3043*365*$B$19/100)</f>
        <v/>
      </c>
      <c r="V3043" s="13" t="str">
        <f t="shared" ref="V3043:V3106" si="242">IF(S3043="","",(U3043*$B$19)/(($B$28)*$B$19))</f>
        <v/>
      </c>
      <c r="W3043" s="4" t="str">
        <f t="shared" ref="W3043:W3106" si="243">IF(S3043="","",V3043+$C$49+$C$50+$C$51)</f>
        <v/>
      </c>
      <c r="X3043" t="str">
        <f>IF(W3043="","",LOOKUP(_xlfn.CONCAT(P3043,", ",Q3043),'[1]T+S Costs'!$F$2:$F$3138,'[1]T+S Costs'!$N$2:$N$3138))</f>
        <v/>
      </c>
      <c r="Y3043" s="14" t="str">
        <f t="shared" si="239"/>
        <v/>
      </c>
      <c r="Z3043" s="4" t="str">
        <f t="shared" si="240"/>
        <v/>
      </c>
    </row>
    <row r="3044" spans="16:26" x14ac:dyDescent="0.25">
      <c r="P3044" s="10" t="str">
        <f>IF('[1]All Data '!AZ3049="","",'[1]All Data '!AZ3049)</f>
        <v/>
      </c>
      <c r="Q3044" s="10" t="str">
        <f>IF('[1]All Data '!BB3049="","",'[1]All Data '!BB3049)</f>
        <v/>
      </c>
      <c r="R3044" s="10" t="str">
        <f>IF('[1]All Data '!BD3049="","",'[1]All Data '!BD3049)</f>
        <v/>
      </c>
      <c r="S3044" s="11" t="str">
        <f>IF(R3044="","",'[1]All Data '!BE3049)</f>
        <v/>
      </c>
      <c r="T3044" s="12" t="str">
        <f>IF(S3044="","",[1]Inputs_Outputs!$B$8*(1-'LOCH Calc COE Calc'!S3044))</f>
        <v/>
      </c>
      <c r="U3044" s="13" t="str">
        <f t="shared" si="241"/>
        <v/>
      </c>
      <c r="V3044" s="13" t="str">
        <f t="shared" si="242"/>
        <v/>
      </c>
      <c r="W3044" s="4" t="str">
        <f t="shared" si="243"/>
        <v/>
      </c>
      <c r="X3044" t="str">
        <f>IF(W3044="","",LOOKUP(_xlfn.CONCAT(P3044,", ",Q3044),'[1]T+S Costs'!$F$2:$F$3138,'[1]T+S Costs'!$N$2:$N$3138))</f>
        <v/>
      </c>
      <c r="Y3044" s="14" t="str">
        <f t="shared" si="239"/>
        <v/>
      </c>
      <c r="Z3044" s="4" t="str">
        <f t="shared" si="240"/>
        <v/>
      </c>
    </row>
    <row r="3045" spans="16:26" x14ac:dyDescent="0.25">
      <c r="P3045" s="10" t="str">
        <f>IF('[1]All Data '!AZ3050="","",'[1]All Data '!AZ3050)</f>
        <v/>
      </c>
      <c r="Q3045" s="10" t="str">
        <f>IF('[1]All Data '!BB3050="","",'[1]All Data '!BB3050)</f>
        <v/>
      </c>
      <c r="R3045" s="10" t="str">
        <f>IF('[1]All Data '!BD3050="","",'[1]All Data '!BD3050)</f>
        <v/>
      </c>
      <c r="S3045" s="11" t="str">
        <f>IF(R3045="","",'[1]All Data '!BE3050)</f>
        <v/>
      </c>
      <c r="T3045" s="12" t="str">
        <f>IF(S3045="","",[1]Inputs_Outputs!$B$8*(1-'LOCH Calc COE Calc'!S3045))</f>
        <v/>
      </c>
      <c r="U3045" s="13" t="str">
        <f t="shared" si="241"/>
        <v/>
      </c>
      <c r="V3045" s="13" t="str">
        <f t="shared" si="242"/>
        <v/>
      </c>
      <c r="W3045" s="4" t="str">
        <f t="shared" si="243"/>
        <v/>
      </c>
      <c r="X3045" t="str">
        <f>IF(W3045="","",LOOKUP(_xlfn.CONCAT(P3045,", ",Q3045),'[1]T+S Costs'!$F$2:$F$3138,'[1]T+S Costs'!$N$2:$N$3138))</f>
        <v/>
      </c>
      <c r="Y3045" s="14" t="str">
        <f t="shared" si="239"/>
        <v/>
      </c>
      <c r="Z3045" s="4" t="str">
        <f t="shared" si="240"/>
        <v/>
      </c>
    </row>
    <row r="3046" spans="16:26" x14ac:dyDescent="0.25">
      <c r="P3046" s="10" t="str">
        <f>IF('[1]All Data '!AZ3051="","",'[1]All Data '!AZ3051)</f>
        <v/>
      </c>
      <c r="Q3046" s="10" t="str">
        <f>IF('[1]All Data '!BB3051="","",'[1]All Data '!BB3051)</f>
        <v/>
      </c>
      <c r="R3046" s="10" t="str">
        <f>IF('[1]All Data '!BD3051="","",'[1]All Data '!BD3051)</f>
        <v/>
      </c>
      <c r="S3046" s="11" t="str">
        <f>IF(R3046="","",'[1]All Data '!BE3051)</f>
        <v/>
      </c>
      <c r="T3046" s="12" t="str">
        <f>IF(S3046="","",[1]Inputs_Outputs!$B$8*(1-'LOCH Calc COE Calc'!S3046))</f>
        <v/>
      </c>
      <c r="U3046" s="13" t="str">
        <f t="shared" si="241"/>
        <v/>
      </c>
      <c r="V3046" s="13" t="str">
        <f t="shared" si="242"/>
        <v/>
      </c>
      <c r="W3046" s="4" t="str">
        <f t="shared" si="243"/>
        <v/>
      </c>
      <c r="X3046" t="str">
        <f>IF(W3046="","",LOOKUP(_xlfn.CONCAT(P3046,", ",Q3046),'[1]T+S Costs'!$F$2:$F$3138,'[1]T+S Costs'!$N$2:$N$3138))</f>
        <v/>
      </c>
      <c r="Y3046" s="14" t="str">
        <f t="shared" si="239"/>
        <v/>
      </c>
      <c r="Z3046" s="4" t="str">
        <f t="shared" si="240"/>
        <v/>
      </c>
    </row>
    <row r="3047" spans="16:26" x14ac:dyDescent="0.25">
      <c r="P3047" s="10" t="str">
        <f>IF('[1]All Data '!AZ3052="","",'[1]All Data '!AZ3052)</f>
        <v/>
      </c>
      <c r="Q3047" s="10" t="str">
        <f>IF('[1]All Data '!BB3052="","",'[1]All Data '!BB3052)</f>
        <v/>
      </c>
      <c r="R3047" s="10" t="str">
        <f>IF('[1]All Data '!BD3052="","",'[1]All Data '!BD3052)</f>
        <v/>
      </c>
      <c r="S3047" s="11" t="str">
        <f>IF(R3047="","",'[1]All Data '!BE3052)</f>
        <v/>
      </c>
      <c r="T3047" s="12" t="str">
        <f>IF(S3047="","",[1]Inputs_Outputs!$B$8*(1-'LOCH Calc COE Calc'!S3047))</f>
        <v/>
      </c>
      <c r="U3047" s="13" t="str">
        <f t="shared" si="241"/>
        <v/>
      </c>
      <c r="V3047" s="13" t="str">
        <f t="shared" si="242"/>
        <v/>
      </c>
      <c r="W3047" s="4" t="str">
        <f t="shared" si="243"/>
        <v/>
      </c>
      <c r="X3047" t="str">
        <f>IF(W3047="","",LOOKUP(_xlfn.CONCAT(P3047,", ",Q3047),'[1]T+S Costs'!$F$2:$F$3138,'[1]T+S Costs'!$N$2:$N$3138))</f>
        <v/>
      </c>
      <c r="Y3047" s="14" t="str">
        <f t="shared" si="239"/>
        <v/>
      </c>
      <c r="Z3047" s="4" t="str">
        <f t="shared" si="240"/>
        <v/>
      </c>
    </row>
    <row r="3048" spans="16:26" x14ac:dyDescent="0.25">
      <c r="P3048" s="10" t="str">
        <f>IF('[1]All Data '!AZ3053="","",'[1]All Data '!AZ3053)</f>
        <v/>
      </c>
      <c r="Q3048" s="10" t="str">
        <f>IF('[1]All Data '!BB3053="","",'[1]All Data '!BB3053)</f>
        <v/>
      </c>
      <c r="R3048" s="10" t="str">
        <f>IF('[1]All Data '!BD3053="","",'[1]All Data '!BD3053)</f>
        <v/>
      </c>
      <c r="S3048" s="11" t="str">
        <f>IF(R3048="","",'[1]All Data '!BE3053)</f>
        <v/>
      </c>
      <c r="T3048" s="12" t="str">
        <f>IF(S3048="","",[1]Inputs_Outputs!$B$8*(1-'LOCH Calc COE Calc'!S3048))</f>
        <v/>
      </c>
      <c r="U3048" s="13" t="str">
        <f t="shared" si="241"/>
        <v/>
      </c>
      <c r="V3048" s="13" t="str">
        <f t="shared" si="242"/>
        <v/>
      </c>
      <c r="W3048" s="4" t="str">
        <f t="shared" si="243"/>
        <v/>
      </c>
      <c r="X3048" t="str">
        <f>IF(W3048="","",LOOKUP(_xlfn.CONCAT(P3048,", ",Q3048),'[1]T+S Costs'!$F$2:$F$3138,'[1]T+S Costs'!$N$2:$N$3138))</f>
        <v/>
      </c>
      <c r="Y3048" s="14" t="str">
        <f t="shared" si="239"/>
        <v/>
      </c>
      <c r="Z3048" s="4" t="str">
        <f t="shared" si="240"/>
        <v/>
      </c>
    </row>
    <row r="3049" spans="16:26" x14ac:dyDescent="0.25">
      <c r="P3049" s="10" t="str">
        <f>IF('[1]All Data '!AZ3054="","",'[1]All Data '!AZ3054)</f>
        <v/>
      </c>
      <c r="Q3049" s="10" t="str">
        <f>IF('[1]All Data '!BB3054="","",'[1]All Data '!BB3054)</f>
        <v/>
      </c>
      <c r="R3049" s="10" t="str">
        <f>IF('[1]All Data '!BD3054="","",'[1]All Data '!BD3054)</f>
        <v/>
      </c>
      <c r="S3049" s="11" t="str">
        <f>IF(R3049="","",'[1]All Data '!BE3054)</f>
        <v/>
      </c>
      <c r="T3049" s="12" t="str">
        <f>IF(S3049="","",[1]Inputs_Outputs!$B$8*(1-'LOCH Calc COE Calc'!S3049))</f>
        <v/>
      </c>
      <c r="U3049" s="13" t="str">
        <f t="shared" si="241"/>
        <v/>
      </c>
      <c r="V3049" s="13" t="str">
        <f t="shared" si="242"/>
        <v/>
      </c>
      <c r="W3049" s="4" t="str">
        <f t="shared" si="243"/>
        <v/>
      </c>
      <c r="X3049" t="str">
        <f>IF(W3049="","",LOOKUP(_xlfn.CONCAT(P3049,", ",Q3049),'[1]T+S Costs'!$F$2:$F$3138,'[1]T+S Costs'!$N$2:$N$3138))</f>
        <v/>
      </c>
      <c r="Y3049" s="14" t="str">
        <f t="shared" si="239"/>
        <v/>
      </c>
      <c r="Z3049" s="4" t="str">
        <f t="shared" si="240"/>
        <v/>
      </c>
    </row>
    <row r="3050" spans="16:26" x14ac:dyDescent="0.25">
      <c r="P3050" s="10" t="str">
        <f>IF('[1]All Data '!AZ3055="","",'[1]All Data '!AZ3055)</f>
        <v/>
      </c>
      <c r="Q3050" s="10" t="str">
        <f>IF('[1]All Data '!BB3055="","",'[1]All Data '!BB3055)</f>
        <v/>
      </c>
      <c r="R3050" s="10" t="str">
        <f>IF('[1]All Data '!BD3055="","",'[1]All Data '!BD3055)</f>
        <v/>
      </c>
      <c r="S3050" s="11" t="str">
        <f>IF(R3050="","",'[1]All Data '!BE3055)</f>
        <v/>
      </c>
      <c r="T3050" s="12" t="str">
        <f>IF(S3050="","",[1]Inputs_Outputs!$B$8*(1-'LOCH Calc COE Calc'!S3050))</f>
        <v/>
      </c>
      <c r="U3050" s="13" t="str">
        <f t="shared" si="241"/>
        <v/>
      </c>
      <c r="V3050" s="13" t="str">
        <f t="shared" si="242"/>
        <v/>
      </c>
      <c r="W3050" s="4" t="str">
        <f t="shared" si="243"/>
        <v/>
      </c>
      <c r="X3050" t="str">
        <f>IF(W3050="","",LOOKUP(_xlfn.CONCAT(P3050,", ",Q3050),'[1]T+S Costs'!$F$2:$F$3138,'[1]T+S Costs'!$N$2:$N$3138))</f>
        <v/>
      </c>
      <c r="Y3050" s="14" t="str">
        <f t="shared" si="239"/>
        <v/>
      </c>
      <c r="Z3050" s="4" t="str">
        <f t="shared" si="240"/>
        <v/>
      </c>
    </row>
    <row r="3051" spans="16:26" x14ac:dyDescent="0.25">
      <c r="P3051" s="10" t="str">
        <f>IF('[1]All Data '!AZ3056="","",'[1]All Data '!AZ3056)</f>
        <v/>
      </c>
      <c r="Q3051" s="10" t="str">
        <f>IF('[1]All Data '!BB3056="","",'[1]All Data '!BB3056)</f>
        <v/>
      </c>
      <c r="R3051" s="10" t="str">
        <f>IF('[1]All Data '!BD3056="","",'[1]All Data '!BD3056)</f>
        <v/>
      </c>
      <c r="S3051" s="11" t="str">
        <f>IF(R3051="","",'[1]All Data '!BE3056)</f>
        <v/>
      </c>
      <c r="T3051" s="12" t="str">
        <f>IF(S3051="","",[1]Inputs_Outputs!$B$8*(1-'LOCH Calc COE Calc'!S3051))</f>
        <v/>
      </c>
      <c r="U3051" s="13" t="str">
        <f t="shared" si="241"/>
        <v/>
      </c>
      <c r="V3051" s="13" t="str">
        <f t="shared" si="242"/>
        <v/>
      </c>
      <c r="W3051" s="4" t="str">
        <f t="shared" si="243"/>
        <v/>
      </c>
      <c r="X3051" t="str">
        <f>IF(W3051="","",LOOKUP(_xlfn.CONCAT(P3051,", ",Q3051),'[1]T+S Costs'!$F$2:$F$3138,'[1]T+S Costs'!$N$2:$N$3138))</f>
        <v/>
      </c>
      <c r="Y3051" s="14" t="str">
        <f t="shared" si="239"/>
        <v/>
      </c>
      <c r="Z3051" s="4" t="str">
        <f t="shared" si="240"/>
        <v/>
      </c>
    </row>
    <row r="3052" spans="16:26" x14ac:dyDescent="0.25">
      <c r="P3052" s="10" t="str">
        <f>IF('[1]All Data '!AZ3057="","",'[1]All Data '!AZ3057)</f>
        <v/>
      </c>
      <c r="Q3052" s="10" t="str">
        <f>IF('[1]All Data '!BB3057="","",'[1]All Data '!BB3057)</f>
        <v/>
      </c>
      <c r="R3052" s="10" t="str">
        <f>IF('[1]All Data '!BD3057="","",'[1]All Data '!BD3057)</f>
        <v/>
      </c>
      <c r="S3052" s="11" t="str">
        <f>IF(R3052="","",'[1]All Data '!BE3057)</f>
        <v/>
      </c>
      <c r="T3052" s="12" t="str">
        <f>IF(S3052="","",[1]Inputs_Outputs!$B$8*(1-'LOCH Calc COE Calc'!S3052))</f>
        <v/>
      </c>
      <c r="U3052" s="13" t="str">
        <f t="shared" si="241"/>
        <v/>
      </c>
      <c r="V3052" s="13" t="str">
        <f t="shared" si="242"/>
        <v/>
      </c>
      <c r="W3052" s="4" t="str">
        <f t="shared" si="243"/>
        <v/>
      </c>
      <c r="X3052" t="str">
        <f>IF(W3052="","",LOOKUP(_xlfn.CONCAT(P3052,", ",Q3052),'[1]T+S Costs'!$F$2:$F$3138,'[1]T+S Costs'!$N$2:$N$3138))</f>
        <v/>
      </c>
      <c r="Y3052" s="14" t="str">
        <f t="shared" si="239"/>
        <v/>
      </c>
      <c r="Z3052" s="4" t="str">
        <f t="shared" si="240"/>
        <v/>
      </c>
    </row>
    <row r="3053" spans="16:26" x14ac:dyDescent="0.25">
      <c r="P3053" s="10" t="str">
        <f>IF('[1]All Data '!AZ3058="","",'[1]All Data '!AZ3058)</f>
        <v/>
      </c>
      <c r="Q3053" s="10" t="str">
        <f>IF('[1]All Data '!BB3058="","",'[1]All Data '!BB3058)</f>
        <v/>
      </c>
      <c r="R3053" s="10" t="str">
        <f>IF('[1]All Data '!BD3058="","",'[1]All Data '!BD3058)</f>
        <v/>
      </c>
      <c r="S3053" s="11" t="str">
        <f>IF(R3053="","",'[1]All Data '!BE3058)</f>
        <v/>
      </c>
      <c r="T3053" s="12" t="str">
        <f>IF(S3053="","",[1]Inputs_Outputs!$B$8*(1-'LOCH Calc COE Calc'!S3053))</f>
        <v/>
      </c>
      <c r="U3053" s="13" t="str">
        <f t="shared" si="241"/>
        <v/>
      </c>
      <c r="V3053" s="13" t="str">
        <f t="shared" si="242"/>
        <v/>
      </c>
      <c r="W3053" s="4" t="str">
        <f t="shared" si="243"/>
        <v/>
      </c>
      <c r="X3053" t="str">
        <f>IF(W3053="","",LOOKUP(_xlfn.CONCAT(P3053,", ",Q3053),'[1]T+S Costs'!$F$2:$F$3138,'[1]T+S Costs'!$N$2:$N$3138))</f>
        <v/>
      </c>
      <c r="Y3053" s="14" t="str">
        <f t="shared" si="239"/>
        <v/>
      </c>
      <c r="Z3053" s="4" t="str">
        <f t="shared" si="240"/>
        <v/>
      </c>
    </row>
    <row r="3054" spans="16:26" x14ac:dyDescent="0.25">
      <c r="P3054" s="10" t="str">
        <f>IF('[1]All Data '!AZ3059="","",'[1]All Data '!AZ3059)</f>
        <v/>
      </c>
      <c r="Q3054" s="10" t="str">
        <f>IF('[1]All Data '!BB3059="","",'[1]All Data '!BB3059)</f>
        <v/>
      </c>
      <c r="R3054" s="10" t="str">
        <f>IF('[1]All Data '!BD3059="","",'[1]All Data '!BD3059)</f>
        <v/>
      </c>
      <c r="S3054" s="11" t="str">
        <f>IF(R3054="","",'[1]All Data '!BE3059)</f>
        <v/>
      </c>
      <c r="T3054" s="12" t="str">
        <f>IF(S3054="","",[1]Inputs_Outputs!$B$8*(1-'LOCH Calc COE Calc'!S3054))</f>
        <v/>
      </c>
      <c r="U3054" s="13" t="str">
        <f t="shared" si="241"/>
        <v/>
      </c>
      <c r="V3054" s="13" t="str">
        <f t="shared" si="242"/>
        <v/>
      </c>
      <c r="W3054" s="4" t="str">
        <f t="shared" si="243"/>
        <v/>
      </c>
      <c r="X3054" t="str">
        <f>IF(W3054="","",LOOKUP(_xlfn.CONCAT(P3054,", ",Q3054),'[1]T+S Costs'!$F$2:$F$3138,'[1]T+S Costs'!$N$2:$N$3138))</f>
        <v/>
      </c>
      <c r="Y3054" s="14" t="str">
        <f t="shared" si="239"/>
        <v/>
      </c>
      <c r="Z3054" s="4" t="str">
        <f t="shared" si="240"/>
        <v/>
      </c>
    </row>
    <row r="3055" spans="16:26" x14ac:dyDescent="0.25">
      <c r="P3055" s="10" t="str">
        <f>IF('[1]All Data '!AZ3060="","",'[1]All Data '!AZ3060)</f>
        <v/>
      </c>
      <c r="Q3055" s="10" t="str">
        <f>IF('[1]All Data '!BB3060="","",'[1]All Data '!BB3060)</f>
        <v/>
      </c>
      <c r="R3055" s="10" t="str">
        <f>IF('[1]All Data '!BD3060="","",'[1]All Data '!BD3060)</f>
        <v/>
      </c>
      <c r="S3055" s="11" t="str">
        <f>IF(R3055="","",'[1]All Data '!BE3060)</f>
        <v/>
      </c>
      <c r="T3055" s="12" t="str">
        <f>IF(S3055="","",[1]Inputs_Outputs!$B$8*(1-'LOCH Calc COE Calc'!S3055))</f>
        <v/>
      </c>
      <c r="U3055" s="13" t="str">
        <f t="shared" si="241"/>
        <v/>
      </c>
      <c r="V3055" s="13" t="str">
        <f t="shared" si="242"/>
        <v/>
      </c>
      <c r="W3055" s="4" t="str">
        <f t="shared" si="243"/>
        <v/>
      </c>
      <c r="X3055" t="str">
        <f>IF(W3055="","",LOOKUP(_xlfn.CONCAT(P3055,", ",Q3055),'[1]T+S Costs'!$F$2:$F$3138,'[1]T+S Costs'!$N$2:$N$3138))</f>
        <v/>
      </c>
      <c r="Y3055" s="14" t="str">
        <f t="shared" si="239"/>
        <v/>
      </c>
      <c r="Z3055" s="4" t="str">
        <f t="shared" si="240"/>
        <v/>
      </c>
    </row>
    <row r="3056" spans="16:26" x14ac:dyDescent="0.25">
      <c r="P3056" s="10" t="str">
        <f>IF('[1]All Data '!AZ3061="","",'[1]All Data '!AZ3061)</f>
        <v/>
      </c>
      <c r="Q3056" s="10" t="str">
        <f>IF('[1]All Data '!BB3061="","",'[1]All Data '!BB3061)</f>
        <v/>
      </c>
      <c r="R3056" s="10" t="str">
        <f>IF('[1]All Data '!BD3061="","",'[1]All Data '!BD3061)</f>
        <v/>
      </c>
      <c r="S3056" s="11" t="str">
        <f>IF(R3056="","",'[1]All Data '!BE3061)</f>
        <v/>
      </c>
      <c r="T3056" s="12" t="str">
        <f>IF(S3056="","",[1]Inputs_Outputs!$B$8*(1-'LOCH Calc COE Calc'!S3056))</f>
        <v/>
      </c>
      <c r="U3056" s="13" t="str">
        <f t="shared" si="241"/>
        <v/>
      </c>
      <c r="V3056" s="13" t="str">
        <f t="shared" si="242"/>
        <v/>
      </c>
      <c r="W3056" s="4" t="str">
        <f t="shared" si="243"/>
        <v/>
      </c>
      <c r="X3056" t="str">
        <f>IF(W3056="","",LOOKUP(_xlfn.CONCAT(P3056,", ",Q3056),'[1]T+S Costs'!$F$2:$F$3138,'[1]T+S Costs'!$N$2:$N$3138))</f>
        <v/>
      </c>
      <c r="Y3056" s="14" t="str">
        <f t="shared" si="239"/>
        <v/>
      </c>
      <c r="Z3056" s="4" t="str">
        <f t="shared" si="240"/>
        <v/>
      </c>
    </row>
    <row r="3057" spans="16:26" x14ac:dyDescent="0.25">
      <c r="P3057" s="10" t="str">
        <f>IF('[1]All Data '!AZ3062="","",'[1]All Data '!AZ3062)</f>
        <v/>
      </c>
      <c r="Q3057" s="10" t="str">
        <f>IF('[1]All Data '!BB3062="","",'[1]All Data '!BB3062)</f>
        <v/>
      </c>
      <c r="R3057" s="10" t="str">
        <f>IF('[1]All Data '!BD3062="","",'[1]All Data '!BD3062)</f>
        <v/>
      </c>
      <c r="S3057" s="11" t="str">
        <f>IF(R3057="","",'[1]All Data '!BE3062)</f>
        <v/>
      </c>
      <c r="T3057" s="12" t="str">
        <f>IF(S3057="","",[1]Inputs_Outputs!$B$8*(1-'LOCH Calc COE Calc'!S3057))</f>
        <v/>
      </c>
      <c r="U3057" s="13" t="str">
        <f t="shared" si="241"/>
        <v/>
      </c>
      <c r="V3057" s="13" t="str">
        <f t="shared" si="242"/>
        <v/>
      </c>
      <c r="W3057" s="4" t="str">
        <f t="shared" si="243"/>
        <v/>
      </c>
      <c r="X3057" t="str">
        <f>IF(W3057="","",LOOKUP(_xlfn.CONCAT(P3057,", ",Q3057),'[1]T+S Costs'!$F$2:$F$3138,'[1]T+S Costs'!$N$2:$N$3138))</f>
        <v/>
      </c>
      <c r="Y3057" s="14" t="str">
        <f t="shared" si="239"/>
        <v/>
      </c>
      <c r="Z3057" s="4" t="str">
        <f t="shared" si="240"/>
        <v/>
      </c>
    </row>
    <row r="3058" spans="16:26" x14ac:dyDescent="0.25">
      <c r="P3058" s="10" t="str">
        <f>IF('[1]All Data '!AZ3063="","",'[1]All Data '!AZ3063)</f>
        <v/>
      </c>
      <c r="Q3058" s="10" t="str">
        <f>IF('[1]All Data '!BB3063="","",'[1]All Data '!BB3063)</f>
        <v/>
      </c>
      <c r="R3058" s="10" t="str">
        <f>IF('[1]All Data '!BD3063="","",'[1]All Data '!BD3063)</f>
        <v/>
      </c>
      <c r="S3058" s="11" t="str">
        <f>IF(R3058="","",'[1]All Data '!BE3063)</f>
        <v/>
      </c>
      <c r="T3058" s="12" t="str">
        <f>IF(S3058="","",[1]Inputs_Outputs!$B$8*(1-'LOCH Calc COE Calc'!S3058))</f>
        <v/>
      </c>
      <c r="U3058" s="13" t="str">
        <f t="shared" si="241"/>
        <v/>
      </c>
      <c r="V3058" s="13" t="str">
        <f t="shared" si="242"/>
        <v/>
      </c>
      <c r="W3058" s="4" t="str">
        <f t="shared" si="243"/>
        <v/>
      </c>
      <c r="X3058" t="str">
        <f>IF(W3058="","",LOOKUP(_xlfn.CONCAT(P3058,", ",Q3058),'[1]T+S Costs'!$F$2:$F$3138,'[1]T+S Costs'!$N$2:$N$3138))</f>
        <v/>
      </c>
      <c r="Y3058" s="14" t="str">
        <f t="shared" si="239"/>
        <v/>
      </c>
      <c r="Z3058" s="4" t="str">
        <f t="shared" si="240"/>
        <v/>
      </c>
    </row>
    <row r="3059" spans="16:26" x14ac:dyDescent="0.25">
      <c r="P3059" s="10" t="str">
        <f>IF('[1]All Data '!AZ3064="","",'[1]All Data '!AZ3064)</f>
        <v/>
      </c>
      <c r="Q3059" s="10" t="str">
        <f>IF('[1]All Data '!BB3064="","",'[1]All Data '!BB3064)</f>
        <v/>
      </c>
      <c r="R3059" s="10" t="str">
        <f>IF('[1]All Data '!BD3064="","",'[1]All Data '!BD3064)</f>
        <v/>
      </c>
      <c r="S3059" s="11" t="str">
        <f>IF(R3059="","",'[1]All Data '!BE3064)</f>
        <v/>
      </c>
      <c r="T3059" s="12" t="str">
        <f>IF(S3059="","",[1]Inputs_Outputs!$B$8*(1-'LOCH Calc COE Calc'!S3059))</f>
        <v/>
      </c>
      <c r="U3059" s="13" t="str">
        <f t="shared" si="241"/>
        <v/>
      </c>
      <c r="V3059" s="13" t="str">
        <f t="shared" si="242"/>
        <v/>
      </c>
      <c r="W3059" s="4" t="str">
        <f t="shared" si="243"/>
        <v/>
      </c>
      <c r="X3059" t="str">
        <f>IF(W3059="","",LOOKUP(_xlfn.CONCAT(P3059,", ",Q3059),'[1]T+S Costs'!$F$2:$F$3138,'[1]T+S Costs'!$N$2:$N$3138))</f>
        <v/>
      </c>
      <c r="Y3059" s="14" t="str">
        <f t="shared" si="239"/>
        <v/>
      </c>
      <c r="Z3059" s="4" t="str">
        <f t="shared" si="240"/>
        <v/>
      </c>
    </row>
    <row r="3060" spans="16:26" x14ac:dyDescent="0.25">
      <c r="P3060" s="10" t="str">
        <f>IF('[1]All Data '!AZ3065="","",'[1]All Data '!AZ3065)</f>
        <v/>
      </c>
      <c r="Q3060" s="10" t="str">
        <f>IF('[1]All Data '!BB3065="","",'[1]All Data '!BB3065)</f>
        <v/>
      </c>
      <c r="R3060" s="10" t="str">
        <f>IF('[1]All Data '!BD3065="","",'[1]All Data '!BD3065)</f>
        <v/>
      </c>
      <c r="S3060" s="11" t="str">
        <f>IF(R3060="","",'[1]All Data '!BE3065)</f>
        <v/>
      </c>
      <c r="T3060" s="12" t="str">
        <f>IF(S3060="","",[1]Inputs_Outputs!$B$8*(1-'LOCH Calc COE Calc'!S3060))</f>
        <v/>
      </c>
      <c r="U3060" s="13" t="str">
        <f t="shared" si="241"/>
        <v/>
      </c>
      <c r="V3060" s="13" t="str">
        <f t="shared" si="242"/>
        <v/>
      </c>
      <c r="W3060" s="4" t="str">
        <f t="shared" si="243"/>
        <v/>
      </c>
      <c r="X3060" t="str">
        <f>IF(W3060="","",LOOKUP(_xlfn.CONCAT(P3060,", ",Q3060),'[1]T+S Costs'!$F$2:$F$3138,'[1]T+S Costs'!$N$2:$N$3138))</f>
        <v/>
      </c>
      <c r="Y3060" s="14" t="str">
        <f t="shared" si="239"/>
        <v/>
      </c>
      <c r="Z3060" s="4" t="str">
        <f t="shared" si="240"/>
        <v/>
      </c>
    </row>
    <row r="3061" spans="16:26" x14ac:dyDescent="0.25">
      <c r="P3061" s="10" t="str">
        <f>IF('[1]All Data '!AZ3066="","",'[1]All Data '!AZ3066)</f>
        <v/>
      </c>
      <c r="Q3061" s="10" t="str">
        <f>IF('[1]All Data '!BB3066="","",'[1]All Data '!BB3066)</f>
        <v/>
      </c>
      <c r="R3061" s="10" t="str">
        <f>IF('[1]All Data '!BD3066="","",'[1]All Data '!BD3066)</f>
        <v/>
      </c>
      <c r="S3061" s="11" t="str">
        <f>IF(R3061="","",'[1]All Data '!BE3066)</f>
        <v/>
      </c>
      <c r="T3061" s="12" t="str">
        <f>IF(S3061="","",[1]Inputs_Outputs!$B$8*(1-'LOCH Calc COE Calc'!S3061))</f>
        <v/>
      </c>
      <c r="U3061" s="13" t="str">
        <f t="shared" si="241"/>
        <v/>
      </c>
      <c r="V3061" s="13" t="str">
        <f t="shared" si="242"/>
        <v/>
      </c>
      <c r="W3061" s="4" t="str">
        <f t="shared" si="243"/>
        <v/>
      </c>
      <c r="X3061" t="str">
        <f>IF(W3061="","",LOOKUP(_xlfn.CONCAT(P3061,", ",Q3061),'[1]T+S Costs'!$F$2:$F$3138,'[1]T+S Costs'!$N$2:$N$3138))</f>
        <v/>
      </c>
      <c r="Y3061" s="14" t="str">
        <f t="shared" si="239"/>
        <v/>
      </c>
      <c r="Z3061" s="4" t="str">
        <f t="shared" si="240"/>
        <v/>
      </c>
    </row>
    <row r="3062" spans="16:26" x14ac:dyDescent="0.25">
      <c r="P3062" s="10" t="str">
        <f>IF('[1]All Data '!AZ3067="","",'[1]All Data '!AZ3067)</f>
        <v/>
      </c>
      <c r="Q3062" s="10" t="str">
        <f>IF('[1]All Data '!BB3067="","",'[1]All Data '!BB3067)</f>
        <v/>
      </c>
      <c r="R3062" s="10" t="str">
        <f>IF('[1]All Data '!BD3067="","",'[1]All Data '!BD3067)</f>
        <v/>
      </c>
      <c r="S3062" s="11" t="str">
        <f>IF(R3062="","",'[1]All Data '!BE3067)</f>
        <v/>
      </c>
      <c r="T3062" s="12" t="str">
        <f>IF(S3062="","",[1]Inputs_Outputs!$B$8*(1-'LOCH Calc COE Calc'!S3062))</f>
        <v/>
      </c>
      <c r="U3062" s="13" t="str">
        <f t="shared" si="241"/>
        <v/>
      </c>
      <c r="V3062" s="13" t="str">
        <f t="shared" si="242"/>
        <v/>
      </c>
      <c r="W3062" s="4" t="str">
        <f t="shared" si="243"/>
        <v/>
      </c>
      <c r="X3062" t="str">
        <f>IF(W3062="","",LOOKUP(_xlfn.CONCAT(P3062,", ",Q3062),'[1]T+S Costs'!$F$2:$F$3138,'[1]T+S Costs'!$N$2:$N$3138))</f>
        <v/>
      </c>
      <c r="Y3062" s="14" t="str">
        <f t="shared" si="239"/>
        <v/>
      </c>
      <c r="Z3062" s="4" t="str">
        <f t="shared" si="240"/>
        <v/>
      </c>
    </row>
    <row r="3063" spans="16:26" x14ac:dyDescent="0.25">
      <c r="P3063" s="10" t="str">
        <f>IF('[1]All Data '!AZ3068="","",'[1]All Data '!AZ3068)</f>
        <v/>
      </c>
      <c r="Q3063" s="10" t="str">
        <f>IF('[1]All Data '!BB3068="","",'[1]All Data '!BB3068)</f>
        <v/>
      </c>
      <c r="R3063" s="10" t="str">
        <f>IF('[1]All Data '!BD3068="","",'[1]All Data '!BD3068)</f>
        <v/>
      </c>
      <c r="S3063" s="11" t="str">
        <f>IF(R3063="","",'[1]All Data '!BE3068)</f>
        <v/>
      </c>
      <c r="T3063" s="12" t="str">
        <f>IF(S3063="","",[1]Inputs_Outputs!$B$8*(1-'LOCH Calc COE Calc'!S3063))</f>
        <v/>
      </c>
      <c r="U3063" s="13" t="str">
        <f t="shared" si="241"/>
        <v/>
      </c>
      <c r="V3063" s="13" t="str">
        <f t="shared" si="242"/>
        <v/>
      </c>
      <c r="W3063" s="4" t="str">
        <f t="shared" si="243"/>
        <v/>
      </c>
      <c r="X3063" t="str">
        <f>IF(W3063="","",LOOKUP(_xlfn.CONCAT(P3063,", ",Q3063),'[1]T+S Costs'!$F$2:$F$3138,'[1]T+S Costs'!$N$2:$N$3138))</f>
        <v/>
      </c>
      <c r="Y3063" s="14" t="str">
        <f t="shared" si="239"/>
        <v/>
      </c>
      <c r="Z3063" s="4" t="str">
        <f t="shared" si="240"/>
        <v/>
      </c>
    </row>
    <row r="3064" spans="16:26" x14ac:dyDescent="0.25">
      <c r="P3064" s="10" t="str">
        <f>IF('[1]All Data '!AZ3069="","",'[1]All Data '!AZ3069)</f>
        <v/>
      </c>
      <c r="Q3064" s="10" t="str">
        <f>IF('[1]All Data '!BB3069="","",'[1]All Data '!BB3069)</f>
        <v/>
      </c>
      <c r="R3064" s="10" t="str">
        <f>IF('[1]All Data '!BD3069="","",'[1]All Data '!BD3069)</f>
        <v/>
      </c>
      <c r="S3064" s="11" t="str">
        <f>IF(R3064="","",'[1]All Data '!BE3069)</f>
        <v/>
      </c>
      <c r="T3064" s="12" t="str">
        <f>IF(S3064="","",[1]Inputs_Outputs!$B$8*(1-'LOCH Calc COE Calc'!S3064))</f>
        <v/>
      </c>
      <c r="U3064" s="13" t="str">
        <f t="shared" si="241"/>
        <v/>
      </c>
      <c r="V3064" s="13" t="str">
        <f t="shared" si="242"/>
        <v/>
      </c>
      <c r="W3064" s="4" t="str">
        <f t="shared" si="243"/>
        <v/>
      </c>
      <c r="X3064" t="str">
        <f>IF(W3064="","",LOOKUP(_xlfn.CONCAT(P3064,", ",Q3064),'[1]T+S Costs'!$F$2:$F$3138,'[1]T+S Costs'!$N$2:$N$3138))</f>
        <v/>
      </c>
      <c r="Y3064" s="14" t="str">
        <f t="shared" si="239"/>
        <v/>
      </c>
      <c r="Z3064" s="4" t="str">
        <f t="shared" si="240"/>
        <v/>
      </c>
    </row>
    <row r="3065" spans="16:26" x14ac:dyDescent="0.25">
      <c r="P3065" s="10" t="str">
        <f>IF('[1]All Data '!AZ3070="","",'[1]All Data '!AZ3070)</f>
        <v/>
      </c>
      <c r="Q3065" s="10" t="str">
        <f>IF('[1]All Data '!BB3070="","",'[1]All Data '!BB3070)</f>
        <v/>
      </c>
      <c r="R3065" s="10" t="str">
        <f>IF('[1]All Data '!BD3070="","",'[1]All Data '!BD3070)</f>
        <v/>
      </c>
      <c r="S3065" s="11" t="str">
        <f>IF(R3065="","",'[1]All Data '!BE3070)</f>
        <v/>
      </c>
      <c r="T3065" s="12" t="str">
        <f>IF(S3065="","",[1]Inputs_Outputs!$B$8*(1-'LOCH Calc COE Calc'!S3065))</f>
        <v/>
      </c>
      <c r="U3065" s="13" t="str">
        <f t="shared" si="241"/>
        <v/>
      </c>
      <c r="V3065" s="13" t="str">
        <f t="shared" si="242"/>
        <v/>
      </c>
      <c r="W3065" s="4" t="str">
        <f t="shared" si="243"/>
        <v/>
      </c>
      <c r="X3065" t="str">
        <f>IF(W3065="","",LOOKUP(_xlfn.CONCAT(P3065,", ",Q3065),'[1]T+S Costs'!$F$2:$F$3138,'[1]T+S Costs'!$N$2:$N$3138))</f>
        <v/>
      </c>
      <c r="Y3065" s="14" t="str">
        <f t="shared" si="239"/>
        <v/>
      </c>
      <c r="Z3065" s="4" t="str">
        <f t="shared" si="240"/>
        <v/>
      </c>
    </row>
    <row r="3066" spans="16:26" x14ac:dyDescent="0.25">
      <c r="P3066" s="10" t="str">
        <f>IF('[1]All Data '!AZ3071="","",'[1]All Data '!AZ3071)</f>
        <v/>
      </c>
      <c r="Q3066" s="10" t="str">
        <f>IF('[1]All Data '!BB3071="","",'[1]All Data '!BB3071)</f>
        <v/>
      </c>
      <c r="R3066" s="10" t="str">
        <f>IF('[1]All Data '!BD3071="","",'[1]All Data '!BD3071)</f>
        <v/>
      </c>
      <c r="S3066" s="11" t="str">
        <f>IF(R3066="","",'[1]All Data '!BE3071)</f>
        <v/>
      </c>
      <c r="T3066" s="12" t="str">
        <f>IF(S3066="","",[1]Inputs_Outputs!$B$8*(1-'LOCH Calc COE Calc'!S3066))</f>
        <v/>
      </c>
      <c r="U3066" s="13" t="str">
        <f t="shared" si="241"/>
        <v/>
      </c>
      <c r="V3066" s="13" t="str">
        <f t="shared" si="242"/>
        <v/>
      </c>
      <c r="W3066" s="4" t="str">
        <f t="shared" si="243"/>
        <v/>
      </c>
      <c r="X3066" t="str">
        <f>IF(W3066="","",LOOKUP(_xlfn.CONCAT(P3066,", ",Q3066),'[1]T+S Costs'!$F$2:$F$3138,'[1]T+S Costs'!$N$2:$N$3138))</f>
        <v/>
      </c>
      <c r="Y3066" s="14" t="str">
        <f t="shared" si="239"/>
        <v/>
      </c>
      <c r="Z3066" s="4" t="str">
        <f t="shared" si="240"/>
        <v/>
      </c>
    </row>
    <row r="3067" spans="16:26" x14ac:dyDescent="0.25">
      <c r="P3067" s="10" t="str">
        <f>IF('[1]All Data '!AZ3072="","",'[1]All Data '!AZ3072)</f>
        <v/>
      </c>
      <c r="Q3067" s="10" t="str">
        <f>IF('[1]All Data '!BB3072="","",'[1]All Data '!BB3072)</f>
        <v/>
      </c>
      <c r="R3067" s="10" t="str">
        <f>IF('[1]All Data '!BD3072="","",'[1]All Data '!BD3072)</f>
        <v/>
      </c>
      <c r="S3067" s="11" t="str">
        <f>IF(R3067="","",'[1]All Data '!BE3072)</f>
        <v/>
      </c>
      <c r="T3067" s="12" t="str">
        <f>IF(S3067="","",[1]Inputs_Outputs!$B$8*(1-'LOCH Calc COE Calc'!S3067))</f>
        <v/>
      </c>
      <c r="U3067" s="13" t="str">
        <f t="shared" si="241"/>
        <v/>
      </c>
      <c r="V3067" s="13" t="str">
        <f t="shared" si="242"/>
        <v/>
      </c>
      <c r="W3067" s="4" t="str">
        <f t="shared" si="243"/>
        <v/>
      </c>
      <c r="X3067" t="str">
        <f>IF(W3067="","",LOOKUP(_xlfn.CONCAT(P3067,", ",Q3067),'[1]T+S Costs'!$F$2:$F$3138,'[1]T+S Costs'!$N$2:$N$3138))</f>
        <v/>
      </c>
      <c r="Y3067" s="14" t="str">
        <f t="shared" si="239"/>
        <v/>
      </c>
      <c r="Z3067" s="4" t="str">
        <f t="shared" si="240"/>
        <v/>
      </c>
    </row>
    <row r="3068" spans="16:26" x14ac:dyDescent="0.25">
      <c r="P3068" s="10" t="str">
        <f>IF('[1]All Data '!AZ3073="","",'[1]All Data '!AZ3073)</f>
        <v/>
      </c>
      <c r="Q3068" s="10" t="str">
        <f>IF('[1]All Data '!BB3073="","",'[1]All Data '!BB3073)</f>
        <v/>
      </c>
      <c r="R3068" s="10" t="str">
        <f>IF('[1]All Data '!BD3073="","",'[1]All Data '!BD3073)</f>
        <v/>
      </c>
      <c r="S3068" s="11" t="str">
        <f>IF(R3068="","",'[1]All Data '!BE3073)</f>
        <v/>
      </c>
      <c r="T3068" s="12" t="str">
        <f>IF(S3068="","",[1]Inputs_Outputs!$B$8*(1-'LOCH Calc COE Calc'!S3068))</f>
        <v/>
      </c>
      <c r="U3068" s="13" t="str">
        <f t="shared" si="241"/>
        <v/>
      </c>
      <c r="V3068" s="13" t="str">
        <f t="shared" si="242"/>
        <v/>
      </c>
      <c r="W3068" s="4" t="str">
        <f t="shared" si="243"/>
        <v/>
      </c>
      <c r="X3068" t="str">
        <f>IF(W3068="","",LOOKUP(_xlfn.CONCAT(P3068,", ",Q3068),'[1]T+S Costs'!$F$2:$F$3138,'[1]T+S Costs'!$N$2:$N$3138))</f>
        <v/>
      </c>
      <c r="Y3068" s="14" t="str">
        <f t="shared" si="239"/>
        <v/>
      </c>
      <c r="Z3068" s="4" t="str">
        <f t="shared" si="240"/>
        <v/>
      </c>
    </row>
    <row r="3069" spans="16:26" x14ac:dyDescent="0.25">
      <c r="P3069" s="10" t="str">
        <f>IF('[1]All Data '!AZ3074="","",'[1]All Data '!AZ3074)</f>
        <v/>
      </c>
      <c r="Q3069" s="10" t="str">
        <f>IF('[1]All Data '!BB3074="","",'[1]All Data '!BB3074)</f>
        <v/>
      </c>
      <c r="R3069" s="10" t="str">
        <f>IF('[1]All Data '!BD3074="","",'[1]All Data '!BD3074)</f>
        <v/>
      </c>
      <c r="S3069" s="11" t="str">
        <f>IF(R3069="","",'[1]All Data '!BE3074)</f>
        <v/>
      </c>
      <c r="T3069" s="12" t="str">
        <f>IF(S3069="","",[1]Inputs_Outputs!$B$8*(1-'LOCH Calc COE Calc'!S3069))</f>
        <v/>
      </c>
      <c r="U3069" s="13" t="str">
        <f t="shared" si="241"/>
        <v/>
      </c>
      <c r="V3069" s="13" t="str">
        <f t="shared" si="242"/>
        <v/>
      </c>
      <c r="W3069" s="4" t="str">
        <f t="shared" si="243"/>
        <v/>
      </c>
      <c r="X3069" t="str">
        <f>IF(W3069="","",LOOKUP(_xlfn.CONCAT(P3069,", ",Q3069),'[1]T+S Costs'!$F$2:$F$3138,'[1]T+S Costs'!$N$2:$N$3138))</f>
        <v/>
      </c>
      <c r="Y3069" s="14" t="str">
        <f t="shared" si="239"/>
        <v/>
      </c>
      <c r="Z3069" s="4" t="str">
        <f t="shared" si="240"/>
        <v/>
      </c>
    </row>
    <row r="3070" spans="16:26" x14ac:dyDescent="0.25">
      <c r="P3070" s="10" t="str">
        <f>IF('[1]All Data '!AZ3075="","",'[1]All Data '!AZ3075)</f>
        <v/>
      </c>
      <c r="Q3070" s="10" t="str">
        <f>IF('[1]All Data '!BB3075="","",'[1]All Data '!BB3075)</f>
        <v/>
      </c>
      <c r="R3070" s="10" t="str">
        <f>IF('[1]All Data '!BD3075="","",'[1]All Data '!BD3075)</f>
        <v/>
      </c>
      <c r="S3070" s="11" t="str">
        <f>IF(R3070="","",'[1]All Data '!BE3075)</f>
        <v/>
      </c>
      <c r="T3070" s="12" t="str">
        <f>IF(S3070="","",[1]Inputs_Outputs!$B$8*(1-'LOCH Calc COE Calc'!S3070))</f>
        <v/>
      </c>
      <c r="U3070" s="13" t="str">
        <f t="shared" si="241"/>
        <v/>
      </c>
      <c r="V3070" s="13" t="str">
        <f t="shared" si="242"/>
        <v/>
      </c>
      <c r="W3070" s="4" t="str">
        <f t="shared" si="243"/>
        <v/>
      </c>
      <c r="X3070" t="str">
        <f>IF(W3070="","",LOOKUP(_xlfn.CONCAT(P3070,", ",Q3070),'[1]T+S Costs'!$F$2:$F$3138,'[1]T+S Costs'!$N$2:$N$3138))</f>
        <v/>
      </c>
      <c r="Y3070" s="14" t="str">
        <f t="shared" si="239"/>
        <v/>
      </c>
      <c r="Z3070" s="4" t="str">
        <f t="shared" si="240"/>
        <v/>
      </c>
    </row>
    <row r="3071" spans="16:26" x14ac:dyDescent="0.25">
      <c r="P3071" s="10" t="str">
        <f>IF('[1]All Data '!AZ3076="","",'[1]All Data '!AZ3076)</f>
        <v/>
      </c>
      <c r="Q3071" s="10" t="str">
        <f>IF('[1]All Data '!BB3076="","",'[1]All Data '!BB3076)</f>
        <v/>
      </c>
      <c r="R3071" s="10" t="str">
        <f>IF('[1]All Data '!BD3076="","",'[1]All Data '!BD3076)</f>
        <v/>
      </c>
      <c r="S3071" s="11" t="str">
        <f>IF(R3071="","",'[1]All Data '!BE3076)</f>
        <v/>
      </c>
      <c r="T3071" s="12" t="str">
        <f>IF(S3071="","",[1]Inputs_Outputs!$B$8*(1-'LOCH Calc COE Calc'!S3071))</f>
        <v/>
      </c>
      <c r="U3071" s="13" t="str">
        <f t="shared" si="241"/>
        <v/>
      </c>
      <c r="V3071" s="13" t="str">
        <f t="shared" si="242"/>
        <v/>
      </c>
      <c r="W3071" s="4" t="str">
        <f t="shared" si="243"/>
        <v/>
      </c>
      <c r="X3071" t="str">
        <f>IF(W3071="","",LOOKUP(_xlfn.CONCAT(P3071,", ",Q3071),'[1]T+S Costs'!$F$2:$F$3138,'[1]T+S Costs'!$N$2:$N$3138))</f>
        <v/>
      </c>
      <c r="Y3071" s="14" t="str">
        <f t="shared" si="239"/>
        <v/>
      </c>
      <c r="Z3071" s="4" t="str">
        <f t="shared" si="240"/>
        <v/>
      </c>
    </row>
    <row r="3072" spans="16:26" x14ac:dyDescent="0.25">
      <c r="P3072" s="10" t="str">
        <f>IF('[1]All Data '!AZ3077="","",'[1]All Data '!AZ3077)</f>
        <v/>
      </c>
      <c r="Q3072" s="10" t="str">
        <f>IF('[1]All Data '!BB3077="","",'[1]All Data '!BB3077)</f>
        <v/>
      </c>
      <c r="R3072" s="10" t="str">
        <f>IF('[1]All Data '!BD3077="","",'[1]All Data '!BD3077)</f>
        <v/>
      </c>
      <c r="S3072" s="11" t="str">
        <f>IF(R3072="","",'[1]All Data '!BE3077)</f>
        <v/>
      </c>
      <c r="T3072" s="12" t="str">
        <f>IF(S3072="","",[1]Inputs_Outputs!$B$8*(1-'LOCH Calc COE Calc'!S3072))</f>
        <v/>
      </c>
      <c r="U3072" s="13" t="str">
        <f t="shared" si="241"/>
        <v/>
      </c>
      <c r="V3072" s="13" t="str">
        <f t="shared" si="242"/>
        <v/>
      </c>
      <c r="W3072" s="4" t="str">
        <f t="shared" si="243"/>
        <v/>
      </c>
      <c r="X3072" t="str">
        <f>IF(W3072="","",LOOKUP(_xlfn.CONCAT(P3072,", ",Q3072),'[1]T+S Costs'!$F$2:$F$3138,'[1]T+S Costs'!$N$2:$N$3138))</f>
        <v/>
      </c>
      <c r="Y3072" s="14" t="str">
        <f t="shared" si="239"/>
        <v/>
      </c>
      <c r="Z3072" s="4" t="str">
        <f t="shared" si="240"/>
        <v/>
      </c>
    </row>
    <row r="3073" spans="16:26" x14ac:dyDescent="0.25">
      <c r="P3073" s="10" t="str">
        <f>IF('[1]All Data '!AZ3078="","",'[1]All Data '!AZ3078)</f>
        <v/>
      </c>
      <c r="Q3073" s="10" t="str">
        <f>IF('[1]All Data '!BB3078="","",'[1]All Data '!BB3078)</f>
        <v/>
      </c>
      <c r="R3073" s="10" t="str">
        <f>IF('[1]All Data '!BD3078="","",'[1]All Data '!BD3078)</f>
        <v/>
      </c>
      <c r="S3073" s="11" t="str">
        <f>IF(R3073="","",'[1]All Data '!BE3078)</f>
        <v/>
      </c>
      <c r="T3073" s="12" t="str">
        <f>IF(S3073="","",[1]Inputs_Outputs!$B$8*(1-'LOCH Calc COE Calc'!S3073))</f>
        <v/>
      </c>
      <c r="U3073" s="13" t="str">
        <f t="shared" si="241"/>
        <v/>
      </c>
      <c r="V3073" s="13" t="str">
        <f t="shared" si="242"/>
        <v/>
      </c>
      <c r="W3073" s="4" t="str">
        <f t="shared" si="243"/>
        <v/>
      </c>
      <c r="X3073" t="str">
        <f>IF(W3073="","",LOOKUP(_xlfn.CONCAT(P3073,", ",Q3073),'[1]T+S Costs'!$F$2:$F$3138,'[1]T+S Costs'!$N$2:$N$3138))</f>
        <v/>
      </c>
      <c r="Y3073" s="14" t="str">
        <f t="shared" si="239"/>
        <v/>
      </c>
      <c r="Z3073" s="4" t="str">
        <f t="shared" si="240"/>
        <v/>
      </c>
    </row>
    <row r="3074" spans="16:26" x14ac:dyDescent="0.25">
      <c r="P3074" s="10" t="str">
        <f>IF('[1]All Data '!AZ3079="","",'[1]All Data '!AZ3079)</f>
        <v/>
      </c>
      <c r="Q3074" s="10" t="str">
        <f>IF('[1]All Data '!BB3079="","",'[1]All Data '!BB3079)</f>
        <v/>
      </c>
      <c r="R3074" s="10" t="str">
        <f>IF('[1]All Data '!BD3079="","",'[1]All Data '!BD3079)</f>
        <v/>
      </c>
      <c r="S3074" s="11" t="str">
        <f>IF(R3074="","",'[1]All Data '!BE3079)</f>
        <v/>
      </c>
      <c r="T3074" s="12" t="str">
        <f>IF(S3074="","",[1]Inputs_Outputs!$B$8*(1-'LOCH Calc COE Calc'!S3074))</f>
        <v/>
      </c>
      <c r="U3074" s="13" t="str">
        <f t="shared" si="241"/>
        <v/>
      </c>
      <c r="V3074" s="13" t="str">
        <f t="shared" si="242"/>
        <v/>
      </c>
      <c r="W3074" s="4" t="str">
        <f t="shared" si="243"/>
        <v/>
      </c>
      <c r="X3074" t="str">
        <f>IF(W3074="","",LOOKUP(_xlfn.CONCAT(P3074,", ",Q3074),'[1]T+S Costs'!$F$2:$F$3138,'[1]T+S Costs'!$N$2:$N$3138))</f>
        <v/>
      </c>
      <c r="Y3074" s="14" t="str">
        <f t="shared" si="239"/>
        <v/>
      </c>
      <c r="Z3074" s="4" t="str">
        <f t="shared" si="240"/>
        <v/>
      </c>
    </row>
    <row r="3075" spans="16:26" x14ac:dyDescent="0.25">
      <c r="P3075" s="10" t="str">
        <f>IF('[1]All Data '!AZ3080="","",'[1]All Data '!AZ3080)</f>
        <v/>
      </c>
      <c r="Q3075" s="10" t="str">
        <f>IF('[1]All Data '!BB3080="","",'[1]All Data '!BB3080)</f>
        <v/>
      </c>
      <c r="R3075" s="10" t="str">
        <f>IF('[1]All Data '!BD3080="","",'[1]All Data '!BD3080)</f>
        <v/>
      </c>
      <c r="S3075" s="11" t="str">
        <f>IF(R3075="","",'[1]All Data '!BE3080)</f>
        <v/>
      </c>
      <c r="T3075" s="12" t="str">
        <f>IF(S3075="","",[1]Inputs_Outputs!$B$8*(1-'LOCH Calc COE Calc'!S3075))</f>
        <v/>
      </c>
      <c r="U3075" s="13" t="str">
        <f t="shared" si="241"/>
        <v/>
      </c>
      <c r="V3075" s="13" t="str">
        <f t="shared" si="242"/>
        <v/>
      </c>
      <c r="W3075" s="4" t="str">
        <f t="shared" si="243"/>
        <v/>
      </c>
      <c r="X3075" t="str">
        <f>IF(W3075="","",LOOKUP(_xlfn.CONCAT(P3075,", ",Q3075),'[1]T+S Costs'!$F$2:$F$3138,'[1]T+S Costs'!$N$2:$N$3138))</f>
        <v/>
      </c>
      <c r="Y3075" s="14" t="str">
        <f t="shared" ref="Y3075:Y3138" si="244">IF(X3075="","",((X3075*$B$60/$B$59)*$C$44)/$C$28)</f>
        <v/>
      </c>
      <c r="Z3075" s="4" t="str">
        <f t="shared" ref="Z3075:Z3138" si="245">IF(Y3075="","",W3075+Y3075)</f>
        <v/>
      </c>
    </row>
    <row r="3076" spans="16:26" x14ac:dyDescent="0.25">
      <c r="P3076" s="10" t="str">
        <f>IF('[1]All Data '!AZ3081="","",'[1]All Data '!AZ3081)</f>
        <v/>
      </c>
      <c r="Q3076" s="10" t="str">
        <f>IF('[1]All Data '!BB3081="","",'[1]All Data '!BB3081)</f>
        <v/>
      </c>
      <c r="R3076" s="10" t="str">
        <f>IF('[1]All Data '!BD3081="","",'[1]All Data '!BD3081)</f>
        <v/>
      </c>
      <c r="S3076" s="11" t="str">
        <f>IF(R3076="","",'[1]All Data '!BE3081)</f>
        <v/>
      </c>
      <c r="T3076" s="12" t="str">
        <f>IF(S3076="","",[1]Inputs_Outputs!$B$8*(1-'LOCH Calc COE Calc'!S3076))</f>
        <v/>
      </c>
      <c r="U3076" s="13" t="str">
        <f t="shared" si="241"/>
        <v/>
      </c>
      <c r="V3076" s="13" t="str">
        <f t="shared" si="242"/>
        <v/>
      </c>
      <c r="W3076" s="4" t="str">
        <f t="shared" si="243"/>
        <v/>
      </c>
      <c r="X3076" t="str">
        <f>IF(W3076="","",LOOKUP(_xlfn.CONCAT(P3076,", ",Q3076),'[1]T+S Costs'!$F$2:$F$3138,'[1]T+S Costs'!$N$2:$N$3138))</f>
        <v/>
      </c>
      <c r="Y3076" s="14" t="str">
        <f t="shared" si="244"/>
        <v/>
      </c>
      <c r="Z3076" s="4" t="str">
        <f t="shared" si="245"/>
        <v/>
      </c>
    </row>
    <row r="3077" spans="16:26" x14ac:dyDescent="0.25">
      <c r="P3077" s="10" t="str">
        <f>IF('[1]All Data '!AZ3082="","",'[1]All Data '!AZ3082)</f>
        <v/>
      </c>
      <c r="Q3077" s="10" t="str">
        <f>IF('[1]All Data '!BB3082="","",'[1]All Data '!BB3082)</f>
        <v/>
      </c>
      <c r="R3077" s="10" t="str">
        <f>IF('[1]All Data '!BD3082="","",'[1]All Data '!BD3082)</f>
        <v/>
      </c>
      <c r="S3077" s="11" t="str">
        <f>IF(R3077="","",'[1]All Data '!BE3082)</f>
        <v/>
      </c>
      <c r="T3077" s="12" t="str">
        <f>IF(S3077="","",[1]Inputs_Outputs!$B$8*(1-'LOCH Calc COE Calc'!S3077))</f>
        <v/>
      </c>
      <c r="U3077" s="13" t="str">
        <f t="shared" si="241"/>
        <v/>
      </c>
      <c r="V3077" s="13" t="str">
        <f t="shared" si="242"/>
        <v/>
      </c>
      <c r="W3077" s="4" t="str">
        <f t="shared" si="243"/>
        <v/>
      </c>
      <c r="X3077" t="str">
        <f>IF(W3077="","",LOOKUP(_xlfn.CONCAT(P3077,", ",Q3077),'[1]T+S Costs'!$F$2:$F$3138,'[1]T+S Costs'!$N$2:$N$3138))</f>
        <v/>
      </c>
      <c r="Y3077" s="14" t="str">
        <f t="shared" si="244"/>
        <v/>
      </c>
      <c r="Z3077" s="4" t="str">
        <f t="shared" si="245"/>
        <v/>
      </c>
    </row>
    <row r="3078" spans="16:26" x14ac:dyDescent="0.25">
      <c r="P3078" s="10" t="str">
        <f>IF('[1]All Data '!AZ3083="","",'[1]All Data '!AZ3083)</f>
        <v/>
      </c>
      <c r="Q3078" s="10" t="str">
        <f>IF('[1]All Data '!BB3083="","",'[1]All Data '!BB3083)</f>
        <v/>
      </c>
      <c r="R3078" s="10" t="str">
        <f>IF('[1]All Data '!BD3083="","",'[1]All Data '!BD3083)</f>
        <v/>
      </c>
      <c r="S3078" s="11" t="str">
        <f>IF(R3078="","",'[1]All Data '!BE3083)</f>
        <v/>
      </c>
      <c r="T3078" s="12" t="str">
        <f>IF(S3078="","",[1]Inputs_Outputs!$B$8*(1-'LOCH Calc COE Calc'!S3078))</f>
        <v/>
      </c>
      <c r="U3078" s="13" t="str">
        <f t="shared" si="241"/>
        <v/>
      </c>
      <c r="V3078" s="13" t="str">
        <f t="shared" si="242"/>
        <v/>
      </c>
      <c r="W3078" s="4" t="str">
        <f t="shared" si="243"/>
        <v/>
      </c>
      <c r="X3078" t="str">
        <f>IF(W3078="","",LOOKUP(_xlfn.CONCAT(P3078,", ",Q3078),'[1]T+S Costs'!$F$2:$F$3138,'[1]T+S Costs'!$N$2:$N$3138))</f>
        <v/>
      </c>
      <c r="Y3078" s="14" t="str">
        <f t="shared" si="244"/>
        <v/>
      </c>
      <c r="Z3078" s="4" t="str">
        <f t="shared" si="245"/>
        <v/>
      </c>
    </row>
    <row r="3079" spans="16:26" x14ac:dyDescent="0.25">
      <c r="P3079" s="10" t="str">
        <f>IF('[1]All Data '!AZ3084="","",'[1]All Data '!AZ3084)</f>
        <v/>
      </c>
      <c r="Q3079" s="10" t="str">
        <f>IF('[1]All Data '!BB3084="","",'[1]All Data '!BB3084)</f>
        <v/>
      </c>
      <c r="R3079" s="10" t="str">
        <f>IF('[1]All Data '!BD3084="","",'[1]All Data '!BD3084)</f>
        <v/>
      </c>
      <c r="S3079" s="11" t="str">
        <f>IF(R3079="","",'[1]All Data '!BE3084)</f>
        <v/>
      </c>
      <c r="T3079" s="12" t="str">
        <f>IF(S3079="","",[1]Inputs_Outputs!$B$8*(1-'LOCH Calc COE Calc'!S3079))</f>
        <v/>
      </c>
      <c r="U3079" s="13" t="str">
        <f t="shared" si="241"/>
        <v/>
      </c>
      <c r="V3079" s="13" t="str">
        <f t="shared" si="242"/>
        <v/>
      </c>
      <c r="W3079" s="4" t="str">
        <f t="shared" si="243"/>
        <v/>
      </c>
      <c r="X3079" t="str">
        <f>IF(W3079="","",LOOKUP(_xlfn.CONCAT(P3079,", ",Q3079),'[1]T+S Costs'!$F$2:$F$3138,'[1]T+S Costs'!$N$2:$N$3138))</f>
        <v/>
      </c>
      <c r="Y3079" s="14" t="str">
        <f t="shared" si="244"/>
        <v/>
      </c>
      <c r="Z3079" s="4" t="str">
        <f t="shared" si="245"/>
        <v/>
      </c>
    </row>
    <row r="3080" spans="16:26" x14ac:dyDescent="0.25">
      <c r="P3080" s="10" t="str">
        <f>IF('[1]All Data '!AZ3085="","",'[1]All Data '!AZ3085)</f>
        <v/>
      </c>
      <c r="Q3080" s="10" t="str">
        <f>IF('[1]All Data '!BB3085="","",'[1]All Data '!BB3085)</f>
        <v/>
      </c>
      <c r="R3080" s="10" t="str">
        <f>IF('[1]All Data '!BD3085="","",'[1]All Data '!BD3085)</f>
        <v/>
      </c>
      <c r="S3080" s="11" t="str">
        <f>IF(R3080="","",'[1]All Data '!BE3085)</f>
        <v/>
      </c>
      <c r="T3080" s="12" t="str">
        <f>IF(S3080="","",[1]Inputs_Outputs!$B$8*(1-'LOCH Calc COE Calc'!S3080))</f>
        <v/>
      </c>
      <c r="U3080" s="13" t="str">
        <f t="shared" si="241"/>
        <v/>
      </c>
      <c r="V3080" s="13" t="str">
        <f t="shared" si="242"/>
        <v/>
      </c>
      <c r="W3080" s="4" t="str">
        <f t="shared" si="243"/>
        <v/>
      </c>
      <c r="X3080" t="str">
        <f>IF(W3080="","",LOOKUP(_xlfn.CONCAT(P3080,", ",Q3080),'[1]T+S Costs'!$F$2:$F$3138,'[1]T+S Costs'!$N$2:$N$3138))</f>
        <v/>
      </c>
      <c r="Y3080" s="14" t="str">
        <f t="shared" si="244"/>
        <v/>
      </c>
      <c r="Z3080" s="4" t="str">
        <f t="shared" si="245"/>
        <v/>
      </c>
    </row>
    <row r="3081" spans="16:26" x14ac:dyDescent="0.25">
      <c r="P3081" s="10" t="str">
        <f>IF('[1]All Data '!AZ3086="","",'[1]All Data '!AZ3086)</f>
        <v/>
      </c>
      <c r="Q3081" s="10" t="str">
        <f>IF('[1]All Data '!BB3086="","",'[1]All Data '!BB3086)</f>
        <v/>
      </c>
      <c r="R3081" s="10" t="str">
        <f>IF('[1]All Data '!BD3086="","",'[1]All Data '!BD3086)</f>
        <v/>
      </c>
      <c r="S3081" s="11" t="str">
        <f>IF(R3081="","",'[1]All Data '!BE3086)</f>
        <v/>
      </c>
      <c r="T3081" s="12" t="str">
        <f>IF(S3081="","",[1]Inputs_Outputs!$B$8*(1-'LOCH Calc COE Calc'!S3081))</f>
        <v/>
      </c>
      <c r="U3081" s="13" t="str">
        <f t="shared" si="241"/>
        <v/>
      </c>
      <c r="V3081" s="13" t="str">
        <f t="shared" si="242"/>
        <v/>
      </c>
      <c r="W3081" s="4" t="str">
        <f t="shared" si="243"/>
        <v/>
      </c>
      <c r="X3081" t="str">
        <f>IF(W3081="","",LOOKUP(_xlfn.CONCAT(P3081,", ",Q3081),'[1]T+S Costs'!$F$2:$F$3138,'[1]T+S Costs'!$N$2:$N$3138))</f>
        <v/>
      </c>
      <c r="Y3081" s="14" t="str">
        <f t="shared" si="244"/>
        <v/>
      </c>
      <c r="Z3081" s="4" t="str">
        <f t="shared" si="245"/>
        <v/>
      </c>
    </row>
    <row r="3082" spans="16:26" x14ac:dyDescent="0.25">
      <c r="P3082" s="10" t="str">
        <f>IF('[1]All Data '!AZ3087="","",'[1]All Data '!AZ3087)</f>
        <v/>
      </c>
      <c r="Q3082" s="10" t="str">
        <f>IF('[1]All Data '!BB3087="","",'[1]All Data '!BB3087)</f>
        <v/>
      </c>
      <c r="R3082" s="10" t="str">
        <f>IF('[1]All Data '!BD3087="","",'[1]All Data '!BD3087)</f>
        <v/>
      </c>
      <c r="S3082" s="11" t="str">
        <f>IF(R3082="","",'[1]All Data '!BE3087)</f>
        <v/>
      </c>
      <c r="T3082" s="12" t="str">
        <f>IF(S3082="","",[1]Inputs_Outputs!$B$8*(1-'LOCH Calc COE Calc'!S3082))</f>
        <v/>
      </c>
      <c r="U3082" s="13" t="str">
        <f t="shared" si="241"/>
        <v/>
      </c>
      <c r="V3082" s="13" t="str">
        <f t="shared" si="242"/>
        <v/>
      </c>
      <c r="W3082" s="4" t="str">
        <f t="shared" si="243"/>
        <v/>
      </c>
      <c r="X3082" t="str">
        <f>IF(W3082="","",LOOKUP(_xlfn.CONCAT(P3082,", ",Q3082),'[1]T+S Costs'!$F$2:$F$3138,'[1]T+S Costs'!$N$2:$N$3138))</f>
        <v/>
      </c>
      <c r="Y3082" s="14" t="str">
        <f t="shared" si="244"/>
        <v/>
      </c>
      <c r="Z3082" s="4" t="str">
        <f t="shared" si="245"/>
        <v/>
      </c>
    </row>
    <row r="3083" spans="16:26" x14ac:dyDescent="0.25">
      <c r="P3083" s="10" t="str">
        <f>IF('[1]All Data '!AZ3088="","",'[1]All Data '!AZ3088)</f>
        <v/>
      </c>
      <c r="Q3083" s="10" t="str">
        <f>IF('[1]All Data '!BB3088="","",'[1]All Data '!BB3088)</f>
        <v/>
      </c>
      <c r="R3083" s="10" t="str">
        <f>IF('[1]All Data '!BD3088="","",'[1]All Data '!BD3088)</f>
        <v/>
      </c>
      <c r="S3083" s="11" t="str">
        <f>IF(R3083="","",'[1]All Data '!BE3088)</f>
        <v/>
      </c>
      <c r="T3083" s="12" t="str">
        <f>IF(S3083="","",[1]Inputs_Outputs!$B$8*(1-'LOCH Calc COE Calc'!S3083))</f>
        <v/>
      </c>
      <c r="U3083" s="13" t="str">
        <f t="shared" si="241"/>
        <v/>
      </c>
      <c r="V3083" s="13" t="str">
        <f t="shared" si="242"/>
        <v/>
      </c>
      <c r="W3083" s="4" t="str">
        <f t="shared" si="243"/>
        <v/>
      </c>
      <c r="X3083" t="str">
        <f>IF(W3083="","",LOOKUP(_xlfn.CONCAT(P3083,", ",Q3083),'[1]T+S Costs'!$F$2:$F$3138,'[1]T+S Costs'!$N$2:$N$3138))</f>
        <v/>
      </c>
      <c r="Y3083" s="14" t="str">
        <f t="shared" si="244"/>
        <v/>
      </c>
      <c r="Z3083" s="4" t="str">
        <f t="shared" si="245"/>
        <v/>
      </c>
    </row>
    <row r="3084" spans="16:26" x14ac:dyDescent="0.25">
      <c r="P3084" s="10" t="str">
        <f>IF('[1]All Data '!AZ3089="","",'[1]All Data '!AZ3089)</f>
        <v/>
      </c>
      <c r="Q3084" s="10" t="str">
        <f>IF('[1]All Data '!BB3089="","",'[1]All Data '!BB3089)</f>
        <v/>
      </c>
      <c r="R3084" s="10" t="str">
        <f>IF('[1]All Data '!BD3089="","",'[1]All Data '!BD3089)</f>
        <v/>
      </c>
      <c r="S3084" s="11" t="str">
        <f>IF(R3084="","",'[1]All Data '!BE3089)</f>
        <v/>
      </c>
      <c r="T3084" s="12" t="str">
        <f>IF(S3084="","",[1]Inputs_Outputs!$B$8*(1-'LOCH Calc COE Calc'!S3084))</f>
        <v/>
      </c>
      <c r="U3084" s="13" t="str">
        <f t="shared" si="241"/>
        <v/>
      </c>
      <c r="V3084" s="13" t="str">
        <f t="shared" si="242"/>
        <v/>
      </c>
      <c r="W3084" s="4" t="str">
        <f t="shared" si="243"/>
        <v/>
      </c>
      <c r="X3084" t="str">
        <f>IF(W3084="","",LOOKUP(_xlfn.CONCAT(P3084,", ",Q3084),'[1]T+S Costs'!$F$2:$F$3138,'[1]T+S Costs'!$N$2:$N$3138))</f>
        <v/>
      </c>
      <c r="Y3084" s="14" t="str">
        <f t="shared" si="244"/>
        <v/>
      </c>
      <c r="Z3084" s="4" t="str">
        <f t="shared" si="245"/>
        <v/>
      </c>
    </row>
    <row r="3085" spans="16:26" x14ac:dyDescent="0.25">
      <c r="P3085" s="10" t="str">
        <f>IF('[1]All Data '!AZ3090="","",'[1]All Data '!AZ3090)</f>
        <v/>
      </c>
      <c r="Q3085" s="10" t="str">
        <f>IF('[1]All Data '!BB3090="","",'[1]All Data '!BB3090)</f>
        <v/>
      </c>
      <c r="R3085" s="10" t="str">
        <f>IF('[1]All Data '!BD3090="","",'[1]All Data '!BD3090)</f>
        <v/>
      </c>
      <c r="S3085" s="11" t="str">
        <f>IF(R3085="","",'[1]All Data '!BE3090)</f>
        <v/>
      </c>
      <c r="T3085" s="12" t="str">
        <f>IF(S3085="","",[1]Inputs_Outputs!$B$8*(1-'LOCH Calc COE Calc'!S3085))</f>
        <v/>
      </c>
      <c r="U3085" s="13" t="str">
        <f t="shared" si="241"/>
        <v/>
      </c>
      <c r="V3085" s="13" t="str">
        <f t="shared" si="242"/>
        <v/>
      </c>
      <c r="W3085" s="4" t="str">
        <f t="shared" si="243"/>
        <v/>
      </c>
      <c r="X3085" t="str">
        <f>IF(W3085="","",LOOKUP(_xlfn.CONCAT(P3085,", ",Q3085),'[1]T+S Costs'!$F$2:$F$3138,'[1]T+S Costs'!$N$2:$N$3138))</f>
        <v/>
      </c>
      <c r="Y3085" s="14" t="str">
        <f t="shared" si="244"/>
        <v/>
      </c>
      <c r="Z3085" s="4" t="str">
        <f t="shared" si="245"/>
        <v/>
      </c>
    </row>
    <row r="3086" spans="16:26" x14ac:dyDescent="0.25">
      <c r="P3086" s="10" t="str">
        <f>IF('[1]All Data '!AZ3091="","",'[1]All Data '!AZ3091)</f>
        <v/>
      </c>
      <c r="Q3086" s="10" t="str">
        <f>IF('[1]All Data '!BB3091="","",'[1]All Data '!BB3091)</f>
        <v/>
      </c>
      <c r="R3086" s="10" t="str">
        <f>IF('[1]All Data '!BD3091="","",'[1]All Data '!BD3091)</f>
        <v/>
      </c>
      <c r="S3086" s="11" t="str">
        <f>IF(R3086="","",'[1]All Data '!BE3091)</f>
        <v/>
      </c>
      <c r="T3086" s="12" t="str">
        <f>IF(S3086="","",[1]Inputs_Outputs!$B$8*(1-'LOCH Calc COE Calc'!S3086))</f>
        <v/>
      </c>
      <c r="U3086" s="13" t="str">
        <f t="shared" si="241"/>
        <v/>
      </c>
      <c r="V3086" s="13" t="str">
        <f t="shared" si="242"/>
        <v/>
      </c>
      <c r="W3086" s="4" t="str">
        <f t="shared" si="243"/>
        <v/>
      </c>
      <c r="X3086" t="str">
        <f>IF(W3086="","",LOOKUP(_xlfn.CONCAT(P3086,", ",Q3086),'[1]T+S Costs'!$F$2:$F$3138,'[1]T+S Costs'!$N$2:$N$3138))</f>
        <v/>
      </c>
      <c r="Y3086" s="14" t="str">
        <f t="shared" si="244"/>
        <v/>
      </c>
      <c r="Z3086" s="4" t="str">
        <f t="shared" si="245"/>
        <v/>
      </c>
    </row>
    <row r="3087" spans="16:26" x14ac:dyDescent="0.25">
      <c r="P3087" s="10" t="str">
        <f>IF('[1]All Data '!AZ3092="","",'[1]All Data '!AZ3092)</f>
        <v/>
      </c>
      <c r="Q3087" s="10" t="str">
        <f>IF('[1]All Data '!BB3092="","",'[1]All Data '!BB3092)</f>
        <v/>
      </c>
      <c r="R3087" s="10" t="str">
        <f>IF('[1]All Data '!BD3092="","",'[1]All Data '!BD3092)</f>
        <v/>
      </c>
      <c r="S3087" s="11" t="str">
        <f>IF(R3087="","",'[1]All Data '!BE3092)</f>
        <v/>
      </c>
      <c r="T3087" s="12" t="str">
        <f>IF(S3087="","",[1]Inputs_Outputs!$B$8*(1-'LOCH Calc COE Calc'!S3087))</f>
        <v/>
      </c>
      <c r="U3087" s="13" t="str">
        <f t="shared" si="241"/>
        <v/>
      </c>
      <c r="V3087" s="13" t="str">
        <f t="shared" si="242"/>
        <v/>
      </c>
      <c r="W3087" s="4" t="str">
        <f t="shared" si="243"/>
        <v/>
      </c>
      <c r="X3087" t="str">
        <f>IF(W3087="","",LOOKUP(_xlfn.CONCAT(P3087,", ",Q3087),'[1]T+S Costs'!$F$2:$F$3138,'[1]T+S Costs'!$N$2:$N$3138))</f>
        <v/>
      </c>
      <c r="Y3087" s="14" t="str">
        <f t="shared" si="244"/>
        <v/>
      </c>
      <c r="Z3087" s="4" t="str">
        <f t="shared" si="245"/>
        <v/>
      </c>
    </row>
    <row r="3088" spans="16:26" x14ac:dyDescent="0.25">
      <c r="P3088" s="10" t="str">
        <f>IF('[1]All Data '!AZ3093="","",'[1]All Data '!AZ3093)</f>
        <v/>
      </c>
      <c r="Q3088" s="10" t="str">
        <f>IF('[1]All Data '!BB3093="","",'[1]All Data '!BB3093)</f>
        <v/>
      </c>
      <c r="R3088" s="10" t="str">
        <f>IF('[1]All Data '!BD3093="","",'[1]All Data '!BD3093)</f>
        <v/>
      </c>
      <c r="S3088" s="11" t="str">
        <f>IF(R3088="","",'[1]All Data '!BE3093)</f>
        <v/>
      </c>
      <c r="T3088" s="12" t="str">
        <f>IF(S3088="","",[1]Inputs_Outputs!$B$8*(1-'LOCH Calc COE Calc'!S3088))</f>
        <v/>
      </c>
      <c r="U3088" s="13" t="str">
        <f t="shared" si="241"/>
        <v/>
      </c>
      <c r="V3088" s="13" t="str">
        <f t="shared" si="242"/>
        <v/>
      </c>
      <c r="W3088" s="4" t="str">
        <f t="shared" si="243"/>
        <v/>
      </c>
      <c r="X3088" t="str">
        <f>IF(W3088="","",LOOKUP(_xlfn.CONCAT(P3088,", ",Q3088),'[1]T+S Costs'!$F$2:$F$3138,'[1]T+S Costs'!$N$2:$N$3138))</f>
        <v/>
      </c>
      <c r="Y3088" s="14" t="str">
        <f t="shared" si="244"/>
        <v/>
      </c>
      <c r="Z3088" s="4" t="str">
        <f t="shared" si="245"/>
        <v/>
      </c>
    </row>
    <row r="3089" spans="16:26" x14ac:dyDescent="0.25">
      <c r="P3089" s="10" t="str">
        <f>IF('[1]All Data '!AZ3094="","",'[1]All Data '!AZ3094)</f>
        <v/>
      </c>
      <c r="Q3089" s="10" t="str">
        <f>IF('[1]All Data '!BB3094="","",'[1]All Data '!BB3094)</f>
        <v/>
      </c>
      <c r="R3089" s="10" t="str">
        <f>IF('[1]All Data '!BD3094="","",'[1]All Data '!BD3094)</f>
        <v/>
      </c>
      <c r="S3089" s="11" t="str">
        <f>IF(R3089="","",'[1]All Data '!BE3094)</f>
        <v/>
      </c>
      <c r="T3089" s="12" t="str">
        <f>IF(S3089="","",[1]Inputs_Outputs!$B$8*(1-'LOCH Calc COE Calc'!S3089))</f>
        <v/>
      </c>
      <c r="U3089" s="13" t="str">
        <f t="shared" si="241"/>
        <v/>
      </c>
      <c r="V3089" s="13" t="str">
        <f t="shared" si="242"/>
        <v/>
      </c>
      <c r="W3089" s="4" t="str">
        <f t="shared" si="243"/>
        <v/>
      </c>
      <c r="X3089" t="str">
        <f>IF(W3089="","",LOOKUP(_xlfn.CONCAT(P3089,", ",Q3089),'[1]T+S Costs'!$F$2:$F$3138,'[1]T+S Costs'!$N$2:$N$3138))</f>
        <v/>
      </c>
      <c r="Y3089" s="14" t="str">
        <f t="shared" si="244"/>
        <v/>
      </c>
      <c r="Z3089" s="4" t="str">
        <f t="shared" si="245"/>
        <v/>
      </c>
    </row>
    <row r="3090" spans="16:26" x14ac:dyDescent="0.25">
      <c r="P3090" s="10" t="str">
        <f>IF('[1]All Data '!AZ3095="","",'[1]All Data '!AZ3095)</f>
        <v/>
      </c>
      <c r="Q3090" s="10" t="str">
        <f>IF('[1]All Data '!BB3095="","",'[1]All Data '!BB3095)</f>
        <v/>
      </c>
      <c r="R3090" s="10" t="str">
        <f>IF('[1]All Data '!BD3095="","",'[1]All Data '!BD3095)</f>
        <v/>
      </c>
      <c r="S3090" s="11" t="str">
        <f>IF(R3090="","",'[1]All Data '!BE3095)</f>
        <v/>
      </c>
      <c r="T3090" s="12" t="str">
        <f>IF(S3090="","",[1]Inputs_Outputs!$B$8*(1-'LOCH Calc COE Calc'!S3090))</f>
        <v/>
      </c>
      <c r="U3090" s="13" t="str">
        <f t="shared" si="241"/>
        <v/>
      </c>
      <c r="V3090" s="13" t="str">
        <f t="shared" si="242"/>
        <v/>
      </c>
      <c r="W3090" s="4" t="str">
        <f t="shared" si="243"/>
        <v/>
      </c>
      <c r="X3090" t="str">
        <f>IF(W3090="","",LOOKUP(_xlfn.CONCAT(P3090,", ",Q3090),'[1]T+S Costs'!$F$2:$F$3138,'[1]T+S Costs'!$N$2:$N$3138))</f>
        <v/>
      </c>
      <c r="Y3090" s="14" t="str">
        <f t="shared" si="244"/>
        <v/>
      </c>
      <c r="Z3090" s="4" t="str">
        <f t="shared" si="245"/>
        <v/>
      </c>
    </row>
    <row r="3091" spans="16:26" x14ac:dyDescent="0.25">
      <c r="P3091" s="10" t="str">
        <f>IF('[1]All Data '!AZ3096="","",'[1]All Data '!AZ3096)</f>
        <v/>
      </c>
      <c r="Q3091" s="10" t="str">
        <f>IF('[1]All Data '!BB3096="","",'[1]All Data '!BB3096)</f>
        <v/>
      </c>
      <c r="R3091" s="10" t="str">
        <f>IF('[1]All Data '!BD3096="","",'[1]All Data '!BD3096)</f>
        <v/>
      </c>
      <c r="S3091" s="11" t="str">
        <f>IF(R3091="","",'[1]All Data '!BE3096)</f>
        <v/>
      </c>
      <c r="T3091" s="12" t="str">
        <f>IF(S3091="","",[1]Inputs_Outputs!$B$8*(1-'LOCH Calc COE Calc'!S3091))</f>
        <v/>
      </c>
      <c r="U3091" s="13" t="str">
        <f t="shared" si="241"/>
        <v/>
      </c>
      <c r="V3091" s="13" t="str">
        <f t="shared" si="242"/>
        <v/>
      </c>
      <c r="W3091" s="4" t="str">
        <f t="shared" si="243"/>
        <v/>
      </c>
      <c r="X3091" t="str">
        <f>IF(W3091="","",LOOKUP(_xlfn.CONCAT(P3091,", ",Q3091),'[1]T+S Costs'!$F$2:$F$3138,'[1]T+S Costs'!$N$2:$N$3138))</f>
        <v/>
      </c>
      <c r="Y3091" s="14" t="str">
        <f t="shared" si="244"/>
        <v/>
      </c>
      <c r="Z3091" s="4" t="str">
        <f t="shared" si="245"/>
        <v/>
      </c>
    </row>
    <row r="3092" spans="16:26" x14ac:dyDescent="0.25">
      <c r="P3092" s="10" t="str">
        <f>IF('[1]All Data '!AZ3097="","",'[1]All Data '!AZ3097)</f>
        <v/>
      </c>
      <c r="Q3092" s="10" t="str">
        <f>IF('[1]All Data '!BB3097="","",'[1]All Data '!BB3097)</f>
        <v/>
      </c>
      <c r="R3092" s="10" t="str">
        <f>IF('[1]All Data '!BD3097="","",'[1]All Data '!BD3097)</f>
        <v/>
      </c>
      <c r="S3092" s="11" t="str">
        <f>IF(R3092="","",'[1]All Data '!BE3097)</f>
        <v/>
      </c>
      <c r="T3092" s="12" t="str">
        <f>IF(S3092="","",[1]Inputs_Outputs!$B$8*(1-'LOCH Calc COE Calc'!S3092))</f>
        <v/>
      </c>
      <c r="U3092" s="13" t="str">
        <f t="shared" si="241"/>
        <v/>
      </c>
      <c r="V3092" s="13" t="str">
        <f t="shared" si="242"/>
        <v/>
      </c>
      <c r="W3092" s="4" t="str">
        <f t="shared" si="243"/>
        <v/>
      </c>
      <c r="X3092" t="str">
        <f>IF(W3092="","",LOOKUP(_xlfn.CONCAT(P3092,", ",Q3092),'[1]T+S Costs'!$F$2:$F$3138,'[1]T+S Costs'!$N$2:$N$3138))</f>
        <v/>
      </c>
      <c r="Y3092" s="14" t="str">
        <f t="shared" si="244"/>
        <v/>
      </c>
      <c r="Z3092" s="4" t="str">
        <f t="shared" si="245"/>
        <v/>
      </c>
    </row>
    <row r="3093" spans="16:26" x14ac:dyDescent="0.25">
      <c r="P3093" s="10" t="str">
        <f>IF('[1]All Data '!AZ3098="","",'[1]All Data '!AZ3098)</f>
        <v/>
      </c>
      <c r="Q3093" s="10" t="str">
        <f>IF('[1]All Data '!BB3098="","",'[1]All Data '!BB3098)</f>
        <v/>
      </c>
      <c r="R3093" s="10" t="str">
        <f>IF('[1]All Data '!BD3098="","",'[1]All Data '!BD3098)</f>
        <v/>
      </c>
      <c r="S3093" s="11" t="str">
        <f>IF(R3093="","",'[1]All Data '!BE3098)</f>
        <v/>
      </c>
      <c r="T3093" s="12" t="str">
        <f>IF(S3093="","",[1]Inputs_Outputs!$B$8*(1-'LOCH Calc COE Calc'!S3093))</f>
        <v/>
      </c>
      <c r="U3093" s="13" t="str">
        <f t="shared" si="241"/>
        <v/>
      </c>
      <c r="V3093" s="13" t="str">
        <f t="shared" si="242"/>
        <v/>
      </c>
      <c r="W3093" s="4" t="str">
        <f t="shared" si="243"/>
        <v/>
      </c>
      <c r="X3093" t="str">
        <f>IF(W3093="","",LOOKUP(_xlfn.CONCAT(P3093,", ",Q3093),'[1]T+S Costs'!$F$2:$F$3138,'[1]T+S Costs'!$N$2:$N$3138))</f>
        <v/>
      </c>
      <c r="Y3093" s="14" t="str">
        <f t="shared" si="244"/>
        <v/>
      </c>
      <c r="Z3093" s="4" t="str">
        <f t="shared" si="245"/>
        <v/>
      </c>
    </row>
    <row r="3094" spans="16:26" x14ac:dyDescent="0.25">
      <c r="P3094" s="10" t="str">
        <f>IF('[1]All Data '!AZ3099="","",'[1]All Data '!AZ3099)</f>
        <v/>
      </c>
      <c r="Q3094" s="10" t="str">
        <f>IF('[1]All Data '!BB3099="","",'[1]All Data '!BB3099)</f>
        <v/>
      </c>
      <c r="R3094" s="10" t="str">
        <f>IF('[1]All Data '!BD3099="","",'[1]All Data '!BD3099)</f>
        <v/>
      </c>
      <c r="S3094" s="11" t="str">
        <f>IF(R3094="","",'[1]All Data '!BE3099)</f>
        <v/>
      </c>
      <c r="T3094" s="12" t="str">
        <f>IF(S3094="","",[1]Inputs_Outputs!$B$8*(1-'LOCH Calc COE Calc'!S3094))</f>
        <v/>
      </c>
      <c r="U3094" s="13" t="str">
        <f t="shared" si="241"/>
        <v/>
      </c>
      <c r="V3094" s="13" t="str">
        <f t="shared" si="242"/>
        <v/>
      </c>
      <c r="W3094" s="4" t="str">
        <f t="shared" si="243"/>
        <v/>
      </c>
      <c r="X3094" t="str">
        <f>IF(W3094="","",LOOKUP(_xlfn.CONCAT(P3094,", ",Q3094),'[1]T+S Costs'!$F$2:$F$3138,'[1]T+S Costs'!$N$2:$N$3138))</f>
        <v/>
      </c>
      <c r="Y3094" s="14" t="str">
        <f t="shared" si="244"/>
        <v/>
      </c>
      <c r="Z3094" s="4" t="str">
        <f t="shared" si="245"/>
        <v/>
      </c>
    </row>
    <row r="3095" spans="16:26" x14ac:dyDescent="0.25">
      <c r="P3095" s="10" t="str">
        <f>IF('[1]All Data '!AZ3100="","",'[1]All Data '!AZ3100)</f>
        <v/>
      </c>
      <c r="Q3095" s="10" t="str">
        <f>IF('[1]All Data '!BB3100="","",'[1]All Data '!BB3100)</f>
        <v/>
      </c>
      <c r="R3095" s="10" t="str">
        <f>IF('[1]All Data '!BD3100="","",'[1]All Data '!BD3100)</f>
        <v/>
      </c>
      <c r="S3095" s="11" t="str">
        <f>IF(R3095="","",'[1]All Data '!BE3100)</f>
        <v/>
      </c>
      <c r="T3095" s="12" t="str">
        <f>IF(S3095="","",[1]Inputs_Outputs!$B$8*(1-'LOCH Calc COE Calc'!S3095))</f>
        <v/>
      </c>
      <c r="U3095" s="13" t="str">
        <f t="shared" si="241"/>
        <v/>
      </c>
      <c r="V3095" s="13" t="str">
        <f t="shared" si="242"/>
        <v/>
      </c>
      <c r="W3095" s="4" t="str">
        <f t="shared" si="243"/>
        <v/>
      </c>
      <c r="X3095" t="str">
        <f>IF(W3095="","",LOOKUP(_xlfn.CONCAT(P3095,", ",Q3095),'[1]T+S Costs'!$F$2:$F$3138,'[1]T+S Costs'!$N$2:$N$3138))</f>
        <v/>
      </c>
      <c r="Y3095" s="14" t="str">
        <f t="shared" si="244"/>
        <v/>
      </c>
      <c r="Z3095" s="4" t="str">
        <f t="shared" si="245"/>
        <v/>
      </c>
    </row>
    <row r="3096" spans="16:26" x14ac:dyDescent="0.25">
      <c r="P3096" s="10" t="str">
        <f>IF('[1]All Data '!AZ3101="","",'[1]All Data '!AZ3101)</f>
        <v/>
      </c>
      <c r="Q3096" s="10" t="str">
        <f>IF('[1]All Data '!BB3101="","",'[1]All Data '!BB3101)</f>
        <v/>
      </c>
      <c r="R3096" s="10" t="str">
        <f>IF('[1]All Data '!BD3101="","",'[1]All Data '!BD3101)</f>
        <v/>
      </c>
      <c r="S3096" s="11" t="str">
        <f>IF(R3096="","",'[1]All Data '!BE3101)</f>
        <v/>
      </c>
      <c r="T3096" s="12" t="str">
        <f>IF(S3096="","",[1]Inputs_Outputs!$B$8*(1-'LOCH Calc COE Calc'!S3096))</f>
        <v/>
      </c>
      <c r="U3096" s="13" t="str">
        <f t="shared" si="241"/>
        <v/>
      </c>
      <c r="V3096" s="13" t="str">
        <f t="shared" si="242"/>
        <v/>
      </c>
      <c r="W3096" s="4" t="str">
        <f t="shared" si="243"/>
        <v/>
      </c>
      <c r="X3096" t="str">
        <f>IF(W3096="","",LOOKUP(_xlfn.CONCAT(P3096,", ",Q3096),'[1]T+S Costs'!$F$2:$F$3138,'[1]T+S Costs'!$N$2:$N$3138))</f>
        <v/>
      </c>
      <c r="Y3096" s="14" t="str">
        <f t="shared" si="244"/>
        <v/>
      </c>
      <c r="Z3096" s="4" t="str">
        <f t="shared" si="245"/>
        <v/>
      </c>
    </row>
    <row r="3097" spans="16:26" x14ac:dyDescent="0.25">
      <c r="P3097" s="10" t="str">
        <f>IF('[1]All Data '!AZ3102="","",'[1]All Data '!AZ3102)</f>
        <v/>
      </c>
      <c r="Q3097" s="10" t="str">
        <f>IF('[1]All Data '!BB3102="","",'[1]All Data '!BB3102)</f>
        <v/>
      </c>
      <c r="R3097" s="10" t="str">
        <f>IF('[1]All Data '!BD3102="","",'[1]All Data '!BD3102)</f>
        <v/>
      </c>
      <c r="S3097" s="11" t="str">
        <f>IF(R3097="","",'[1]All Data '!BE3102)</f>
        <v/>
      </c>
      <c r="T3097" s="12" t="str">
        <f>IF(S3097="","",[1]Inputs_Outputs!$B$8*(1-'LOCH Calc COE Calc'!S3097))</f>
        <v/>
      </c>
      <c r="U3097" s="13" t="str">
        <f t="shared" si="241"/>
        <v/>
      </c>
      <c r="V3097" s="13" t="str">
        <f t="shared" si="242"/>
        <v/>
      </c>
      <c r="W3097" s="4" t="str">
        <f t="shared" si="243"/>
        <v/>
      </c>
      <c r="X3097" t="str">
        <f>IF(W3097="","",LOOKUP(_xlfn.CONCAT(P3097,", ",Q3097),'[1]T+S Costs'!$F$2:$F$3138,'[1]T+S Costs'!$N$2:$N$3138))</f>
        <v/>
      </c>
      <c r="Y3097" s="14" t="str">
        <f t="shared" si="244"/>
        <v/>
      </c>
      <c r="Z3097" s="4" t="str">
        <f t="shared" si="245"/>
        <v/>
      </c>
    </row>
    <row r="3098" spans="16:26" x14ac:dyDescent="0.25">
      <c r="P3098" s="10" t="str">
        <f>IF('[1]All Data '!AZ3103="","",'[1]All Data '!AZ3103)</f>
        <v/>
      </c>
      <c r="Q3098" s="10" t="str">
        <f>IF('[1]All Data '!BB3103="","",'[1]All Data '!BB3103)</f>
        <v/>
      </c>
      <c r="R3098" s="10" t="str">
        <f>IF('[1]All Data '!BD3103="","",'[1]All Data '!BD3103)</f>
        <v/>
      </c>
      <c r="S3098" s="11" t="str">
        <f>IF(R3098="","",'[1]All Data '!BE3103)</f>
        <v/>
      </c>
      <c r="T3098" s="12" t="str">
        <f>IF(S3098="","",[1]Inputs_Outputs!$B$8*(1-'LOCH Calc COE Calc'!S3098))</f>
        <v/>
      </c>
      <c r="U3098" s="13" t="str">
        <f t="shared" si="241"/>
        <v/>
      </c>
      <c r="V3098" s="13" t="str">
        <f t="shared" si="242"/>
        <v/>
      </c>
      <c r="W3098" s="4" t="str">
        <f t="shared" si="243"/>
        <v/>
      </c>
      <c r="X3098" t="str">
        <f>IF(W3098="","",LOOKUP(_xlfn.CONCAT(P3098,", ",Q3098),'[1]T+S Costs'!$F$2:$F$3138,'[1]T+S Costs'!$N$2:$N$3138))</f>
        <v/>
      </c>
      <c r="Y3098" s="14" t="str">
        <f t="shared" si="244"/>
        <v/>
      </c>
      <c r="Z3098" s="4" t="str">
        <f t="shared" si="245"/>
        <v/>
      </c>
    </row>
    <row r="3099" spans="16:26" x14ac:dyDescent="0.25">
      <c r="P3099" s="10" t="str">
        <f>IF('[1]All Data '!AZ3104="","",'[1]All Data '!AZ3104)</f>
        <v/>
      </c>
      <c r="Q3099" s="10" t="str">
        <f>IF('[1]All Data '!BB3104="","",'[1]All Data '!BB3104)</f>
        <v/>
      </c>
      <c r="R3099" s="10" t="str">
        <f>IF('[1]All Data '!BD3104="","",'[1]All Data '!BD3104)</f>
        <v/>
      </c>
      <c r="S3099" s="11" t="str">
        <f>IF(R3099="","",'[1]All Data '!BE3104)</f>
        <v/>
      </c>
      <c r="T3099" s="12" t="str">
        <f>IF(S3099="","",[1]Inputs_Outputs!$B$8*(1-'LOCH Calc COE Calc'!S3099))</f>
        <v/>
      </c>
      <c r="U3099" s="13" t="str">
        <f t="shared" si="241"/>
        <v/>
      </c>
      <c r="V3099" s="13" t="str">
        <f t="shared" si="242"/>
        <v/>
      </c>
      <c r="W3099" s="4" t="str">
        <f t="shared" si="243"/>
        <v/>
      </c>
      <c r="X3099" t="str">
        <f>IF(W3099="","",LOOKUP(_xlfn.CONCAT(P3099,", ",Q3099),'[1]T+S Costs'!$F$2:$F$3138,'[1]T+S Costs'!$N$2:$N$3138))</f>
        <v/>
      </c>
      <c r="Y3099" s="14" t="str">
        <f t="shared" si="244"/>
        <v/>
      </c>
      <c r="Z3099" s="4" t="str">
        <f t="shared" si="245"/>
        <v/>
      </c>
    </row>
    <row r="3100" spans="16:26" x14ac:dyDescent="0.25">
      <c r="P3100" s="10" t="str">
        <f>IF('[1]All Data '!AZ3105="","",'[1]All Data '!AZ3105)</f>
        <v/>
      </c>
      <c r="Q3100" s="10" t="str">
        <f>IF('[1]All Data '!BB3105="","",'[1]All Data '!BB3105)</f>
        <v/>
      </c>
      <c r="R3100" s="10" t="str">
        <f>IF('[1]All Data '!BD3105="","",'[1]All Data '!BD3105)</f>
        <v/>
      </c>
      <c r="S3100" s="11" t="str">
        <f>IF(R3100="","",'[1]All Data '!BE3105)</f>
        <v/>
      </c>
      <c r="T3100" s="12" t="str">
        <f>IF(S3100="","",[1]Inputs_Outputs!$B$8*(1-'LOCH Calc COE Calc'!S3100))</f>
        <v/>
      </c>
      <c r="U3100" s="13" t="str">
        <f t="shared" si="241"/>
        <v/>
      </c>
      <c r="V3100" s="13" t="str">
        <f t="shared" si="242"/>
        <v/>
      </c>
      <c r="W3100" s="4" t="str">
        <f t="shared" si="243"/>
        <v/>
      </c>
      <c r="X3100" t="str">
        <f>IF(W3100="","",LOOKUP(_xlfn.CONCAT(P3100,", ",Q3100),'[1]T+S Costs'!$F$2:$F$3138,'[1]T+S Costs'!$N$2:$N$3138))</f>
        <v/>
      </c>
      <c r="Y3100" s="14" t="str">
        <f t="shared" si="244"/>
        <v/>
      </c>
      <c r="Z3100" s="4" t="str">
        <f t="shared" si="245"/>
        <v/>
      </c>
    </row>
    <row r="3101" spans="16:26" x14ac:dyDescent="0.25">
      <c r="P3101" s="10" t="str">
        <f>IF('[1]All Data '!AZ3106="","",'[1]All Data '!AZ3106)</f>
        <v/>
      </c>
      <c r="Q3101" s="10" t="str">
        <f>IF('[1]All Data '!BB3106="","",'[1]All Data '!BB3106)</f>
        <v/>
      </c>
      <c r="R3101" s="10" t="str">
        <f>IF('[1]All Data '!BD3106="","",'[1]All Data '!BD3106)</f>
        <v/>
      </c>
      <c r="S3101" s="11" t="str">
        <f>IF(R3101="","",'[1]All Data '!BE3106)</f>
        <v/>
      </c>
      <c r="T3101" s="12" t="str">
        <f>IF(S3101="","",[1]Inputs_Outputs!$B$8*(1-'LOCH Calc COE Calc'!S3101))</f>
        <v/>
      </c>
      <c r="U3101" s="13" t="str">
        <f t="shared" si="241"/>
        <v/>
      </c>
      <c r="V3101" s="13" t="str">
        <f t="shared" si="242"/>
        <v/>
      </c>
      <c r="W3101" s="4" t="str">
        <f t="shared" si="243"/>
        <v/>
      </c>
      <c r="X3101" t="str">
        <f>IF(W3101="","",LOOKUP(_xlfn.CONCAT(P3101,", ",Q3101),'[1]T+S Costs'!$F$2:$F$3138,'[1]T+S Costs'!$N$2:$N$3138))</f>
        <v/>
      </c>
      <c r="Y3101" s="14" t="str">
        <f t="shared" si="244"/>
        <v/>
      </c>
      <c r="Z3101" s="4" t="str">
        <f t="shared" si="245"/>
        <v/>
      </c>
    </row>
    <row r="3102" spans="16:26" x14ac:dyDescent="0.25">
      <c r="P3102" s="10" t="str">
        <f>IF('[1]All Data '!AZ3107="","",'[1]All Data '!AZ3107)</f>
        <v/>
      </c>
      <c r="Q3102" s="10" t="str">
        <f>IF('[1]All Data '!BB3107="","",'[1]All Data '!BB3107)</f>
        <v/>
      </c>
      <c r="R3102" s="10" t="str">
        <f>IF('[1]All Data '!BD3107="","",'[1]All Data '!BD3107)</f>
        <v/>
      </c>
      <c r="S3102" s="11" t="str">
        <f>IF(R3102="","",'[1]All Data '!BE3107)</f>
        <v/>
      </c>
      <c r="T3102" s="12" t="str">
        <f>IF(S3102="","",[1]Inputs_Outputs!$B$8*(1-'LOCH Calc COE Calc'!S3102))</f>
        <v/>
      </c>
      <c r="U3102" s="13" t="str">
        <f t="shared" si="241"/>
        <v/>
      </c>
      <c r="V3102" s="13" t="str">
        <f t="shared" si="242"/>
        <v/>
      </c>
      <c r="W3102" s="4" t="str">
        <f t="shared" si="243"/>
        <v/>
      </c>
      <c r="X3102" t="str">
        <f>IF(W3102="","",LOOKUP(_xlfn.CONCAT(P3102,", ",Q3102),'[1]T+S Costs'!$F$2:$F$3138,'[1]T+S Costs'!$N$2:$N$3138))</f>
        <v/>
      </c>
      <c r="Y3102" s="14" t="str">
        <f t="shared" si="244"/>
        <v/>
      </c>
      <c r="Z3102" s="4" t="str">
        <f t="shared" si="245"/>
        <v/>
      </c>
    </row>
    <row r="3103" spans="16:26" x14ac:dyDescent="0.25">
      <c r="P3103" s="10" t="str">
        <f>IF('[1]All Data '!AZ3108="","",'[1]All Data '!AZ3108)</f>
        <v/>
      </c>
      <c r="Q3103" s="10" t="str">
        <f>IF('[1]All Data '!BB3108="","",'[1]All Data '!BB3108)</f>
        <v/>
      </c>
      <c r="R3103" s="10" t="str">
        <f>IF('[1]All Data '!BD3108="","",'[1]All Data '!BD3108)</f>
        <v/>
      </c>
      <c r="S3103" s="11" t="str">
        <f>IF(R3103="","",'[1]All Data '!BE3108)</f>
        <v/>
      </c>
      <c r="T3103" s="12" t="str">
        <f>IF(S3103="","",[1]Inputs_Outputs!$B$8*(1-'LOCH Calc COE Calc'!S3103))</f>
        <v/>
      </c>
      <c r="U3103" s="13" t="str">
        <f t="shared" si="241"/>
        <v/>
      </c>
      <c r="V3103" s="13" t="str">
        <f t="shared" si="242"/>
        <v/>
      </c>
      <c r="W3103" s="4" t="str">
        <f t="shared" si="243"/>
        <v/>
      </c>
      <c r="X3103" t="str">
        <f>IF(W3103="","",LOOKUP(_xlfn.CONCAT(P3103,", ",Q3103),'[1]T+S Costs'!$F$2:$F$3138,'[1]T+S Costs'!$N$2:$N$3138))</f>
        <v/>
      </c>
      <c r="Y3103" s="14" t="str">
        <f t="shared" si="244"/>
        <v/>
      </c>
      <c r="Z3103" s="4" t="str">
        <f t="shared" si="245"/>
        <v/>
      </c>
    </row>
    <row r="3104" spans="16:26" x14ac:dyDescent="0.25">
      <c r="P3104" s="10" t="str">
        <f>IF('[1]All Data '!AZ3109="","",'[1]All Data '!AZ3109)</f>
        <v/>
      </c>
      <c r="Q3104" s="10" t="str">
        <f>IF('[1]All Data '!BB3109="","",'[1]All Data '!BB3109)</f>
        <v/>
      </c>
      <c r="R3104" s="10" t="str">
        <f>IF('[1]All Data '!BD3109="","",'[1]All Data '!BD3109)</f>
        <v/>
      </c>
      <c r="S3104" s="11" t="str">
        <f>IF(R3104="","",'[1]All Data '!BE3109)</f>
        <v/>
      </c>
      <c r="T3104" s="12" t="str">
        <f>IF(S3104="","",[1]Inputs_Outputs!$B$8*(1-'LOCH Calc COE Calc'!S3104))</f>
        <v/>
      </c>
      <c r="U3104" s="13" t="str">
        <f t="shared" si="241"/>
        <v/>
      </c>
      <c r="V3104" s="13" t="str">
        <f t="shared" si="242"/>
        <v/>
      </c>
      <c r="W3104" s="4" t="str">
        <f t="shared" si="243"/>
        <v/>
      </c>
      <c r="X3104" t="str">
        <f>IF(W3104="","",LOOKUP(_xlfn.CONCAT(P3104,", ",Q3104),'[1]T+S Costs'!$F$2:$F$3138,'[1]T+S Costs'!$N$2:$N$3138))</f>
        <v/>
      </c>
      <c r="Y3104" s="14" t="str">
        <f t="shared" si="244"/>
        <v/>
      </c>
      <c r="Z3104" s="4" t="str">
        <f t="shared" si="245"/>
        <v/>
      </c>
    </row>
    <row r="3105" spans="16:26" x14ac:dyDescent="0.25">
      <c r="P3105" s="10" t="str">
        <f>IF('[1]All Data '!AZ3110="","",'[1]All Data '!AZ3110)</f>
        <v/>
      </c>
      <c r="Q3105" s="10" t="str">
        <f>IF('[1]All Data '!BB3110="","",'[1]All Data '!BB3110)</f>
        <v/>
      </c>
      <c r="R3105" s="10" t="str">
        <f>IF('[1]All Data '!BD3110="","",'[1]All Data '!BD3110)</f>
        <v/>
      </c>
      <c r="S3105" s="11" t="str">
        <f>IF(R3105="","",'[1]All Data '!BE3110)</f>
        <v/>
      </c>
      <c r="T3105" s="12" t="str">
        <f>IF(S3105="","",[1]Inputs_Outputs!$B$8*(1-'LOCH Calc COE Calc'!S3105))</f>
        <v/>
      </c>
      <c r="U3105" s="13" t="str">
        <f t="shared" si="241"/>
        <v/>
      </c>
      <c r="V3105" s="13" t="str">
        <f t="shared" si="242"/>
        <v/>
      </c>
      <c r="W3105" s="4" t="str">
        <f t="shared" si="243"/>
        <v/>
      </c>
      <c r="X3105" t="str">
        <f>IF(W3105="","",LOOKUP(_xlfn.CONCAT(P3105,", ",Q3105),'[1]T+S Costs'!$F$2:$F$3138,'[1]T+S Costs'!$N$2:$N$3138))</f>
        <v/>
      </c>
      <c r="Y3105" s="14" t="str">
        <f t="shared" si="244"/>
        <v/>
      </c>
      <c r="Z3105" s="4" t="str">
        <f t="shared" si="245"/>
        <v/>
      </c>
    </row>
    <row r="3106" spans="16:26" x14ac:dyDescent="0.25">
      <c r="P3106" s="10" t="str">
        <f>IF('[1]All Data '!AZ3111="","",'[1]All Data '!AZ3111)</f>
        <v/>
      </c>
      <c r="Q3106" s="10" t="str">
        <f>IF('[1]All Data '!BB3111="","",'[1]All Data '!BB3111)</f>
        <v/>
      </c>
      <c r="R3106" s="10" t="str">
        <f>IF('[1]All Data '!BD3111="","",'[1]All Data '!BD3111)</f>
        <v/>
      </c>
      <c r="S3106" s="11" t="str">
        <f>IF(R3106="","",'[1]All Data '!BE3111)</f>
        <v/>
      </c>
      <c r="T3106" s="12" t="str">
        <f>IF(S3106="","",[1]Inputs_Outputs!$B$8*(1-'LOCH Calc COE Calc'!S3106))</f>
        <v/>
      </c>
      <c r="U3106" s="13" t="str">
        <f t="shared" si="241"/>
        <v/>
      </c>
      <c r="V3106" s="13" t="str">
        <f t="shared" si="242"/>
        <v/>
      </c>
      <c r="W3106" s="4" t="str">
        <f t="shared" si="243"/>
        <v/>
      </c>
      <c r="X3106" t="str">
        <f>IF(W3106="","",LOOKUP(_xlfn.CONCAT(P3106,", ",Q3106),'[1]T+S Costs'!$F$2:$F$3138,'[1]T+S Costs'!$N$2:$N$3138))</f>
        <v/>
      </c>
      <c r="Y3106" s="14" t="str">
        <f t="shared" si="244"/>
        <v/>
      </c>
      <c r="Z3106" s="4" t="str">
        <f t="shared" si="245"/>
        <v/>
      </c>
    </row>
    <row r="3107" spans="16:26" x14ac:dyDescent="0.25">
      <c r="P3107" s="10" t="str">
        <f>IF('[1]All Data '!AZ3112="","",'[1]All Data '!AZ3112)</f>
        <v/>
      </c>
      <c r="Q3107" s="10" t="str">
        <f>IF('[1]All Data '!BB3112="","",'[1]All Data '!BB3112)</f>
        <v/>
      </c>
      <c r="R3107" s="10" t="str">
        <f>IF('[1]All Data '!BD3112="","",'[1]All Data '!BD3112)</f>
        <v/>
      </c>
      <c r="S3107" s="11" t="str">
        <f>IF(R3107="","",'[1]All Data '!BE3112)</f>
        <v/>
      </c>
      <c r="T3107" s="12" t="str">
        <f>IF(S3107="","",[1]Inputs_Outputs!$B$8*(1-'LOCH Calc COE Calc'!S3107))</f>
        <v/>
      </c>
      <c r="U3107" s="13" t="str">
        <f t="shared" ref="U3107:U3147" si="246">IF(S3107="","",R3107*T3107*365*$B$19/100)</f>
        <v/>
      </c>
      <c r="V3107" s="13" t="str">
        <f t="shared" ref="V3107:V3147" si="247">IF(S3107="","",(U3107*$B$19)/(($B$28)*$B$19))</f>
        <v/>
      </c>
      <c r="W3107" s="4" t="str">
        <f t="shared" ref="W3107:W3147" si="248">IF(S3107="","",V3107+$C$49+$C$50+$C$51)</f>
        <v/>
      </c>
      <c r="X3107" t="str">
        <f>IF(W3107="","",LOOKUP(_xlfn.CONCAT(P3107,", ",Q3107),'[1]T+S Costs'!$F$2:$F$3138,'[1]T+S Costs'!$N$2:$N$3138))</f>
        <v/>
      </c>
      <c r="Y3107" s="14" t="str">
        <f t="shared" si="244"/>
        <v/>
      </c>
      <c r="Z3107" s="4" t="str">
        <f t="shared" si="245"/>
        <v/>
      </c>
    </row>
    <row r="3108" spans="16:26" x14ac:dyDescent="0.25">
      <c r="P3108" s="10" t="str">
        <f>IF('[1]All Data '!AZ3113="","",'[1]All Data '!AZ3113)</f>
        <v/>
      </c>
      <c r="Q3108" s="10" t="str">
        <f>IF('[1]All Data '!BB3113="","",'[1]All Data '!BB3113)</f>
        <v/>
      </c>
      <c r="R3108" s="10" t="str">
        <f>IF('[1]All Data '!BD3113="","",'[1]All Data '!BD3113)</f>
        <v/>
      </c>
      <c r="S3108" s="11" t="str">
        <f>IF(R3108="","",'[1]All Data '!BE3113)</f>
        <v/>
      </c>
      <c r="T3108" s="12" t="str">
        <f>IF(S3108="","",[1]Inputs_Outputs!$B$8*(1-'LOCH Calc COE Calc'!S3108))</f>
        <v/>
      </c>
      <c r="U3108" s="13" t="str">
        <f t="shared" si="246"/>
        <v/>
      </c>
      <c r="V3108" s="13" t="str">
        <f t="shared" si="247"/>
        <v/>
      </c>
      <c r="W3108" s="4" t="str">
        <f t="shared" si="248"/>
        <v/>
      </c>
      <c r="X3108" t="str">
        <f>IF(W3108="","",LOOKUP(_xlfn.CONCAT(P3108,", ",Q3108),'[1]T+S Costs'!$F$2:$F$3138,'[1]T+S Costs'!$N$2:$N$3138))</f>
        <v/>
      </c>
      <c r="Y3108" s="14" t="str">
        <f t="shared" si="244"/>
        <v/>
      </c>
      <c r="Z3108" s="4" t="str">
        <f t="shared" si="245"/>
        <v/>
      </c>
    </row>
    <row r="3109" spans="16:26" x14ac:dyDescent="0.25">
      <c r="P3109" s="10" t="str">
        <f>IF('[1]All Data '!AZ3114="","",'[1]All Data '!AZ3114)</f>
        <v/>
      </c>
      <c r="Q3109" s="10" t="str">
        <f>IF('[1]All Data '!BB3114="","",'[1]All Data '!BB3114)</f>
        <v/>
      </c>
      <c r="R3109" s="10" t="str">
        <f>IF('[1]All Data '!BD3114="","",'[1]All Data '!BD3114)</f>
        <v/>
      </c>
      <c r="S3109" s="11" t="str">
        <f>IF(R3109="","",'[1]All Data '!BE3114)</f>
        <v/>
      </c>
      <c r="T3109" s="12" t="str">
        <f>IF(S3109="","",[1]Inputs_Outputs!$B$8*(1-'LOCH Calc COE Calc'!S3109))</f>
        <v/>
      </c>
      <c r="U3109" s="13" t="str">
        <f t="shared" si="246"/>
        <v/>
      </c>
      <c r="V3109" s="13" t="str">
        <f t="shared" si="247"/>
        <v/>
      </c>
      <c r="W3109" s="4" t="str">
        <f t="shared" si="248"/>
        <v/>
      </c>
      <c r="X3109" t="str">
        <f>IF(W3109="","",LOOKUP(_xlfn.CONCAT(P3109,", ",Q3109),'[1]T+S Costs'!$F$2:$F$3138,'[1]T+S Costs'!$N$2:$N$3138))</f>
        <v/>
      </c>
      <c r="Y3109" s="14" t="str">
        <f t="shared" si="244"/>
        <v/>
      </c>
      <c r="Z3109" s="4" t="str">
        <f t="shared" si="245"/>
        <v/>
      </c>
    </row>
    <row r="3110" spans="16:26" x14ac:dyDescent="0.25">
      <c r="P3110" s="10" t="str">
        <f>IF('[1]All Data '!AZ3115="","",'[1]All Data '!AZ3115)</f>
        <v/>
      </c>
      <c r="Q3110" s="10" t="str">
        <f>IF('[1]All Data '!BB3115="","",'[1]All Data '!BB3115)</f>
        <v/>
      </c>
      <c r="R3110" s="10" t="str">
        <f>IF('[1]All Data '!BD3115="","",'[1]All Data '!BD3115)</f>
        <v/>
      </c>
      <c r="S3110" s="11" t="str">
        <f>IF(R3110="","",'[1]All Data '!BE3115)</f>
        <v/>
      </c>
      <c r="T3110" s="12" t="str">
        <f>IF(S3110="","",[1]Inputs_Outputs!$B$8*(1-'LOCH Calc COE Calc'!S3110))</f>
        <v/>
      </c>
      <c r="U3110" s="13" t="str">
        <f t="shared" si="246"/>
        <v/>
      </c>
      <c r="V3110" s="13" t="str">
        <f t="shared" si="247"/>
        <v/>
      </c>
      <c r="W3110" s="4" t="str">
        <f t="shared" si="248"/>
        <v/>
      </c>
      <c r="X3110" t="str">
        <f>IF(W3110="","",LOOKUP(_xlfn.CONCAT(P3110,", ",Q3110),'[1]T+S Costs'!$F$2:$F$3138,'[1]T+S Costs'!$N$2:$N$3138))</f>
        <v/>
      </c>
      <c r="Y3110" s="14" t="str">
        <f t="shared" si="244"/>
        <v/>
      </c>
      <c r="Z3110" s="4" t="str">
        <f t="shared" si="245"/>
        <v/>
      </c>
    </row>
    <row r="3111" spans="16:26" x14ac:dyDescent="0.25">
      <c r="P3111" s="10" t="str">
        <f>IF('[1]All Data '!AZ3116="","",'[1]All Data '!AZ3116)</f>
        <v/>
      </c>
      <c r="Q3111" s="10" t="str">
        <f>IF('[1]All Data '!BB3116="","",'[1]All Data '!BB3116)</f>
        <v/>
      </c>
      <c r="R3111" s="10" t="str">
        <f>IF('[1]All Data '!BD3116="","",'[1]All Data '!BD3116)</f>
        <v/>
      </c>
      <c r="S3111" s="11" t="str">
        <f>IF(R3111="","",'[1]All Data '!BE3116)</f>
        <v/>
      </c>
      <c r="T3111" s="12" t="str">
        <f>IF(S3111="","",[1]Inputs_Outputs!$B$8*(1-'LOCH Calc COE Calc'!S3111))</f>
        <v/>
      </c>
      <c r="U3111" s="13" t="str">
        <f t="shared" si="246"/>
        <v/>
      </c>
      <c r="V3111" s="13" t="str">
        <f t="shared" si="247"/>
        <v/>
      </c>
      <c r="W3111" s="4" t="str">
        <f t="shared" si="248"/>
        <v/>
      </c>
      <c r="X3111" t="str">
        <f>IF(W3111="","",LOOKUP(_xlfn.CONCAT(P3111,", ",Q3111),'[1]T+S Costs'!$F$2:$F$3138,'[1]T+S Costs'!$N$2:$N$3138))</f>
        <v/>
      </c>
      <c r="Y3111" s="14" t="str">
        <f t="shared" si="244"/>
        <v/>
      </c>
      <c r="Z3111" s="4" t="str">
        <f t="shared" si="245"/>
        <v/>
      </c>
    </row>
    <row r="3112" spans="16:26" x14ac:dyDescent="0.25">
      <c r="P3112" s="10" t="str">
        <f>IF('[1]All Data '!AZ3117="","",'[1]All Data '!AZ3117)</f>
        <v/>
      </c>
      <c r="Q3112" s="10" t="str">
        <f>IF('[1]All Data '!BB3117="","",'[1]All Data '!BB3117)</f>
        <v/>
      </c>
      <c r="R3112" s="10" t="str">
        <f>IF('[1]All Data '!BD3117="","",'[1]All Data '!BD3117)</f>
        <v/>
      </c>
      <c r="S3112" s="11" t="str">
        <f>IF(R3112="","",'[1]All Data '!BE3117)</f>
        <v/>
      </c>
      <c r="T3112" s="12" t="str">
        <f>IF(S3112="","",[1]Inputs_Outputs!$B$8*(1-'LOCH Calc COE Calc'!S3112))</f>
        <v/>
      </c>
      <c r="U3112" s="13" t="str">
        <f t="shared" si="246"/>
        <v/>
      </c>
      <c r="V3112" s="13" t="str">
        <f t="shared" si="247"/>
        <v/>
      </c>
      <c r="W3112" s="4" t="str">
        <f t="shared" si="248"/>
        <v/>
      </c>
      <c r="X3112" t="str">
        <f>IF(W3112="","",LOOKUP(_xlfn.CONCAT(P3112,", ",Q3112),'[1]T+S Costs'!$F$2:$F$3138,'[1]T+S Costs'!$N$2:$N$3138))</f>
        <v/>
      </c>
      <c r="Y3112" s="14" t="str">
        <f t="shared" si="244"/>
        <v/>
      </c>
      <c r="Z3112" s="4" t="str">
        <f t="shared" si="245"/>
        <v/>
      </c>
    </row>
    <row r="3113" spans="16:26" x14ac:dyDescent="0.25">
      <c r="P3113" s="10" t="str">
        <f>IF('[1]All Data '!AZ3118="","",'[1]All Data '!AZ3118)</f>
        <v/>
      </c>
      <c r="Q3113" s="10" t="str">
        <f>IF('[1]All Data '!BB3118="","",'[1]All Data '!BB3118)</f>
        <v/>
      </c>
      <c r="R3113" s="10" t="str">
        <f>IF('[1]All Data '!BD3118="","",'[1]All Data '!BD3118)</f>
        <v/>
      </c>
      <c r="S3113" s="11" t="str">
        <f>IF(R3113="","",'[1]All Data '!BE3118)</f>
        <v/>
      </c>
      <c r="T3113" s="12" t="str">
        <f>IF(S3113="","",[1]Inputs_Outputs!$B$8*(1-'LOCH Calc COE Calc'!S3113))</f>
        <v/>
      </c>
      <c r="U3113" s="13" t="str">
        <f t="shared" si="246"/>
        <v/>
      </c>
      <c r="V3113" s="13" t="str">
        <f t="shared" si="247"/>
        <v/>
      </c>
      <c r="W3113" s="4" t="str">
        <f t="shared" si="248"/>
        <v/>
      </c>
      <c r="X3113" t="str">
        <f>IF(W3113="","",LOOKUP(_xlfn.CONCAT(P3113,", ",Q3113),'[1]T+S Costs'!$F$2:$F$3138,'[1]T+S Costs'!$N$2:$N$3138))</f>
        <v/>
      </c>
      <c r="Y3113" s="14" t="str">
        <f t="shared" si="244"/>
        <v/>
      </c>
      <c r="Z3113" s="4" t="str">
        <f t="shared" si="245"/>
        <v/>
      </c>
    </row>
    <row r="3114" spans="16:26" x14ac:dyDescent="0.25">
      <c r="P3114" s="10" t="str">
        <f>IF('[1]All Data '!AZ3119="","",'[1]All Data '!AZ3119)</f>
        <v/>
      </c>
      <c r="Q3114" s="10" t="str">
        <f>IF('[1]All Data '!BB3119="","",'[1]All Data '!BB3119)</f>
        <v/>
      </c>
      <c r="R3114" s="10" t="str">
        <f>IF('[1]All Data '!BD3119="","",'[1]All Data '!BD3119)</f>
        <v/>
      </c>
      <c r="S3114" s="11" t="str">
        <f>IF(R3114="","",'[1]All Data '!BE3119)</f>
        <v/>
      </c>
      <c r="T3114" s="12" t="str">
        <f>IF(S3114="","",[1]Inputs_Outputs!$B$8*(1-'LOCH Calc COE Calc'!S3114))</f>
        <v/>
      </c>
      <c r="U3114" s="13" t="str">
        <f t="shared" si="246"/>
        <v/>
      </c>
      <c r="V3114" s="13" t="str">
        <f t="shared" si="247"/>
        <v/>
      </c>
      <c r="W3114" s="4" t="str">
        <f t="shared" si="248"/>
        <v/>
      </c>
      <c r="X3114" t="str">
        <f>IF(W3114="","",LOOKUP(_xlfn.CONCAT(P3114,", ",Q3114),'[1]T+S Costs'!$F$2:$F$3138,'[1]T+S Costs'!$N$2:$N$3138))</f>
        <v/>
      </c>
      <c r="Y3114" s="14" t="str">
        <f t="shared" si="244"/>
        <v/>
      </c>
      <c r="Z3114" s="4" t="str">
        <f t="shared" si="245"/>
        <v/>
      </c>
    </row>
    <row r="3115" spans="16:26" x14ac:dyDescent="0.25">
      <c r="P3115" s="10" t="str">
        <f>IF('[1]All Data '!AZ3120="","",'[1]All Data '!AZ3120)</f>
        <v/>
      </c>
      <c r="Q3115" s="10" t="str">
        <f>IF('[1]All Data '!BB3120="","",'[1]All Data '!BB3120)</f>
        <v/>
      </c>
      <c r="R3115" s="10" t="str">
        <f>IF('[1]All Data '!BD3120="","",'[1]All Data '!BD3120)</f>
        <v/>
      </c>
      <c r="S3115" s="11" t="str">
        <f>IF(R3115="","",'[1]All Data '!BE3120)</f>
        <v/>
      </c>
      <c r="T3115" s="12" t="str">
        <f>IF(S3115="","",[1]Inputs_Outputs!$B$8*(1-'LOCH Calc COE Calc'!S3115))</f>
        <v/>
      </c>
      <c r="U3115" s="13" t="str">
        <f t="shared" si="246"/>
        <v/>
      </c>
      <c r="V3115" s="13" t="str">
        <f t="shared" si="247"/>
        <v/>
      </c>
      <c r="W3115" s="4" t="str">
        <f t="shared" si="248"/>
        <v/>
      </c>
      <c r="X3115" t="str">
        <f>IF(W3115="","",LOOKUP(_xlfn.CONCAT(P3115,", ",Q3115),'[1]T+S Costs'!$F$2:$F$3138,'[1]T+S Costs'!$N$2:$N$3138))</f>
        <v/>
      </c>
      <c r="Y3115" s="14" t="str">
        <f t="shared" si="244"/>
        <v/>
      </c>
      <c r="Z3115" s="4" t="str">
        <f t="shared" si="245"/>
        <v/>
      </c>
    </row>
    <row r="3116" spans="16:26" x14ac:dyDescent="0.25">
      <c r="P3116" s="10" t="str">
        <f>IF('[1]All Data '!AZ3121="","",'[1]All Data '!AZ3121)</f>
        <v/>
      </c>
      <c r="Q3116" s="10" t="str">
        <f>IF('[1]All Data '!BB3121="","",'[1]All Data '!BB3121)</f>
        <v/>
      </c>
      <c r="R3116" s="10" t="str">
        <f>IF('[1]All Data '!BD3121="","",'[1]All Data '!BD3121)</f>
        <v/>
      </c>
      <c r="S3116" s="11" t="str">
        <f>IF(R3116="","",'[1]All Data '!BE3121)</f>
        <v/>
      </c>
      <c r="T3116" s="12" t="str">
        <f>IF(S3116="","",[1]Inputs_Outputs!$B$8*(1-'LOCH Calc COE Calc'!S3116))</f>
        <v/>
      </c>
      <c r="U3116" s="13" t="str">
        <f t="shared" si="246"/>
        <v/>
      </c>
      <c r="V3116" s="13" t="str">
        <f t="shared" si="247"/>
        <v/>
      </c>
      <c r="W3116" s="4" t="str">
        <f t="shared" si="248"/>
        <v/>
      </c>
      <c r="X3116" t="str">
        <f>IF(W3116="","",LOOKUP(_xlfn.CONCAT(P3116,", ",Q3116),'[1]T+S Costs'!$F$2:$F$3138,'[1]T+S Costs'!$N$2:$N$3138))</f>
        <v/>
      </c>
      <c r="Y3116" s="14" t="str">
        <f t="shared" si="244"/>
        <v/>
      </c>
      <c r="Z3116" s="4" t="str">
        <f t="shared" si="245"/>
        <v/>
      </c>
    </row>
    <row r="3117" spans="16:26" x14ac:dyDescent="0.25">
      <c r="P3117" s="10" t="str">
        <f>IF('[1]All Data '!AZ3122="","",'[1]All Data '!AZ3122)</f>
        <v/>
      </c>
      <c r="Q3117" s="10" t="str">
        <f>IF('[1]All Data '!BB3122="","",'[1]All Data '!BB3122)</f>
        <v/>
      </c>
      <c r="R3117" s="10" t="str">
        <f>IF('[1]All Data '!BD3122="","",'[1]All Data '!BD3122)</f>
        <v/>
      </c>
      <c r="S3117" s="11" t="str">
        <f>IF(R3117="","",'[1]All Data '!BE3122)</f>
        <v/>
      </c>
      <c r="T3117" s="12" t="str">
        <f>IF(S3117="","",[1]Inputs_Outputs!$B$8*(1-'LOCH Calc COE Calc'!S3117))</f>
        <v/>
      </c>
      <c r="U3117" s="13" t="str">
        <f t="shared" si="246"/>
        <v/>
      </c>
      <c r="V3117" s="13" t="str">
        <f t="shared" si="247"/>
        <v/>
      </c>
      <c r="W3117" s="4" t="str">
        <f t="shared" si="248"/>
        <v/>
      </c>
      <c r="X3117" t="str">
        <f>IF(W3117="","",LOOKUP(_xlfn.CONCAT(P3117,", ",Q3117),'[1]T+S Costs'!$F$2:$F$3138,'[1]T+S Costs'!$N$2:$N$3138))</f>
        <v/>
      </c>
      <c r="Y3117" s="14" t="str">
        <f t="shared" si="244"/>
        <v/>
      </c>
      <c r="Z3117" s="4" t="str">
        <f t="shared" si="245"/>
        <v/>
      </c>
    </row>
    <row r="3118" spans="16:26" x14ac:dyDescent="0.25">
      <c r="P3118" s="10" t="str">
        <f>IF('[1]All Data '!AZ3123="","",'[1]All Data '!AZ3123)</f>
        <v/>
      </c>
      <c r="Q3118" s="10" t="str">
        <f>IF('[1]All Data '!BB3123="","",'[1]All Data '!BB3123)</f>
        <v/>
      </c>
      <c r="R3118" s="10" t="str">
        <f>IF('[1]All Data '!BD3123="","",'[1]All Data '!BD3123)</f>
        <v/>
      </c>
      <c r="S3118" s="11" t="str">
        <f>IF(R3118="","",'[1]All Data '!BE3123)</f>
        <v/>
      </c>
      <c r="T3118" s="12" t="str">
        <f>IF(S3118="","",[1]Inputs_Outputs!$B$8*(1-'LOCH Calc COE Calc'!S3118))</f>
        <v/>
      </c>
      <c r="U3118" s="13" t="str">
        <f t="shared" si="246"/>
        <v/>
      </c>
      <c r="V3118" s="13" t="str">
        <f t="shared" si="247"/>
        <v/>
      </c>
      <c r="W3118" s="4" t="str">
        <f t="shared" si="248"/>
        <v/>
      </c>
      <c r="X3118" t="str">
        <f>IF(W3118="","",LOOKUP(_xlfn.CONCAT(P3118,", ",Q3118),'[1]T+S Costs'!$F$2:$F$3138,'[1]T+S Costs'!$N$2:$N$3138))</f>
        <v/>
      </c>
      <c r="Y3118" s="14" t="str">
        <f t="shared" si="244"/>
        <v/>
      </c>
      <c r="Z3118" s="4" t="str">
        <f t="shared" si="245"/>
        <v/>
      </c>
    </row>
    <row r="3119" spans="16:26" x14ac:dyDescent="0.25">
      <c r="P3119" s="10" t="str">
        <f>IF('[1]All Data '!AZ3124="","",'[1]All Data '!AZ3124)</f>
        <v/>
      </c>
      <c r="Q3119" s="10" t="str">
        <f>IF('[1]All Data '!BB3124="","",'[1]All Data '!BB3124)</f>
        <v/>
      </c>
      <c r="R3119" s="10" t="str">
        <f>IF('[1]All Data '!BD3124="","",'[1]All Data '!BD3124)</f>
        <v/>
      </c>
      <c r="S3119" s="11" t="str">
        <f>IF(R3119="","",'[1]All Data '!BE3124)</f>
        <v/>
      </c>
      <c r="T3119" s="12" t="str">
        <f>IF(S3119="","",[1]Inputs_Outputs!$B$8*(1-'LOCH Calc COE Calc'!S3119))</f>
        <v/>
      </c>
      <c r="U3119" s="13" t="str">
        <f t="shared" si="246"/>
        <v/>
      </c>
      <c r="V3119" s="13" t="str">
        <f t="shared" si="247"/>
        <v/>
      </c>
      <c r="W3119" s="4" t="str">
        <f t="shared" si="248"/>
        <v/>
      </c>
      <c r="X3119" t="str">
        <f>IF(W3119="","",LOOKUP(_xlfn.CONCAT(P3119,", ",Q3119),'[1]T+S Costs'!$F$2:$F$3138,'[1]T+S Costs'!$N$2:$N$3138))</f>
        <v/>
      </c>
      <c r="Y3119" s="14" t="str">
        <f t="shared" si="244"/>
        <v/>
      </c>
      <c r="Z3119" s="4" t="str">
        <f t="shared" si="245"/>
        <v/>
      </c>
    </row>
    <row r="3120" spans="16:26" x14ac:dyDescent="0.25">
      <c r="P3120" s="10" t="str">
        <f>IF('[1]All Data '!AZ3125="","",'[1]All Data '!AZ3125)</f>
        <v/>
      </c>
      <c r="Q3120" s="10" t="str">
        <f>IF('[1]All Data '!BB3125="","",'[1]All Data '!BB3125)</f>
        <v/>
      </c>
      <c r="R3120" s="10" t="str">
        <f>IF('[1]All Data '!BD3125="","",'[1]All Data '!BD3125)</f>
        <v/>
      </c>
      <c r="S3120" s="11" t="str">
        <f>IF(R3120="","",'[1]All Data '!BE3125)</f>
        <v/>
      </c>
      <c r="T3120" s="12" t="str">
        <f>IF(S3120="","",[1]Inputs_Outputs!$B$8*(1-'LOCH Calc COE Calc'!S3120))</f>
        <v/>
      </c>
      <c r="U3120" s="13" t="str">
        <f t="shared" si="246"/>
        <v/>
      </c>
      <c r="V3120" s="13" t="str">
        <f t="shared" si="247"/>
        <v/>
      </c>
      <c r="W3120" s="4" t="str">
        <f t="shared" si="248"/>
        <v/>
      </c>
      <c r="X3120" t="str">
        <f>IF(W3120="","",LOOKUP(_xlfn.CONCAT(P3120,", ",Q3120),'[1]T+S Costs'!$F$2:$F$3138,'[1]T+S Costs'!$N$2:$N$3138))</f>
        <v/>
      </c>
      <c r="Y3120" s="14" t="str">
        <f t="shared" si="244"/>
        <v/>
      </c>
      <c r="Z3120" s="4" t="str">
        <f t="shared" si="245"/>
        <v/>
      </c>
    </row>
    <row r="3121" spans="16:26" x14ac:dyDescent="0.25">
      <c r="P3121" s="10" t="str">
        <f>IF('[1]All Data '!AZ3126="","",'[1]All Data '!AZ3126)</f>
        <v/>
      </c>
      <c r="Q3121" s="10" t="str">
        <f>IF('[1]All Data '!BB3126="","",'[1]All Data '!BB3126)</f>
        <v/>
      </c>
      <c r="R3121" s="10" t="str">
        <f>IF('[1]All Data '!BD3126="","",'[1]All Data '!BD3126)</f>
        <v/>
      </c>
      <c r="S3121" s="11" t="str">
        <f>IF(R3121="","",'[1]All Data '!BE3126)</f>
        <v/>
      </c>
      <c r="T3121" s="12" t="str">
        <f>IF(S3121="","",[1]Inputs_Outputs!$B$8*(1-'LOCH Calc COE Calc'!S3121))</f>
        <v/>
      </c>
      <c r="U3121" s="13" t="str">
        <f t="shared" si="246"/>
        <v/>
      </c>
      <c r="V3121" s="13" t="str">
        <f t="shared" si="247"/>
        <v/>
      </c>
      <c r="W3121" s="4" t="str">
        <f t="shared" si="248"/>
        <v/>
      </c>
      <c r="X3121" t="str">
        <f>IF(W3121="","",LOOKUP(_xlfn.CONCAT(P3121,", ",Q3121),'[1]T+S Costs'!$F$2:$F$3138,'[1]T+S Costs'!$N$2:$N$3138))</f>
        <v/>
      </c>
      <c r="Y3121" s="14" t="str">
        <f t="shared" si="244"/>
        <v/>
      </c>
      <c r="Z3121" s="4" t="str">
        <f t="shared" si="245"/>
        <v/>
      </c>
    </row>
    <row r="3122" spans="16:26" x14ac:dyDescent="0.25">
      <c r="P3122" s="10" t="str">
        <f>IF('[1]All Data '!AZ3127="","",'[1]All Data '!AZ3127)</f>
        <v/>
      </c>
      <c r="Q3122" s="10" t="str">
        <f>IF('[1]All Data '!BB3127="","",'[1]All Data '!BB3127)</f>
        <v/>
      </c>
      <c r="R3122" s="10" t="str">
        <f>IF('[1]All Data '!BD3127="","",'[1]All Data '!BD3127)</f>
        <v/>
      </c>
      <c r="S3122" s="11" t="str">
        <f>IF(R3122="","",'[1]All Data '!BE3127)</f>
        <v/>
      </c>
      <c r="T3122" s="12" t="str">
        <f>IF(S3122="","",[1]Inputs_Outputs!$B$8*(1-'LOCH Calc COE Calc'!S3122))</f>
        <v/>
      </c>
      <c r="U3122" s="13" t="str">
        <f t="shared" si="246"/>
        <v/>
      </c>
      <c r="V3122" s="13" t="str">
        <f t="shared" si="247"/>
        <v/>
      </c>
      <c r="W3122" s="4" t="str">
        <f t="shared" si="248"/>
        <v/>
      </c>
      <c r="X3122" t="str">
        <f>IF(W3122="","",LOOKUP(_xlfn.CONCAT(P3122,", ",Q3122),'[1]T+S Costs'!$F$2:$F$3138,'[1]T+S Costs'!$N$2:$N$3138))</f>
        <v/>
      </c>
      <c r="Y3122" s="14" t="str">
        <f t="shared" si="244"/>
        <v/>
      </c>
      <c r="Z3122" s="4" t="str">
        <f t="shared" si="245"/>
        <v/>
      </c>
    </row>
    <row r="3123" spans="16:26" x14ac:dyDescent="0.25">
      <c r="P3123" s="10" t="str">
        <f>IF('[1]All Data '!AZ3128="","",'[1]All Data '!AZ3128)</f>
        <v/>
      </c>
      <c r="Q3123" s="10" t="str">
        <f>IF('[1]All Data '!BB3128="","",'[1]All Data '!BB3128)</f>
        <v/>
      </c>
      <c r="R3123" s="10" t="str">
        <f>IF('[1]All Data '!BD3128="","",'[1]All Data '!BD3128)</f>
        <v/>
      </c>
      <c r="S3123" s="11" t="str">
        <f>IF(R3123="","",'[1]All Data '!BE3128)</f>
        <v/>
      </c>
      <c r="T3123" s="12" t="str">
        <f>IF(S3123="","",[1]Inputs_Outputs!$B$8*(1-'LOCH Calc COE Calc'!S3123))</f>
        <v/>
      </c>
      <c r="U3123" s="13" t="str">
        <f t="shared" si="246"/>
        <v/>
      </c>
      <c r="V3123" s="13" t="str">
        <f t="shared" si="247"/>
        <v/>
      </c>
      <c r="W3123" s="4" t="str">
        <f t="shared" si="248"/>
        <v/>
      </c>
      <c r="X3123" t="str">
        <f>IF(W3123="","",LOOKUP(_xlfn.CONCAT(P3123,", ",Q3123),'[1]T+S Costs'!$F$2:$F$3138,'[1]T+S Costs'!$N$2:$N$3138))</f>
        <v/>
      </c>
      <c r="Y3123" s="14" t="str">
        <f t="shared" si="244"/>
        <v/>
      </c>
      <c r="Z3123" s="4" t="str">
        <f t="shared" si="245"/>
        <v/>
      </c>
    </row>
    <row r="3124" spans="16:26" x14ac:dyDescent="0.25">
      <c r="P3124" s="10" t="str">
        <f>IF('[1]All Data '!AZ3129="","",'[1]All Data '!AZ3129)</f>
        <v/>
      </c>
      <c r="Q3124" s="10" t="str">
        <f>IF('[1]All Data '!BB3129="","",'[1]All Data '!BB3129)</f>
        <v/>
      </c>
      <c r="R3124" s="10" t="str">
        <f>IF('[1]All Data '!BD3129="","",'[1]All Data '!BD3129)</f>
        <v/>
      </c>
      <c r="S3124" s="11" t="str">
        <f>IF(R3124="","",'[1]All Data '!BE3129)</f>
        <v/>
      </c>
      <c r="T3124" s="12" t="str">
        <f>IF(S3124="","",[1]Inputs_Outputs!$B$8*(1-'LOCH Calc COE Calc'!S3124))</f>
        <v/>
      </c>
      <c r="U3124" s="13" t="str">
        <f t="shared" si="246"/>
        <v/>
      </c>
      <c r="V3124" s="13" t="str">
        <f t="shared" si="247"/>
        <v/>
      </c>
      <c r="W3124" s="4" t="str">
        <f t="shared" si="248"/>
        <v/>
      </c>
      <c r="X3124" t="str">
        <f>IF(W3124="","",LOOKUP(_xlfn.CONCAT(P3124,", ",Q3124),'[1]T+S Costs'!$F$2:$F$3138,'[1]T+S Costs'!$N$2:$N$3138))</f>
        <v/>
      </c>
      <c r="Y3124" s="14" t="str">
        <f t="shared" si="244"/>
        <v/>
      </c>
      <c r="Z3124" s="4" t="str">
        <f t="shared" si="245"/>
        <v/>
      </c>
    </row>
    <row r="3125" spans="16:26" x14ac:dyDescent="0.25">
      <c r="P3125" s="10" t="str">
        <f>IF('[1]All Data '!AZ3130="","",'[1]All Data '!AZ3130)</f>
        <v/>
      </c>
      <c r="Q3125" s="10" t="str">
        <f>IF('[1]All Data '!BB3130="","",'[1]All Data '!BB3130)</f>
        <v/>
      </c>
      <c r="R3125" s="10" t="str">
        <f>IF('[1]All Data '!BD3130="","",'[1]All Data '!BD3130)</f>
        <v/>
      </c>
      <c r="S3125" s="11" t="str">
        <f>IF(R3125="","",'[1]All Data '!BE3130)</f>
        <v/>
      </c>
      <c r="T3125" s="12" t="str">
        <f>IF(S3125="","",[1]Inputs_Outputs!$B$8*(1-'LOCH Calc COE Calc'!S3125))</f>
        <v/>
      </c>
      <c r="U3125" s="13" t="str">
        <f t="shared" si="246"/>
        <v/>
      </c>
      <c r="V3125" s="13" t="str">
        <f t="shared" si="247"/>
        <v/>
      </c>
      <c r="W3125" s="4" t="str">
        <f t="shared" si="248"/>
        <v/>
      </c>
      <c r="X3125" t="str">
        <f>IF(W3125="","",LOOKUP(_xlfn.CONCAT(P3125,", ",Q3125),'[1]T+S Costs'!$F$2:$F$3138,'[1]T+S Costs'!$N$2:$N$3138))</f>
        <v/>
      </c>
      <c r="Y3125" s="14" t="str">
        <f t="shared" si="244"/>
        <v/>
      </c>
      <c r="Z3125" s="4" t="str">
        <f t="shared" si="245"/>
        <v/>
      </c>
    </row>
    <row r="3126" spans="16:26" x14ac:dyDescent="0.25">
      <c r="P3126" s="10" t="str">
        <f>IF('[1]All Data '!AZ3131="","",'[1]All Data '!AZ3131)</f>
        <v/>
      </c>
      <c r="Q3126" s="10" t="str">
        <f>IF('[1]All Data '!BB3131="","",'[1]All Data '!BB3131)</f>
        <v/>
      </c>
      <c r="R3126" s="10" t="str">
        <f>IF('[1]All Data '!BD3131="","",'[1]All Data '!BD3131)</f>
        <v/>
      </c>
      <c r="S3126" s="11" t="str">
        <f>IF(R3126="","",'[1]All Data '!BE3131)</f>
        <v/>
      </c>
      <c r="T3126" s="12" t="str">
        <f>IF(S3126="","",[1]Inputs_Outputs!$B$8*(1-'LOCH Calc COE Calc'!S3126))</f>
        <v/>
      </c>
      <c r="U3126" s="13" t="str">
        <f t="shared" si="246"/>
        <v/>
      </c>
      <c r="V3126" s="13" t="str">
        <f t="shared" si="247"/>
        <v/>
      </c>
      <c r="W3126" s="4" t="str">
        <f t="shared" si="248"/>
        <v/>
      </c>
      <c r="X3126" t="str">
        <f>IF(W3126="","",LOOKUP(_xlfn.CONCAT(P3126,", ",Q3126),'[1]T+S Costs'!$F$2:$F$3138,'[1]T+S Costs'!$N$2:$N$3138))</f>
        <v/>
      </c>
      <c r="Y3126" s="14" t="str">
        <f t="shared" si="244"/>
        <v/>
      </c>
      <c r="Z3126" s="4" t="str">
        <f t="shared" si="245"/>
        <v/>
      </c>
    </row>
    <row r="3127" spans="16:26" x14ac:dyDescent="0.25">
      <c r="P3127" s="10" t="str">
        <f>IF('[1]All Data '!AZ3132="","",'[1]All Data '!AZ3132)</f>
        <v/>
      </c>
      <c r="Q3127" s="10" t="str">
        <f>IF('[1]All Data '!BB3132="","",'[1]All Data '!BB3132)</f>
        <v/>
      </c>
      <c r="R3127" s="10" t="str">
        <f>IF('[1]All Data '!BD3132="","",'[1]All Data '!BD3132)</f>
        <v/>
      </c>
      <c r="S3127" s="11" t="str">
        <f>IF(R3127="","",'[1]All Data '!BE3132)</f>
        <v/>
      </c>
      <c r="T3127" s="12" t="str">
        <f>IF(S3127="","",[1]Inputs_Outputs!$B$8*(1-'LOCH Calc COE Calc'!S3127))</f>
        <v/>
      </c>
      <c r="U3127" s="13" t="str">
        <f t="shared" si="246"/>
        <v/>
      </c>
      <c r="V3127" s="13" t="str">
        <f t="shared" si="247"/>
        <v/>
      </c>
      <c r="W3127" s="4" t="str">
        <f t="shared" si="248"/>
        <v/>
      </c>
      <c r="X3127" t="str">
        <f>IF(W3127="","",LOOKUP(_xlfn.CONCAT(P3127,", ",Q3127),'[1]T+S Costs'!$F$2:$F$3138,'[1]T+S Costs'!$N$2:$N$3138))</f>
        <v/>
      </c>
      <c r="Y3127" s="14" t="str">
        <f t="shared" si="244"/>
        <v/>
      </c>
      <c r="Z3127" s="4" t="str">
        <f t="shared" si="245"/>
        <v/>
      </c>
    </row>
    <row r="3128" spans="16:26" x14ac:dyDescent="0.25">
      <c r="P3128" s="10" t="str">
        <f>IF('[1]All Data '!AZ3133="","",'[1]All Data '!AZ3133)</f>
        <v/>
      </c>
      <c r="Q3128" s="10" t="str">
        <f>IF('[1]All Data '!BB3133="","",'[1]All Data '!BB3133)</f>
        <v/>
      </c>
      <c r="R3128" s="10" t="str">
        <f>IF('[1]All Data '!BD3133="","",'[1]All Data '!BD3133)</f>
        <v/>
      </c>
      <c r="S3128" s="11" t="str">
        <f>IF(R3128="","",'[1]All Data '!BE3133)</f>
        <v/>
      </c>
      <c r="T3128" s="12" t="str">
        <f>IF(S3128="","",[1]Inputs_Outputs!$B$8*(1-'LOCH Calc COE Calc'!S3128))</f>
        <v/>
      </c>
      <c r="U3128" s="13" t="str">
        <f t="shared" si="246"/>
        <v/>
      </c>
      <c r="V3128" s="13" t="str">
        <f t="shared" si="247"/>
        <v/>
      </c>
      <c r="W3128" s="4" t="str">
        <f t="shared" si="248"/>
        <v/>
      </c>
      <c r="X3128" t="str">
        <f>IF(W3128="","",LOOKUP(_xlfn.CONCAT(P3128,", ",Q3128),'[1]T+S Costs'!$F$2:$F$3138,'[1]T+S Costs'!$N$2:$N$3138))</f>
        <v/>
      </c>
      <c r="Y3128" s="14" t="str">
        <f t="shared" si="244"/>
        <v/>
      </c>
      <c r="Z3128" s="4" t="str">
        <f t="shared" si="245"/>
        <v/>
      </c>
    </row>
    <row r="3129" spans="16:26" x14ac:dyDescent="0.25">
      <c r="P3129" s="10" t="str">
        <f>IF('[1]All Data '!AZ3134="","",'[1]All Data '!AZ3134)</f>
        <v/>
      </c>
      <c r="Q3129" s="10" t="str">
        <f>IF('[1]All Data '!BB3134="","",'[1]All Data '!BB3134)</f>
        <v/>
      </c>
      <c r="R3129" s="10" t="str">
        <f>IF('[1]All Data '!BD3134="","",'[1]All Data '!BD3134)</f>
        <v/>
      </c>
      <c r="S3129" s="11" t="str">
        <f>IF(R3129="","",'[1]All Data '!BE3134)</f>
        <v/>
      </c>
      <c r="T3129" s="12" t="str">
        <f>IF(S3129="","",[1]Inputs_Outputs!$B$8*(1-'LOCH Calc COE Calc'!S3129))</f>
        <v/>
      </c>
      <c r="U3129" s="13" t="str">
        <f t="shared" si="246"/>
        <v/>
      </c>
      <c r="V3129" s="13" t="str">
        <f t="shared" si="247"/>
        <v/>
      </c>
      <c r="W3129" s="4" t="str">
        <f t="shared" si="248"/>
        <v/>
      </c>
      <c r="X3129" t="str">
        <f>IF(W3129="","",LOOKUP(_xlfn.CONCAT(P3129,", ",Q3129),'[1]T+S Costs'!$F$2:$F$3138,'[1]T+S Costs'!$N$2:$N$3138))</f>
        <v/>
      </c>
      <c r="Y3129" s="14" t="str">
        <f t="shared" si="244"/>
        <v/>
      </c>
      <c r="Z3129" s="4" t="str">
        <f t="shared" si="245"/>
        <v/>
      </c>
    </row>
    <row r="3130" spans="16:26" x14ac:dyDescent="0.25">
      <c r="P3130" s="10" t="str">
        <f>IF('[1]All Data '!AZ3135="","",'[1]All Data '!AZ3135)</f>
        <v/>
      </c>
      <c r="Q3130" s="10" t="str">
        <f>IF('[1]All Data '!BB3135="","",'[1]All Data '!BB3135)</f>
        <v/>
      </c>
      <c r="R3130" s="10" t="str">
        <f>IF('[1]All Data '!BD3135="","",'[1]All Data '!BD3135)</f>
        <v/>
      </c>
      <c r="S3130" s="11" t="str">
        <f>IF(R3130="","",'[1]All Data '!BE3135)</f>
        <v/>
      </c>
      <c r="T3130" s="12" t="str">
        <f>IF(S3130="","",[1]Inputs_Outputs!$B$8*(1-'LOCH Calc COE Calc'!S3130))</f>
        <v/>
      </c>
      <c r="U3130" s="13" t="str">
        <f t="shared" si="246"/>
        <v/>
      </c>
      <c r="V3130" s="13" t="str">
        <f t="shared" si="247"/>
        <v/>
      </c>
      <c r="W3130" s="4" t="str">
        <f t="shared" si="248"/>
        <v/>
      </c>
      <c r="X3130" t="str">
        <f>IF(W3130="","",LOOKUP(_xlfn.CONCAT(P3130,", ",Q3130),'[1]T+S Costs'!$F$2:$F$3138,'[1]T+S Costs'!$N$2:$N$3138))</f>
        <v/>
      </c>
      <c r="Y3130" s="14" t="str">
        <f t="shared" si="244"/>
        <v/>
      </c>
      <c r="Z3130" s="4" t="str">
        <f t="shared" si="245"/>
        <v/>
      </c>
    </row>
    <row r="3131" spans="16:26" x14ac:dyDescent="0.25">
      <c r="P3131" s="10" t="str">
        <f>IF('[1]All Data '!AZ3136="","",'[1]All Data '!AZ3136)</f>
        <v/>
      </c>
      <c r="Q3131" s="10" t="str">
        <f>IF('[1]All Data '!BB3136="","",'[1]All Data '!BB3136)</f>
        <v/>
      </c>
      <c r="R3131" s="10" t="str">
        <f>IF('[1]All Data '!BD3136="","",'[1]All Data '!BD3136)</f>
        <v/>
      </c>
      <c r="S3131" s="11" t="str">
        <f>IF(R3131="","",'[1]All Data '!BE3136)</f>
        <v/>
      </c>
      <c r="T3131" s="12" t="str">
        <f>IF(S3131="","",[1]Inputs_Outputs!$B$8*(1-'LOCH Calc COE Calc'!S3131))</f>
        <v/>
      </c>
      <c r="U3131" s="13" t="str">
        <f t="shared" si="246"/>
        <v/>
      </c>
      <c r="V3131" s="13" t="str">
        <f t="shared" si="247"/>
        <v/>
      </c>
      <c r="W3131" s="4" t="str">
        <f t="shared" si="248"/>
        <v/>
      </c>
      <c r="X3131" t="str">
        <f>IF(W3131="","",LOOKUP(_xlfn.CONCAT(P3131,", ",Q3131),'[1]T+S Costs'!$F$2:$F$3138,'[1]T+S Costs'!$N$2:$N$3138))</f>
        <v/>
      </c>
      <c r="Y3131" s="14" t="str">
        <f t="shared" si="244"/>
        <v/>
      </c>
      <c r="Z3131" s="4" t="str">
        <f t="shared" si="245"/>
        <v/>
      </c>
    </row>
    <row r="3132" spans="16:26" x14ac:dyDescent="0.25">
      <c r="P3132" s="10" t="str">
        <f>IF('[1]All Data '!AZ3137="","",'[1]All Data '!AZ3137)</f>
        <v/>
      </c>
      <c r="Q3132" s="10" t="str">
        <f>IF('[1]All Data '!BB3137="","",'[1]All Data '!BB3137)</f>
        <v/>
      </c>
      <c r="R3132" s="10" t="str">
        <f>IF('[1]All Data '!BD3137="","",'[1]All Data '!BD3137)</f>
        <v/>
      </c>
      <c r="S3132" s="11" t="str">
        <f>IF(R3132="","",'[1]All Data '!BE3137)</f>
        <v/>
      </c>
      <c r="T3132" s="12" t="str">
        <f>IF(S3132="","",[1]Inputs_Outputs!$B$8*(1-'LOCH Calc COE Calc'!S3132))</f>
        <v/>
      </c>
      <c r="U3132" s="13" t="str">
        <f t="shared" si="246"/>
        <v/>
      </c>
      <c r="V3132" s="13" t="str">
        <f t="shared" si="247"/>
        <v/>
      </c>
      <c r="W3132" s="4" t="str">
        <f t="shared" si="248"/>
        <v/>
      </c>
      <c r="X3132" t="str">
        <f>IF(W3132="","",LOOKUP(_xlfn.CONCAT(P3132,", ",Q3132),'[1]T+S Costs'!$F$2:$F$3138,'[1]T+S Costs'!$N$2:$N$3138))</f>
        <v/>
      </c>
      <c r="Y3132" s="14" t="str">
        <f t="shared" si="244"/>
        <v/>
      </c>
      <c r="Z3132" s="4" t="str">
        <f t="shared" si="245"/>
        <v/>
      </c>
    </row>
    <row r="3133" spans="16:26" x14ac:dyDescent="0.25">
      <c r="P3133" s="10" t="str">
        <f>IF('[1]All Data '!AZ3138="","",'[1]All Data '!AZ3138)</f>
        <v/>
      </c>
      <c r="Q3133" s="10" t="str">
        <f>IF('[1]All Data '!BB3138="","",'[1]All Data '!BB3138)</f>
        <v/>
      </c>
      <c r="R3133" s="10" t="str">
        <f>IF('[1]All Data '!BD3138="","",'[1]All Data '!BD3138)</f>
        <v/>
      </c>
      <c r="S3133" s="11" t="str">
        <f>IF(R3133="","",'[1]All Data '!BE3138)</f>
        <v/>
      </c>
      <c r="T3133" s="12" t="str">
        <f>IF(S3133="","",[1]Inputs_Outputs!$B$8*(1-'LOCH Calc COE Calc'!S3133))</f>
        <v/>
      </c>
      <c r="U3133" s="13" t="str">
        <f t="shared" si="246"/>
        <v/>
      </c>
      <c r="V3133" s="13" t="str">
        <f t="shared" si="247"/>
        <v/>
      </c>
      <c r="W3133" s="4" t="str">
        <f t="shared" si="248"/>
        <v/>
      </c>
      <c r="X3133" t="str">
        <f>IF(W3133="","",LOOKUP(_xlfn.CONCAT(P3133,", ",Q3133),'[1]T+S Costs'!$F$2:$F$3138,'[1]T+S Costs'!$N$2:$N$3138))</f>
        <v/>
      </c>
      <c r="Y3133" s="14" t="str">
        <f t="shared" si="244"/>
        <v/>
      </c>
      <c r="Z3133" s="4" t="str">
        <f t="shared" si="245"/>
        <v/>
      </c>
    </row>
    <row r="3134" spans="16:26" x14ac:dyDescent="0.25">
      <c r="P3134" s="10" t="str">
        <f>IF('[1]All Data '!AZ3139="","",'[1]All Data '!AZ3139)</f>
        <v/>
      </c>
      <c r="Q3134" s="10" t="str">
        <f>IF('[1]All Data '!BB3139="","",'[1]All Data '!BB3139)</f>
        <v/>
      </c>
      <c r="R3134" s="10" t="str">
        <f>IF('[1]All Data '!BD3139="","",'[1]All Data '!BD3139)</f>
        <v/>
      </c>
      <c r="S3134" s="11" t="str">
        <f>IF(R3134="","",'[1]All Data '!BE3139)</f>
        <v/>
      </c>
      <c r="T3134" s="12" t="str">
        <f>IF(S3134="","",[1]Inputs_Outputs!$B$8*(1-'LOCH Calc COE Calc'!S3134))</f>
        <v/>
      </c>
      <c r="U3134" s="13" t="str">
        <f t="shared" si="246"/>
        <v/>
      </c>
      <c r="V3134" s="13" t="str">
        <f t="shared" si="247"/>
        <v/>
      </c>
      <c r="W3134" s="4" t="str">
        <f t="shared" si="248"/>
        <v/>
      </c>
      <c r="X3134" t="str">
        <f>IF(W3134="","",LOOKUP(_xlfn.CONCAT(P3134,", ",Q3134),'[1]T+S Costs'!$F$2:$F$3138,'[1]T+S Costs'!$N$2:$N$3138))</f>
        <v/>
      </c>
      <c r="Y3134" s="14" t="str">
        <f t="shared" si="244"/>
        <v/>
      </c>
      <c r="Z3134" s="4" t="str">
        <f t="shared" si="245"/>
        <v/>
      </c>
    </row>
    <row r="3135" spans="16:26" x14ac:dyDescent="0.25">
      <c r="P3135" s="10" t="str">
        <f>IF('[1]All Data '!AZ3140="","",'[1]All Data '!AZ3140)</f>
        <v/>
      </c>
      <c r="Q3135" s="10" t="str">
        <f>IF('[1]All Data '!BB3140="","",'[1]All Data '!BB3140)</f>
        <v/>
      </c>
      <c r="R3135" s="10" t="str">
        <f>IF('[1]All Data '!BD3140="","",'[1]All Data '!BD3140)</f>
        <v/>
      </c>
      <c r="S3135" s="11" t="str">
        <f>IF(R3135="","",'[1]All Data '!BE3140)</f>
        <v/>
      </c>
      <c r="T3135" s="12" t="str">
        <f>IF(S3135="","",[1]Inputs_Outputs!$B$8*(1-'LOCH Calc COE Calc'!S3135))</f>
        <v/>
      </c>
      <c r="U3135" s="13" t="str">
        <f t="shared" si="246"/>
        <v/>
      </c>
      <c r="V3135" s="13" t="str">
        <f t="shared" si="247"/>
        <v/>
      </c>
      <c r="W3135" s="4" t="str">
        <f t="shared" si="248"/>
        <v/>
      </c>
      <c r="X3135" t="str">
        <f>IF(W3135="","",LOOKUP(_xlfn.CONCAT(P3135,", ",Q3135),'[1]T+S Costs'!$F$2:$F$3138,'[1]T+S Costs'!$N$2:$N$3138))</f>
        <v/>
      </c>
      <c r="Y3135" s="14" t="str">
        <f t="shared" si="244"/>
        <v/>
      </c>
      <c r="Z3135" s="4" t="str">
        <f t="shared" si="245"/>
        <v/>
      </c>
    </row>
    <row r="3136" spans="16:26" x14ac:dyDescent="0.25">
      <c r="P3136" s="10" t="str">
        <f>IF('[1]All Data '!AZ3141="","",'[1]All Data '!AZ3141)</f>
        <v/>
      </c>
      <c r="Q3136" s="10" t="str">
        <f>IF('[1]All Data '!BB3141="","",'[1]All Data '!BB3141)</f>
        <v/>
      </c>
      <c r="R3136" s="10" t="str">
        <f>IF('[1]All Data '!BD3141="","",'[1]All Data '!BD3141)</f>
        <v/>
      </c>
      <c r="S3136" s="11" t="str">
        <f>IF(R3136="","",'[1]All Data '!BE3141)</f>
        <v/>
      </c>
      <c r="T3136" s="12" t="str">
        <f>IF(S3136="","",[1]Inputs_Outputs!$B$8*(1-'LOCH Calc COE Calc'!S3136))</f>
        <v/>
      </c>
      <c r="U3136" s="13" t="str">
        <f t="shared" si="246"/>
        <v/>
      </c>
      <c r="V3136" s="13" t="str">
        <f t="shared" si="247"/>
        <v/>
      </c>
      <c r="W3136" s="4" t="str">
        <f t="shared" si="248"/>
        <v/>
      </c>
      <c r="X3136" t="str">
        <f>IF(W3136="","",LOOKUP(_xlfn.CONCAT(P3136,", ",Q3136),'[1]T+S Costs'!$F$2:$F$3138,'[1]T+S Costs'!$N$2:$N$3138))</f>
        <v/>
      </c>
      <c r="Y3136" s="14" t="str">
        <f t="shared" si="244"/>
        <v/>
      </c>
      <c r="Z3136" s="4" t="str">
        <f t="shared" si="245"/>
        <v/>
      </c>
    </row>
    <row r="3137" spans="16:26" x14ac:dyDescent="0.25">
      <c r="P3137" s="10" t="str">
        <f>IF('[1]All Data '!AZ3142="","",'[1]All Data '!AZ3142)</f>
        <v/>
      </c>
      <c r="Q3137" s="10" t="str">
        <f>IF('[1]All Data '!BB3142="","",'[1]All Data '!BB3142)</f>
        <v/>
      </c>
      <c r="R3137" s="10" t="str">
        <f>IF('[1]All Data '!BD3142="","",'[1]All Data '!BD3142)</f>
        <v/>
      </c>
      <c r="S3137" s="11" t="str">
        <f>IF(R3137="","",'[1]All Data '!BE3142)</f>
        <v/>
      </c>
      <c r="T3137" s="12" t="str">
        <f>IF(S3137="","",[1]Inputs_Outputs!$B$8*(1-'LOCH Calc COE Calc'!S3137))</f>
        <v/>
      </c>
      <c r="U3137" s="13" t="str">
        <f t="shared" si="246"/>
        <v/>
      </c>
      <c r="V3137" s="13" t="str">
        <f t="shared" si="247"/>
        <v/>
      </c>
      <c r="W3137" s="4" t="str">
        <f t="shared" si="248"/>
        <v/>
      </c>
      <c r="X3137" t="str">
        <f>IF(W3137="","",LOOKUP(_xlfn.CONCAT(P3137,", ",Q3137),'[1]T+S Costs'!$F$2:$F$3138,'[1]T+S Costs'!$N$2:$N$3138))</f>
        <v/>
      </c>
      <c r="Y3137" s="14" t="str">
        <f t="shared" si="244"/>
        <v/>
      </c>
      <c r="Z3137" s="4" t="str">
        <f t="shared" si="245"/>
        <v/>
      </c>
    </row>
    <row r="3138" spans="16:26" x14ac:dyDescent="0.25">
      <c r="P3138" s="10" t="str">
        <f>IF('[1]All Data '!AZ3143="","",'[1]All Data '!AZ3143)</f>
        <v/>
      </c>
      <c r="Q3138" s="10" t="str">
        <f>IF('[1]All Data '!BB3143="","",'[1]All Data '!BB3143)</f>
        <v/>
      </c>
      <c r="R3138" s="10" t="str">
        <f>IF('[1]All Data '!BD3143="","",'[1]All Data '!BD3143)</f>
        <v/>
      </c>
      <c r="S3138" s="11" t="str">
        <f>IF(R3138="","",'[1]All Data '!BE3143)</f>
        <v/>
      </c>
      <c r="T3138" s="12" t="str">
        <f>IF(S3138="","",[1]Inputs_Outputs!$B$8*(1-'LOCH Calc COE Calc'!S3138))</f>
        <v/>
      </c>
      <c r="U3138" s="13" t="str">
        <f t="shared" si="246"/>
        <v/>
      </c>
      <c r="V3138" s="13" t="str">
        <f t="shared" si="247"/>
        <v/>
      </c>
      <c r="W3138" s="4" t="str">
        <f t="shared" si="248"/>
        <v/>
      </c>
      <c r="X3138" t="str">
        <f>IF(W3138="","",LOOKUP(_xlfn.CONCAT(P3138,", ",Q3138),'[1]T+S Costs'!$F$2:$F$3138,'[1]T+S Costs'!$N$2:$N$3138))</f>
        <v/>
      </c>
      <c r="Y3138" s="14" t="str">
        <f t="shared" si="244"/>
        <v/>
      </c>
      <c r="Z3138" s="4" t="str">
        <f t="shared" si="245"/>
        <v/>
      </c>
    </row>
    <row r="3139" spans="16:26" x14ac:dyDescent="0.25">
      <c r="P3139" s="10" t="str">
        <f>IF('[1]All Data '!AZ3144="","",'[1]All Data '!AZ3144)</f>
        <v/>
      </c>
      <c r="Q3139" s="10" t="str">
        <f>IF('[1]All Data '!BB3144="","",'[1]All Data '!BB3144)</f>
        <v/>
      </c>
      <c r="R3139" s="10" t="str">
        <f>IF('[1]All Data '!BD3144="","",'[1]All Data '!BD3144)</f>
        <v/>
      </c>
      <c r="S3139" s="11" t="str">
        <f>IF(R3139="","",'[1]All Data '!BE3144)</f>
        <v/>
      </c>
      <c r="T3139" s="12" t="str">
        <f>IF(S3139="","",[1]Inputs_Outputs!$B$8*(1-'LOCH Calc COE Calc'!S3139))</f>
        <v/>
      </c>
      <c r="U3139" s="13" t="str">
        <f t="shared" si="246"/>
        <v/>
      </c>
      <c r="V3139" s="13" t="str">
        <f t="shared" si="247"/>
        <v/>
      </c>
      <c r="W3139" s="4" t="str">
        <f t="shared" si="248"/>
        <v/>
      </c>
      <c r="X3139" t="str">
        <f>IF(W3139="","",LOOKUP(_xlfn.CONCAT(P3139,", ",Q3139),'[1]T+S Costs'!$F$2:$F$3138,'[1]T+S Costs'!$N$2:$N$3138))</f>
        <v/>
      </c>
      <c r="Y3139" s="14" t="str">
        <f t="shared" ref="Y3139:Y3147" si="249">IF(X3139="","",((X3139*$B$60/$B$59)*$C$44)/$C$28)</f>
        <v/>
      </c>
      <c r="Z3139" s="4" t="str">
        <f t="shared" ref="Z3139:Z3147" si="250">IF(Y3139="","",W3139+Y3139)</f>
        <v/>
      </c>
    </row>
    <row r="3140" spans="16:26" x14ac:dyDescent="0.25">
      <c r="P3140" s="10" t="str">
        <f>IF('[1]All Data '!AZ3145="","",'[1]All Data '!AZ3145)</f>
        <v/>
      </c>
      <c r="Q3140" s="10" t="str">
        <f>IF('[1]All Data '!BB3145="","",'[1]All Data '!BB3145)</f>
        <v/>
      </c>
      <c r="R3140" s="10" t="str">
        <f>IF('[1]All Data '!BD3145="","",'[1]All Data '!BD3145)</f>
        <v/>
      </c>
      <c r="S3140" s="11" t="str">
        <f>IF(R3140="","",'[1]All Data '!BE3145)</f>
        <v/>
      </c>
      <c r="T3140" s="12" t="str">
        <f>IF(S3140="","",[1]Inputs_Outputs!$B$8*(1-'LOCH Calc COE Calc'!S3140))</f>
        <v/>
      </c>
      <c r="U3140" s="13" t="str">
        <f t="shared" si="246"/>
        <v/>
      </c>
      <c r="V3140" s="13" t="str">
        <f t="shared" si="247"/>
        <v/>
      </c>
      <c r="W3140" s="4" t="str">
        <f t="shared" si="248"/>
        <v/>
      </c>
      <c r="X3140" t="str">
        <f>IF(W3140="","",LOOKUP(_xlfn.CONCAT(P3140,", ",Q3140),'[1]T+S Costs'!$F$2:$F$3138,'[1]T+S Costs'!$N$2:$N$3138))</f>
        <v/>
      </c>
      <c r="Y3140" s="14" t="str">
        <f t="shared" si="249"/>
        <v/>
      </c>
      <c r="Z3140" s="4" t="str">
        <f t="shared" si="250"/>
        <v/>
      </c>
    </row>
    <row r="3141" spans="16:26" x14ac:dyDescent="0.25">
      <c r="P3141" s="10" t="str">
        <f>IF('[1]All Data '!AZ3146="","",'[1]All Data '!AZ3146)</f>
        <v/>
      </c>
      <c r="Q3141" s="10" t="str">
        <f>IF('[1]All Data '!BB3146="","",'[1]All Data '!BB3146)</f>
        <v/>
      </c>
      <c r="R3141" s="10" t="str">
        <f>IF('[1]All Data '!BD3146="","",'[1]All Data '!BD3146)</f>
        <v/>
      </c>
      <c r="S3141" s="11" t="str">
        <f>IF(R3141="","",'[1]All Data '!BE3146)</f>
        <v/>
      </c>
      <c r="T3141" s="12" t="str">
        <f>IF(S3141="","",[1]Inputs_Outputs!$B$8*(1-'LOCH Calc COE Calc'!S3141))</f>
        <v/>
      </c>
      <c r="U3141" s="13" t="str">
        <f t="shared" si="246"/>
        <v/>
      </c>
      <c r="V3141" s="13" t="str">
        <f t="shared" si="247"/>
        <v/>
      </c>
      <c r="W3141" s="4" t="str">
        <f t="shared" si="248"/>
        <v/>
      </c>
      <c r="X3141" t="str">
        <f>IF(W3141="","",LOOKUP(_xlfn.CONCAT(P3141,", ",Q3141),'[1]T+S Costs'!$F$2:$F$3138,'[1]T+S Costs'!$N$2:$N$3138))</f>
        <v/>
      </c>
      <c r="Y3141" s="14" t="str">
        <f t="shared" si="249"/>
        <v/>
      </c>
      <c r="Z3141" s="4" t="str">
        <f t="shared" si="250"/>
        <v/>
      </c>
    </row>
    <row r="3142" spans="16:26" x14ac:dyDescent="0.25">
      <c r="P3142" s="10" t="str">
        <f>IF('[1]All Data '!AZ3147="","",'[1]All Data '!AZ3147)</f>
        <v/>
      </c>
      <c r="Q3142" s="10" t="str">
        <f>IF('[1]All Data '!BB3147="","",'[1]All Data '!BB3147)</f>
        <v/>
      </c>
      <c r="R3142" s="10" t="str">
        <f>IF('[1]All Data '!BD3147="","",'[1]All Data '!BD3147)</f>
        <v/>
      </c>
      <c r="S3142" s="11" t="str">
        <f>IF(R3142="","",'[1]All Data '!BE3147)</f>
        <v/>
      </c>
      <c r="T3142" s="12" t="str">
        <f>IF(S3142="","",[1]Inputs_Outputs!$B$8*(1-'LOCH Calc COE Calc'!S3142))</f>
        <v/>
      </c>
      <c r="U3142" s="13" t="str">
        <f t="shared" si="246"/>
        <v/>
      </c>
      <c r="V3142" s="13" t="str">
        <f t="shared" si="247"/>
        <v/>
      </c>
      <c r="W3142" s="4" t="str">
        <f t="shared" si="248"/>
        <v/>
      </c>
      <c r="X3142" t="str">
        <f>IF(W3142="","",LOOKUP(_xlfn.CONCAT(P3142,", ",Q3142),'[1]T+S Costs'!$F$2:$F$3138,'[1]T+S Costs'!$N$2:$N$3138))</f>
        <v/>
      </c>
      <c r="Y3142" s="14" t="str">
        <f t="shared" si="249"/>
        <v/>
      </c>
      <c r="Z3142" s="4" t="str">
        <f t="shared" si="250"/>
        <v/>
      </c>
    </row>
    <row r="3143" spans="16:26" x14ac:dyDescent="0.25">
      <c r="P3143" s="10" t="str">
        <f>IF('[1]All Data '!AZ3148="","",'[1]All Data '!AZ3148)</f>
        <v/>
      </c>
      <c r="Q3143" s="10" t="str">
        <f>IF('[1]All Data '!BB3148="","",'[1]All Data '!BB3148)</f>
        <v/>
      </c>
      <c r="R3143" s="10" t="str">
        <f>IF('[1]All Data '!BD3148="","",'[1]All Data '!BD3148)</f>
        <v/>
      </c>
      <c r="S3143" s="11" t="str">
        <f>IF(R3143="","",'[1]All Data '!BE3148)</f>
        <v/>
      </c>
      <c r="T3143" s="12" t="str">
        <f>IF(S3143="","",[1]Inputs_Outputs!$B$8*(1-'LOCH Calc COE Calc'!S3143))</f>
        <v/>
      </c>
      <c r="U3143" s="13" t="str">
        <f t="shared" si="246"/>
        <v/>
      </c>
      <c r="V3143" s="13" t="str">
        <f t="shared" si="247"/>
        <v/>
      </c>
      <c r="W3143" s="4" t="str">
        <f t="shared" si="248"/>
        <v/>
      </c>
      <c r="X3143" t="str">
        <f>IF(W3143="","",LOOKUP(_xlfn.CONCAT(P3143,", ",Q3143),'[1]T+S Costs'!$F$2:$F$3138,'[1]T+S Costs'!$N$2:$N$3138))</f>
        <v/>
      </c>
      <c r="Y3143" s="14" t="str">
        <f t="shared" si="249"/>
        <v/>
      </c>
      <c r="Z3143" s="4" t="str">
        <f t="shared" si="250"/>
        <v/>
      </c>
    </row>
    <row r="3144" spans="16:26" x14ac:dyDescent="0.25">
      <c r="P3144" s="10" t="str">
        <f>IF('[1]All Data '!AZ3149="","",'[1]All Data '!AZ3149)</f>
        <v/>
      </c>
      <c r="Q3144" s="10" t="str">
        <f>IF('[1]All Data '!BB3149="","",'[1]All Data '!BB3149)</f>
        <v/>
      </c>
      <c r="R3144" s="10" t="str">
        <f>IF('[1]All Data '!BD3149="","",'[1]All Data '!BD3149)</f>
        <v/>
      </c>
      <c r="S3144" s="11" t="str">
        <f>IF(R3144="","",'[1]All Data '!BE3149)</f>
        <v/>
      </c>
      <c r="T3144" s="12" t="str">
        <f>IF(S3144="","",[1]Inputs_Outputs!$B$8*(1-'LOCH Calc COE Calc'!S3144))</f>
        <v/>
      </c>
      <c r="U3144" s="13" t="str">
        <f t="shared" si="246"/>
        <v/>
      </c>
      <c r="V3144" s="13" t="str">
        <f t="shared" si="247"/>
        <v/>
      </c>
      <c r="W3144" s="4" t="str">
        <f t="shared" si="248"/>
        <v/>
      </c>
      <c r="X3144" t="str">
        <f>IF(W3144="","",LOOKUP(_xlfn.CONCAT(P3144,", ",Q3144),'[1]T+S Costs'!$F$2:$F$3138,'[1]T+S Costs'!$N$2:$N$3138))</f>
        <v/>
      </c>
      <c r="Y3144" s="14" t="str">
        <f t="shared" si="249"/>
        <v/>
      </c>
      <c r="Z3144" s="4" t="str">
        <f t="shared" si="250"/>
        <v/>
      </c>
    </row>
    <row r="3145" spans="16:26" x14ac:dyDescent="0.25">
      <c r="P3145" s="10" t="str">
        <f>IF('[1]All Data '!AZ3150="","",'[1]All Data '!AZ3150)</f>
        <v/>
      </c>
      <c r="Q3145" s="10" t="str">
        <f>IF('[1]All Data '!BB3150="","",'[1]All Data '!BB3150)</f>
        <v/>
      </c>
      <c r="R3145" s="10" t="str">
        <f>IF('[1]All Data '!BD3150="","",'[1]All Data '!BD3150)</f>
        <v/>
      </c>
      <c r="S3145" s="11" t="str">
        <f>IF(R3145="","",'[1]All Data '!BE3150)</f>
        <v/>
      </c>
      <c r="T3145" s="12" t="str">
        <f>IF(S3145="","",[1]Inputs_Outputs!$B$8*(1-'LOCH Calc COE Calc'!S3145))</f>
        <v/>
      </c>
      <c r="U3145" s="13" t="str">
        <f t="shared" si="246"/>
        <v/>
      </c>
      <c r="V3145" s="13" t="str">
        <f t="shared" si="247"/>
        <v/>
      </c>
      <c r="W3145" s="4" t="str">
        <f t="shared" si="248"/>
        <v/>
      </c>
      <c r="X3145" t="str">
        <f>IF(W3145="","",LOOKUP(_xlfn.CONCAT(P3145,", ",Q3145),'[1]T+S Costs'!$F$2:$F$3138,'[1]T+S Costs'!$N$2:$N$3138))</f>
        <v/>
      </c>
      <c r="Y3145" s="14" t="str">
        <f t="shared" si="249"/>
        <v/>
      </c>
      <c r="Z3145" s="4" t="str">
        <f t="shared" si="250"/>
        <v/>
      </c>
    </row>
    <row r="3146" spans="16:26" x14ac:dyDescent="0.25">
      <c r="P3146" s="10" t="str">
        <f>IF('[1]All Data '!AZ3151="","",'[1]All Data '!AZ3151)</f>
        <v/>
      </c>
      <c r="Q3146" s="10" t="str">
        <f>IF('[1]All Data '!BB3151="","",'[1]All Data '!BB3151)</f>
        <v/>
      </c>
      <c r="R3146" s="10" t="str">
        <f>IF('[1]All Data '!BD3151="","",'[1]All Data '!BD3151)</f>
        <v/>
      </c>
      <c r="S3146" s="11" t="str">
        <f>IF(R3146="","",'[1]All Data '!BE3151)</f>
        <v/>
      </c>
      <c r="T3146" s="12" t="str">
        <f>IF(S3146="","",[1]Inputs_Outputs!$B$8*(1-'LOCH Calc COE Calc'!S3146))</f>
        <v/>
      </c>
      <c r="U3146" s="13" t="str">
        <f t="shared" si="246"/>
        <v/>
      </c>
      <c r="V3146" s="13" t="str">
        <f t="shared" si="247"/>
        <v/>
      </c>
      <c r="W3146" s="4" t="str">
        <f t="shared" si="248"/>
        <v/>
      </c>
      <c r="X3146" t="str">
        <f>IF(W3146="","",LOOKUP(_xlfn.CONCAT(P3146,", ",Q3146),'[1]T+S Costs'!$F$2:$F$3138,'[1]T+S Costs'!$N$2:$N$3138))</f>
        <v/>
      </c>
      <c r="Y3146" s="14" t="str">
        <f t="shared" si="249"/>
        <v/>
      </c>
      <c r="Z3146" s="4" t="str">
        <f t="shared" si="250"/>
        <v/>
      </c>
    </row>
    <row r="3147" spans="16:26" x14ac:dyDescent="0.25">
      <c r="P3147" s="10" t="str">
        <f>IF('[1]All Data '!AZ3152="","",'[1]All Data '!AZ3152)</f>
        <v/>
      </c>
      <c r="Q3147" s="10" t="str">
        <f>IF('[1]All Data '!BB3152="","",'[1]All Data '!BB3152)</f>
        <v/>
      </c>
      <c r="R3147" s="10" t="str">
        <f>IF('[1]All Data '!BD3152="","",'[1]All Data '!BD3152)</f>
        <v/>
      </c>
      <c r="S3147" s="11" t="str">
        <f>IF(R3147="","",'[1]All Data '!BE3152)</f>
        <v/>
      </c>
      <c r="T3147" s="12" t="str">
        <f>IF(S3147="","",[1]Inputs_Outputs!$B$8*(1-'LOCH Calc COE Calc'!S3147))</f>
        <v/>
      </c>
      <c r="U3147" s="13" t="str">
        <f t="shared" si="246"/>
        <v/>
      </c>
      <c r="V3147" s="13" t="str">
        <f t="shared" si="247"/>
        <v/>
      </c>
      <c r="W3147" s="4" t="str">
        <f t="shared" si="248"/>
        <v/>
      </c>
      <c r="X3147" t="str">
        <f>IF(W3147="","",LOOKUP(_xlfn.CONCAT(P3147,", ",Q3147),'[1]T+S Costs'!$F$2:$F$3138,'[1]T+S Costs'!$N$2:$N$3138))</f>
        <v/>
      </c>
      <c r="Y3147" s="14" t="str">
        <f t="shared" si="249"/>
        <v/>
      </c>
      <c r="Z3147" s="4" t="str">
        <f t="shared" si="250"/>
        <v/>
      </c>
    </row>
    <row r="3148" spans="16:26" x14ac:dyDescent="0.25">
      <c r="R3148" s="10"/>
      <c r="S3148" s="11"/>
      <c r="T3148" s="12"/>
      <c r="U3148" s="13"/>
      <c r="V3148" s="13"/>
    </row>
    <row r="3149" spans="16:26" x14ac:dyDescent="0.25">
      <c r="R3149" s="10"/>
      <c r="S3149" s="11"/>
      <c r="T3149" s="12"/>
      <c r="U3149" s="13"/>
      <c r="V3149" s="13"/>
    </row>
    <row r="3150" spans="16:26" x14ac:dyDescent="0.25">
      <c r="R3150" s="10"/>
      <c r="S3150" s="11"/>
      <c r="T3150" s="12"/>
      <c r="U3150" s="13"/>
      <c r="V3150" s="13"/>
    </row>
    <row r="3151" spans="16:26" x14ac:dyDescent="0.25">
      <c r="R3151" s="10"/>
      <c r="S3151" s="11"/>
      <c r="T3151" s="12"/>
      <c r="U3151" s="13"/>
      <c r="V3151" s="13"/>
    </row>
    <row r="3152" spans="16:26" x14ac:dyDescent="0.25">
      <c r="R3152" s="10"/>
      <c r="S3152" s="11"/>
      <c r="T3152" s="12"/>
      <c r="U3152" s="13"/>
      <c r="V3152" s="13"/>
    </row>
    <row r="3153" spans="18:22" x14ac:dyDescent="0.25">
      <c r="R3153" s="10"/>
      <c r="S3153" s="11"/>
      <c r="T3153" s="12"/>
      <c r="U3153" s="13"/>
      <c r="V3153" s="13"/>
    </row>
    <row r="3154" spans="18:22" x14ac:dyDescent="0.25">
      <c r="R3154" s="10"/>
      <c r="S3154" s="11"/>
      <c r="T3154" s="12"/>
      <c r="U3154" s="13"/>
      <c r="V3154" s="13"/>
    </row>
    <row r="3155" spans="18:22" x14ac:dyDescent="0.25">
      <c r="R3155" s="10"/>
      <c r="S3155" s="11"/>
      <c r="T3155" s="12"/>
      <c r="U3155" s="13"/>
      <c r="V3155" s="13"/>
    </row>
    <row r="3156" spans="18:22" x14ac:dyDescent="0.25">
      <c r="R3156" s="10"/>
      <c r="S3156" s="11"/>
      <c r="T3156" s="12"/>
      <c r="U3156" s="13"/>
      <c r="V3156" s="13"/>
    </row>
    <row r="3157" spans="18:22" x14ac:dyDescent="0.25">
      <c r="R3157" s="10"/>
      <c r="S3157" s="11"/>
      <c r="T3157" s="12"/>
      <c r="U3157" s="13"/>
      <c r="V3157" s="13"/>
    </row>
    <row r="3158" spans="18:22" x14ac:dyDescent="0.25">
      <c r="R3158" s="10"/>
      <c r="S3158" s="11"/>
      <c r="T3158" s="12"/>
      <c r="U3158" s="13"/>
      <c r="V3158" s="13"/>
    </row>
    <row r="3159" spans="18:22" x14ac:dyDescent="0.25">
      <c r="R3159" s="10"/>
      <c r="S3159" s="11"/>
      <c r="T3159" s="12"/>
      <c r="U3159" s="13"/>
      <c r="V3159" s="13"/>
    </row>
    <row r="3160" spans="18:22" x14ac:dyDescent="0.25">
      <c r="R3160" s="10"/>
      <c r="S3160" s="11"/>
      <c r="T3160" s="12"/>
      <c r="U3160" s="13"/>
      <c r="V3160" s="13"/>
    </row>
    <row r="3161" spans="18:22" x14ac:dyDescent="0.25">
      <c r="R3161" s="10"/>
      <c r="S3161" s="11"/>
      <c r="T3161" s="12"/>
      <c r="U3161" s="13"/>
      <c r="V3161" s="13"/>
    </row>
    <row r="3162" spans="18:22" x14ac:dyDescent="0.25">
      <c r="R3162" s="10"/>
      <c r="S3162" s="11"/>
      <c r="T3162" s="12"/>
      <c r="U3162" s="13"/>
      <c r="V3162" s="13"/>
    </row>
    <row r="3163" spans="18:22" x14ac:dyDescent="0.25">
      <c r="R3163" s="10"/>
      <c r="S3163" s="11"/>
      <c r="T3163" s="12"/>
      <c r="U3163" s="13"/>
      <c r="V3163" s="13"/>
    </row>
    <row r="3164" spans="18:22" x14ac:dyDescent="0.25">
      <c r="R3164" s="10"/>
      <c r="S3164" s="11"/>
      <c r="T3164" s="12"/>
      <c r="U3164" s="13"/>
      <c r="V3164" s="13"/>
    </row>
    <row r="3165" spans="18:22" x14ac:dyDescent="0.25">
      <c r="R3165" s="10"/>
      <c r="S3165" s="11"/>
      <c r="T3165" s="12"/>
      <c r="U3165" s="13"/>
      <c r="V3165" s="13"/>
    </row>
    <row r="3166" spans="18:22" x14ac:dyDescent="0.25">
      <c r="R3166" s="10"/>
      <c r="S3166" s="11"/>
      <c r="T3166" s="12"/>
      <c r="U3166" s="13"/>
      <c r="V3166" s="13"/>
    </row>
    <row r="3167" spans="18:22" x14ac:dyDescent="0.25">
      <c r="R3167" s="10"/>
      <c r="S3167" s="11"/>
      <c r="T3167" s="12"/>
      <c r="U3167" s="13"/>
      <c r="V3167" s="13"/>
    </row>
    <row r="3168" spans="18:22" x14ac:dyDescent="0.25">
      <c r="R3168" s="10"/>
      <c r="S3168" s="11"/>
      <c r="T3168" s="12"/>
      <c r="U3168" s="13"/>
      <c r="V3168" s="13"/>
    </row>
    <row r="3169" spans="18:22" x14ac:dyDescent="0.25">
      <c r="R3169" s="10"/>
      <c r="S3169" s="11"/>
      <c r="T3169" s="12"/>
      <c r="U3169" s="13"/>
      <c r="V3169" s="13"/>
    </row>
    <row r="3170" spans="18:22" x14ac:dyDescent="0.25">
      <c r="R3170" s="10"/>
      <c r="S3170" s="11"/>
      <c r="T3170" s="12"/>
      <c r="U3170" s="13"/>
      <c r="V3170" s="13"/>
    </row>
    <row r="3171" spans="18:22" x14ac:dyDescent="0.25">
      <c r="R3171" s="10"/>
      <c r="S3171" s="11"/>
      <c r="T3171" s="12"/>
      <c r="U3171" s="13"/>
      <c r="V3171" s="13"/>
    </row>
    <row r="3172" spans="18:22" x14ac:dyDescent="0.25">
      <c r="R3172" s="10"/>
      <c r="S3172" s="11"/>
      <c r="T3172" s="12"/>
      <c r="U3172" s="13"/>
      <c r="V3172" s="13"/>
    </row>
    <row r="3173" spans="18:22" x14ac:dyDescent="0.25">
      <c r="R3173" s="10"/>
      <c r="S3173" s="11"/>
      <c r="T3173" s="12"/>
      <c r="U3173" s="13"/>
      <c r="V3173" s="13"/>
    </row>
    <row r="3174" spans="18:22" x14ac:dyDescent="0.25">
      <c r="R3174" s="10"/>
      <c r="S3174" s="11"/>
      <c r="T3174" s="12"/>
      <c r="U3174" s="13"/>
      <c r="V3174" s="13"/>
    </row>
    <row r="3175" spans="18:22" x14ac:dyDescent="0.25">
      <c r="R3175" s="10"/>
      <c r="S3175" s="11"/>
      <c r="T3175" s="12"/>
      <c r="U3175" s="13"/>
      <c r="V3175" s="13"/>
    </row>
    <row r="3176" spans="18:22" x14ac:dyDescent="0.25">
      <c r="R3176" s="10"/>
      <c r="S3176" s="11"/>
      <c r="T3176" s="12"/>
      <c r="U3176" s="13"/>
      <c r="V3176" s="13"/>
    </row>
    <row r="3177" spans="18:22" x14ac:dyDescent="0.25">
      <c r="R3177" s="10"/>
      <c r="S3177" s="11"/>
      <c r="T3177" s="12"/>
      <c r="U3177" s="13"/>
      <c r="V3177" s="13"/>
    </row>
    <row r="3178" spans="18:22" x14ac:dyDescent="0.25">
      <c r="R3178" s="10"/>
      <c r="S3178" s="11"/>
      <c r="T3178" s="12"/>
      <c r="U3178" s="13"/>
      <c r="V3178" s="13"/>
    </row>
    <row r="3179" spans="18:22" x14ac:dyDescent="0.25">
      <c r="R3179" s="10"/>
      <c r="S3179" s="11"/>
      <c r="T3179" s="12"/>
      <c r="U3179" s="13"/>
      <c r="V3179" s="13"/>
    </row>
    <row r="3180" spans="18:22" x14ac:dyDescent="0.25">
      <c r="R3180" s="10"/>
      <c r="S3180" s="11"/>
      <c r="T3180" s="12"/>
      <c r="U3180" s="13"/>
      <c r="V3180" s="13"/>
    </row>
    <row r="3181" spans="18:22" x14ac:dyDescent="0.25">
      <c r="R3181" s="10"/>
      <c r="S3181" s="11"/>
      <c r="T3181" s="12"/>
      <c r="U3181" s="13"/>
      <c r="V3181" s="13"/>
    </row>
    <row r="3182" spans="18:22" x14ac:dyDescent="0.25">
      <c r="R3182" s="10"/>
      <c r="S3182" s="11"/>
      <c r="T3182" s="12"/>
      <c r="U3182" s="13"/>
      <c r="V3182" s="13"/>
    </row>
    <row r="3183" spans="18:22" x14ac:dyDescent="0.25">
      <c r="R3183" s="10"/>
      <c r="S3183" s="11"/>
      <c r="T3183" s="12"/>
      <c r="U3183" s="13"/>
      <c r="V3183" s="13"/>
    </row>
    <row r="3184" spans="18:22" x14ac:dyDescent="0.25">
      <c r="R3184" s="10"/>
      <c r="S3184" s="11"/>
      <c r="T3184" s="12"/>
      <c r="U3184" s="13"/>
      <c r="V3184" s="13"/>
    </row>
    <row r="3185" spans="18:22" x14ac:dyDescent="0.25">
      <c r="R3185" s="10"/>
      <c r="S3185" s="11"/>
      <c r="T3185" s="12"/>
      <c r="U3185" s="13"/>
      <c r="V3185" s="13"/>
    </row>
    <row r="3186" spans="18:22" x14ac:dyDescent="0.25">
      <c r="R3186" s="10"/>
      <c r="S3186" s="11"/>
      <c r="T3186" s="12"/>
      <c r="U3186" s="13"/>
      <c r="V3186" s="13"/>
    </row>
    <row r="3187" spans="18:22" x14ac:dyDescent="0.25">
      <c r="R3187" s="10"/>
      <c r="S3187" s="11"/>
      <c r="T3187" s="12"/>
      <c r="U3187" s="13"/>
      <c r="V3187" s="13"/>
    </row>
    <row r="3188" spans="18:22" x14ac:dyDescent="0.25">
      <c r="R3188" s="10"/>
      <c r="S3188" s="11"/>
      <c r="T3188" s="12"/>
      <c r="U3188" s="13"/>
      <c r="V3188" s="13"/>
    </row>
    <row r="3189" spans="18:22" x14ac:dyDescent="0.25">
      <c r="R3189" s="10"/>
      <c r="S3189" s="11"/>
      <c r="T3189" s="12"/>
      <c r="U3189" s="13"/>
      <c r="V3189" s="13"/>
    </row>
    <row r="3190" spans="18:22" x14ac:dyDescent="0.25">
      <c r="R3190" s="10"/>
      <c r="S3190" s="11"/>
      <c r="T3190" s="12"/>
      <c r="U3190" s="13"/>
      <c r="V3190" s="13"/>
    </row>
    <row r="3191" spans="18:22" x14ac:dyDescent="0.25">
      <c r="R3191" s="10"/>
      <c r="S3191" s="11"/>
      <c r="T3191" s="12"/>
      <c r="U3191" s="13"/>
      <c r="V3191" s="13"/>
    </row>
    <row r="3192" spans="18:22" x14ac:dyDescent="0.25">
      <c r="R3192" s="10"/>
      <c r="S3192" s="11"/>
      <c r="T3192" s="12"/>
      <c r="U3192" s="13"/>
      <c r="V3192" s="13"/>
    </row>
    <row r="3193" spans="18:22" x14ac:dyDescent="0.25">
      <c r="R3193" s="10"/>
      <c r="S3193" s="11"/>
      <c r="T3193" s="12"/>
      <c r="U3193" s="13"/>
      <c r="V3193" s="13"/>
    </row>
    <row r="3194" spans="18:22" x14ac:dyDescent="0.25">
      <c r="R3194" s="10"/>
      <c r="S3194" s="11"/>
      <c r="T3194" s="12"/>
      <c r="U3194" s="13"/>
      <c r="V3194" s="13"/>
    </row>
    <row r="3195" spans="18:22" x14ac:dyDescent="0.25">
      <c r="R3195" s="10"/>
      <c r="S3195" s="11"/>
      <c r="T3195" s="12"/>
      <c r="U3195" s="13"/>
      <c r="V3195" s="13"/>
    </row>
    <row r="3196" spans="18:22" x14ac:dyDescent="0.25">
      <c r="R3196" s="10"/>
      <c r="S3196" s="11"/>
      <c r="T3196" s="12"/>
      <c r="U3196" s="13"/>
      <c r="V3196" s="13"/>
    </row>
    <row r="3197" spans="18:22" x14ac:dyDescent="0.25">
      <c r="R3197" s="10"/>
      <c r="S3197" s="11"/>
      <c r="T3197" s="12"/>
      <c r="U3197" s="13"/>
      <c r="V3197" s="13"/>
    </row>
    <row r="3198" spans="18:22" x14ac:dyDescent="0.25">
      <c r="R3198" s="10"/>
      <c r="S3198" s="11"/>
      <c r="T3198" s="12"/>
      <c r="U3198" s="13"/>
      <c r="V3198" s="13"/>
    </row>
    <row r="3199" spans="18:22" x14ac:dyDescent="0.25">
      <c r="R3199" s="10"/>
      <c r="S3199" s="11"/>
      <c r="T3199" s="12"/>
      <c r="U3199" s="13"/>
      <c r="V3199" s="13"/>
    </row>
    <row r="3200" spans="18:22" x14ac:dyDescent="0.25">
      <c r="R3200" s="10"/>
      <c r="S3200" s="11"/>
      <c r="T3200" s="12"/>
      <c r="U3200" s="13"/>
      <c r="V3200" s="13"/>
    </row>
  </sheetData>
  <mergeCells count="5">
    <mergeCell ref="F3:N4"/>
    <mergeCell ref="F6:N7"/>
    <mergeCell ref="F8:N8"/>
    <mergeCell ref="F11:N11"/>
    <mergeCell ref="A47:B47"/>
  </mergeCells>
  <pageMargins left="0.7" right="0.7" top="0.75" bottom="0.75" header="0.3" footer="0.3"/>
  <pageSetup scale="3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LOCH Calc COE Calc</vt:lpstr>
      <vt:lpstr>'LOCH Calc COE Calc'!CO2TSpertonne</vt:lpstr>
      <vt:lpstr>'LOCH Calc COE Calc'!CoalPrice</vt:lpstr>
      <vt:lpstr>'LOCH Calc COE Calc'!NaturalGasPrice</vt:lpstr>
      <vt:lpstr>'LOCH Calc COE Calc'!TASC_NGCC</vt:lpstr>
      <vt:lpstr>'LOCH Calc COE Calc'!TASC_PCIGCC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McCandless</dc:creator>
  <cp:lastModifiedBy>Tyler McCandless</cp:lastModifiedBy>
  <dcterms:created xsi:type="dcterms:W3CDTF">2026-04-23T18:26:52Z</dcterms:created>
  <dcterms:modified xsi:type="dcterms:W3CDTF">2026-04-23T18:28:37Z</dcterms:modified>
</cp:coreProperties>
</file>